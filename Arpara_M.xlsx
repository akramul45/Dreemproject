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q6pO0mbeqLJMZ3LwC9ffKbSRglCRZDplZMNCf8CL8k="/>
    </ext>
  </extLst>
</workbook>
</file>

<file path=xl/sharedStrings.xml><?xml version="1.0" encoding="utf-8"?>
<sst xmlns="http://schemas.openxmlformats.org/spreadsheetml/2006/main" count="8973" uniqueCount="3632">
  <si>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</si>
  <si>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</si>
  <si>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</si>
  <si>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</si>
  <si>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</si>
  <si>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</si>
  <si>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</si>
  <si>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</si>
  <si>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রেজাউল হক</t>
  </si>
  <si>
    <t>রবগুল হোসেন</t>
  </si>
  <si>
    <t>মিছিরন খাতুন</t>
  </si>
  <si>
    <t>১৫/০৫/১৯৪৭</t>
  </si>
  <si>
    <t>কৃষক</t>
  </si>
  <si>
    <t>আড়ুপাড়া, গাংনী, মেহেরপুর</t>
  </si>
  <si>
    <t>মোঃ ইয়াজাল আলী</t>
  </si>
  <si>
    <t>১৬/০৮/১৯৬৬</t>
  </si>
  <si>
    <t>মোঃ ইমান হোসেন</t>
  </si>
  <si>
    <t>আবুল হোসেন</t>
  </si>
  <si>
    <t>মোছাঃ শুকিরন নেছা</t>
  </si>
  <si>
    <t>২৩/০৯/১৯৭৯</t>
  </si>
  <si>
    <t>বেকার</t>
  </si>
  <si>
    <t>মোঃ রতন আলী</t>
  </si>
  <si>
    <t>মোঃ মোবারক হোসেন</t>
  </si>
  <si>
    <t>মোছাঃ সাহাতন নেছা</t>
  </si>
  <si>
    <t>০৬/১১/১৯৮৫</t>
  </si>
  <si>
    <t>শ্রমিক</t>
  </si>
  <si>
    <t>মোঃ রোকনুজ্জামান</t>
  </si>
  <si>
    <t>মোঃ মোজাম্মেল হক</t>
  </si>
  <si>
    <t>মোছাঃ আনোয়ারা খাতুন</t>
  </si>
  <si>
    <t>০৭/০৯/১৯৮৩</t>
  </si>
  <si>
    <t>মোঃ মুবারক হোসেন</t>
  </si>
  <si>
    <t>আজের আলী</t>
  </si>
  <si>
    <t>খাইরন নেছা</t>
  </si>
  <si>
    <t>০৫/০৯/১৯৪২</t>
  </si>
  <si>
    <t>মাইগ্রেট হয়েছে</t>
  </si>
  <si>
    <t>মোঃ আসুব্বার আলী</t>
  </si>
  <si>
    <t>মোঃ মফেজ উদ্দিন</t>
  </si>
  <si>
    <t>মোছাঃ হালিমা খাতুন</t>
  </si>
  <si>
    <t>১৩/০৫/১৯৭৫</t>
  </si>
  <si>
    <t>মোঃ খাইরুল ইসলাম</t>
  </si>
  <si>
    <t>০৫/০৯/১৯৭৯</t>
  </si>
  <si>
    <t>মোঃ আবুবকর হোসেন</t>
  </si>
  <si>
    <t>মোঃ মফেজ উদ্দীন</t>
  </si>
  <si>
    <t>১২/০৬/১৯৭৮</t>
  </si>
  <si>
    <t>মোঃ টিপু সুলতান</t>
  </si>
  <si>
    <t>মোঃ নিয়াত আলী</t>
  </si>
  <si>
    <t>মোছাঃ ফজিলা খাতুন</t>
  </si>
  <si>
    <t>০৬/০৭/১৯৮২</t>
  </si>
  <si>
    <t>মোঃ ফারজাক আলী</t>
  </si>
  <si>
    <t>রাহাতুল্লাহ</t>
  </si>
  <si>
    <t>মোছাঃ জহিরন নেছা</t>
  </si>
  <si>
    <t>০৫/০৮/১৯৬৫</t>
  </si>
  <si>
    <t>মোঃ সোহেল রানা</t>
  </si>
  <si>
    <t>মোছাঃ বেদানা খাতুন</t>
  </si>
  <si>
    <t>০৬/০১/১৯৮৩</t>
  </si>
  <si>
    <t>মোঃ দেলওয়ার হোসেন</t>
  </si>
  <si>
    <t>আলম চাদ</t>
  </si>
  <si>
    <t>মাহেরন নেছা</t>
  </si>
  <si>
    <t>০৫/০৭/১৯৮২</t>
  </si>
  <si>
    <t>মোঃ চিনিরুল ইসলাম</t>
  </si>
  <si>
    <t>মাহিরন নেছা</t>
  </si>
  <si>
    <t>০৫/০৮/১৯৭২</t>
  </si>
  <si>
    <t>মোঃ ইয়ার আলী</t>
  </si>
  <si>
    <t>মসলেম আলী</t>
  </si>
  <si>
    <t>মোছাঃ রাবেয়া খাতুন</t>
  </si>
  <si>
    <t>০৯/০৮/১৯৭৯</t>
  </si>
  <si>
    <t>মোঃ ওহিদুল ইসলাম</t>
  </si>
  <si>
    <t>মোঃ সেকেদার আলী</t>
  </si>
  <si>
    <t>মোছাঃ ছিয়ারন নেছা</t>
  </si>
  <si>
    <t>২৫/০৫/১৯৭৪</t>
  </si>
  <si>
    <t>ব্যবসা</t>
  </si>
  <si>
    <t>মোঃ আব্দুল হাকিম</t>
  </si>
  <si>
    <t>আক্কাছ আলী</t>
  </si>
  <si>
    <t>মোছাঃ মাহিরন নেছা</t>
  </si>
  <si>
    <t>০৫/০৭/১৯৭২</t>
  </si>
  <si>
    <t>মোঃ মুক্তার আলী</t>
  </si>
  <si>
    <t>মোঃ ছাতার আলী</t>
  </si>
  <si>
    <t>মোছাঃ তহুরা খাতুন</t>
  </si>
  <si>
    <t>০৬/০৭/১৯৭২</t>
  </si>
  <si>
    <t>মোঃ কাজল হোসেন</t>
  </si>
  <si>
    <t>রহিম বক্স</t>
  </si>
  <si>
    <t>মোছাঃ আয়েশা খাতুন</t>
  </si>
  <si>
    <t>১৫/০৫/১৯৮৯</t>
  </si>
  <si>
    <t>মোঃ বকুল হোসেন</t>
  </si>
  <si>
    <t>মোঃ জমিরদ্দী</t>
  </si>
  <si>
    <t>মোছাঃ রাবেয়া</t>
  </si>
  <si>
    <t>০৪/০৬/১৯৮২</t>
  </si>
  <si>
    <t>মোঃ ইদ্রিস আলী</t>
  </si>
  <si>
    <t>মোঃ জাহাবক্স</t>
  </si>
  <si>
    <t>মোছাঃ ফুল জোহরা</t>
  </si>
  <si>
    <t>০৫/০৯/১৯৭২</t>
  </si>
  <si>
    <t>মোঃ জাহাঙ্গীর আলম</t>
  </si>
  <si>
    <t>মজিবর রহমান</t>
  </si>
  <si>
    <t>আশিয়া খাতুন</t>
  </si>
  <si>
    <t>৩০/১০/১৯৬৮</t>
  </si>
  <si>
    <t>শিক্ষক</t>
  </si>
  <si>
    <t>মোঃ ছলেমান</t>
  </si>
  <si>
    <t>মসলেম উদ্দিন</t>
  </si>
  <si>
    <t>০৫/১১/১৯৬৭</t>
  </si>
  <si>
    <t>মোঃ জিনারুল ইসলাম</t>
  </si>
  <si>
    <t>০৫/১১/১৯৭২</t>
  </si>
  <si>
    <t>মোঃ আমিরুল ইসলাম</t>
  </si>
  <si>
    <t>মোঃ একারদ্দিন</t>
  </si>
  <si>
    <t>মোছাঃ জাহানারা</t>
  </si>
  <si>
    <t>১৫/০৬/১৯৮১</t>
  </si>
  <si>
    <t>মোঃ মহিবুল ইসলাম</t>
  </si>
  <si>
    <t>মোঃ রেজাউল ইসলাম</t>
  </si>
  <si>
    <t>মোছাঃ মেহের নেগার</t>
  </si>
  <si>
    <t>১৬/০৫/১৯৭৬</t>
  </si>
  <si>
    <t>মোঃ চকলেট আলী</t>
  </si>
  <si>
    <t>মোঃ আয়েজ উদ্দিন</t>
  </si>
  <si>
    <t>মোছাঃ আলেয়া খাতুন</t>
  </si>
  <si>
    <t>২৬/১১/১৯৭৯</t>
  </si>
  <si>
    <t>মোঃ উজ্জ্বল হোসেন</t>
  </si>
  <si>
    <t>মোঃ মোবারক</t>
  </si>
  <si>
    <t>০৪/০৫/১৯৮১</t>
  </si>
  <si>
    <t>মোঃ আবেদ আলী</t>
  </si>
  <si>
    <t>মোঃ ইয়াছিন আলী</t>
  </si>
  <si>
    <t>মোছাঃ ছাবিরন নেছা</t>
  </si>
  <si>
    <t>০৩/০৮/১৯৭৭</t>
  </si>
  <si>
    <t>দিনমজুর</t>
  </si>
  <si>
    <t>মোঃ গোলাম মোস্তফা</t>
  </si>
  <si>
    <t>মোঃ মোকাদ্দেস আলী</t>
  </si>
  <si>
    <t>মোছাঃ আছিয়া খাতুন</t>
  </si>
  <si>
    <t>০৫/০৬/১৯৮০</t>
  </si>
  <si>
    <t>মোঃ নান্টু আলী</t>
  </si>
  <si>
    <t>মোঃ হলেমান আলী</t>
  </si>
  <si>
    <t>মোছাঃ কোহিনুর খাতুন</t>
  </si>
  <si>
    <t>০৫/০৯/১৯৭৫</t>
  </si>
  <si>
    <t>মোঃ শহিদুল ইসলাম</t>
  </si>
  <si>
    <t>আব্দুর রহমান</t>
  </si>
  <si>
    <t>মোছাঃ সাহের বানু</t>
  </si>
  <si>
    <t>০৫/১০/১৯৭১</t>
  </si>
  <si>
    <t>মোঃ ইসরাফিল</t>
  </si>
  <si>
    <t>মোঃ আইয়ুব আলী</t>
  </si>
  <si>
    <t>মোছাঃ সারজান খাতুন</t>
  </si>
  <si>
    <t>০৪/০৯/১৯৭২</t>
  </si>
  <si>
    <t>মোঃ আসাদুল আলী</t>
  </si>
  <si>
    <t>মোঃ জমির উদ্দীন</t>
  </si>
  <si>
    <t>০৪/০৯/১৯৭৭</t>
  </si>
  <si>
    <t>মোঃ আনোয়ার বিশ্বাস</t>
  </si>
  <si>
    <t>গোলাম নবী বিশ্বাস</t>
  </si>
  <si>
    <t>মজিরন নেছা</t>
  </si>
  <si>
    <t>০৩/১০/১৯৪৭</t>
  </si>
  <si>
    <t>মোঃ খুরমান আলী</t>
  </si>
  <si>
    <t>রবকুল আলী</t>
  </si>
  <si>
    <t>মোছাঃ সুন্দরী খাতুন</t>
  </si>
  <si>
    <t>০৩/০৯/১৯৭২</t>
  </si>
  <si>
    <t>মোঃ নছিমদ্দীন</t>
  </si>
  <si>
    <t>উছমান আলী</t>
  </si>
  <si>
    <t>মোছাঃ মেমজান খাতুন</t>
  </si>
  <si>
    <t>০৩/১১/১৯৫২</t>
  </si>
  <si>
    <t>আলম আলী</t>
  </si>
  <si>
    <t>মোছাঃ শবেজান খাতুন</t>
  </si>
  <si>
    <t>০৫/০৮/১৯৬৭</t>
  </si>
  <si>
    <t>মোঃ বাবুল হোসেন</t>
  </si>
  <si>
    <t>ফতু মন্ডল</t>
  </si>
  <si>
    <t>০৫/০৮/১৯৭৫</t>
  </si>
  <si>
    <t>খোরশেদ মন্ডল</t>
  </si>
  <si>
    <t>০৫/১০/১৯৫২</t>
  </si>
  <si>
    <t>মোঃ সাইফুল ইসলাম</t>
  </si>
  <si>
    <t>মোঃ জান মহাম্মদ</t>
  </si>
  <si>
    <t>মোছাঃ হাসেনা খাতুন</t>
  </si>
  <si>
    <t>০৫/০৮/১৯৭৭</t>
  </si>
  <si>
    <t>এলাহী বক্স</t>
  </si>
  <si>
    <t>রাহিমা খাতুন</t>
  </si>
  <si>
    <t>০২/০৭/১৯৪৫</t>
  </si>
  <si>
    <t>মোঃ শওকত আলী</t>
  </si>
  <si>
    <t>মোঃ আলিমদ্দীন</t>
  </si>
  <si>
    <t>মোছাঃ সুরমা খাতুন</t>
  </si>
  <si>
    <t>১২/১০/১৯৭৭</t>
  </si>
  <si>
    <t>মোঃ আরমান আলী</t>
  </si>
  <si>
    <t>রবগুল মন্ডল</t>
  </si>
  <si>
    <t>০২/০৯/১৯৭৭</t>
  </si>
  <si>
    <t>মোঃ আব্দুল মালেক</t>
  </si>
  <si>
    <t>জহির উদ্দীন</t>
  </si>
  <si>
    <t>মোছাঃ ছামিরন নেছা</t>
  </si>
  <si>
    <t>০১/০৭/১৯৭৫</t>
  </si>
  <si>
    <t>মোঃ শফিকুল ইসলাম</t>
  </si>
  <si>
    <t>মোঃ মজিবার রহমান</t>
  </si>
  <si>
    <t>মোছাঃ আবেদা খাতুন</t>
  </si>
  <si>
    <t>১২/০৮/১৯৮২</t>
  </si>
  <si>
    <t>মোঃ নজরুল ইসলাম</t>
  </si>
  <si>
    <t>মোঃ ইয়াকুব আলী</t>
  </si>
  <si>
    <t>মোছাঃ নিহারুন নেছা</t>
  </si>
  <si>
    <t>০৪/০৮/১৯৭৭</t>
  </si>
  <si>
    <t>মোঃ দ্বীন ইসলাম</t>
  </si>
  <si>
    <t>মোঃ জান মহামাদ</t>
  </si>
  <si>
    <t>০৪/০৮/১৯৮২</t>
  </si>
  <si>
    <t>মোঃ মনিরুল ইসলাম</t>
  </si>
  <si>
    <t>০১/০৯/১৯৭২</t>
  </si>
  <si>
    <t>মোঃ ইন্তাদুল হক</t>
  </si>
  <si>
    <t>জবেদ আলী</t>
  </si>
  <si>
    <t>মোছাঃ জাহেদা খাতুন</t>
  </si>
  <si>
    <t>মোঃ সিরাজুল ইসলাম</t>
  </si>
  <si>
    <t>মোঃ আতর আলী</t>
  </si>
  <si>
    <t>মোছাঃ কহিনুর</t>
  </si>
  <si>
    <t>০৪/০৮/১৯৬৭</t>
  </si>
  <si>
    <t>আব্দুস ছাত্তার</t>
  </si>
  <si>
    <t>মোঃ ইকতার আলী</t>
  </si>
  <si>
    <t>০৮/০৯/১৯৮৭</t>
  </si>
  <si>
    <t>মোঃ আবুল হাশেম</t>
  </si>
  <si>
    <t>হাবিবর রহমান</t>
  </si>
  <si>
    <t>মোছাঃ জাহানারা খাতুন</t>
  </si>
  <si>
    <t>০৬/০৮/১৯৬২</t>
  </si>
  <si>
    <t>মোঃ আলেক আলী</t>
  </si>
  <si>
    <t>জহিরুদ্দীন মন্ডল</t>
  </si>
  <si>
    <t>মোছাঃ ছমিরন নেছা</t>
  </si>
  <si>
    <t>০৯/০৮/১৯৮২</t>
  </si>
  <si>
    <t>মোঃ উকিল আলী</t>
  </si>
  <si>
    <t>০৭/০৮/১৯৮১</t>
  </si>
  <si>
    <t>মোঃ আনোয়ার হোসেন</t>
  </si>
  <si>
    <t>নুরবক্স মন্ডল</t>
  </si>
  <si>
    <t>মোছাঃ রাহাতন নেছা</t>
  </si>
  <si>
    <t>০৪/০৮/১৯৭২</t>
  </si>
  <si>
    <t>মোঃ মিনারুল ইসলাম</t>
  </si>
  <si>
    <t>মোঃ আঃ বারী</t>
  </si>
  <si>
    <t>০৮/০৭/১৯৮৬</t>
  </si>
  <si>
    <t>মোঃ শাহাবুদ্দীন আলী</t>
  </si>
  <si>
    <t>মোঃ আঃ জলিল</t>
  </si>
  <si>
    <t>মোছাঃ হামিরন নেছা</t>
  </si>
  <si>
    <t>০২/০৯/১৯৮০</t>
  </si>
  <si>
    <t>মোঃ তমছের আলী</t>
  </si>
  <si>
    <t>আব্দুল জলিল</t>
  </si>
  <si>
    <t>০৩/০৭/১৯৬৫</t>
  </si>
  <si>
    <t>মোঃ সাইদুল হক</t>
  </si>
  <si>
    <t>মোঃ মনছুর আলী</t>
  </si>
  <si>
    <t>মোছাঃ সাহেরা খাতুন</t>
  </si>
  <si>
    <t>০২/০৮/১৯৮৭</t>
  </si>
  <si>
    <t>মোঃ রবিউল ইসলাম</t>
  </si>
  <si>
    <t>জান মহাম্মদ</t>
  </si>
  <si>
    <t>০৫/০৭/১৯৭৫</t>
  </si>
  <si>
    <t>মোঃ জাহা বক্স মন্ডল</t>
  </si>
  <si>
    <t>খোদা বক্স মন্ডল</t>
  </si>
  <si>
    <t>মোছাঃ ছাকিরন নেছা</t>
  </si>
  <si>
    <t>০৪/০৮/১৯৫৭</t>
  </si>
  <si>
    <t>মোঃ নাজিবুল হক</t>
  </si>
  <si>
    <t>মোঃ নাজিম উদ্দীন</t>
  </si>
  <si>
    <t>মোছাঃ ফাতেমা বেগম</t>
  </si>
  <si>
    <t>২৪/০৭/১৯৮৭</t>
  </si>
  <si>
    <t>মোঃ আনারুল ইসলাম</t>
  </si>
  <si>
    <t>মোঃ জালাল উদ্দীন</t>
  </si>
  <si>
    <t>০১/০২/১৯৮৮</t>
  </si>
  <si>
    <t>ওয়াহিদুজ্জামান</t>
  </si>
  <si>
    <t>মো: আব্দুস সাত্তার</t>
  </si>
  <si>
    <t>মোছা: বিলকিস আরা খাতুন</t>
  </si>
  <si>
    <t>০১/০৩/১৯৮৮</t>
  </si>
  <si>
    <t>ছাত্র/ছাত্রী</t>
  </si>
  <si>
    <t>"আড়পাড়া</t>
  </si>
  <si>
    <t xml:space="preserve"> গাংনী</t>
  </si>
  <si>
    <t xml:space="preserve"> মেহেরপুর"</t>
  </si>
  <si>
    <t>মো: হামিদুল ইসলাম</t>
  </si>
  <si>
    <t>মো: লিয়াকত আলী</t>
  </si>
  <si>
    <t>মোছা: নূরুন নাহার</t>
  </si>
  <si>
    <t>২২/০৮/১৯৮১</t>
  </si>
  <si>
    <t>মো: মকবুল হোসেন</t>
  </si>
  <si>
    <t>মো: আবু হানিফ</t>
  </si>
  <si>
    <t>মোছা: রমেছা খাতুন</t>
  </si>
  <si>
    <t>২০/০২/১৯৮২</t>
  </si>
  <si>
    <t>মো: জিয়া</t>
  </si>
  <si>
    <t>মো: আব্দুল লতিফ</t>
  </si>
  <si>
    <t>মোছা: মহিমা খাতুন</t>
  </si>
  <si>
    <t>১৫/০৭/১৯৮২</t>
  </si>
  <si>
    <t>মো: মনিরুজ্জামান</t>
  </si>
  <si>
    <t>মো: আব্দুর রাজ্জাক</t>
  </si>
  <si>
    <t>মোছা: জহুরা খাতুন</t>
  </si>
  <si>
    <t>১০/০৮/১৯৭৭</t>
  </si>
  <si>
    <t>মো: জাহাঙ্গীর আলম</t>
  </si>
  <si>
    <t>মো: ইয়াসিন আলী</t>
  </si>
  <si>
    <t>মোছা: লায়লী খাতুন</t>
  </si>
  <si>
    <t>১০/১০/১৯৮১</t>
  </si>
  <si>
    <t>মো: খোকন আলী</t>
  </si>
  <si>
    <t>মো: আঃ বারী</t>
  </si>
  <si>
    <t>মোছা: আছিয়া খাতুন</t>
  </si>
  <si>
    <t>১০/০৩/১৯৮৪</t>
  </si>
  <si>
    <t>মো: মনোয়ার আলী</t>
  </si>
  <si>
    <t>মোছা: লালবানু</t>
  </si>
  <si>
    <t>২৫/০৬/১৯৭৯</t>
  </si>
  <si>
    <t>মো: মেজর আলী</t>
  </si>
  <si>
    <t>মো: আবুল হাশেম</t>
  </si>
  <si>
    <t>মোছা: নুরজাহান খাতুন</t>
  </si>
  <si>
    <t>০৪/০৭/১৯৮৮</t>
  </si>
  <si>
    <t>মোহাম্মদ শাহাজান আলী</t>
  </si>
  <si>
    <t>মোছা: নুরজাহান</t>
  </si>
  <si>
    <t>০৫/০৭/১৯৮৩</t>
  </si>
  <si>
    <t>মো: নেক মহাম্মদ</t>
  </si>
  <si>
    <t>মোছা: হাসেনা খাতুন</t>
  </si>
  <si>
    <t>০৬/০৮/১৯৮২</t>
  </si>
  <si>
    <t>মো: তছির উদ্দীন</t>
  </si>
  <si>
    <t>নবিছদ্দিন মন্ডল</t>
  </si>
  <si>
    <t>মোছা: রহিমা খাতুন</t>
  </si>
  <si>
    <t>১৭/০৭/১৯৬০</t>
  </si>
  <si>
    <t>মো: ছানোয়ারুল ইসলাম</t>
  </si>
  <si>
    <t>আব্দুল করিম</t>
  </si>
  <si>
    <t>মোছা: আশরাফুন নেছা</t>
  </si>
  <si>
    <t>০৪/০৬/১৯৭৫</t>
  </si>
  <si>
    <t>মো: নজরুল ইসলাম</t>
  </si>
  <si>
    <t>মজের আলী</t>
  </si>
  <si>
    <t>মোছা: মর্জিনা খাতুন</t>
  </si>
  <si>
    <t>১০/০১/১৯৭২</t>
  </si>
  <si>
    <t>মো: বজলুল হক</t>
  </si>
  <si>
    <t>২২/০৬/১৯৭৯</t>
  </si>
  <si>
    <t>মো: আমিনুল ইসলাম</t>
  </si>
  <si>
    <t>মহেব আলী</t>
  </si>
  <si>
    <t>২২/০৬/১৯৮৫</t>
  </si>
  <si>
    <t>মো: আব্দুল কুদ্দুস</t>
  </si>
  <si>
    <t>মাতা: পাতারন নেছা</t>
  </si>
  <si>
    <t>১১/০২/১৯৬৯</t>
  </si>
  <si>
    <t>মো: শফিবিদ্দিন</t>
  </si>
  <si>
    <t>নৈমদ্দিন</t>
  </si>
  <si>
    <t>২১/০৯/১৯৬২</t>
  </si>
  <si>
    <t>মো: ইলিয়াস হোসেন</t>
  </si>
  <si>
    <t>মোছা: সেলিনা খাতুন</t>
  </si>
  <si>
    <t>০৫/০২/১৯৮৭</t>
  </si>
  <si>
    <t>মো: আব্দুল ওয়াদুদ</t>
  </si>
  <si>
    <t>১১/০৬/১৯৫৯</t>
  </si>
  <si>
    <t>মো: মাসুম আলী</t>
  </si>
  <si>
    <t>মো: জামাত আলী</t>
  </si>
  <si>
    <t>মোছা: কোহিনুর নেছা</t>
  </si>
  <si>
    <t>১৬/০৪/১৯৮১</t>
  </si>
  <si>
    <t>মো: শাহাদত হোসেন</t>
  </si>
  <si>
    <t>মহিম মন্ডল</t>
  </si>
  <si>
    <t>মোছা: ছাগাতন খাতুন</t>
  </si>
  <si>
    <t>১১/০৮/১৯৫৭</t>
  </si>
  <si>
    <t>মো: ডাবলু</t>
  </si>
  <si>
    <t>মুনতাজ আলী</t>
  </si>
  <si>
    <t>মাতা: ফাতাসী খাতুন</t>
  </si>
  <si>
    <t>২০/১১/১৯৭৭</t>
  </si>
  <si>
    <t>মো: হাসেম আলী</t>
  </si>
  <si>
    <t>মোছা: হামেদা খাতুন</t>
  </si>
  <si>
    <t>২২/০৩/১৯৮৮</t>
  </si>
  <si>
    <t>মো: কাবরান আলী</t>
  </si>
  <si>
    <t>মাতা: ফাতাসী</t>
  </si>
  <si>
    <t>১৮/০৬/১৯৮০</t>
  </si>
  <si>
    <t>মো: ইছাহাক আলী</t>
  </si>
  <si>
    <t>মো: হারেজ উদ্দীন</t>
  </si>
  <si>
    <t>মোছা: জামেনা খাতুন</t>
  </si>
  <si>
    <t>২২/০৭/১৯৭৪</t>
  </si>
  <si>
    <t>মো: কামরুল ইসলাম</t>
  </si>
  <si>
    <t>পিতা: মো: সিদ্দিকুর রহমান</t>
  </si>
  <si>
    <t>মোছা: সুফিয়া খাতুন</t>
  </si>
  <si>
    <t>২০/১০/১৯৮৮</t>
  </si>
  <si>
    <t>মো: রেজাউল হক</t>
  </si>
  <si>
    <t>জান আলী</t>
  </si>
  <si>
    <t>মাতা: খোদেজা খাতুন</t>
  </si>
  <si>
    <t>১৩/০৮/১৯৮২</t>
  </si>
  <si>
    <t>মো: তৌহিদুল ইসলাম</t>
  </si>
  <si>
    <t>সুফল মন্ডল</t>
  </si>
  <si>
    <t>মোছা: মিনু আরা</t>
  </si>
  <si>
    <t>২১/০৩/১৯৭২</t>
  </si>
  <si>
    <t>মো: আলহিম</t>
  </si>
  <si>
    <t>মো: নবিছদ্দিন</t>
  </si>
  <si>
    <t>মোছা: আনোয়ারা খাতুন</t>
  </si>
  <si>
    <t>১৩/০৯/১৯৭২</t>
  </si>
  <si>
    <t>মো: বাবলু</t>
  </si>
  <si>
    <t>মো: মইনুল হক</t>
  </si>
  <si>
    <t>মোছা: টুনি খাতুন</t>
  </si>
  <si>
    <t>৩০/০৬/১৯৭৭</t>
  </si>
  <si>
    <t>মো: আলেহিম</t>
  </si>
  <si>
    <t>মোজেস হোসেন</t>
  </si>
  <si>
    <t>মোছা: নেকজান নেছা</t>
  </si>
  <si>
    <t>১৯/০১/১৯৬৯</t>
  </si>
  <si>
    <t>১৬/০৬/১৯৬২</t>
  </si>
  <si>
    <t>মো: হাফিজুল</t>
  </si>
  <si>
    <t>০৭/১০/১৯৮৫</t>
  </si>
  <si>
    <t>মো: তরিয়ত আলী</t>
  </si>
  <si>
    <t>মো: হবিবর রহমান</t>
  </si>
  <si>
    <t>মোছা: খাইরুন নেছা</t>
  </si>
  <si>
    <t>১১/০৯/১৯৮০</t>
  </si>
  <si>
    <t>মো: কামরুল হাসান</t>
  </si>
  <si>
    <t>হিম চাঁদ আলী</t>
  </si>
  <si>
    <t>মোছা: ছালমা খাতুন</t>
  </si>
  <si>
    <t>১১/০৯/১৯৮১</t>
  </si>
  <si>
    <t>মো: মহিবুল</t>
  </si>
  <si>
    <t>ভাদু মন্ডল</t>
  </si>
  <si>
    <t>১৪/০৬/১৯৭৯</t>
  </si>
  <si>
    <t>মো: ওমর আলী</t>
  </si>
  <si>
    <t>মনসুর আলী</t>
  </si>
  <si>
    <t>মোছা: আঞ্জিরা খাতুন</t>
  </si>
  <si>
    <t>১১/০৯/১৯৭২</t>
  </si>
  <si>
    <t>মো: মন্টু আলী</t>
  </si>
  <si>
    <t>মহসিন আলী</t>
  </si>
  <si>
    <t>মোছা: রোকেয়া খাতুন</t>
  </si>
  <si>
    <t>১১/১০/১৯৭৯</t>
  </si>
  <si>
    <t>মো: ঝন্টু</t>
  </si>
  <si>
    <t>১১/০২/১৯৭৫</t>
  </si>
  <si>
    <t>মো: আশরাফুল আলম</t>
  </si>
  <si>
    <t>মো: জাফর আলী</t>
  </si>
  <si>
    <t>মোছা: রিজিয়া খাতুন</t>
  </si>
  <si>
    <t>১১/০৯/১৯৭১</t>
  </si>
  <si>
    <t>মো: শহিদুল ইসলাম</t>
  </si>
  <si>
    <t>২৪/০৬/১৯৮৫</t>
  </si>
  <si>
    <t>মো: জিয়া</t>
  </si>
  <si>
    <t>মো: খোদাবক্স</t>
  </si>
  <si>
    <t>মোছা: বলেজান নেছা</t>
  </si>
  <si>
    <t>০৯/১১/১৯৭৭</t>
  </si>
  <si>
    <t>মো: সিদ্দিকুর রহমান</t>
  </si>
  <si>
    <t>মো: জাহা বকস</t>
  </si>
  <si>
    <t>মোছা: ফুল জোহরা</t>
  </si>
  <si>
    <t>১৩/০৭/১৯৬৫</t>
  </si>
  <si>
    <t>মো: গোলাম হোসেন</t>
  </si>
  <si>
    <t>মো: শামসুল হক</t>
  </si>
  <si>
    <t>মোছা: মনোয়ারা খাতুন</t>
  </si>
  <si>
    <t>২১/০২/১৯৮৮</t>
  </si>
  <si>
    <t>মো: আতিয়ার রহমান</t>
  </si>
  <si>
    <t>১১/০২/১৯৮৫</t>
  </si>
  <si>
    <t>মো: রফিকুল ইসলাম</t>
  </si>
  <si>
    <t>মো: আব্দুল মালেক</t>
  </si>
  <si>
    <t>২৮/১১/১৯৬৫</t>
  </si>
  <si>
    <t>মো: সুলতান হোসেন</t>
  </si>
  <si>
    <t>মো: কালাচাঁদ</t>
  </si>
  <si>
    <t>মোছা: খোদেজা</t>
  </si>
  <si>
    <t>১০/১০/১৯৭৫</t>
  </si>
  <si>
    <t>মো: কচিমদ্দীন</t>
  </si>
  <si>
    <t>ফাকের আলী</t>
  </si>
  <si>
    <t>মাতা: খেলেপান নেছা</t>
  </si>
  <si>
    <t>২৫/১১/১৯৩৭</t>
  </si>
  <si>
    <t>মো: বকুল হোসেন</t>
  </si>
  <si>
    <t>মো: মহিবুল হক</t>
  </si>
  <si>
    <t>মোছা: উনজিলা বেগম</t>
  </si>
  <si>
    <t>১০/১০/১৯৮২</t>
  </si>
  <si>
    <t>মো: আব্দুস ছালাম</t>
  </si>
  <si>
    <t>মাতা: মোছা: আনোয়ারা</t>
  </si>
  <si>
    <t>১৫/১০/১৯৮৬</t>
  </si>
  <si>
    <t>মো: আলী হোসেন</t>
  </si>
  <si>
    <t>আলম</t>
  </si>
  <si>
    <t>মোছা: সবেজান নেছা</t>
  </si>
  <si>
    <t>২২/১১/১৯৭৯</t>
  </si>
  <si>
    <t>মো: সজির উদ্দীন</t>
  </si>
  <si>
    <t>মো: মজনু</t>
  </si>
  <si>
    <t>মোছা: আয়েশা খাতুন</t>
  </si>
  <si>
    <t>১০/১১/১৯৮৭</t>
  </si>
  <si>
    <t>মো: রায়হান আলী</t>
  </si>
  <si>
    <t>মো: আপেল মন্ডল</t>
  </si>
  <si>
    <t>মাতা: জামিরন নেছা</t>
  </si>
  <si>
    <t>২৩/১০/১৯৮২</t>
  </si>
  <si>
    <t>মো: তৌফিক ই- ইলাহী</t>
  </si>
  <si>
    <t>২২/১০/১৯৮৫</t>
  </si>
  <si>
    <t>মো: সিরাজ উদ্দীন</t>
  </si>
  <si>
    <t>মোছা: হারেজান নেছা</t>
  </si>
  <si>
    <t>০১/০১/১৯৬৪</t>
  </si>
  <si>
    <t>সরকারী চাকুরী</t>
  </si>
  <si>
    <t>মো: বাবুল ইসলাম</t>
  </si>
  <si>
    <t>মো: হজরত আলী</t>
  </si>
  <si>
    <t>মাতা: মোছা: রাবেয়া</t>
  </si>
  <si>
    <t>২১/১১/১৯৮২</t>
  </si>
  <si>
    <t>মোজাহার</t>
  </si>
  <si>
    <t>মাতা: রহিমা খাতুন</t>
  </si>
  <si>
    <t>২০/১১/১৯৮৫</t>
  </si>
  <si>
    <t>মো: বিদ্যুৎ আলী</t>
  </si>
  <si>
    <t>মো: নিয়াত মন্ডল</t>
  </si>
  <si>
    <t>মোছা: ছুরাতন নেছা</t>
  </si>
  <si>
    <t>১৪/০৮/১৯৮০</t>
  </si>
  <si>
    <t>মো: রবিউল ইসলাম</t>
  </si>
  <si>
    <t>মহির উদ্দীন মন্ডল</t>
  </si>
  <si>
    <t>মোছা: হালিমা খাতুন</t>
  </si>
  <si>
    <t>১৭/০৪/১৯৭৮</t>
  </si>
  <si>
    <t>মো: লিটন</t>
  </si>
  <si>
    <t>মো: জাহান মন্ডল</t>
  </si>
  <si>
    <t>মোছা: ছামিরন নেছা</t>
  </si>
  <si>
    <t>২২/০৭/১৯৮৩</t>
  </si>
  <si>
    <t>মো: জহুরুল ইসলাম</t>
  </si>
  <si>
    <t>০৩/০৪/১৯৭৮</t>
  </si>
  <si>
    <t>বেসরকারি চাকুরী</t>
  </si>
  <si>
    <t>মো: ইসরাইল</t>
  </si>
  <si>
    <t>মো: মনজুর আলী</t>
  </si>
  <si>
    <t>মোছা: আনজিরা খাতুন</t>
  </si>
  <si>
    <t>০৮/০৪/১৯৮৫</t>
  </si>
  <si>
    <t>মো: মুনজুর আলী মন্ডল</t>
  </si>
  <si>
    <t>কদম আলী মন্ডল</t>
  </si>
  <si>
    <t>মাতা: হাড়িরন নেছা</t>
  </si>
  <si>
    <t>১৪/০৭/১৯৩৭</t>
  </si>
  <si>
    <t>মো: সাবের আলী</t>
  </si>
  <si>
    <t>মাতা: খোকন খাতুন</t>
  </si>
  <si>
    <t>১৭/০৫/১৯৮২</t>
  </si>
  <si>
    <t>পিতা: আরশাদ মোল্লা</t>
  </si>
  <si>
    <t>মাতা: মোছা: রমেচা খাতুন</t>
  </si>
  <si>
    <t>১০/০৪/১৯৬৭</t>
  </si>
  <si>
    <t>মো: মকছেদ আলী</t>
  </si>
  <si>
    <t>বারাকাত বিশ্বাস</t>
  </si>
  <si>
    <t>মোছা: জলেমান নেছা</t>
  </si>
  <si>
    <t>মো: মজনু আলী</t>
  </si>
  <si>
    <t>লাল চাঁদ মন্ডল</t>
  </si>
  <si>
    <t>মোছা: বিরানি খাতুন</t>
  </si>
  <si>
    <t>১৭/০২/১৯৭১</t>
  </si>
  <si>
    <t>মো: জামাল উদ্দীন</t>
  </si>
  <si>
    <t>মো: আব্দুস ছাত্তার</t>
  </si>
  <si>
    <t>মোছা: তহুরা খাতুন</t>
  </si>
  <si>
    <t>১২/০৯/১৯৭৭</t>
  </si>
  <si>
    <t>মো: কামাল উদ্দীন</t>
  </si>
  <si>
    <t>১১/০৫/১৯৮২</t>
  </si>
  <si>
    <t>মো: আক্তার আলী</t>
  </si>
  <si>
    <t>বারেক কূল</t>
  </si>
  <si>
    <t>মোছা: জালেমান নেছা</t>
  </si>
  <si>
    <t>১৫/০৩/১৯৮২</t>
  </si>
  <si>
    <t>মো: জাহান আলী</t>
  </si>
  <si>
    <t>আজের মন্ডল</t>
  </si>
  <si>
    <t>মোছা: রফজান খাতুন</t>
  </si>
  <si>
    <t>২৩/০৮/১৯৬০</t>
  </si>
  <si>
    <t>মো: গাজু আলী</t>
  </si>
  <si>
    <t>মো: নিয়াত আলী</t>
  </si>
  <si>
    <t>০৮/০৫/১৯৮৪</t>
  </si>
  <si>
    <t>মো: হাবলু আলী</t>
  </si>
  <si>
    <t>মোছা: জাহানারা খাতুন</t>
  </si>
  <si>
    <t>১০/০৫/১৯৮৪</t>
  </si>
  <si>
    <t>মোছা: রমেচা খাতুন</t>
  </si>
  <si>
    <t>০৯/০৩/১৯৭৭</t>
  </si>
  <si>
    <t>জিয়ারত বিশ্বাস</t>
  </si>
  <si>
    <t>মাতা: জুজান নেছা</t>
  </si>
  <si>
    <t>২১/০২/১৯৫১</t>
  </si>
  <si>
    <t>মো: মহাব্বত আলী</t>
  </si>
  <si>
    <t>মো: মহসিন মোল্লা</t>
  </si>
  <si>
    <t>১৯/০৫/১৯৮০</t>
  </si>
  <si>
    <t>মো: মহসিন মালিথা</t>
  </si>
  <si>
    <t>এলেম মালিথা</t>
  </si>
  <si>
    <t>মাতা: পিনজিরা খাতুন</t>
  </si>
  <si>
    <t>০৫/০৩/১৯৪৫</t>
  </si>
  <si>
    <t>মো: আসকার আলী</t>
  </si>
  <si>
    <t>মো: ছাত্তার</t>
  </si>
  <si>
    <t>মোছা: তহুরা বেগম</t>
  </si>
  <si>
    <t>০৯/০৯/১৯৮৫</t>
  </si>
  <si>
    <t>মোছা: রশিয়া খাতুন</t>
  </si>
  <si>
    <t>০২/০১/১৯৮৪</t>
  </si>
  <si>
    <t xml:space="preserve">আ ফ ম ইদ্রিস </t>
  </si>
  <si>
    <t>এম মজিবর রহমান</t>
  </si>
  <si>
    <t>মাতা: লুৎফুন নেছা</t>
  </si>
  <si>
    <t>০১/০৭/১৯৫৩</t>
  </si>
  <si>
    <t>মো: ইসমাইল হোসেন</t>
  </si>
  <si>
    <t>আফছার মন্ডল</t>
  </si>
  <si>
    <t>মোছা: কাঞ্চন খাতুন</t>
  </si>
  <si>
    <t>০৪/০৬/১৯৬৫</t>
  </si>
  <si>
    <t>মো: শাহিন</t>
  </si>
  <si>
    <t>০৫/০৬/১৯৮৩</t>
  </si>
  <si>
    <t>মো: ফয়সাল হোসেন</t>
  </si>
  <si>
    <t>আ ফ ম ইদ্রিস</t>
  </si>
  <si>
    <t>১৩/১১/১৯৮৪</t>
  </si>
  <si>
    <t>এ কে এম ফজলুল হক</t>
  </si>
  <si>
    <t>মোছা: ফরিদা পারভীন</t>
  </si>
  <si>
    <t>১৪/০২/১৯৮৬</t>
  </si>
  <si>
    <t xml:space="preserve">এ এস এম ফিরোজ </t>
  </si>
  <si>
    <t>৩০/০৬/১৯৮২</t>
  </si>
  <si>
    <t>মো: ফজলুল হক</t>
  </si>
  <si>
    <t>আজাহার আলী</t>
  </si>
  <si>
    <t>২৫/০৭/১৯৫৪</t>
  </si>
  <si>
    <t>মো: এনামুল হোসেন</t>
  </si>
  <si>
    <t>মো: মোবারক হোসেন</t>
  </si>
  <si>
    <t>মোছা: বছিরন নেছা</t>
  </si>
  <si>
    <t>০৫/০৯/১৯৬৯</t>
  </si>
  <si>
    <t>মো: মোজাম্মেল হক</t>
  </si>
  <si>
    <t>মাতা: খাইরন নেছা</t>
  </si>
  <si>
    <t>০৪/০৯/১৯৪৭</t>
  </si>
  <si>
    <t>মজিবুল</t>
  </si>
  <si>
    <t>মো: নালু আলী</t>
  </si>
  <si>
    <t>০৯/১০/১৯৮৭</t>
  </si>
  <si>
    <t>মো: একরামুল হক</t>
  </si>
  <si>
    <t>২৮/১১/১৯৭২</t>
  </si>
  <si>
    <t>রাহাদ্দুল্লা</t>
  </si>
  <si>
    <t>মোছা: জহিরন নেছা</t>
  </si>
  <si>
    <t>২৩/০৯/১৯৬২</t>
  </si>
  <si>
    <t>মো: মকলেছুর রহমান</t>
  </si>
  <si>
    <t>মো: আয়েজ উদ্দীন</t>
  </si>
  <si>
    <t>মোছা: আলেয়া খাতুন</t>
  </si>
  <si>
    <t>২৭/১০/১৯৭৫</t>
  </si>
  <si>
    <t>মো: মজিদ আলী</t>
  </si>
  <si>
    <t>মো: সেকেন্দার আলী</t>
  </si>
  <si>
    <t>মাতা: চেয়ারন</t>
  </si>
  <si>
    <t>০৪/০১/১৯৭৮</t>
  </si>
  <si>
    <t>মো: খাকচার আলী</t>
  </si>
  <si>
    <t>রাহুল্লাছ</t>
  </si>
  <si>
    <t>মোছা: জহিরন খাতুন</t>
  </si>
  <si>
    <t>২১/০৯/১৯৭১</t>
  </si>
  <si>
    <t>মো: ইলিয়াহু আলী</t>
  </si>
  <si>
    <t>মোছা: মালেকা খাতুন</t>
  </si>
  <si>
    <t>১৪/০৫/১৯৭১</t>
  </si>
  <si>
    <t>মো: মজিবর রহমান</t>
  </si>
  <si>
    <t>ফকির চাঁদ মন্ডল</t>
  </si>
  <si>
    <t>মোছা: আমেনা খাতুন</t>
  </si>
  <si>
    <t>১১/০৪/১৯৪৭</t>
  </si>
  <si>
    <t>মো: আবুল কাসেম</t>
  </si>
  <si>
    <t>কোরবান মন্ডল</t>
  </si>
  <si>
    <t>মোছা: রাজিয়া খাতুন</t>
  </si>
  <si>
    <t>০২/০১/১৯৪৭</t>
  </si>
  <si>
    <t>মো: শুকুর আলী</t>
  </si>
  <si>
    <t>মো: আতর আলী</t>
  </si>
  <si>
    <t>মোছা: কহিনুর</t>
  </si>
  <si>
    <t>১৮/১০/১৯৮৩</t>
  </si>
  <si>
    <t>মো: উজ্জল হোসেন</t>
  </si>
  <si>
    <t>মোছা: সোনাভানু</t>
  </si>
  <si>
    <t>২৭/১১/১৯৮৫</t>
  </si>
  <si>
    <t>মো: মিরাজ উদ্দীন</t>
  </si>
  <si>
    <t>১৮/১০/১৯৭১</t>
  </si>
  <si>
    <t>মো: মহিবুল ইসলাম</t>
  </si>
  <si>
    <t>মো: আনছার আলী</t>
  </si>
  <si>
    <t>মোছা: ফাতেমা খাতুন</t>
  </si>
  <si>
    <t>১০/১১/১৯৭৩</t>
  </si>
  <si>
    <t>মো: মুরাদ আলী</t>
  </si>
  <si>
    <t>মো: নবীছুদ্দীন</t>
  </si>
  <si>
    <t>মোছা: আনোয়ারা</t>
  </si>
  <si>
    <t>০৩/০৯/১৯৬৬</t>
  </si>
  <si>
    <t>মো: ইমান আলী</t>
  </si>
  <si>
    <t>মো: সমশের আলী</t>
  </si>
  <si>
    <t>০৩/০৪/১৯৭০</t>
  </si>
  <si>
    <t>মো: দাখিল উদ্দীন</t>
  </si>
  <si>
    <t>আফেল উদ্দীন</t>
  </si>
  <si>
    <t>মাতা: হারেজান</t>
  </si>
  <si>
    <t>আফজাল হোসেন</t>
  </si>
  <si>
    <t>মোছা: ছালেহা খাতুন</t>
  </si>
  <si>
    <t>২১/০৮/১৯৫২</t>
  </si>
  <si>
    <t>মো: রকিবুল ইসলাম</t>
  </si>
  <si>
    <t>মো: চায়েন আলী</t>
  </si>
  <si>
    <t>মাতা: মরিয়ম</t>
  </si>
  <si>
    <t>১১/১১/১৯৮৮</t>
  </si>
  <si>
    <t>মো: আপেল উদ্দীন</t>
  </si>
  <si>
    <t>২০/১০/১৯৫৯</t>
  </si>
  <si>
    <t>মো: তহুরুজ্জামান</t>
  </si>
  <si>
    <t>ফয়েজ উদ্দীন</t>
  </si>
  <si>
    <t>মোছা: রোকেয়া</t>
  </si>
  <si>
    <t>২১/১০/১৯৭৭</t>
  </si>
  <si>
    <t>মো: শাহাজাহান</t>
  </si>
  <si>
    <t>মোছা: বেদেনা খাতুন</t>
  </si>
  <si>
    <t>২০/১১/১৯৮২</t>
  </si>
  <si>
    <t>আতর আলী</t>
  </si>
  <si>
    <t>মাতা: ময়মন নেছা</t>
  </si>
  <si>
    <t>২০/১১/১৯৫২</t>
  </si>
  <si>
    <t>মো: সাকেম আলী</t>
  </si>
  <si>
    <t>১২/১১/১৯৮২</t>
  </si>
  <si>
    <t>মো: মিয়ারুল ইসলাম</t>
  </si>
  <si>
    <t>মোছা: ফতেজান নেছা</t>
  </si>
  <si>
    <t>১০/১১/১৯৭৭</t>
  </si>
  <si>
    <t>মো: জসিম উদ্দীন</t>
  </si>
  <si>
    <t>১১/১০/১৯৭৭</t>
  </si>
  <si>
    <t>মো: মইরদ্দীন</t>
  </si>
  <si>
    <t>ইউছুব আলী</t>
  </si>
  <si>
    <t>মাতা: তুলামন নেছা</t>
  </si>
  <si>
    <t>২২/১১/১৯৫৯</t>
  </si>
  <si>
    <t>মো: আজিজুল হক</t>
  </si>
  <si>
    <t>ইসমাইল হোসেন</t>
  </si>
  <si>
    <t>মাতা: ফুরননেছা</t>
  </si>
  <si>
    <t>১০/১১/১৯৫২</t>
  </si>
  <si>
    <t>মো: মুস্তাফিজুর</t>
  </si>
  <si>
    <t>আফছার</t>
  </si>
  <si>
    <t>মোছা: শাহেদা</t>
  </si>
  <si>
    <t>২০/১০/১৯৬৯</t>
  </si>
  <si>
    <t>মো: আনারুল ইসলাম</t>
  </si>
  <si>
    <t>২৭/১০/১৯৮১</t>
  </si>
  <si>
    <t>মো: মিনারুল ইসলাম</t>
  </si>
  <si>
    <t>২৮/১১/১৯৮৬</t>
  </si>
  <si>
    <t>মো: বাবু</t>
  </si>
  <si>
    <t>মো: ঈমান</t>
  </si>
  <si>
    <t>মোছা: রহিমা</t>
  </si>
  <si>
    <t>১০/১০/১৯৭৯</t>
  </si>
  <si>
    <t>মো: আবু বাক্কা</t>
  </si>
  <si>
    <t>পিতা: মহাম্মদ</t>
  </si>
  <si>
    <t>মাতা: ছুরাতন নেছা</t>
  </si>
  <si>
    <t>২৮/১১/১৯৮৭</t>
  </si>
  <si>
    <t>মো: জিনারুল ইসলাম</t>
  </si>
  <si>
    <t>মোছা: কোহিনুর</t>
  </si>
  <si>
    <t>১৩/১০/১৯৮৩</t>
  </si>
  <si>
    <t>মো: ওসমান আলী</t>
  </si>
  <si>
    <t>১৭/১০/১৯৮২</t>
  </si>
  <si>
    <t>মো: আব্দুল কুদ্দুছ</t>
  </si>
  <si>
    <t>শফরদ্দিন</t>
  </si>
  <si>
    <t>মোছা: বিছারন নেছা</t>
  </si>
  <si>
    <t>১৩/১০/১৯৬৭</t>
  </si>
  <si>
    <t>মো: আবুল হোসেন</t>
  </si>
  <si>
    <t>মোছা: ছপুরা বিবি</t>
  </si>
  <si>
    <t>২০/১১/১৯৭২</t>
  </si>
  <si>
    <t>মো: বদরউদ্দীন</t>
  </si>
  <si>
    <t>ছুবের</t>
  </si>
  <si>
    <t>মাতা: খুকি বিবি</t>
  </si>
  <si>
    <t>রাহেল উদ্দীন</t>
  </si>
  <si>
    <t>মাতা: জমেলা বেগম</t>
  </si>
  <si>
    <t>১৪/০৭/১৯৫৭</t>
  </si>
  <si>
    <t>মো: নজিম উদ্দীন</t>
  </si>
  <si>
    <t>মোছা: ফাতেমা বেগম</t>
  </si>
  <si>
    <t>১৮/০২/১৯৭২</t>
  </si>
  <si>
    <t>মো: আবু বক্কর ছিদ্দিক</t>
  </si>
  <si>
    <t>দাখিল উদ্দীন মন্ডল</t>
  </si>
  <si>
    <t>মোছা: গোলাম বেগম</t>
  </si>
  <si>
    <t>১২/০৫/১৯৬৪</t>
  </si>
  <si>
    <t>মো: আছলাম মন্ডল</t>
  </si>
  <si>
    <t>মো: আঃ কাদের</t>
  </si>
  <si>
    <t>০৭/১০/১৯৭৯</t>
  </si>
  <si>
    <t>মো: হাসানুজ্জামান</t>
  </si>
  <si>
    <t>মো: আকবর আলী</t>
  </si>
  <si>
    <t>০১/১০/১৯৭৫</t>
  </si>
  <si>
    <t>মো: আসাদুজ্জামান</t>
  </si>
  <si>
    <t>০৮/০১/১৯৮১</t>
  </si>
  <si>
    <t>মোছা: ফেলানী বেগম</t>
  </si>
  <si>
    <t>২৫/০৭/১৯৬৭</t>
  </si>
  <si>
    <t>মো: এরশাদ আলী</t>
  </si>
  <si>
    <t>মোছা: জালেমন নেছা</t>
  </si>
  <si>
    <t>২২/০৭/১৯৮২</t>
  </si>
  <si>
    <t>মো: আব্দুল আজিজ</t>
  </si>
  <si>
    <t>আব্দুল গফুর</t>
  </si>
  <si>
    <t>১৭/০৭/১৯৫২</t>
  </si>
  <si>
    <t>মো: শাহাজাহান আলী</t>
  </si>
  <si>
    <t>মো: ইয়ার আলী</t>
  </si>
  <si>
    <t>মোছা: আরজিনা খাতুন</t>
  </si>
  <si>
    <t>১২/০৪/১৯৭২</t>
  </si>
  <si>
    <t>মোছা: আরজিয়া বেগম</t>
  </si>
  <si>
    <t>১৮/০৭/১৯৮৭</t>
  </si>
  <si>
    <t>মাতা: খুকি নেছা</t>
  </si>
  <si>
    <t>১২/০৬/১৯৪৭</t>
  </si>
  <si>
    <t>মো: মরতুজা আলী</t>
  </si>
  <si>
    <t>মোছা: ইশারন নেছা</t>
  </si>
  <si>
    <t>১৩/০৯/১৯৭১</t>
  </si>
  <si>
    <t>মো: ইজারুল হক</t>
  </si>
  <si>
    <t>২৫/০৭/১৯৭১</t>
  </si>
  <si>
    <t>মো: ফকির মন্ডল</t>
  </si>
  <si>
    <t>মাতা: মোলামজান</t>
  </si>
  <si>
    <t>১৯/০৩/১৯৭২</t>
  </si>
  <si>
    <t>মো: মনিরুল ইসলাম</t>
  </si>
  <si>
    <t>মোছা: আরজিয়া খাতুন</t>
  </si>
  <si>
    <t>২১/০৯/১৯৮২</t>
  </si>
  <si>
    <t>মো: আব্দুস সালাম</t>
  </si>
  <si>
    <t>মোছা: সুফিয়া বেগম</t>
  </si>
  <si>
    <t>১৭/০২/১৯৮৪</t>
  </si>
  <si>
    <t>মো: আব্দুল হান্নান</t>
  </si>
  <si>
    <t>মো: নূর বকস মালিথা</t>
  </si>
  <si>
    <t>মাতা: খাদিজা বেগম</t>
  </si>
  <si>
    <t>২০/০১/১৯৭২</t>
  </si>
  <si>
    <t>মো: আব্দুল মান্নান</t>
  </si>
  <si>
    <t>মো: নূরবক্স মালিথা</t>
  </si>
  <si>
    <t>২০/০১/১৯৭৪</t>
  </si>
  <si>
    <t>মো: বানী ইসরাইল</t>
  </si>
  <si>
    <t>পিতা: চমৎকার মালিথা</t>
  </si>
  <si>
    <t>মাতা: ভাদু বিবি</t>
  </si>
  <si>
    <t>১০/০৩/১৯৬৬</t>
  </si>
  <si>
    <t>মো: গিয়াসউদ্দীন</t>
  </si>
  <si>
    <t>মো: জসিমউদ্দীন</t>
  </si>
  <si>
    <t>মোছা: আমেনা বেগম</t>
  </si>
  <si>
    <t>০১/০১/১৯৭৪</t>
  </si>
  <si>
    <t>মো: নছিম উদ্দীন</t>
  </si>
  <si>
    <t>পিতা: বদর উদ্দীন</t>
  </si>
  <si>
    <t>মোছা: মরিয়ম নেছা</t>
  </si>
  <si>
    <t>২১/০৫/১৯৬২</t>
  </si>
  <si>
    <t>পিতা: গোলাম নবী বিশ্বাস</t>
  </si>
  <si>
    <t>মাতা: মজিরন নেছা</t>
  </si>
  <si>
    <t>১৭/০৯/১৯৫৭</t>
  </si>
  <si>
    <t>মো: সিরাজুল ইসলাম</t>
  </si>
  <si>
    <t>২২/০৬/১৯৪২</t>
  </si>
  <si>
    <t>মোছা: চেয়ারন নেছা</t>
  </si>
  <si>
    <t>১৬/০৬/১৯৭২</t>
  </si>
  <si>
    <t>মো: তাহাজ উদ্দীন</t>
  </si>
  <si>
    <t>১৭/০৪/১৯৭৭</t>
  </si>
  <si>
    <t>মো: জাকারিয়া</t>
  </si>
  <si>
    <t>২৫/০৭/১৯৭৯</t>
  </si>
  <si>
    <t>মো: মনসের আলী</t>
  </si>
  <si>
    <t>পিতা: নূরউদ্দীন</t>
  </si>
  <si>
    <t>মাতা: মোছা: সফুরা বেগম</t>
  </si>
  <si>
    <t>মো: আব্বাসউদ্দীন</t>
  </si>
  <si>
    <t>মাতা: মোছা: আমেনা বেগম</t>
  </si>
  <si>
    <t>১৫/০৪/১৯৭৯</t>
  </si>
  <si>
    <t>মো: সেলিম উদ্দীন</t>
  </si>
  <si>
    <t>মোছা: জোসনা খাতুন</t>
  </si>
  <si>
    <t>২৫/০৬/১৯৮৪</t>
  </si>
  <si>
    <t>মো: আশাদুল</t>
  </si>
  <si>
    <t>মো: ওহিমুদ্দীন</t>
  </si>
  <si>
    <t>মাতা: মোছা: রমেলা খাতুন</t>
  </si>
  <si>
    <t>১৬/০৫/১৯৭৯</t>
  </si>
  <si>
    <t>মো: আঃ রাজ্জাক</t>
  </si>
  <si>
    <t>বরকত আলী মন্ডল</t>
  </si>
  <si>
    <t>মাতা: বারুজান নেছা</t>
  </si>
  <si>
    <t>২১/০৪/১৯৫২</t>
  </si>
  <si>
    <t>মো: মোকবুল হোসেন</t>
  </si>
  <si>
    <t>পোলান মোল্লা</t>
  </si>
  <si>
    <t>মাতা: করিমন নেছা</t>
  </si>
  <si>
    <t>২৬/০৯/১৯৬২</t>
  </si>
  <si>
    <t>মো: কামাল হোসেন</t>
  </si>
  <si>
    <t>মোছা: ছাপাই বিবি</t>
  </si>
  <si>
    <t>১৫/০৭/১৯৭৭</t>
  </si>
  <si>
    <t>মো: মাসুদ রানা</t>
  </si>
  <si>
    <t>২২/০২/১৯৮৬</t>
  </si>
  <si>
    <t>মোহা: আব্দুল ওহাব</t>
  </si>
  <si>
    <t>মাতা: হালিমা খাতুন</t>
  </si>
  <si>
    <t>০১/০৯/১৯৭৫</t>
  </si>
  <si>
    <t>মো: আল-আমিন</t>
  </si>
  <si>
    <t>২০/০৯/১৯৬৯</t>
  </si>
  <si>
    <t>মো: দাউদ হোসেন</t>
  </si>
  <si>
    <t>পিতা: তালেব মন্ডল</t>
  </si>
  <si>
    <t>মাতা: নুর জাহান</t>
  </si>
  <si>
    <t>১৩/০৭/১৯৫২</t>
  </si>
  <si>
    <t>মো: বদর উদ্দীন</t>
  </si>
  <si>
    <t>মো: হলিম উদ্দীন</t>
  </si>
  <si>
    <t>মোছা: আনঞ্জিরা খাতুন</t>
  </si>
  <si>
    <t>১৮/০৭/১৯৮২</t>
  </si>
  <si>
    <t>মো: খেজমত আলী</t>
  </si>
  <si>
    <t>পিতা: মুজাহার আলী মন্ডল</t>
  </si>
  <si>
    <t>মাতা: রইজান বেগম</t>
  </si>
  <si>
    <t>১৪/০৮/১৯৬৬</t>
  </si>
  <si>
    <t>মো: আব্দুল আলিম</t>
  </si>
  <si>
    <t>পিতা: গোলাম নবী</t>
  </si>
  <si>
    <t>২৩/১০/১৯৭২</t>
  </si>
  <si>
    <t>মো: লিটন আলী</t>
  </si>
  <si>
    <t>মো: জিরাফত মন্ডল</t>
  </si>
  <si>
    <t>মাতা: মোছা: মদিনা বেগম</t>
  </si>
  <si>
    <t>মো: জিয়াউর রহমান</t>
  </si>
  <si>
    <t>মাতা: মোছা: আরজিয়া খাতুন</t>
  </si>
  <si>
    <t>২৫/০৮/১৯৭৯</t>
  </si>
  <si>
    <t>মো: আফাজ উদ্দীন</t>
  </si>
  <si>
    <t>মাতা: আমেনা খাতুন</t>
  </si>
  <si>
    <t>০১/০২/১৯৮৭</t>
  </si>
  <si>
    <t>মো: শরিফুল ইসলাম</t>
  </si>
  <si>
    <t>পিতা: হাবিবুর রহমান</t>
  </si>
  <si>
    <t>মাতা: আক্তারুজ্জাহান</t>
  </si>
  <si>
    <t>২৫/১০/১৯৭৫</t>
  </si>
  <si>
    <t>মো: শাহেদ আলী</t>
  </si>
  <si>
    <t>পিতা: মো: নুর মন্ডল</t>
  </si>
  <si>
    <t>মাতা: মোছা: সাহারবানু</t>
  </si>
  <si>
    <t>০১/০১/১৯৮৫</t>
  </si>
  <si>
    <t>পিতা: খবির উদ্দীন</t>
  </si>
  <si>
    <t>মাতা: জমেলা খাতুন</t>
  </si>
  <si>
    <t>২৭/০৬/১৯৫২</t>
  </si>
  <si>
    <t>মো: সাহাদুল</t>
  </si>
  <si>
    <t>পিতা: হাজারী বিশ্বাস</t>
  </si>
  <si>
    <t>মাতা: মোছা: জমেলা খাতুন</t>
  </si>
  <si>
    <t>১৩/০৯/১৯৭৭</t>
  </si>
  <si>
    <t>মো: রাজু আহমেদ</t>
  </si>
  <si>
    <t>মো: রওশন আলী</t>
  </si>
  <si>
    <t>মাতা: মোছা: সাহিদা বেগম</t>
  </si>
  <si>
    <t>০৮/০২/১৯৭৭</t>
  </si>
  <si>
    <t>মোঃ আবুল কালাম আজাদ</t>
  </si>
  <si>
    <t>মোঃ আমিনুল ইসলাম</t>
  </si>
  <si>
    <t>মোছাঃ মাকছুদা খাতুন</t>
  </si>
  <si>
    <t>০১/০১/১৯৮৬</t>
  </si>
  <si>
    <t>আড়পাড়া, গাংনী, মেহেরপুর</t>
  </si>
  <si>
    <t>মোঃ আব্দুল খালেক</t>
  </si>
  <si>
    <t>খোসদেল</t>
  </si>
  <si>
    <t>খুকি</t>
  </si>
  <si>
    <t>০১/০৩/১৯৪২</t>
  </si>
  <si>
    <t>মোঃ আরিফ উদ্দীন</t>
  </si>
  <si>
    <t>মোঃ শুকুর আলী</t>
  </si>
  <si>
    <t>মোছাঃ শরিফা খাতুন</t>
  </si>
  <si>
    <t>০১/০৩/১৯৮৭</t>
  </si>
  <si>
    <t>মোঃ মিজানুর রহমান</t>
  </si>
  <si>
    <t>মোঃ মিয়াজান আলী</t>
  </si>
  <si>
    <t>মোছাঃ রওশনারা</t>
  </si>
  <si>
    <t>১১/০৫/১৯৭৮</t>
  </si>
  <si>
    <t>মোঃ এনামুল হক</t>
  </si>
  <si>
    <t>আকমান আলী</t>
  </si>
  <si>
    <t>মোছাঃ মলেজান</t>
  </si>
  <si>
    <t>০১/০৫/১৯৮৩</t>
  </si>
  <si>
    <t>মোঃ একরামুল হক</t>
  </si>
  <si>
    <t>০১/০৩/১৯৭৯</t>
  </si>
  <si>
    <t>মোঃ রিয়াজ উদ্দীন</t>
  </si>
  <si>
    <t>মোঃ রওশন আলী</t>
  </si>
  <si>
    <t>মোছাঃ সাহিদা খাতুন</t>
  </si>
  <si>
    <t>১৫/১০/১৯৮২</t>
  </si>
  <si>
    <t>মোঃ বিপুল হোসেন</t>
  </si>
  <si>
    <t>মোঃ আমজাদ বিশ্বাস</t>
  </si>
  <si>
    <t>মোছাঃ রহিমা খাতুন</t>
  </si>
  <si>
    <t>২৫/০৪/১৯৭১</t>
  </si>
  <si>
    <t>মোহাঃ গিয়াস উদ্দীন</t>
  </si>
  <si>
    <t>১৪/০৭/১৯৭৫</t>
  </si>
  <si>
    <t>মোঃ জয়নাল আবেদীন</t>
  </si>
  <si>
    <t>মোঃ আব্দুর রহমান</t>
  </si>
  <si>
    <t>মোছাঃ জরিনা খাতুন</t>
  </si>
  <si>
    <t>০১/০৩/১৯৮২</t>
  </si>
  <si>
    <t>মোঃ নাসির উদ্দীন</t>
  </si>
  <si>
    <t>০৩/০৫/১৯৫৯</t>
  </si>
  <si>
    <t>মোঃ বিল্লাল হোসেন</t>
  </si>
  <si>
    <t>মোঃ দাখিল উদ্দীন</t>
  </si>
  <si>
    <t>মোছাঃ মালেকা খাতুন</t>
  </si>
  <si>
    <t>০২/০৩/১৯৭৯</t>
  </si>
  <si>
    <t>মোঃ সাঈদ হোসেন</t>
  </si>
  <si>
    <t>মোঃ আবদুল খালেক</t>
  </si>
  <si>
    <t>মোছাঃ তাহারন খাতুন</t>
  </si>
  <si>
    <t>০৩/০৫/১৯৮০</t>
  </si>
  <si>
    <t>ওসমান মন্ডল</t>
  </si>
  <si>
    <t>মোছাঃ জাহিদা খাতুন</t>
  </si>
  <si>
    <t>০৬/০৩/১৯৪৭</t>
  </si>
  <si>
    <t>মোঃ মুনছুর আলী</t>
  </si>
  <si>
    <t>মোঃ আলাউদ্দীন</t>
  </si>
  <si>
    <t>মোছাঃ জহুরা খাতুন</t>
  </si>
  <si>
    <t>০১/০৩/১৯৭০</t>
  </si>
  <si>
    <t>মোঃ রুস্তম আলী</t>
  </si>
  <si>
    <t>ফয়জুদ্দিন মন্ডল</t>
  </si>
  <si>
    <t>মোছাঃ রোকিয়া খাতুন</t>
  </si>
  <si>
    <t>০১/০২/১৯৭০</t>
  </si>
  <si>
    <t>মোঃ আনছার আলী</t>
  </si>
  <si>
    <t>মোছাঃ ফাতেমা খাতুন</t>
  </si>
  <si>
    <t>০১/০৫/১৯৮৪</t>
  </si>
  <si>
    <t>০১/০৯/১৯৮৩</t>
  </si>
  <si>
    <t>মোঃ মিঠুন আলী</t>
  </si>
  <si>
    <t>মোঃ আব্দুল জলিল</t>
  </si>
  <si>
    <t>মোছাঃ সুরাতন</t>
  </si>
  <si>
    <t>১০/০৪/১৯৮৫</t>
  </si>
  <si>
    <t>মোঃ ইমরুল আলী</t>
  </si>
  <si>
    <t>২০/১০/১৯৮৭</t>
  </si>
  <si>
    <t>১২/০৪/১৯৮৩</t>
  </si>
  <si>
    <t>মোঃ সুলতান আলী</t>
  </si>
  <si>
    <t>মোঃ আবু সামা</t>
  </si>
  <si>
    <t>১৩/০৫/১৯৮৫</t>
  </si>
  <si>
    <t>মোঃ বশিরউদ্দীন</t>
  </si>
  <si>
    <t>নবীছদ্দিন মন্ডল</t>
  </si>
  <si>
    <t>১৪/০৬/১৯৭০</t>
  </si>
  <si>
    <t>মোঃ মুকাদ্দেস আলী</t>
  </si>
  <si>
    <t>মতলেব আলী</t>
  </si>
  <si>
    <t>মোছাঃ সুরাতন নেছা</t>
  </si>
  <si>
    <t>১৮/০৯/১৯৮৫</t>
  </si>
  <si>
    <t>মোঃ নৈমুদ্দীন</t>
  </si>
  <si>
    <t>১৮/০৮/১৯৭১</t>
  </si>
  <si>
    <t>১৯/০৯/১৯৮১</t>
  </si>
  <si>
    <t>মোঃ বদরউদ্দীন</t>
  </si>
  <si>
    <t>তালেব মন্ডল</t>
  </si>
  <si>
    <t>নুরুজাহান নেছা</t>
  </si>
  <si>
    <t>২১/১০/১৯৫৭</t>
  </si>
  <si>
    <t>মোঃ হবিবর রহমান</t>
  </si>
  <si>
    <t>মোছাঃ ছানোয়ারা খাতুন</t>
  </si>
  <si>
    <t>১০/১০/১৯৮৫</t>
  </si>
  <si>
    <t>মোঃ হাবিবুর রহমান</t>
  </si>
  <si>
    <t>এলাহি মন্ডল</t>
  </si>
  <si>
    <t>সালেহা খাতুন</t>
  </si>
  <si>
    <t>২০/১০/১৯৪৫</t>
  </si>
  <si>
    <t>মোঃ আলমগীর হোসেন</t>
  </si>
  <si>
    <t>মোঃ আব্দুল হাম্নান</t>
  </si>
  <si>
    <t>মোছাঃ কহিনুর খাতুন</t>
  </si>
  <si>
    <t>২৫/০১/১৯৮২</t>
  </si>
  <si>
    <t>মোঃ সমসের আলী</t>
  </si>
  <si>
    <t>মোছাঃ আমেনা খাতুন</t>
  </si>
  <si>
    <t>০১/০২/১৯৫৭</t>
  </si>
  <si>
    <t>মোঃ আয়নাল হক</t>
  </si>
  <si>
    <t>এলাহি বকস</t>
  </si>
  <si>
    <t>সুরাতন খাতুন</t>
  </si>
  <si>
    <t>২৭/০৫/১৯৫২</t>
  </si>
  <si>
    <t>মোঃ দুলাল হোসেন</t>
  </si>
  <si>
    <t>মোঃ তাহাজউদ্দীন</t>
  </si>
  <si>
    <t>২২/০৬/১৯৮০</t>
  </si>
  <si>
    <t>মোঃ শামীম আলী</t>
  </si>
  <si>
    <t>মোঃ আলম</t>
  </si>
  <si>
    <t>মোছাঃ আরবিয়া খাতুন</t>
  </si>
  <si>
    <t>২১/০৯/১৯৮৪</t>
  </si>
  <si>
    <t>মোঃ আব্দুল মান্নান</t>
  </si>
  <si>
    <t>আখের আলী</t>
  </si>
  <si>
    <t>মোছাঃ গুলজান আলী</t>
  </si>
  <si>
    <t>রববানী মন্ডল</t>
  </si>
  <si>
    <t>খুকি জান</t>
  </si>
  <si>
    <t>১০/০৯/১৯৪২</t>
  </si>
  <si>
    <t>মোঃ জানমোহাম্মদ</t>
  </si>
  <si>
    <t>মোঃ মহসিন মোল্লা</t>
  </si>
  <si>
    <t>১৫/০৬/১৯৭২</t>
  </si>
  <si>
    <t>মোঃ ঠান্ডু</t>
  </si>
  <si>
    <t>মোছাঃ রোকেয়া খাতুন</t>
  </si>
  <si>
    <t>মোঃ ইউনুছ আলী</t>
  </si>
  <si>
    <t>সামছুদ্দিন</t>
  </si>
  <si>
    <t>মোছাঃ রোমেলা খাতুন</t>
  </si>
  <si>
    <t>১১/০৯/১৯৬৭</t>
  </si>
  <si>
    <t>মোঃ নিয়ামত</t>
  </si>
  <si>
    <t>মোঃ রুহুল আলিম</t>
  </si>
  <si>
    <t>মোছাঃ সাহার বানু</t>
  </si>
  <si>
    <t>২১/০৯/১৯৭৫</t>
  </si>
  <si>
    <t>মোঃ আজিজুল হক</t>
  </si>
  <si>
    <t>আজাহার মিস্ত্রি</t>
  </si>
  <si>
    <t>মোছাঃ জামিরন নেছা</t>
  </si>
  <si>
    <t>১৩/০৬/১৯৬২</t>
  </si>
  <si>
    <t>মোঃ আমান উল্লাহ</t>
  </si>
  <si>
    <t>মোঃ রুহুল আমিন</t>
  </si>
  <si>
    <t>১৩/০১/১৯৮০</t>
  </si>
  <si>
    <t>মোঃ জিয়ারত</t>
  </si>
  <si>
    <t>২১/০৩/১৯৮৩</t>
  </si>
  <si>
    <t>মোঃ উম্মাদ আলী</t>
  </si>
  <si>
    <t>করিম</t>
  </si>
  <si>
    <t>মোছাঃ কমলা খাতুন</t>
  </si>
  <si>
    <t>২০/১০/১৯৬৭</t>
  </si>
  <si>
    <t>মোঃ মজনু</t>
  </si>
  <si>
    <t>তাহের আলী</t>
  </si>
  <si>
    <t>মোছাঃ চিয়ারন</t>
  </si>
  <si>
    <t>২০/১০/১৯৮২</t>
  </si>
  <si>
    <t>মোঃ ইদ্রীস আলী</t>
  </si>
  <si>
    <t>মোছাঃ আছিয়া খাতুন</t>
  </si>
  <si>
    <t>২০/১০/১৯৮৫</t>
  </si>
  <si>
    <t>মোঃ আজিজ</t>
  </si>
  <si>
    <t>লালচাঁদ</t>
  </si>
  <si>
    <t>মোছাঃ এলাজান</t>
  </si>
  <si>
    <t>১১/১০/১৯৭২</t>
  </si>
  <si>
    <t>মোঃ রফিকুল ইসলাম</t>
  </si>
  <si>
    <t>মোঃ নুর ইসলাম</t>
  </si>
  <si>
    <t>মোছাঃ সামেরন</t>
  </si>
  <si>
    <t>মোঃ আঃ মজিদ</t>
  </si>
  <si>
    <t>১৭/১০/১৯৭২</t>
  </si>
  <si>
    <t>মোছাঃ কহিনুর নেছা</t>
  </si>
  <si>
    <t>১২/১১/১৯৭২</t>
  </si>
  <si>
    <t>মোঃ আবুল হোসেন</t>
  </si>
  <si>
    <t>মোছাঃ ছপুরা</t>
  </si>
  <si>
    <t>১০/০৬/১৯৬৭</t>
  </si>
  <si>
    <t>মোঃ জামাল উদ্দিন</t>
  </si>
  <si>
    <t>মোছাঃ ছপুরা খাতুন</t>
  </si>
  <si>
    <t>১২/১১/১৯৭৩</t>
  </si>
  <si>
    <t>মোঃ ওমর আলী</t>
  </si>
  <si>
    <t>মোছাঃ কমেনা</t>
  </si>
  <si>
    <t>১২/১০/১৯৬৭</t>
  </si>
  <si>
    <t>মোঃ লিয়াকত আলী</t>
  </si>
  <si>
    <t>আঃ মজিদ</t>
  </si>
  <si>
    <t>মোছাঃ ছকিনা</t>
  </si>
  <si>
    <t>৩১/১২/১৯৫৫</t>
  </si>
  <si>
    <t>বেসরকারী চাকুরী</t>
  </si>
  <si>
    <t>মোঃ ইকবাল হোসেন</t>
  </si>
  <si>
    <t>মোঃ মজিদ</t>
  </si>
  <si>
    <t>মোছাঃ শাদেদা</t>
  </si>
  <si>
    <t>মোছাঃ বাইরন নেছা</t>
  </si>
  <si>
    <t>১২/১০/১৯৭২</t>
  </si>
  <si>
    <t>মোঃ জাহিদুল ইসলাম</t>
  </si>
  <si>
    <t>রহমান</t>
  </si>
  <si>
    <t>মোছাঃ বানুয়ারা</t>
  </si>
  <si>
    <t>১২/১০/১৯৭৯</t>
  </si>
  <si>
    <t>মোঃ চাঁদ আলী</t>
  </si>
  <si>
    <t>মোঃ ছইরদ্দীন</t>
  </si>
  <si>
    <t>মোছাঃ কোহিনুর</t>
  </si>
  <si>
    <t>১২/১০/১৯৬২</t>
  </si>
  <si>
    <t>মোঃ আনুছুদ্দিন</t>
  </si>
  <si>
    <t>আয়ুছুদ্দিন</t>
  </si>
  <si>
    <t>মোছাঃ ছারা খাতুন</t>
  </si>
  <si>
    <t>মোঃ ছম্মত আলী</t>
  </si>
  <si>
    <t>মোছাঃ কমেলা</t>
  </si>
  <si>
    <t>১০/১২/১৯৫৭</t>
  </si>
  <si>
    <t>মোঃ রহমান আলী</t>
  </si>
  <si>
    <t>রমজান</t>
  </si>
  <si>
    <t>মোছাঃ খেদু</t>
  </si>
  <si>
    <t>১২/১০/১৯৫২</t>
  </si>
  <si>
    <t>হারান মন্ডল</t>
  </si>
  <si>
    <t>১২/১০/১৯৫০</t>
  </si>
  <si>
    <t>হারান</t>
  </si>
  <si>
    <t>মোছাঃ ছারা</t>
  </si>
  <si>
    <t>১২/১০/১৯৫৩</t>
  </si>
  <si>
    <t>মোঃ ভাদু</t>
  </si>
  <si>
    <t>শাবান আলী</t>
  </si>
  <si>
    <t>মোছাঃ ফতেজান নেছা</t>
  </si>
  <si>
    <t>মোঃ আতিয়ার রহমান</t>
  </si>
  <si>
    <t>মোঃ উম্মাদ</t>
  </si>
  <si>
    <t>মোছাঃ জাহিদা</t>
  </si>
  <si>
    <t>১২/১০/১৯৮৮</t>
  </si>
  <si>
    <t>১২/১০/১৯৮২</t>
  </si>
  <si>
    <t>মোঃ ফেলু</t>
  </si>
  <si>
    <t>মহারাজ</t>
  </si>
  <si>
    <t>মোছাঃ নবীরন</t>
  </si>
  <si>
    <t>মোঃ আনিছুর</t>
  </si>
  <si>
    <t>মোছাঃ আছিয়া</t>
  </si>
  <si>
    <t>১২/১০/১৯৮৭</t>
  </si>
  <si>
    <t>মোছাঃ শবেজান</t>
  </si>
  <si>
    <t>মোঃ আঃ গনি</t>
  </si>
  <si>
    <t>ফাকের</t>
  </si>
  <si>
    <t>মোছাঃ খেলেজান</t>
  </si>
  <si>
    <t>২০/১০/১৯৪৭</t>
  </si>
  <si>
    <t>আজহার</t>
  </si>
  <si>
    <t>মোছাঃ ইজারন</t>
  </si>
  <si>
    <t>মোঃ ইলিয়াস</t>
  </si>
  <si>
    <t>মোঃ আইয়ুব</t>
  </si>
  <si>
    <t>মোছাঃ আনোয়ারা</t>
  </si>
  <si>
    <t>মোঃ ছানুয়ার</t>
  </si>
  <si>
    <t>নবী ছদ্দিন</t>
  </si>
  <si>
    <t>মোছাঃ মইরন</t>
  </si>
  <si>
    <t>২০/১০/১৯৭০</t>
  </si>
  <si>
    <t>মোঃ ছিদ্দিকুর রহমান</t>
  </si>
  <si>
    <t>লালু</t>
  </si>
  <si>
    <t>মোছাঃ জাইরন নেছা</t>
  </si>
  <si>
    <t>১২/১০/১৯৩৫</t>
  </si>
  <si>
    <t>মোঃ মক্কেল</t>
  </si>
  <si>
    <t>মোছাঃ ছকিরন</t>
  </si>
  <si>
    <t>২৩/১০/১৯৬৭</t>
  </si>
  <si>
    <t>মোছাঃ হালিমা</t>
  </si>
  <si>
    <t>মোঃ তজিমদ্দীন</t>
  </si>
  <si>
    <t>মোঃ কচিমদ্দীন</t>
  </si>
  <si>
    <t>১২/১০/১৯৭১</t>
  </si>
  <si>
    <t>মোছাঃ জোতি</t>
  </si>
  <si>
    <t>মোঃ জাকিরুল</t>
  </si>
  <si>
    <t>মোঃ আব্দুল হামিদ</t>
  </si>
  <si>
    <t>১৫/১২/১৯৭৭</t>
  </si>
  <si>
    <t>মোঃ আমির আলী</t>
  </si>
  <si>
    <t>মোছাঃ খইরন নেছা</t>
  </si>
  <si>
    <t>মোঃ জিয়াউর রহমান</t>
  </si>
  <si>
    <t>মোঃ হবিবর</t>
  </si>
  <si>
    <t>মোছাঃ হারেজান</t>
  </si>
  <si>
    <t>আনছার</t>
  </si>
  <si>
    <t>১২/১০/১৯৭৫</t>
  </si>
  <si>
    <t>মোঃ আবু বাক্কা</t>
  </si>
  <si>
    <t>মোঃ বাবু</t>
  </si>
  <si>
    <t>মোছাঃ রমেছা</t>
  </si>
  <si>
    <t>২০/১০/১৯৭৯</t>
  </si>
  <si>
    <t>মোঃ আব্বাছ</t>
  </si>
  <si>
    <t>১২/১০/১৯৮৩</t>
  </si>
  <si>
    <t>মোঃ আশরাফুল</t>
  </si>
  <si>
    <t>নাসির</t>
  </si>
  <si>
    <t>মোছাঃ মুর্শিদা</t>
  </si>
  <si>
    <t>২৭/১০/১৯৮৭</t>
  </si>
  <si>
    <t>মোঃ হাম্নান</t>
  </si>
  <si>
    <t>মোঃ লতিব</t>
  </si>
  <si>
    <t>মোছাঃ মহিমা</t>
  </si>
  <si>
    <t>২০/১০/১৯৬৪</t>
  </si>
  <si>
    <t>মোঃ হারুন</t>
  </si>
  <si>
    <t>আজগার</t>
  </si>
  <si>
    <t>মোছাঃ রিজিয়া</t>
  </si>
  <si>
    <t>মোঃ আঃ খালেক</t>
  </si>
  <si>
    <t>২২/১০/১৯৭৯</t>
  </si>
  <si>
    <t>মোঃ মিজানুর</t>
  </si>
  <si>
    <t>ছলিমদ্দীন</t>
  </si>
  <si>
    <t>মোছাঃ জেলেহার</t>
  </si>
  <si>
    <t>২০/১০/১৯৬২</t>
  </si>
  <si>
    <t>মোঃ আশরাফুল আলম</t>
  </si>
  <si>
    <t>আঃ জলিল</t>
  </si>
  <si>
    <t>মোছাঃ হাওয়া খাতুন</t>
  </si>
  <si>
    <t>২৯/০৭/১৯৭৬</t>
  </si>
  <si>
    <t>মোঃ নুরুল ইসলাম</t>
  </si>
  <si>
    <t>আঃ করিম</t>
  </si>
  <si>
    <t>নুনি</t>
  </si>
  <si>
    <t>১০/১০/১৯৭২</t>
  </si>
  <si>
    <t>মোঃ ফয়জাল</t>
  </si>
  <si>
    <t>দবির</t>
  </si>
  <si>
    <t>মোছাঃ হামিরন</t>
  </si>
  <si>
    <t>মোঃ মারফৎ আলী</t>
  </si>
  <si>
    <t>তাহের</t>
  </si>
  <si>
    <t>মোঃ মজিবুল হক</t>
  </si>
  <si>
    <t>মোঃ আজিজুল</t>
  </si>
  <si>
    <t>মোছাঃ ছালেহা</t>
  </si>
  <si>
    <t>২২/১০/১৯৮৬</t>
  </si>
  <si>
    <t>মোঃ জান্টু</t>
  </si>
  <si>
    <t>হাওয়া নেছা</t>
  </si>
  <si>
    <t>২০/১১/১৯৮৭</t>
  </si>
  <si>
    <t>মোঃ ইয়ামিন আলী</t>
  </si>
  <si>
    <t>মোছাঃ মহিরন</t>
  </si>
  <si>
    <t>২০/১০/১৯৭৭</t>
  </si>
  <si>
    <t>আইজদ্দীন</t>
  </si>
  <si>
    <t>মোছাঃ অকিমন</t>
  </si>
  <si>
    <t>১৬/১১/১৯৪২</t>
  </si>
  <si>
    <t>মোঃ রায়হান আলী</t>
  </si>
  <si>
    <t>মোঃ আঃ লতিব</t>
  </si>
  <si>
    <t>২৭/০৯/১৯৮৭</t>
  </si>
  <si>
    <t>মোঃ মধু</t>
  </si>
  <si>
    <t>মোঃ নবীছদ্দীন</t>
  </si>
  <si>
    <t>মোছাঃ সুন্দরী</t>
  </si>
  <si>
    <t>২৩/০৮/১৯৮৭</t>
  </si>
  <si>
    <t>মোঃ সরোয়ার</t>
  </si>
  <si>
    <t>মহসিন</t>
  </si>
  <si>
    <t>মোছাঃ সুফিয়া</t>
  </si>
  <si>
    <t>২০/০৮/১৯৭২</t>
  </si>
  <si>
    <t>মোঃ মজিরউদ্দীন</t>
  </si>
  <si>
    <t>মোছাঃ আয়েশা</t>
  </si>
  <si>
    <t>মোঃ খলিল</t>
  </si>
  <si>
    <t>আজগার আলী</t>
  </si>
  <si>
    <t>মোঃ মুন্নাফ আলী</t>
  </si>
  <si>
    <t>২০/১০/১৯৮৩</t>
  </si>
  <si>
    <t>মোঃ কালাম হোসেন</t>
  </si>
  <si>
    <t>লাল চাঁদ</t>
  </si>
  <si>
    <t>মোছাঃ এলাজ</t>
  </si>
  <si>
    <t>২০/১০/১৯৮০</t>
  </si>
  <si>
    <t>মোঃ মনিরুল হক</t>
  </si>
  <si>
    <t>দবির উদ্দীন</t>
  </si>
  <si>
    <t>মফরদ্দীন</t>
  </si>
  <si>
    <t>মোছাঃ বিচারন</t>
  </si>
  <si>
    <t>২০/১০/১৯৪৯</t>
  </si>
  <si>
    <t>মোঃ শহিদুল হক</t>
  </si>
  <si>
    <t>শাবান</t>
  </si>
  <si>
    <t>২০/১০/১৯৭২</t>
  </si>
  <si>
    <t>মোঃ হামেদ আলী</t>
  </si>
  <si>
    <t>মোঃ রমজান</t>
  </si>
  <si>
    <t>২৭/১০/১৯৬৭</t>
  </si>
  <si>
    <t>মোঃ তাইজেল</t>
  </si>
  <si>
    <t>ইদুছুর</t>
  </si>
  <si>
    <t>মোছাঃ তুলামন</t>
  </si>
  <si>
    <t>২৭/১০/১৯৭৭</t>
  </si>
  <si>
    <t>মোঃ হাসনুল হক</t>
  </si>
  <si>
    <t>২৭/১০/১৯৮৫</t>
  </si>
  <si>
    <t>মোঃ আব্দুল্লাহ</t>
  </si>
  <si>
    <t>মোঃ রহমান</t>
  </si>
  <si>
    <t>মোছাঃ মর্জিনা</t>
  </si>
  <si>
    <t>২৩/১০/১৯৮৩</t>
  </si>
  <si>
    <t>মোঃ বসির আলী</t>
  </si>
  <si>
    <t>ছকিনা</t>
  </si>
  <si>
    <t>১২/১১/১৯৬৭</t>
  </si>
  <si>
    <t>মোঃ বুলবুল</t>
  </si>
  <si>
    <t>মোঃ মওলা</t>
  </si>
  <si>
    <t>মোছাঃ জহুরা</t>
  </si>
  <si>
    <t>২২/১০/১৯৮২</t>
  </si>
  <si>
    <t>মোঃ আরশাদ</t>
  </si>
  <si>
    <t>মহম্মাদ</t>
  </si>
  <si>
    <t>ছুরাতন</t>
  </si>
  <si>
    <t>১২/১১/১৯৬৯</t>
  </si>
  <si>
    <t>মোঃ মশিউর রহমান</t>
  </si>
  <si>
    <t>মোঃ নকিমদ্দীন</t>
  </si>
  <si>
    <t>ফকির মন্ডল</t>
  </si>
  <si>
    <t>মোছাঃ মোলাম জান নেছা</t>
  </si>
  <si>
    <t>০৫/০১/১৯৬৯</t>
  </si>
  <si>
    <t>মোঃ আঃ রহমান</t>
  </si>
  <si>
    <t>বরকত মন্ডল</t>
  </si>
  <si>
    <t>বারেজান খাতুন</t>
  </si>
  <si>
    <t>২৬/০২/১৯৬৭</t>
  </si>
  <si>
    <t>মোঃ হেকমত আলী</t>
  </si>
  <si>
    <t>হাফেজ উদ্দিন</t>
  </si>
  <si>
    <t>মোছাঃ মেহেজান খাতুন</t>
  </si>
  <si>
    <t>০৫/০৭/১৯৫২</t>
  </si>
  <si>
    <t>মোঃ জিয়ারুল ইসলাম</t>
  </si>
  <si>
    <t>মোঃ আহেদউদ্দীন</t>
  </si>
  <si>
    <t>মোছাঃ মর্জিনা বেগম</t>
  </si>
  <si>
    <t>০৭/০৯/১৯৭৯</t>
  </si>
  <si>
    <t>মোঃ ফেরদোস আলী</t>
  </si>
  <si>
    <t>আফছার আলী</t>
  </si>
  <si>
    <t>মোছাঃ হালিমা বেগম</t>
  </si>
  <si>
    <t>১০/০৬/১৯৮২</t>
  </si>
  <si>
    <t>মোঃ মিঠু মন্ডল</t>
  </si>
  <si>
    <t>মোঃ আজমত আলী</t>
  </si>
  <si>
    <t>মোছাঃ সুজিলা বেগম</t>
  </si>
  <si>
    <t>১৯/০৯/১৯৭৭</t>
  </si>
  <si>
    <t>মোঃ তোমর আলী</t>
  </si>
  <si>
    <t>হাফেজ উদ্দীন</t>
  </si>
  <si>
    <t>মেহেজান নেছা</t>
  </si>
  <si>
    <t>২৩/০৪/১৯৭২</t>
  </si>
  <si>
    <t>মোঃ গিয়াস উদ্দীন</t>
  </si>
  <si>
    <t>মোঃ আছেল উদ্দীন</t>
  </si>
  <si>
    <t>মোছাঃ নুরুন্নাহার</t>
  </si>
  <si>
    <t>১৮/০৩/১৯৮২</t>
  </si>
  <si>
    <t>খিলাপত মন্ডল</t>
  </si>
  <si>
    <t>কমলা খাতুন</t>
  </si>
  <si>
    <t>১২/০৮/১৯৭২</t>
  </si>
  <si>
    <t>মোঃ ঠান্ডু আলী</t>
  </si>
  <si>
    <t>মোঃ জিরাপত মন্ডল</t>
  </si>
  <si>
    <t>মোছাঃ মদিনা বেগম</t>
  </si>
  <si>
    <t>১৩/০৭/১৯৭৭</t>
  </si>
  <si>
    <t>মোঃ মুছা করিম</t>
  </si>
  <si>
    <t>মোঃ মাবুদ আলী</t>
  </si>
  <si>
    <t>মোছাঃ মেওয়াজান</t>
  </si>
  <si>
    <t>১৭/০৬/১৯৭৯</t>
  </si>
  <si>
    <t>মোঃ আসাদুজ্জামান</t>
  </si>
  <si>
    <t>মোঃ আব্দুস সাত্তার</t>
  </si>
  <si>
    <t>মোছাঃ বিলকিস আরা</t>
  </si>
  <si>
    <t>০৩/০৩/১৯৮১</t>
  </si>
  <si>
    <t>মোঃ কুদরত আলী</t>
  </si>
  <si>
    <t>মোঃ হায়দার আলী</t>
  </si>
  <si>
    <t>মোছাঃ বুলুয়ারা খাতুন</t>
  </si>
  <si>
    <t>০৭/০৮/১৯৮৮</t>
  </si>
  <si>
    <t>মোঃ খায়রুল ইসলাম</t>
  </si>
  <si>
    <t>মোঃ নুর বকস মন্ডল</t>
  </si>
  <si>
    <t>মোছাঃ সবেজান খাতুন</t>
  </si>
  <si>
    <t>১৫/০৫/১৯৮০</t>
  </si>
  <si>
    <t>মোঃ আশরাফুল হক</t>
  </si>
  <si>
    <t>মোঃ আলতাব হোসেন</t>
  </si>
  <si>
    <t>মোছাঃ রাশিদা বেগম</t>
  </si>
  <si>
    <t>১৭/০৮/১৯৮৫</t>
  </si>
  <si>
    <t>মোঃ লাল্টু শেখ</t>
  </si>
  <si>
    <t>মোঃ জিরাপত আলী</t>
  </si>
  <si>
    <t>২৩/০৯/১৯৭৭</t>
  </si>
  <si>
    <t>কিয়ামত মন্ডল</t>
  </si>
  <si>
    <t>মোছাঃ লেকছার বিবি</t>
  </si>
  <si>
    <t>১৯/০৩/১৯৮৫</t>
  </si>
  <si>
    <t>দুল্লপ মন্ডল</t>
  </si>
  <si>
    <t>খুকিজন নেছা</t>
  </si>
  <si>
    <t>১৪/০৬/১৯২৮</t>
  </si>
  <si>
    <t>মোঃ তনছের আলী</t>
  </si>
  <si>
    <t>মোঃ নুর বকস</t>
  </si>
  <si>
    <t>মোছাঃ সবেজান নেছা</t>
  </si>
  <si>
    <t>মোঃ শাহাদত হোসেন</t>
  </si>
  <si>
    <t>সাবান আলী</t>
  </si>
  <si>
    <t>মোছাঃ ফতেজান</t>
  </si>
  <si>
    <t>২২/১০/১৯৮০</t>
  </si>
  <si>
    <t>মোঃ সাহাবুল হক</t>
  </si>
  <si>
    <t>মোছাঃ কুলসুম</t>
  </si>
  <si>
    <t>তোফেল</t>
  </si>
  <si>
    <t>সাহারন নেছা</t>
  </si>
  <si>
    <t>মোঃ বাবুর আলী</t>
  </si>
  <si>
    <t>মোছাঃ ফজিলা বেগম</t>
  </si>
  <si>
    <t>২০/০৭/১৯৮১</t>
  </si>
  <si>
    <t>মোঃ মাসুদুজ্জামান</t>
  </si>
  <si>
    <t>মোছাঃ বিলকিস আরা খাতুন</t>
  </si>
  <si>
    <t>১২/০৩/১৯৮৬</t>
  </si>
  <si>
    <t>মোঃ জালিম বকস</t>
  </si>
  <si>
    <t>এলাহী বিশ্বাস</t>
  </si>
  <si>
    <t>রহিমা বেগম</t>
  </si>
  <si>
    <t>২১/০৫/১৯৩৭</t>
  </si>
  <si>
    <t>মোঃ আলতাফ হোসেন</t>
  </si>
  <si>
    <t>মোছাঃ ইসারন নেছা</t>
  </si>
  <si>
    <t>২৬/০৮/১৯৫৭</t>
  </si>
  <si>
    <t>মোঃ বাইতুল হোসেন</t>
  </si>
  <si>
    <t>মোছাঃ মেওয়াজান খাতুন</t>
  </si>
  <si>
    <t>১৫/১০/১৯৮৩</t>
  </si>
  <si>
    <t>১৭/০২/১৯৮৬</t>
  </si>
  <si>
    <t>মোঃ আবুল কালাম</t>
  </si>
  <si>
    <t>১৮/০৯/১৯৮৭</t>
  </si>
  <si>
    <t>মোহাঃ মনিরুজ্জামান</t>
  </si>
  <si>
    <t>মোহাঃ গোলাম সরওয়ার মিয়া</t>
  </si>
  <si>
    <t>১৭/০৪/১৯৬৬</t>
  </si>
  <si>
    <t>মোঃ ছানোয়ার হোসেন</t>
  </si>
  <si>
    <t>মোছাঃ রিজায়া খাতুন</t>
  </si>
  <si>
    <t>০৭/০৮/১৯৬৯</t>
  </si>
  <si>
    <t>শ্রী সুশীল কর্মকার</t>
  </si>
  <si>
    <t>ননী কর্মকার</t>
  </si>
  <si>
    <t>পুষ্প রানী</t>
  </si>
  <si>
    <t>০৩/০৮/১৯৮২</t>
  </si>
  <si>
    <t>শ্রী সুশান্ত কর্মকার</t>
  </si>
  <si>
    <t>ননীগোপাল কর্মকার</t>
  </si>
  <si>
    <t>পুষ্পরানী কর্মকার</t>
  </si>
  <si>
    <t>১৫/০৫/১৯৭৭</t>
  </si>
  <si>
    <t>মোঃ রাহান আলী</t>
  </si>
  <si>
    <t>হারান আলী</t>
  </si>
  <si>
    <t>রহিমা খাতুন</t>
  </si>
  <si>
    <t>০৫/০৮/১৯৫৭</t>
  </si>
  <si>
    <t>মোঃ রকিবুল ইসলাম</t>
  </si>
  <si>
    <t>মোঃ আব্দুস ছালাম</t>
  </si>
  <si>
    <t>০৭/০৯/১৯৮১</t>
  </si>
  <si>
    <t>মোঃ মিন্টু আলী</t>
  </si>
  <si>
    <t>নুরবকস</t>
  </si>
  <si>
    <t>রাহাতন নেছা</t>
  </si>
  <si>
    <t>০৭/০৮/১৯৭৫</t>
  </si>
  <si>
    <t>মোঃ ইসমাইল হোসেন</t>
  </si>
  <si>
    <t>মোঃ আযুব আলী</t>
  </si>
  <si>
    <t>মোছাঃ হারেজান নেছা</t>
  </si>
  <si>
    <t>০৬/০৭/১৯৮৭</t>
  </si>
  <si>
    <t>শ্রী সুধীর কুমার সাহা</t>
  </si>
  <si>
    <t>সতীশ চন্দ্র সাহা</t>
  </si>
  <si>
    <t>যমুনা বালা</t>
  </si>
  <si>
    <t>০৫/০৮/১৯৮৭</t>
  </si>
  <si>
    <t>মোঃ জয়নাল ইসলাম</t>
  </si>
  <si>
    <t>মোছাঃ ভানু বিবি</t>
  </si>
  <si>
    <t>০৬/০৭/১৯৮৩</t>
  </si>
  <si>
    <t>মোঃ ফজলুল হক</t>
  </si>
  <si>
    <t>০৫/০৩/১৯৮৮</t>
  </si>
  <si>
    <t>মোঃ হায়াত আলী</t>
  </si>
  <si>
    <t>মোছাঃ তাহারন নেছা</t>
  </si>
  <si>
    <t>১২/০৬/১৯৮২</t>
  </si>
  <si>
    <t>মোঃ শফিউদ্দীন</t>
  </si>
  <si>
    <t>এলাহী মালিথা</t>
  </si>
  <si>
    <t>মোছাঃ শফুরা খাতুন</t>
  </si>
  <si>
    <t>০৫/০৬/১৯৬৭</t>
  </si>
  <si>
    <t>মোঃ আসাদুজ্জামান সোহাগ</t>
  </si>
  <si>
    <t>০৬/০১/১৯৮৫</t>
  </si>
  <si>
    <t>মোঃ ছাদের আলী</t>
  </si>
  <si>
    <t>মোঃ আবুল কাসেম</t>
  </si>
  <si>
    <t>মোঃ নজের মোল্লা</t>
  </si>
  <si>
    <t>মোছাঃ জমিরন নেছা</t>
  </si>
  <si>
    <t>১২/০৮/১৯৫৯</t>
  </si>
  <si>
    <t>মোঃ জান্দু মন্ডল</t>
  </si>
  <si>
    <t>মোঃ আইজদ্দিন মন্ডল</t>
  </si>
  <si>
    <t>মোছাঃ আলেয়া বেগম</t>
  </si>
  <si>
    <t>২৪/০৭/১৯৮২</t>
  </si>
  <si>
    <t>মোঃ জসীম উদ্দীন</t>
  </si>
  <si>
    <t>ছলেমান মন্ডল</t>
  </si>
  <si>
    <t>মোছাঃ হারেজান বিবি</t>
  </si>
  <si>
    <t>১১/০৬/১৯৫২</t>
  </si>
  <si>
    <t>মোঃ মানিক আলী</t>
  </si>
  <si>
    <t>মোঃ মনির উদ্দীন</t>
  </si>
  <si>
    <t>মোছাঃ বানুয়ারা বেগম</t>
  </si>
  <si>
    <t>০৫/১১/১৯৮৯</t>
  </si>
  <si>
    <t>মোঃ আঃ মালেক</t>
  </si>
  <si>
    <t>০২/০৪/১৯৭৭</t>
  </si>
  <si>
    <t>মোঃ আমিরুল</t>
  </si>
  <si>
    <t>মোছাঃ লেকজান বিবি</t>
  </si>
  <si>
    <t>১৫/০৮/১৯৮৮</t>
  </si>
  <si>
    <t>মোঃ বদিউজ্জামান</t>
  </si>
  <si>
    <t>মোঃ আব্দুর রাজ্জাক</t>
  </si>
  <si>
    <t>০৫/০৮/১৯৮৬</t>
  </si>
  <si>
    <t>মোঃ হাশেম আলী</t>
  </si>
  <si>
    <t>জংগোল মন্ডল</t>
  </si>
  <si>
    <t>মোছাঃ হারেজান বেগম</t>
  </si>
  <si>
    <t>২৪/০৭/১৯৫৭</t>
  </si>
  <si>
    <t>মোঃ সরোয়ার হোসেন</t>
  </si>
  <si>
    <t>নিমরী</t>
  </si>
  <si>
    <t>১৫/০৭/১৯৮৫</t>
  </si>
  <si>
    <t>মোঃ জাহা বক্স</t>
  </si>
  <si>
    <t>মোছাঃ ফুলজহুরা</t>
  </si>
  <si>
    <t>২৪/০৬/১৯৮৩</t>
  </si>
  <si>
    <t>মোছাঃ মেনু খাতুন</t>
  </si>
  <si>
    <t>২১/০৯/১৯৬৭</t>
  </si>
  <si>
    <t>মোঃ নয়ন</t>
  </si>
  <si>
    <t>মোছাঃ সুফিয়া বেগম</t>
  </si>
  <si>
    <t>নূর বক্স মন্ডল</t>
  </si>
  <si>
    <t>২৪/০৭/১৯৬৫</t>
  </si>
  <si>
    <t>মোছাঃ মর্জিনা খাতুন</t>
  </si>
  <si>
    <t>০৯/১২/১৯৮৫</t>
  </si>
  <si>
    <t>মোঃ কামরুল ইসলাম</t>
  </si>
  <si>
    <t>মোছাঃ রওশন আরা বেগম</t>
  </si>
  <si>
    <t>১৬/১০/১৯৮৪</t>
  </si>
  <si>
    <t>মোঃ শাহিন আলী</t>
  </si>
  <si>
    <t>মোঃ মজিবর রহমান</t>
  </si>
  <si>
    <t>০৪/০৬/১৯৮৫</t>
  </si>
  <si>
    <t>নূরউদ্দিন</t>
  </si>
  <si>
    <t>মোছাঃ ছফুরা বেগম</t>
  </si>
  <si>
    <t>১২/০৯/১৯৭২</t>
  </si>
  <si>
    <t>মোঃ সবুর আলী</t>
  </si>
  <si>
    <t>আব্দুল ফরাজী</t>
  </si>
  <si>
    <t>মোছাঃ ছবেদা খাতুন</t>
  </si>
  <si>
    <t>০৭/১০/১৯৬৯</t>
  </si>
  <si>
    <t>মোঃ শরিয়ত ইসলাম</t>
  </si>
  <si>
    <t>মোঃ হবিরর রহমান</t>
  </si>
  <si>
    <t>মোছাঃ খাইরন নেছা</t>
  </si>
  <si>
    <t>০৫/০৭/১৯৬৭</t>
  </si>
  <si>
    <t>মোঃ মমতাজ আলী</t>
  </si>
  <si>
    <t>মোঃ মহাসিন আলী</t>
  </si>
  <si>
    <t>মোছাঃ উম্মে হানিফা</t>
  </si>
  <si>
    <t>১৯/০৭/১৯৭৭</t>
  </si>
  <si>
    <t>মোঃ নিজাম আলী</t>
  </si>
  <si>
    <t>মোছাঃ জায়েদা খাতুন</t>
  </si>
  <si>
    <t>০৫/১০/১৯৭৯</t>
  </si>
  <si>
    <t>মোঃ শরিফুল ইসলাম</t>
  </si>
  <si>
    <t>০৫/০৭/১৯৮৮</t>
  </si>
  <si>
    <t>মোঃ মহাসিন</t>
  </si>
  <si>
    <t>০৫/০৮/১৯৮৫</t>
  </si>
  <si>
    <t>মোঃ আব্দুর রজ্জাক</t>
  </si>
  <si>
    <t>২৩/০৫/১৯৭২</t>
  </si>
  <si>
    <t>মোঃ সিদ্দিক আলী</t>
  </si>
  <si>
    <t>ইয়াসিন আলী</t>
  </si>
  <si>
    <t>মোঃ হামিদুল ইসলাম</t>
  </si>
  <si>
    <t>মোর্সেম আলী</t>
  </si>
  <si>
    <t>মোছাঃ নেকজান খাতুন</t>
  </si>
  <si>
    <t>মোঃ সমশের আলী</t>
  </si>
  <si>
    <t>মোছাঃ কমলা</t>
  </si>
  <si>
    <t>১২/০১/১৯৬৫</t>
  </si>
  <si>
    <t>মোঃ ইস্তাজুল হক</t>
  </si>
  <si>
    <t>মোছাঃ হামিদা খাতুন</t>
  </si>
  <si>
    <t>০৮/০৯/১৯৭৯</t>
  </si>
  <si>
    <t>মোঃ শামসের আলী</t>
  </si>
  <si>
    <t>মোঃ নূরবক্স</t>
  </si>
  <si>
    <t>মোছাঃ সবেজান</t>
  </si>
  <si>
    <t>১২/১১/১৯৭৬</t>
  </si>
  <si>
    <t>মোছাঃ নবিরন নেছা</t>
  </si>
  <si>
    <t>আলম চাঁদ</t>
  </si>
  <si>
    <t>০৬/০৯/১৯৭৭</t>
  </si>
  <si>
    <t>১৯/০৫/১৯৮৫</t>
  </si>
  <si>
    <t>১৩/০৬/১৯৮০</t>
  </si>
  <si>
    <t>মোঃ মোস্তফা</t>
  </si>
  <si>
    <t>০৫/০৭/১৯৬৫</t>
  </si>
  <si>
    <t>মোঃ শাহাজামাল</t>
  </si>
  <si>
    <t>মোঃ নূর বকস মন্ডল</t>
  </si>
  <si>
    <t>২৩/০৫/১৯৭৮</t>
  </si>
  <si>
    <t>মোঃ আজিজুল হক মালিথা</t>
  </si>
  <si>
    <t>মোঃ সিরাজুল মালিথা</t>
  </si>
  <si>
    <t>২৫/০৮/১৯৭২</t>
  </si>
  <si>
    <t>মোঃ লাল মোহাম্মাদ</t>
  </si>
  <si>
    <t>০৯/০৪/১৯৫৯</t>
  </si>
  <si>
    <t>মোঃ রাশিদুল ইসলাম</t>
  </si>
  <si>
    <t>মোছাঃ রুশিয়া খাতুন</t>
  </si>
  <si>
    <t>মোঃ ইনতাজুল ইসলাম</t>
  </si>
  <si>
    <t>০৫/১১/১৯৮৮</t>
  </si>
  <si>
    <t>মোঃ ডাবলু হক</t>
  </si>
  <si>
    <t>মোছাঃ জানু খাতুন</t>
  </si>
  <si>
    <t>০৮/০৩/১৯৮৩</t>
  </si>
  <si>
    <t>মোঃ আচ্ছেদউদ্দীন</t>
  </si>
  <si>
    <t>২৩/০৬/১৯৮০</t>
  </si>
  <si>
    <t>মোঃ কুদ্দুছ আলী</t>
  </si>
  <si>
    <t>১৯/০৬/১৯৭৩</t>
  </si>
  <si>
    <t>মোঃ আশাদুল ইসলাম</t>
  </si>
  <si>
    <t>মোছাঃ লেকজান বেগম</t>
  </si>
  <si>
    <t>২৪/০৮/১৯৭৭</t>
  </si>
  <si>
    <t>মোঃ ইকরামুল হোসেন</t>
  </si>
  <si>
    <t>মোছাঃ রশিদা বেগম</t>
  </si>
  <si>
    <t>২২/০৮/১৯৮৮</t>
  </si>
  <si>
    <t>মোঃ হেলাল আলী</t>
  </si>
  <si>
    <t>মোঃ দাখিল</t>
  </si>
  <si>
    <t>নূর হক</t>
  </si>
  <si>
    <t>১৩/১০/১৯৮৬</t>
  </si>
  <si>
    <t>মোঃ ওল্টু</t>
  </si>
  <si>
    <t>মহাসিন আলী</t>
  </si>
  <si>
    <t>১৬/০৫/১৯৮৪</t>
  </si>
  <si>
    <t>নূর বকস মন্ডল</t>
  </si>
  <si>
    <t>০১/০১/১৯৮১</t>
  </si>
  <si>
    <t>মোঃ মোস্তাফিজুর রহমান</t>
  </si>
  <si>
    <t>মহাসিন</t>
  </si>
  <si>
    <t>২১/০৫/১৯৮৭</t>
  </si>
  <si>
    <t>মুজাহার আলী</t>
  </si>
  <si>
    <t>রহিমা</t>
  </si>
  <si>
    <t>১০/১০/১৯৫৭</t>
  </si>
  <si>
    <t>মোঃ আস্তাজ আলী</t>
  </si>
  <si>
    <t>০৫/০৪/১৯৬৫</t>
  </si>
  <si>
    <t>মোঃ আলা উদ্দীন</t>
  </si>
  <si>
    <t>শুকুর আলী</t>
  </si>
  <si>
    <t>মোছাঃ ফেলী খাতুন</t>
  </si>
  <si>
    <t>০৭/১১/১৯৪৮</t>
  </si>
  <si>
    <t>০১/০৩/১৯৭৭</t>
  </si>
  <si>
    <t>মোঃ আব্দুল ওহাব</t>
  </si>
  <si>
    <t>মোঃ মহি হক মোল্লা</t>
  </si>
  <si>
    <t>মোছাঃ টুনি খাতুন</t>
  </si>
  <si>
    <t>০৩/০৭/১৯৬২</t>
  </si>
  <si>
    <t>মোঃ আহাদ আলী</t>
  </si>
  <si>
    <t>সফুরা খাতুন</t>
  </si>
  <si>
    <t>০৫/০৪/১৯৫৭</t>
  </si>
  <si>
    <t>মোঃ আজিমুদ্দিন</t>
  </si>
  <si>
    <t>রব্বানি মন্ডল</t>
  </si>
  <si>
    <t>খুকি নেছা</t>
  </si>
  <si>
    <t>১৫/০৮/১৯৫২</t>
  </si>
  <si>
    <t>মোঃ আব্দুল গফুর</t>
  </si>
  <si>
    <t>১৭/০৬/১৯৬০</t>
  </si>
  <si>
    <t>মতলেব আলী মন্ডল</t>
  </si>
  <si>
    <t>মোছাঃ আকিমন নেছা</t>
  </si>
  <si>
    <t>১৬/০৭/১৯৫৭</t>
  </si>
  <si>
    <t>মানিক মন্ডল</t>
  </si>
  <si>
    <t>হালিমা খাতুন</t>
  </si>
  <si>
    <t>১৮/০৬/১৯৫৭</t>
  </si>
  <si>
    <t>মোছাঃ সুরাতন খাতুন</t>
  </si>
  <si>
    <t>২৩/১০/১৯৭৭</t>
  </si>
  <si>
    <t>০৫/০৩/১৯৮৪</t>
  </si>
  <si>
    <t>মোঃ হাসমত আলী</t>
  </si>
  <si>
    <t>মোঃ আহামদ আলী</t>
  </si>
  <si>
    <t>মোছাঃ মরজিনা খাতুন</t>
  </si>
  <si>
    <t>০২/১০/১৯৮২</t>
  </si>
  <si>
    <t>মোঃ পিন্টু আলী</t>
  </si>
  <si>
    <t>মোঃ মহির উদ্দীন</t>
  </si>
  <si>
    <t>মোছাঃ লিলি খাতুন</t>
  </si>
  <si>
    <t>১৫/০৫/১৯৮৫</t>
  </si>
  <si>
    <t>শরিফুল</t>
  </si>
  <si>
    <t>রইছদ্দিন</t>
  </si>
  <si>
    <t>মোছাঃ রেবেকা খাতুন</t>
  </si>
  <si>
    <t>১০/১০/১৯৮৪</t>
  </si>
  <si>
    <t>মোঃ মহিরক মোল্লা</t>
  </si>
  <si>
    <t>২৯/১০/১৯৮০</t>
  </si>
  <si>
    <t>০৭/০৮/১৯৭২</t>
  </si>
  <si>
    <t>মোঃ আলম আলী</t>
  </si>
  <si>
    <t>মোছাঃ সরলা খাতুন</t>
  </si>
  <si>
    <t>০১/০৬/১৯৬২</t>
  </si>
  <si>
    <t>মোঃ আবুল হাসেম</t>
  </si>
  <si>
    <t>মোছাঃ টুনি</t>
  </si>
  <si>
    <t>১০/১০/১৯৭৭</t>
  </si>
  <si>
    <t>মোঃ বাহারুল ইসলাম</t>
  </si>
  <si>
    <t>মোঃ সিদ্দিকুর রহমান</t>
  </si>
  <si>
    <t>মোঃ মনির উদ্দিন</t>
  </si>
  <si>
    <t>মাদার বকস</t>
  </si>
  <si>
    <t>১০/০৬/১৯৫৭</t>
  </si>
  <si>
    <t>মোঃ আলী</t>
  </si>
  <si>
    <t>১০/০৫/১৯৮২</t>
  </si>
  <si>
    <t>মোঃ মিলন</t>
  </si>
  <si>
    <t>মোছাঃ ফাহিমা খাতুন</t>
  </si>
  <si>
    <t>০২/০৫/১৯৮৫</t>
  </si>
  <si>
    <t>বিচারক</t>
  </si>
  <si>
    <t>মোঃ স্বপন</t>
  </si>
  <si>
    <t>সোরয়ার</t>
  </si>
  <si>
    <t>১২/০৬/১৯৮১</t>
  </si>
  <si>
    <t>মোঃ দেলুয়ার</t>
  </si>
  <si>
    <t>মোছাঃ নুরজাহান</t>
  </si>
  <si>
    <t>১০/০৯/১৯৮৫</t>
  </si>
  <si>
    <t>মোঃ শহিদুল্লাহ</t>
  </si>
  <si>
    <t>মোঃ রমজান আলী</t>
  </si>
  <si>
    <t>১২/০৮/১৯৬৭</t>
  </si>
  <si>
    <t>মোঃ আমির হামযা</t>
  </si>
  <si>
    <t>১১/০৬/১৯৮২</t>
  </si>
  <si>
    <t>মোঃ মনজুর আলী</t>
  </si>
  <si>
    <t>মোছাঃ আনজিরা খাতুন</t>
  </si>
  <si>
    <t>২৩/০৪/১৯৮১</t>
  </si>
  <si>
    <t>মোঃ নাহারুল ইসলাম</t>
  </si>
  <si>
    <t>নাজিমুদ্দিন</t>
  </si>
  <si>
    <t>২৫/০৪/১৯৮১</t>
  </si>
  <si>
    <t>মোঃ কাবরান আলী</t>
  </si>
  <si>
    <t>০৫/০৬/১৯৭১</t>
  </si>
  <si>
    <t>মোঃ বিল্লাল আলী</t>
  </si>
  <si>
    <t>১৫/০৩/১৯৮৫</t>
  </si>
  <si>
    <t>মোঃ দবির আলী</t>
  </si>
  <si>
    <t>মোছাঃ ছালেহা খাতুন</t>
  </si>
  <si>
    <t>০৬/০১/১৯৬৯</t>
  </si>
  <si>
    <t>১২/০৪/১৯৮০</t>
  </si>
  <si>
    <t>মোঃ জালালউদ্দীন</t>
  </si>
  <si>
    <t>মো তাহাজউদ্দীন</t>
  </si>
  <si>
    <t>১৩/০৪/১৯৮০</t>
  </si>
  <si>
    <t>মোছাঃ জাহিতন</t>
  </si>
  <si>
    <t>১০/১০/১৯৪৭</t>
  </si>
  <si>
    <t>মোঃ তহির উদ্দিন</t>
  </si>
  <si>
    <t>নবীছদ্দিন</t>
  </si>
  <si>
    <t>০১/১১/১৯৬৭</t>
  </si>
  <si>
    <t>মোঃ আব্দুল হান্নান</t>
  </si>
  <si>
    <t>আখের মন্ডল</t>
  </si>
  <si>
    <t>মোছাঃ সুরুজান</t>
  </si>
  <si>
    <t>০৩/০৬/১৯৬১</t>
  </si>
  <si>
    <t>মুনসাদ মোল্লা</t>
  </si>
  <si>
    <t>ইসারন নেছা</t>
  </si>
  <si>
    <t>১০/০৫/১৯৪৪</t>
  </si>
  <si>
    <t>মোঃ জামাল আলী</t>
  </si>
  <si>
    <t>মোছাঃ সাকেনা খাতুন</t>
  </si>
  <si>
    <t>১৫/০৬/১৯৮২</t>
  </si>
  <si>
    <t>মোঃ কামাল</t>
  </si>
  <si>
    <t>১০/০৪/১৯৮৬</t>
  </si>
  <si>
    <t>মোঃ জান আলী শেখ</t>
  </si>
  <si>
    <t>২২/১০/১৯৪৫</t>
  </si>
  <si>
    <t>মোঃ সলিমুদ্দিন</t>
  </si>
  <si>
    <t>ইয়াকুব বিশ্বাস</t>
  </si>
  <si>
    <t>মোছাঃ তপিরন নেছা</t>
  </si>
  <si>
    <t>০৪/০৬/১৯৫১</t>
  </si>
  <si>
    <t>কাদের বকস</t>
  </si>
  <si>
    <t>আমেনা খাতুন</t>
  </si>
  <si>
    <t>মোঃ দবির উদ্দিন</t>
  </si>
  <si>
    <t>মোছাঃ সালেহা খাতুন</t>
  </si>
  <si>
    <t>১৮/১০/১৯৮৪</t>
  </si>
  <si>
    <t>মোঃ ইসরাইল হোসেন</t>
  </si>
  <si>
    <t>মোঃ জাহা বকস</t>
  </si>
  <si>
    <t>০৭/০৫/১৯৭১</t>
  </si>
  <si>
    <t>মোঃ মজিবুল</t>
  </si>
  <si>
    <t>মোঃ নুরহক</t>
  </si>
  <si>
    <t>১০/০৯/১৯৮৪</t>
  </si>
  <si>
    <t>১০/১০/১৯৬৪</t>
  </si>
  <si>
    <t>মোঃ লিহাজ উদ্দীন</t>
  </si>
  <si>
    <t>০৫/১০/১৯৮০</t>
  </si>
  <si>
    <t>মোঃ মহির উদ্দিন</t>
  </si>
  <si>
    <t>মাদার মন্ডল</t>
  </si>
  <si>
    <t>২০/০৫/১৯৫২</t>
  </si>
  <si>
    <t>মোঃ হানিফ আলী</t>
  </si>
  <si>
    <t>মোছাঃ লালবানু খাতুন</t>
  </si>
  <si>
    <t>১৯/০৯/১৯৭৮</t>
  </si>
  <si>
    <t>মোঃ মহররম</t>
  </si>
  <si>
    <t>ফয়জদ্দীন</t>
  </si>
  <si>
    <t>মোছাঃ রোকেনা</t>
  </si>
  <si>
    <t>মোঃ নবীছদ্দিন</t>
  </si>
  <si>
    <t>২২/১১/১৯৮৩</t>
  </si>
  <si>
    <t>রাহেন উদ্দীন</t>
  </si>
  <si>
    <t>মোছাঃ নিমোরি</t>
  </si>
  <si>
    <t>২৫/১০/১৯৬২</t>
  </si>
  <si>
    <t>মোঃ আব্দুস সালাম</t>
  </si>
  <si>
    <t>মহব্বত সেখ</t>
  </si>
  <si>
    <t>মিসমাল বিবি</t>
  </si>
  <si>
    <t>০২/০৬/১৯৪৭</t>
  </si>
  <si>
    <t>মোঃ আব্দুল হক</t>
  </si>
  <si>
    <t>নূর বকস</t>
  </si>
  <si>
    <t>০৬/০৭/১৯৫৫</t>
  </si>
  <si>
    <t>মোছাঃ আশরাফুন নেছা</t>
  </si>
  <si>
    <t>০৪/০৬/১৯৬৭</t>
  </si>
  <si>
    <t>অরুন কুমার সাহা</t>
  </si>
  <si>
    <t>নিতাই পদ সাহা</t>
  </si>
  <si>
    <t>মাতাঃ গীতা রানী সাহা</t>
  </si>
  <si>
    <t>৩০/০৬/১৯৭২</t>
  </si>
  <si>
    <t>তরুন কুমার সাহা</t>
  </si>
  <si>
    <t>নিতাই চন্দ্র সাহা</t>
  </si>
  <si>
    <t>মাতাঃ লক্ষ্মি রানী সাহা</t>
  </si>
  <si>
    <t>২৬/১২/১৯৮৯</t>
  </si>
  <si>
    <t>বরুন কুমার সাহা</t>
  </si>
  <si>
    <t>৩১/১২/১৯৮০</t>
  </si>
  <si>
    <t>শ্রী অনুকূল কুমার কর্মকার</t>
  </si>
  <si>
    <t>ননী গোপাল কর্মকার</t>
  </si>
  <si>
    <t>মাতাঃ পুষ্পরানী কর্মকার</t>
  </si>
  <si>
    <t>১৫/১০/১৯৬৭</t>
  </si>
  <si>
    <t>শ্রী সুভাষ কুমার কর্মকার</t>
  </si>
  <si>
    <t>শ্রী সুশীল কুমার কর্মকার</t>
  </si>
  <si>
    <t>মাতাঃ শ্রীমতি সন্ধ্যা রাণী কর্মকার</t>
  </si>
  <si>
    <t>০৪/০৬/১৯৭৯</t>
  </si>
  <si>
    <t>শ্রী শ্যামল কর্মকার</t>
  </si>
  <si>
    <t>মাতাঃ শ্রীমতি রানী বালা কর্মকার</t>
  </si>
  <si>
    <t>০২/০৭/১৯৫৫</t>
  </si>
  <si>
    <t>মোঃ মুলুক চাঁদ</t>
  </si>
  <si>
    <t>মমতাজ আলী</t>
  </si>
  <si>
    <t>মোছাঃ রেফুল আরা</t>
  </si>
  <si>
    <t>শ্রী রমেশ কুমার সাহা</t>
  </si>
  <si>
    <t>শ্রী রাজকুমার সাহা</t>
  </si>
  <si>
    <t>মাতাঃ শ্রীমতি সুবালা</t>
  </si>
  <si>
    <t>০৬/০৭/১৯৮১</t>
  </si>
  <si>
    <t>মোঃ মহিরদ্দিন</t>
  </si>
  <si>
    <t>মোছাঃ আছমা খাতুন</t>
  </si>
  <si>
    <t>০৫/০৮/১৯৮৮</t>
  </si>
  <si>
    <t>শ্রী সুনীল কুমার সাহা</t>
  </si>
  <si>
    <t>মাতাঃ যমুনা বালা</t>
  </si>
  <si>
    <t>০৬/০৭/১৯৭৯</t>
  </si>
  <si>
    <t>মোঃ আলফাজ</t>
  </si>
  <si>
    <t>কুদ্দুছ</t>
  </si>
  <si>
    <t>মোছাঃ জাফিরা</t>
  </si>
  <si>
    <t>মোঃ হাফিজুর রহমান</t>
  </si>
  <si>
    <t>মোঃ তৈয়ব আলী</t>
  </si>
  <si>
    <t>১২/০৭/১৯৮৭</t>
  </si>
  <si>
    <t>মোঃ মোমিন</t>
  </si>
  <si>
    <t>আবুল কাসেম</t>
  </si>
  <si>
    <t>মোছাঃ খোদেজা</t>
  </si>
  <si>
    <t>জানালী</t>
  </si>
  <si>
    <t>মোছাঃ আমেনা</t>
  </si>
  <si>
    <t>মোঃ মতিয়ার রহমান</t>
  </si>
  <si>
    <t>মোঃ ছুম্মত আলী</t>
  </si>
  <si>
    <t>মোছাঃ বুলবুলি আরা</t>
  </si>
  <si>
    <t>২০/১০/১৯৮৪</t>
  </si>
  <si>
    <t>মোঃ আব্দুল কুদ্দুছ</t>
  </si>
  <si>
    <t>ইসমাইল</t>
  </si>
  <si>
    <t>মোছাঃ ফুলজান</t>
  </si>
  <si>
    <t>২০/১০/১৯৬৫</t>
  </si>
  <si>
    <t>মোঃ শাহীন</t>
  </si>
  <si>
    <t>মোঃ নাজের শেখ</t>
  </si>
  <si>
    <t>মোছাঃ রেজিয়া</t>
  </si>
  <si>
    <t>মধুর শেখ</t>
  </si>
  <si>
    <t>সরনা</t>
  </si>
  <si>
    <t>মোঃ সাহাবুদ্দীন</t>
  </si>
  <si>
    <t>মোঃ রবছেদ</t>
  </si>
  <si>
    <t>আযুবুদ্দীন</t>
  </si>
  <si>
    <t>মোঃ নূর ইসলাম</t>
  </si>
  <si>
    <t>আবুছদ্দিন</t>
  </si>
  <si>
    <t>মোঃ আবদুল্লাহ</t>
  </si>
  <si>
    <t>মোঃ বদর উদ্দীন</t>
  </si>
  <si>
    <t>মোছাঃ সাহাতন</t>
  </si>
  <si>
    <t>মোঃ দুলাল</t>
  </si>
  <si>
    <t>মোছাঃ আদুরী</t>
  </si>
  <si>
    <t>মোঃ আবুবাক্কা</t>
  </si>
  <si>
    <t>মোঃ মিয়ারুল</t>
  </si>
  <si>
    <t>কিয়ামত মন্ডল</t>
  </si>
  <si>
    <t>মোছাঃ লেকজান</t>
  </si>
  <si>
    <t>মোঃ আবু তালেব</t>
  </si>
  <si>
    <t>মোঃ শরিয়ত</t>
  </si>
  <si>
    <t>মোছাঃ চিয়ারন</t>
  </si>
  <si>
    <t>মোঃ আঃ রহিম</t>
  </si>
  <si>
    <t>মোছাঃ ছাপাতন নেছা</t>
  </si>
  <si>
    <t>২৫/১০/১৯৭২</t>
  </si>
  <si>
    <t>মোঃ নূরবক্স মন্ডল</t>
  </si>
  <si>
    <t>মোছাঃ সবেজান বেগম</t>
  </si>
  <si>
    <t>১৪/০৭/১৯৮২</t>
  </si>
  <si>
    <t>মোঃ সোহেল</t>
  </si>
  <si>
    <t>মৃত ছরোয়ার হোসেন</t>
  </si>
  <si>
    <t>মোছাঃ ফহেদা বেগম</t>
  </si>
  <si>
    <t>০৭/০৪/১৯৮৩</t>
  </si>
  <si>
    <t>রাজু আলী</t>
  </si>
  <si>
    <t>জহির উদ্দিন</t>
  </si>
  <si>
    <t>রাশিদা</t>
  </si>
  <si>
    <t>০১/০৬/১৯৮৮</t>
  </si>
  <si>
    <t>মোহাম্মদ রুবেল</t>
  </si>
  <si>
    <t>ছরোয়ার হোসেন</t>
  </si>
  <si>
    <t>১৯/০৬/১৯৮৮</t>
  </si>
  <si>
    <t>মোঃ জহুরুল হক</t>
  </si>
  <si>
    <t>মোছাঃ মাবিয়া</t>
  </si>
  <si>
    <t>২৫/০৮/১৯৭৭</t>
  </si>
  <si>
    <t>মোঃ হাসিবুল</t>
  </si>
  <si>
    <t>মোঃ গিয়াসউদ্দীন</t>
  </si>
  <si>
    <t>মোছাঃ চামিলি</t>
  </si>
  <si>
    <t>মোঃ কিতাব আলী</t>
  </si>
  <si>
    <t>বাছেদ আলী</t>
  </si>
  <si>
    <t>মোছাঃ জায়রা খাতুন</t>
  </si>
  <si>
    <t>২৬/০৪/১৯৭৭</t>
  </si>
  <si>
    <t>মোছাঃ মদিনা খাতুন</t>
  </si>
  <si>
    <t>১৬/০৯/১৯৮২</t>
  </si>
  <si>
    <t>মোঃ কুদ্দুস আলী</t>
  </si>
  <si>
    <t>২২/০৯/১৯৭২</t>
  </si>
  <si>
    <t>মোছাঃ সুফিলা</t>
  </si>
  <si>
    <t>হাফেজদ্দীন মন্ডল</t>
  </si>
  <si>
    <t>মোছাঃ মেহেজান বেগম</t>
  </si>
  <si>
    <t>২৩/০৬/১৯৫২</t>
  </si>
  <si>
    <t>মোঃ রোকুনুজ্জামান</t>
  </si>
  <si>
    <t>মোছাঃ বিলকিস আরা বানু</t>
  </si>
  <si>
    <t>৩১/১২/১৯৭২</t>
  </si>
  <si>
    <t>মহিন মন্ডল</t>
  </si>
  <si>
    <t>০৫/০৮/১৯৫৩</t>
  </si>
  <si>
    <t>মোঃ মিম্নাল হোসেন</t>
  </si>
  <si>
    <t>মোছাঃ শুকজান নেছা</t>
  </si>
  <si>
    <t>মোঃ বাহাদুর</t>
  </si>
  <si>
    <t>১৩/০৭/১৯৭৬</t>
  </si>
  <si>
    <t>মোঃ রিহিববুল</t>
  </si>
  <si>
    <t>নফর আলী</t>
  </si>
  <si>
    <t>মোছাঃ ছুফরা খাতুন</t>
  </si>
  <si>
    <t>মোঃ রূপচাঁদ</t>
  </si>
  <si>
    <t>মোঃ আচ্ছেদ উদ্দীন</t>
  </si>
  <si>
    <t>রহমত মোল্লা</t>
  </si>
  <si>
    <t>মোছাঃ আকিদা খাতুন</t>
  </si>
  <si>
    <t>২০/০৮/১৯৭৯</t>
  </si>
  <si>
    <t>মোঃ আনোয়ারুল ইসলাম</t>
  </si>
  <si>
    <t>মজিবর রহমান মিয়া</t>
  </si>
  <si>
    <t>৩০/১২/১৯৫৯</t>
  </si>
  <si>
    <t>করম আলী</t>
  </si>
  <si>
    <t>মোছাঃ হাসিরন নেছা</t>
  </si>
  <si>
    <t>১১/০৯/১৯৬২</t>
  </si>
  <si>
    <t>মোঃ মনিরুল</t>
  </si>
  <si>
    <t>মোঃ খোদা বকস</t>
  </si>
  <si>
    <t>মোছাঃ এলেজান</t>
  </si>
  <si>
    <t>১৪/০৩/১৯৮৬</t>
  </si>
  <si>
    <t>বিলাত মোল্লা</t>
  </si>
  <si>
    <t>মোছাঃ ময়জান নেছা</t>
  </si>
  <si>
    <t>১৯/০৩/১৯৫৭</t>
  </si>
  <si>
    <t>মোঃ ডাবলু</t>
  </si>
  <si>
    <t>মোছাঃ ছুফুরা খাতুন</t>
  </si>
  <si>
    <t>০৮/০৪/১৯৭২</t>
  </si>
  <si>
    <t>মোঃ শমসের আলী</t>
  </si>
  <si>
    <t>২২/০৪/১৯৭৭</t>
  </si>
  <si>
    <t>মোঃ নাজমুল হক</t>
  </si>
  <si>
    <t>মোছাঃ রমেছা খাতুন</t>
  </si>
  <si>
    <t>১১/০২/১৯৮৩</t>
  </si>
  <si>
    <t>মোঃ জুল হোসেন</t>
  </si>
  <si>
    <t>মোছাঃ জালিমন নেছা</t>
  </si>
  <si>
    <t>১৭/০৫/১৯৮৬</t>
  </si>
  <si>
    <t>ইছাহক আলী</t>
  </si>
  <si>
    <t>০১/১০/১৯৮১</t>
  </si>
  <si>
    <t>মোঃ নূর নবী</t>
  </si>
  <si>
    <t>ইছাহক ফরাজী</t>
  </si>
  <si>
    <t>১৪/০৪/১৯৭৭</t>
  </si>
  <si>
    <t>মোঃ বুলু রহমান</t>
  </si>
  <si>
    <t>০৪/০৫/১৯৬৭</t>
  </si>
  <si>
    <t>মোঃ আব্দুর রহিম</t>
  </si>
  <si>
    <t>মোঃ জামালউদ্দিন</t>
  </si>
  <si>
    <t>ছকিনা খাতুন</t>
  </si>
  <si>
    <t>১৩/০৭/১৯৬৭</t>
  </si>
  <si>
    <t>মোঃ মহাবুল ইসলাম</t>
  </si>
  <si>
    <t>মোঃ জাফর আলী</t>
  </si>
  <si>
    <t>মোছাঃ রিজিয়া খাতুন</t>
  </si>
  <si>
    <t>১১/০৪/১৯৮৭</t>
  </si>
  <si>
    <t>১৫/০৫/১৯৭৯</t>
  </si>
  <si>
    <t>মোঃ হিম চাঁদ</t>
  </si>
  <si>
    <t>রহিম বকস</t>
  </si>
  <si>
    <t>রসকুল নেছা</t>
  </si>
  <si>
    <t>১১/০৭/১৯৬৭</t>
  </si>
  <si>
    <t>জাহারি বিশ্বাস</t>
  </si>
  <si>
    <t>মোছাঃ জমেলা খাতুন</t>
  </si>
  <si>
    <t>০৫/০৯/১৯৬৭</t>
  </si>
  <si>
    <t>মোছাঃ রেজিয়া খাতুন</t>
  </si>
  <si>
    <t>০২/০১/১৯৮৫</t>
  </si>
  <si>
    <t>মোঃ গাফফার আলী</t>
  </si>
  <si>
    <t>মোঃ গন্জের আলী</t>
  </si>
  <si>
    <t>২২/০৯/১৯৮৫</t>
  </si>
  <si>
    <t>মোঃ শামসুল হক</t>
  </si>
  <si>
    <t>মোছাঃ মনোয়ারা বেগম</t>
  </si>
  <si>
    <t>২৬/০৯/১৯৮০</t>
  </si>
  <si>
    <t>মোঃ আমোদ আলী</t>
  </si>
  <si>
    <t>২২/০৬/১৯৮৩</t>
  </si>
  <si>
    <t>মোঃ গঞ্জের আলী</t>
  </si>
  <si>
    <t>আনছার আলী</t>
  </si>
  <si>
    <t>মোছাঃ ইজারন নেছা</t>
  </si>
  <si>
    <t>মোঃ মুলাম</t>
  </si>
  <si>
    <t>মোঃ গনি</t>
  </si>
  <si>
    <t>মোছাঃ মানুরা</t>
  </si>
  <si>
    <t>২০/০৫/১৯৮১</t>
  </si>
  <si>
    <t>মোঃ তাইজেল ইসলাম</t>
  </si>
  <si>
    <t>মোছাঃ আসমা খাতুন</t>
  </si>
  <si>
    <t>০৫/০৯/১৯৮৬</t>
  </si>
  <si>
    <t>হাফেজ মোঃ জামাল উদ্দীন</t>
  </si>
  <si>
    <t>১০/০৬/১৯৮০</t>
  </si>
  <si>
    <t>মোছাঃ সজিলা খাতুন</t>
  </si>
  <si>
    <t>মোঃ রিপন আলী</t>
  </si>
  <si>
    <t>মোঃ সামছুল ইসলাম</t>
  </si>
  <si>
    <t>মোছাঃ খালেদা খাতুন</t>
  </si>
  <si>
    <t>০৫/০৯/১৯৮৭</t>
  </si>
  <si>
    <t>মোঃ আবুল কাশেম</t>
  </si>
  <si>
    <t>মোছাঃ ছাহারন নেছা</t>
  </si>
  <si>
    <t>১৫/১২/১৯৮৭</t>
  </si>
  <si>
    <t>মোঃ হাবুল আলী</t>
  </si>
  <si>
    <t>মোঃ কুরমান আলী</t>
  </si>
  <si>
    <t>০৭/০৯/১৯৮৬</t>
  </si>
  <si>
    <t>মোঃ গোলাম কিবরিয়া</t>
  </si>
  <si>
    <t>মোঃ আবু বকর সিদ্দীক</t>
  </si>
  <si>
    <t>মোছাঃ মনোয়ারা খাতুন</t>
  </si>
  <si>
    <t>২০/০৫/১৯৮৮</t>
  </si>
  <si>
    <t>মৃত বারেকুল বিশ্বাস</t>
  </si>
  <si>
    <t>মোছাঃ জালেমান খাতুন</t>
  </si>
  <si>
    <t>০৫/০৭/১৯৪০</t>
  </si>
  <si>
    <t>মোঃ হুমায়ুন কবির</t>
  </si>
  <si>
    <t>মোঃ আব্দুর বারী</t>
  </si>
  <si>
    <t>০৭/০৫/১৯৮৫</t>
  </si>
  <si>
    <t>হামিরন নেছা</t>
  </si>
  <si>
    <t>০৬/০৩/১৯৮০</t>
  </si>
  <si>
    <t>মোঃ আব্দুল কুদ্দুস</t>
  </si>
  <si>
    <t>ইছাছদ্দিন আলী</t>
  </si>
  <si>
    <t>সুজা খাতুন</t>
  </si>
  <si>
    <t>০৪/০৪/১৯৬১</t>
  </si>
  <si>
    <t>মোঃ মুনচুর আলী</t>
  </si>
  <si>
    <t>জব্বার মন্ডল</t>
  </si>
  <si>
    <t>ফুলবিবি</t>
  </si>
  <si>
    <t>০৭/০৮/১৯৫২</t>
  </si>
  <si>
    <t>মোঃ ইকরামুল হক</t>
  </si>
  <si>
    <t>মোঃ মোসলেম উদ্দীন</t>
  </si>
  <si>
    <t>মোছাঃ শাহিমা খাতুন</t>
  </si>
  <si>
    <t>মোঃ শামছুল হক</t>
  </si>
  <si>
    <t>নূর বক্স</t>
  </si>
  <si>
    <t>০৪/০৪/১৯৬২</t>
  </si>
  <si>
    <t>মোঃ কুরবান আলী</t>
  </si>
  <si>
    <t>০৪/০৪/১৯৬৭</t>
  </si>
  <si>
    <t>মোঃ শরিফদ্দীন</t>
  </si>
  <si>
    <t>নাছের আলী</t>
  </si>
  <si>
    <t>মোছাঃ রহিলা খাতুন</t>
  </si>
  <si>
    <t>১৪/০৭/১৯৫২</t>
  </si>
  <si>
    <t>মোঃ জাকিরুল ইসলাম</t>
  </si>
  <si>
    <t>০৭/০৭/১৯৭৯</t>
  </si>
  <si>
    <t>মোঃ হাফিজুল হক</t>
  </si>
  <si>
    <t>মোঃ শরিফদ্দি মন্ডল</t>
  </si>
  <si>
    <t>মোছাঃ তহমিনা খাতুন</t>
  </si>
  <si>
    <t>মোঃ আকছেদ আলী</t>
  </si>
  <si>
    <t>মোঃ মজের আলী</t>
  </si>
  <si>
    <t>০৩/০৯/১৯৬৯</t>
  </si>
  <si>
    <t>মোঃ তাইজেল হক</t>
  </si>
  <si>
    <t>খুদা বক্স</t>
  </si>
  <si>
    <t>০২/০৮/১৯৭১</t>
  </si>
  <si>
    <t>মোঃ আসাদুল হক</t>
  </si>
  <si>
    <t>খোদা বক্স</t>
  </si>
  <si>
    <t>০২/০৭/১৯৮২</t>
  </si>
  <si>
    <t>মোঃ আব্দুল মাবুদ</t>
  </si>
  <si>
    <t>মোছাঃ ছাপাই খাতুন</t>
  </si>
  <si>
    <t>০২/০৯/১৯৪২</t>
  </si>
  <si>
    <t>মোঃ মসলেম উদ্দীন</t>
  </si>
  <si>
    <t>মোছাঃ সাইমা খাতুন</t>
  </si>
  <si>
    <t>১২/০৮/১৯৭৩</t>
  </si>
  <si>
    <t>মোঃ হেলাল উদ্দীন</t>
  </si>
  <si>
    <t>০২/০৬/১৯৮২</t>
  </si>
  <si>
    <t>মোঃ ইব্রাহীম আলী</t>
  </si>
  <si>
    <t>ফুলাদ মোল্লাহ</t>
  </si>
  <si>
    <t>করিমন নেছা</t>
  </si>
  <si>
    <t>০২/০৮/১৯৭২</t>
  </si>
  <si>
    <t>মোঃ আব্দুল বারী</t>
  </si>
  <si>
    <t>মকছেদ আলী</t>
  </si>
  <si>
    <t>০২/০৮/১৯৪৭</t>
  </si>
  <si>
    <t>শাহমুদ্দীন মন্ডল</t>
  </si>
  <si>
    <t>মফিরন নেছা</t>
  </si>
  <si>
    <t>০৭/০৮/১৯৫৫</t>
  </si>
  <si>
    <t>১৫/০১/১৯৮৪</t>
  </si>
  <si>
    <t>মোঃ তোফাজ্জেল হক</t>
  </si>
  <si>
    <t>০৫/০৮/১৯৭৯</t>
  </si>
  <si>
    <t>মোঃ সামসুল হক</t>
  </si>
  <si>
    <t>০৭/০৮/১৯৬২</t>
  </si>
  <si>
    <t>মোঃ আব্দুল লতিব</t>
  </si>
  <si>
    <t>জব্বার আলী</t>
  </si>
  <si>
    <t>ফুলবিবি খাতুন</t>
  </si>
  <si>
    <t>০৮/১০/১৯৫৯</t>
  </si>
  <si>
    <t>মোঃ লোকমান হোসেন</t>
  </si>
  <si>
    <t>মোঃ আলীমদ্দীন</t>
  </si>
  <si>
    <t>০৩/১০/১৯৮৫</t>
  </si>
  <si>
    <t>০৮/০৭/১৯৮৭</t>
  </si>
  <si>
    <t>মোছাঃ ছাইমা খাতুন</t>
  </si>
  <si>
    <t>০৬/০৭/১৯৮৮</t>
  </si>
  <si>
    <t>০৬/০৭/১৯৭৭</t>
  </si>
  <si>
    <t>মোঃ মহিরদ্দীন</t>
  </si>
  <si>
    <t>ছামেদ আলী</t>
  </si>
  <si>
    <t>রাবেয়া খাতুন</t>
  </si>
  <si>
    <t>০৪/০৮/১৯৭৫</t>
  </si>
  <si>
    <t>মোঃ আকতারুল হক</t>
  </si>
  <si>
    <t>মোঃ শাহাদুল ইসলাম</t>
  </si>
  <si>
    <t>০৬/০৭/১৯৮০</t>
  </si>
  <si>
    <t>মোঃ সবুজ আলী</t>
  </si>
  <si>
    <t>মোঃ সলেমান আলী</t>
  </si>
  <si>
    <t>০৮/০৮/১৯৮৫</t>
  </si>
  <si>
    <t>মোঃ তাহের আলী</t>
  </si>
  <si>
    <t>মোঃ ছিদ্দিক আলী</t>
  </si>
  <si>
    <t>খিলাফত আলী</t>
  </si>
  <si>
    <t>০২/০৯/১৯৬৭</t>
  </si>
  <si>
    <t>আব্দুল বারী</t>
  </si>
  <si>
    <t>আশরাফুন নেছা</t>
  </si>
  <si>
    <t>০৮/০৯/১৯৬০</t>
  </si>
  <si>
    <t>মোঃ আব্দুল হালিম</t>
  </si>
  <si>
    <t>আছিয়া খাতুন</t>
  </si>
  <si>
    <t>০৩/০৯/১৯৭৩</t>
  </si>
  <si>
    <t>মোছাঃ ছিরফান নেছা</t>
  </si>
  <si>
    <t>০৭/০৮/১৯৮২</t>
  </si>
  <si>
    <t>০৩/০৯/১৯৮৫</t>
  </si>
  <si>
    <t>খোসাল মন্ডল</t>
  </si>
  <si>
    <t>গুলজান নেছা</t>
  </si>
  <si>
    <t>০২/০৯/১৯৫১</t>
  </si>
  <si>
    <t>০২/০৭/১৯৮৮</t>
  </si>
  <si>
    <t>রাহতন নেছা</t>
  </si>
  <si>
    <t>মোছাঃ আদরী খাতুন</t>
  </si>
  <si>
    <t>০৪/০৮/১৯৮৭</t>
  </si>
  <si>
    <t>মোঃ ইব্রাহিম মন্ডল</t>
  </si>
  <si>
    <t>০৫/০৬/১৯৮৮</t>
  </si>
  <si>
    <t>মোঃ শরিফদ্দিন</t>
  </si>
  <si>
    <t>০২/০৮/১৯৮৮</t>
  </si>
  <si>
    <t>মোঃ নাজেস আলী</t>
  </si>
  <si>
    <t>মোঃ নছিমুদ্দীন</t>
  </si>
  <si>
    <t>মোছাঃ উম্বিয়া খাতুন</t>
  </si>
  <si>
    <t>০৪/০৮/১৯৭৯</t>
  </si>
  <si>
    <t>মোঃ ঈমান আলী</t>
  </si>
  <si>
    <t>মোছাঃ রাহিমা খাতুন</t>
  </si>
  <si>
    <t>মোঃ মোখলেছুর রহমান</t>
  </si>
  <si>
    <t>রাহিল উদ্দীন</t>
  </si>
  <si>
    <t>মোছাঃ নিছারন নেছা</t>
  </si>
  <si>
    <t>১২/১০/১৯৬৯</t>
  </si>
  <si>
    <t>ছবের মন্ডল</t>
  </si>
  <si>
    <t>খুকি বিবি</t>
  </si>
  <si>
    <t>৩১/১২/১৯৭১</t>
  </si>
  <si>
    <t>মোঃ আসাবুল হক</t>
  </si>
  <si>
    <t>মোছাঃ রমেলা</t>
  </si>
  <si>
    <t>২৭/১০/১৯৭০</t>
  </si>
  <si>
    <t>মোঃ জহুরুল ইসলাম</t>
  </si>
  <si>
    <t>মোছাঃ ছফুরা খাতুন</t>
  </si>
  <si>
    <t>২৮/০৮/১৯৮২</t>
  </si>
  <si>
    <t>মোঃ মামুনুর রশিদ</t>
  </si>
  <si>
    <t>মোঃ মুনছুর</t>
  </si>
  <si>
    <t>মোছাঃ তোহরা</t>
  </si>
  <si>
    <t>২১/১০/১৯৮৭</t>
  </si>
  <si>
    <t>১৮/১০/১৯৬২</t>
  </si>
  <si>
    <t>মোঃ মুকুল হোসেন</t>
  </si>
  <si>
    <t>০৮/১০/১৯৬৯</t>
  </si>
  <si>
    <t>মহম্মাদ আলী</t>
  </si>
  <si>
    <t>কাদের বক্স</t>
  </si>
  <si>
    <t>২২/১১/১৯৬২</t>
  </si>
  <si>
    <t>মোঃ রবিউল হক</t>
  </si>
  <si>
    <t>নুববক্স</t>
  </si>
  <si>
    <t>মোছাঃ রমেনা খাতুন</t>
  </si>
  <si>
    <t>মোঃ সামাদুল ইসলাম</t>
  </si>
  <si>
    <t>মোঃ আব্দুর রশিদ</t>
  </si>
  <si>
    <t>তফেল মন্ডল</t>
  </si>
  <si>
    <t>ছাহারন নেছা</t>
  </si>
  <si>
    <t>২২/১০/১৯৬৭</t>
  </si>
  <si>
    <t>মোঃ মইদুল ইসলাম</t>
  </si>
  <si>
    <t>১০/১১/১৯৮৮</t>
  </si>
  <si>
    <t>মোঃ জামাল উদ্দীন</t>
  </si>
  <si>
    <t>মোঃ আরোজ আলী</t>
  </si>
  <si>
    <t>মোছাঃ আজবানা</t>
  </si>
  <si>
    <t>২২/১১/১৯৬৭</t>
  </si>
  <si>
    <t>মোঃ তশিউর রহমান</t>
  </si>
  <si>
    <t>মোছাঃ সুফিয়া খাতুন</t>
  </si>
  <si>
    <t>১১/১০/১৯৮৫</t>
  </si>
  <si>
    <t>২২/১১/১৯৭২</t>
  </si>
  <si>
    <t>মোঃ জিন্নাত আলী</t>
  </si>
  <si>
    <t>মোঃ বিকিলাস হোসেন</t>
  </si>
  <si>
    <t>১৮/১১/১৯৮১</t>
  </si>
  <si>
    <t>মোঃ জামাল</t>
  </si>
  <si>
    <t>মোছাঃ নবিন</t>
  </si>
  <si>
    <t>২২/১১/১৯৭৭</t>
  </si>
  <si>
    <t>মোঃ আকরামুল হক</t>
  </si>
  <si>
    <t>মোঃ মহিবুল হক</t>
  </si>
  <si>
    <t>মোছাঃ জানু বিবি</t>
  </si>
  <si>
    <t>২৪/১০/১৯৮২</t>
  </si>
  <si>
    <t>মোঃ নাজিমুল হোসেন</t>
  </si>
  <si>
    <t>মোঃ আজিমুদ্দীন</t>
  </si>
  <si>
    <t>মোঃ মোক্তার হোসেন</t>
  </si>
  <si>
    <t>মোঃ আপেল</t>
  </si>
  <si>
    <t>মোছাঃ জমিন নেছা</t>
  </si>
  <si>
    <t>মোঃ রাহাজ আলী</t>
  </si>
  <si>
    <t>১২/১১/১৯৭৭</t>
  </si>
  <si>
    <t>মোঃ চায়েন</t>
  </si>
  <si>
    <t>মোছাঃ কুবিরন</t>
  </si>
  <si>
    <t>১০/১২/১৯৮৭</t>
  </si>
  <si>
    <t>মোঃ ফারুক হোসেন</t>
  </si>
  <si>
    <t>ফুলচাঁদ</t>
  </si>
  <si>
    <t>মোছাঃ হাসেনা</t>
  </si>
  <si>
    <t>ছামছুদ্দীন</t>
  </si>
  <si>
    <t>মায়জান</t>
  </si>
  <si>
    <t>১০/১১/১৯৬২</t>
  </si>
  <si>
    <t>মোঃ নজিমুদ্দীন</t>
  </si>
  <si>
    <t>মোছাঃ ইলাজি বেগম</t>
  </si>
  <si>
    <t>১০/১০/১৯৬৭</t>
  </si>
  <si>
    <t>শফরুদ্দীন</t>
  </si>
  <si>
    <t>মোছাঃ বিছারন</t>
  </si>
  <si>
    <t>২৫/১১/১৯৪৭</t>
  </si>
  <si>
    <t>মোঃ কামাল হোসেন</t>
  </si>
  <si>
    <t>আবুল</t>
  </si>
  <si>
    <t>তুলামন বিবি</t>
  </si>
  <si>
    <t>২০/১০/১৯৫৭</t>
  </si>
  <si>
    <t>মোঃ তইরদ্দীন</t>
  </si>
  <si>
    <t>জহিরন নেছা</t>
  </si>
  <si>
    <t>মোঃ গোলাম হোসেন</t>
  </si>
  <si>
    <t>মোছাঃ বানুয়া</t>
  </si>
  <si>
    <t>মোঃ বজলুল হক</t>
  </si>
  <si>
    <t>০৩/১২/১৯৮০</t>
  </si>
  <si>
    <t>মোহাম্মাদ নজরুল ইসলাম</t>
  </si>
  <si>
    <t>মোঃ আজিজুল ইসলাম</t>
  </si>
  <si>
    <t>২০/১০/১৯৮৬</t>
  </si>
  <si>
    <t>মোঃ রশিদ হাসান</t>
  </si>
  <si>
    <t>মোছাঃ বিলকিছ</t>
  </si>
  <si>
    <t>০২/০৫/১৯৮৮</t>
  </si>
  <si>
    <t>মোঃ সেন্টু</t>
  </si>
  <si>
    <t>মোছাঃ আছিয়া</t>
  </si>
  <si>
    <t>মোঃ আব্দুল মজিদ</t>
  </si>
  <si>
    <t>মোঃ বানাত আলী</t>
  </si>
  <si>
    <t>মোঃ আমজাদ হোসেন</t>
  </si>
  <si>
    <t>ইজারন নেছা</t>
  </si>
  <si>
    <t>২৭/১০/১৯৬২</t>
  </si>
  <si>
    <t>মোঃ খবির</t>
  </si>
  <si>
    <t>হুকমাত</t>
  </si>
  <si>
    <t>চিমেন নেছা</t>
  </si>
  <si>
    <t>১০/১০/১৯৫৫</t>
  </si>
  <si>
    <t>মোঃ ইজারুল ইসলাম</t>
  </si>
  <si>
    <t>০৪/০৬/১৯৮৮</t>
  </si>
  <si>
    <t>মোঃ জিয়া</t>
  </si>
  <si>
    <t>১২/১০/১৯৫৪</t>
  </si>
  <si>
    <t>মোঃ সেলিম</t>
  </si>
  <si>
    <t>মোঃ মহসিন</t>
  </si>
  <si>
    <t>মোঃ জাহাঙ্গীর</t>
  </si>
  <si>
    <t>১২/১০/১৯৮৫</t>
  </si>
  <si>
    <t>হাফেজ জাহাঙ্গীর</t>
  </si>
  <si>
    <t>মোছাঃ চেয়ারন নেছা</t>
  </si>
  <si>
    <t>মোছাঃ মাবিয়া বেগম</t>
  </si>
  <si>
    <t>২২/০৫/১৯৮৭</t>
  </si>
  <si>
    <t>আহাদ আলী</t>
  </si>
  <si>
    <t>রহিতাল হক</t>
  </si>
  <si>
    <t>মোছাঃ জয়রন নেছা</t>
  </si>
  <si>
    <t>২৪/০৭/১৯৮৫</t>
  </si>
  <si>
    <t>মোঃ হাসান আলী</t>
  </si>
  <si>
    <t>মোঃ আঃ রাজ্জাক</t>
  </si>
  <si>
    <t>মোছাঃ নাজিরা খাতুন</t>
  </si>
  <si>
    <t>০৩/১২/১৯৮৪</t>
  </si>
  <si>
    <t>জালশুকা বানিয়াপাড়া, কসবা, গাংনী, মেহেরপুর</t>
  </si>
  <si>
    <t>দুঃখি শেখ</t>
  </si>
  <si>
    <t>০৯/০৭/১৯৭৫</t>
  </si>
  <si>
    <t>জালশুকা উত্তর পাড়া, গাংনী, মেহেরপুর</t>
  </si>
  <si>
    <t>মোঃ মিয়াজান</t>
  </si>
  <si>
    <t>০৭/০১/১৯৫৭</t>
  </si>
  <si>
    <t>আড়পাড়া, পূর্বপাড়া, গাংনী, মেহেরপুর</t>
  </si>
  <si>
    <t>মোঃ রবগুল</t>
  </si>
  <si>
    <t>জব্বার</t>
  </si>
  <si>
    <t>সোয়াগী</t>
  </si>
  <si>
    <t>০৫/০৩/১৯৭৪</t>
  </si>
  <si>
    <t>মোঃ তানভীর আলম</t>
  </si>
  <si>
    <t>১১/০৬/১৯৮৮</t>
  </si>
  <si>
    <t>মোঃ আঃ মান্নান</t>
  </si>
  <si>
    <t>মোঃ সেলিম রেজা</t>
  </si>
  <si>
    <t>মোঃ আবুল ফজলু</t>
  </si>
  <si>
    <t>মোছাঃ শিরিনা খাতুন</t>
  </si>
  <si>
    <t>১০/০৮/১৯৯০</t>
  </si>
  <si>
    <t>মোঃ হানেফ আলী</t>
  </si>
  <si>
    <t>আবু শহীদ</t>
  </si>
  <si>
    <t>মোছাঃ মেহেরু খাতুন</t>
  </si>
  <si>
    <t>০৮/০৫/১৯৮৭</t>
  </si>
  <si>
    <t>মোঃ আবুর কালাম</t>
  </si>
  <si>
    <t>ওমর আলী</t>
  </si>
  <si>
    <t>১২/০৩/১৯৮৪</t>
  </si>
  <si>
    <t>মোছাঃ হামেদা খাতুন</t>
  </si>
  <si>
    <t>০৪/০২/১৯৯০</t>
  </si>
  <si>
    <t>মোঃ মহিরুদ্দীন</t>
  </si>
  <si>
    <t>মোছাঃ রশিদা খাতুন</t>
  </si>
  <si>
    <t>০২/০১/১৯৯০</t>
  </si>
  <si>
    <t>মোঃ আলিমুদ্দীন</t>
  </si>
  <si>
    <t>০৯/০৮/১৯৮০</t>
  </si>
  <si>
    <t>মোঃ মহসিন আলি</t>
  </si>
  <si>
    <t>রুশিয়া খাতুন</t>
  </si>
  <si>
    <t>১০/০২/১৯৭৯</t>
  </si>
  <si>
    <t>০৫/০৯/১৯৭৮</t>
  </si>
  <si>
    <t>০৮/০৬/১৯৮৮</t>
  </si>
  <si>
    <t>মহামদ সাইফুল ইসলাম</t>
  </si>
  <si>
    <t>মহামদ আনছার আলী</t>
  </si>
  <si>
    <t>১৮/০৯/১৯৮৮</t>
  </si>
  <si>
    <t>মোঃ রকিবুজ্জামান</t>
  </si>
  <si>
    <t>মোছাঃ সাহির বানু</t>
  </si>
  <si>
    <t>০৭/০১/১৯৯০</t>
  </si>
  <si>
    <t>মোঃ আনিছুর রহমান</t>
  </si>
  <si>
    <t>মোছাঃ আনোকা খাতুন</t>
  </si>
  <si>
    <t>২৫/০৬/১৯৯১</t>
  </si>
  <si>
    <t>মোছাঃ শখের বানু</t>
  </si>
  <si>
    <t>২৮/০২/১৯৯০</t>
  </si>
  <si>
    <t>মোঃ মকবুল হোসেন</t>
  </si>
  <si>
    <t>মোঃ আয়ুব আলী</t>
  </si>
  <si>
    <t>১৮/০৫/১৯৯১</t>
  </si>
  <si>
    <t>মোঃ জব্বারুল ইসলাম</t>
  </si>
  <si>
    <t>০৫/১০/১৯৮৯</t>
  </si>
  <si>
    <t>মোঃ মসলেম আলি</t>
  </si>
  <si>
    <t>মোঃ আব্দুল্লাহ আল মেহেদী</t>
  </si>
  <si>
    <t>মোঃ আবু বকর সিদ্দিক</t>
  </si>
  <si>
    <t>মোছাঃ মনোয়ারী খাতুন</t>
  </si>
  <si>
    <t>৩১/১২/১৯৮৭</t>
  </si>
  <si>
    <t>০৪/০৭/১৯৮৫</t>
  </si>
  <si>
    <t>আশরাফুল ইসলাম</t>
  </si>
  <si>
    <t>শামসুল হক</t>
  </si>
  <si>
    <t>শখের বানু</t>
  </si>
  <si>
    <t>১৮/০১/১৯৮৪</t>
  </si>
  <si>
    <t>মোছাঃ হেসেনা খাতুন</t>
  </si>
  <si>
    <t>১৬/১০/১৯৯০</t>
  </si>
  <si>
    <t>মোঃ আঃ মজিত</t>
  </si>
  <si>
    <t>মোছাঃ মাজেদা খাতুন</t>
  </si>
  <si>
    <t>১০/০৩/১৯৮৭</t>
  </si>
  <si>
    <t>মোঃ জনিৰুল ইসলাম</t>
  </si>
  <si>
    <t>মোঃ ইউনুস আলী</t>
  </si>
  <si>
    <t>মোছাঃ হসনেয়ারা খাতুন</t>
  </si>
  <si>
    <t>২৮/০৬/১৯৯১</t>
  </si>
  <si>
    <t>মোঃ ওছিমদ্দিন</t>
  </si>
  <si>
    <t>১১/০৬/১৯৯০</t>
  </si>
  <si>
    <t>মোছাঃ সাহারবানু খাতুন</t>
  </si>
  <si>
    <t>১২/০১/১৯৯১</t>
  </si>
  <si>
    <t>মোহাম্মদ রফিকুল</t>
  </si>
  <si>
    <t>আব্দুর রশিদ</t>
  </si>
  <si>
    <t>রকেয়া খাতুন</t>
  </si>
  <si>
    <t>১২/০৮/১৯৯০</t>
  </si>
  <si>
    <t>দশারত মন্ডল</t>
  </si>
  <si>
    <t>হুকেনা খাতুন</t>
  </si>
  <si>
    <t>১৩/০৬/১৯৭১</t>
  </si>
  <si>
    <t>মোছাঃ রাজু খাতুন</t>
  </si>
  <si>
    <t>১২/০৪/১৯৬৪</t>
  </si>
  <si>
    <t>আমিনুল ইসলাম</t>
  </si>
  <si>
    <t>মোছাঃ হাফিজা খাতুন</t>
  </si>
  <si>
    <t>১৫/০৪/১৯৯০</t>
  </si>
  <si>
    <t>মোঃ আহসান হাবিব</t>
  </si>
  <si>
    <t>মোঃ আব্দুল ওয়াদুদ</t>
  </si>
  <si>
    <t>১০/০৬/১৯৯০</t>
  </si>
  <si>
    <t>১১/০৪/১৯৯০</t>
  </si>
  <si>
    <t>মোঃ ইসলাম মন্ডল</t>
  </si>
  <si>
    <t>মহসিন মন্ডল</t>
  </si>
  <si>
    <t>মোছাঃ হামেনা বানু</t>
  </si>
  <si>
    <t>১০/০৫/১৯৮৭</t>
  </si>
  <si>
    <t>মোঃ বেল্টু আলী</t>
  </si>
  <si>
    <t>০২/০৪/১৯৭৯</t>
  </si>
  <si>
    <t>মোছাঃ আজিরন নেছা</t>
  </si>
  <si>
    <t>১০/০২/১৯৯১</t>
  </si>
  <si>
    <t>মোঃ আশকার আলী</t>
  </si>
  <si>
    <t>০৪/০৫/১৯৯১</t>
  </si>
  <si>
    <t>মোছাঃ নূরজাহান খাতুন</t>
  </si>
  <si>
    <t>০৭/০৫/১৯৮৯</t>
  </si>
  <si>
    <t>মোঃ সাদের আলী</t>
  </si>
  <si>
    <t>মোছাঃ জাবেদা খাতুন</t>
  </si>
  <si>
    <t>২০/০৫/১৯৮৬</t>
  </si>
  <si>
    <t>০২/০৩/১৯৮৬</t>
  </si>
  <si>
    <t>মিস্ত্রী</t>
  </si>
  <si>
    <t>মোছাঃ রিজিয়া খাতুন</t>
  </si>
  <si>
    <t>০৫/০৪/১৯৮৭</t>
  </si>
  <si>
    <t>মোঃ সাহাবুল আলী</t>
  </si>
  <si>
    <t>মোছাঃ সাহেদা খাতুন</t>
  </si>
  <si>
    <t>১২/০৯/১৯৮৯</t>
  </si>
  <si>
    <t>আবু সাঈদ</t>
  </si>
  <si>
    <t>মোছাঃ জুলেখা</t>
  </si>
  <si>
    <t>১০/১২/১৯৯০</t>
  </si>
  <si>
    <t>মোছাঃ সোনা ভানু</t>
  </si>
  <si>
    <t>০৩/০৭/১৯৮৮</t>
  </si>
  <si>
    <t>মোঃ আশরাফুল ইসলাম</t>
  </si>
  <si>
    <t>মোঃ আত্তর আলী</t>
  </si>
  <si>
    <t>মোছাঃ কহিনুর বেগম</t>
  </si>
  <si>
    <t>০৯/০৪/১৯৮৭</t>
  </si>
  <si>
    <t>মোঃ আহাদুল ইসলাম</t>
  </si>
  <si>
    <t>মোঃ কালাচাঁদ</t>
  </si>
  <si>
    <t>মোছাঃ খাদেজন</t>
  </si>
  <si>
    <t>১০/০৭/১৯৬৯</t>
  </si>
  <si>
    <t>মোছাঃ ছকিনা খাতুন</t>
  </si>
  <si>
    <t>০৯/০৮/১৯৭৭</t>
  </si>
  <si>
    <t>মোঃ হাসিবুল ইসলাম</t>
  </si>
  <si>
    <t>নাসির উদ্দীন</t>
  </si>
  <si>
    <t>মোছাঃ মুরশিদা খাতুন</t>
  </si>
  <si>
    <t>১২/০১/১৯৮৬</t>
  </si>
  <si>
    <t>আমেলা খাতুন</t>
  </si>
  <si>
    <t>০৫/০৬/১৯৯০</t>
  </si>
  <si>
    <t>মোঃ ইনামুল হক</t>
  </si>
  <si>
    <t>আঃ মালেক</t>
  </si>
  <si>
    <t>মোছাঃ মাবিয়া খাতুন</t>
  </si>
  <si>
    <t>১০/০১/১৯৯০</t>
  </si>
  <si>
    <t>মোঃ নূর হক আলী</t>
  </si>
  <si>
    <t>ইলাহি মালিথা</t>
  </si>
  <si>
    <t>মোছাঃ সফুরা খাতুন</t>
  </si>
  <si>
    <t>০৫/১০/১৯৫৭</t>
  </si>
  <si>
    <t>মোঃ ইকারুল ইসলাম</t>
  </si>
  <si>
    <t>১০/০২/১৯৮৫</t>
  </si>
  <si>
    <t>মোঃ সাগর হোসেন</t>
  </si>
  <si>
    <t>মোঃ সারোয়ার হোসেন</t>
  </si>
  <si>
    <t>মোছাঃ রোকেয়া বেগম</t>
  </si>
  <si>
    <t>০৫/০২/১৯৮৮</t>
  </si>
  <si>
    <t>শ্রী প্রভাস কর্মকার</t>
  </si>
  <si>
    <t>শ্রীমতী সন্ধা রানী কর্মকার</t>
  </si>
  <si>
    <t>০৮/১১/১৯৯০</t>
  </si>
  <si>
    <t>মোঃ হাসানুজ্জামান</t>
  </si>
  <si>
    <t>কিয়ামত আলী</t>
  </si>
  <si>
    <t>মোছাঃ নোকজান বিবি</t>
  </si>
  <si>
    <t>মোঃ বাহারুল মোল্লা</t>
  </si>
  <si>
    <t>মোঃ আন্তাজ আলী</t>
  </si>
  <si>
    <t>০১/০৩/১৯৯০</t>
  </si>
  <si>
    <t>মোঃ আনহার আলী</t>
  </si>
  <si>
    <t>মোঃ বাবর আলী</t>
  </si>
  <si>
    <t>০৭/০৯/১৯৮২</t>
  </si>
  <si>
    <t>মোছাঃ সাহেরা নেছা</t>
  </si>
  <si>
    <t>০৩/১১/১৯৮৭</t>
  </si>
  <si>
    <t>মোছাঃ ফুলহরা খাতুন</t>
  </si>
  <si>
    <t>আঃ সাত্তার</t>
  </si>
  <si>
    <t>মোছাঃ জহিরন খাতুন</t>
  </si>
  <si>
    <t>১৮/১০/১৯৮৯</t>
  </si>
  <si>
    <t>০৫/০২/১৯৯০</t>
  </si>
  <si>
    <t>আঃ বারী</t>
  </si>
  <si>
    <t>০২/০৪/১৯৮১</t>
  </si>
  <si>
    <t>মোছাঃ সোহাগী খাতুন</t>
  </si>
  <si>
    <t>১৮/১০/১৯৯১</t>
  </si>
  <si>
    <t>শাহিন হাসান</t>
  </si>
  <si>
    <t>শহিদুল ইসলাম</t>
  </si>
  <si>
    <t>মোছাঃ শাহিদা খাতুন</t>
  </si>
  <si>
    <t>০২/০৪/১৯৯১</t>
  </si>
  <si>
    <t>মোঃ আঃ সালাম</t>
  </si>
  <si>
    <t>৩০/০৪/১৯৯০</t>
  </si>
  <si>
    <t>মোঃ দেলোয়ার হোসেন</t>
  </si>
  <si>
    <t>মোছাঃ ছামেলা খাতুন</t>
  </si>
  <si>
    <t>০৪/১২/১৯৮৯</t>
  </si>
  <si>
    <t>মোঃ আসকার আলী</t>
  </si>
  <si>
    <t>মোঃ আলিহিম</t>
  </si>
  <si>
    <t>১০/০৫/১৯৯১</t>
  </si>
  <si>
    <t>মোঃ সোলাইমান</t>
  </si>
  <si>
    <t>মোছাঃ বেদেনা খাতুন</t>
  </si>
  <si>
    <t>০৫/০৩/১৯৯০</t>
  </si>
  <si>
    <t>মোঃ জান্নাতুল নাঈম</t>
  </si>
  <si>
    <t>মোছাঃ ফরিদা খাতুন</t>
  </si>
  <si>
    <t>০৮/০১/১৯৮৯</t>
  </si>
  <si>
    <t>মোঃ ইব্রাহিম আলী</t>
  </si>
  <si>
    <t>০৪/০৫/১৯৮৯</t>
  </si>
  <si>
    <t>মোঃ ইকতার উদ্দিন</t>
  </si>
  <si>
    <t>মোঃ আব্দুস ছাত্তার</t>
  </si>
  <si>
    <t>১২/০৫/১৯৭২</t>
  </si>
  <si>
    <t>মোঃ আঃ সামাদ হাসমত</t>
  </si>
  <si>
    <t>০৭/১২/১৯৮২</t>
  </si>
  <si>
    <t>মোঃ আব্দুর তাহের আলী</t>
  </si>
  <si>
    <t>আব্দুর খালেক</t>
  </si>
  <si>
    <t>মোছাঃ তাহারন</t>
  </si>
  <si>
    <t>০৭/১২/১৯৮৭</t>
  </si>
  <si>
    <t>মোছাঃ আকেনা খাতুন</t>
  </si>
  <si>
    <t>মোছাঃ রকেয়া খাতুন</t>
  </si>
  <si>
    <t>০৯/১২/১৯৯০</t>
  </si>
  <si>
    <t>খিলাফত মন্ডল</t>
  </si>
  <si>
    <t>১০/০২/১৯৫৭</t>
  </si>
  <si>
    <t>মোঃ হোসেন আলী</t>
  </si>
  <si>
    <t>০৭/১২/১৯৯০</t>
  </si>
  <si>
    <t>মোঃ পলাশ আলী</t>
  </si>
  <si>
    <t>মোছাঃ পারুলা খাতুন</t>
  </si>
  <si>
    <t>০৩/১২/১৯৯২</t>
  </si>
  <si>
    <t>মোঃ সাহিরুল ইসলাম</t>
  </si>
  <si>
    <t>মোঃ আঃ কুদ্দুস</t>
  </si>
  <si>
    <t>মোছাঃ ইমারন নেছা</t>
  </si>
  <si>
    <t>১২/০৬/১৯৯২</t>
  </si>
  <si>
    <t>মোছাঃ রশিদা</t>
  </si>
  <si>
    <t>০৭/০৬/১৯৯২</t>
  </si>
  <si>
    <t>মোঃ নাজিমুদ্দিন</t>
  </si>
  <si>
    <t>১০/১০/১৯৯২</t>
  </si>
  <si>
    <t>মোঃ মারুফ হোসেন</t>
  </si>
  <si>
    <t>আবু সিদ্দীক</t>
  </si>
  <si>
    <t>০৪/০৫/১৯৯৬</t>
  </si>
  <si>
    <t>মোঃ আক্তারুল ইসলাম</t>
  </si>
  <si>
    <t>০৪/০১/১৯৯২</t>
  </si>
  <si>
    <t>০৪/০২/১৯৯২</t>
  </si>
  <si>
    <t>মোঃ গোলাম আলী</t>
  </si>
  <si>
    <t>০৫/১০/১৯৯২</t>
  </si>
  <si>
    <t>মোঃ মুন্না আলী</t>
  </si>
  <si>
    <t>০৪/০৫/১৯৯২</t>
  </si>
  <si>
    <t>মোঃ ইবনে আল নাঈম</t>
  </si>
  <si>
    <t>৩০/০১/১৯৯৩</t>
  </si>
  <si>
    <t>মোঃ ছনি আলী</t>
  </si>
  <si>
    <t>০১/০৩/১৯৯৩</t>
  </si>
  <si>
    <t>মোছাঃ নিহারন খাতুন</t>
  </si>
  <si>
    <t>০২/০৪/১৯৯৩</t>
  </si>
  <si>
    <t>মোঃ আবু বকর ছিদ্দিক</t>
  </si>
  <si>
    <t>০৬/০৩/১৯৯৪</t>
  </si>
  <si>
    <t>২২/০৪/১৯৯৪</t>
  </si>
  <si>
    <t>রহিবুল</t>
  </si>
  <si>
    <t>মোঃ হাবিবর রহমান</t>
  </si>
  <si>
    <t>১০/০৩/১৯৯৪</t>
  </si>
  <si>
    <t>মোঃ আঃ আজিজ</t>
  </si>
  <si>
    <t>মোছাঃ উনজিলা খাতুন</t>
  </si>
  <si>
    <t>০২/০৩/১৯৯৪</t>
  </si>
  <si>
    <t>মোঃ বানারুল ইসলাম</t>
  </si>
  <si>
    <t>১২/০৩/১৯৯৪</t>
  </si>
  <si>
    <t>মোঃ শাহারুল</t>
  </si>
  <si>
    <t>মোছাঃ শাহার বানু</t>
  </si>
  <si>
    <t>মোঃ জুয়েল রানা</t>
  </si>
  <si>
    <t>মোছাঃ আদুরী খাতুন</t>
  </si>
  <si>
    <t>১২/০৮/১৯৯৪</t>
  </si>
  <si>
    <t>মোঃ বাসার আলী</t>
  </si>
  <si>
    <t>১২/০৯/১৯৯৪</t>
  </si>
  <si>
    <t>আবু তাহের</t>
  </si>
  <si>
    <t>মোছাঃ ছাদিকুন নেছা</t>
  </si>
  <si>
    <t>০১/০১/১৯৯৫</t>
  </si>
  <si>
    <t>ফাতেমা খাতুন</t>
  </si>
  <si>
    <t>০৯/১২/১৯৯৫</t>
  </si>
  <si>
    <t>আড়পাড়া, ধানখোলা, গাংনী, মেহেরপুর</t>
  </si>
  <si>
    <t>মোঃ স্বপন আলী</t>
  </si>
  <si>
    <t>মোঃ নিজমুদ্দিন</t>
  </si>
  <si>
    <t>মোঃ কওছার আলী</t>
  </si>
  <si>
    <t>মোঃ আব্দুল মন্ডল</t>
  </si>
  <si>
    <t>মোছাঃ আমজিরা খাতুন</t>
  </si>
  <si>
    <t>০৭/০৮/১৯৯০</t>
  </si>
  <si>
    <t>মোঃ রইচউদ্দীন</t>
  </si>
  <si>
    <t>১০/১০/১৯৯৫</t>
  </si>
  <si>
    <t>মোঃ ছইরদ্দিন</t>
  </si>
  <si>
    <t>মোছাঃ খোদেজা খাতুন</t>
  </si>
  <si>
    <t>০২/১০/১৯৮৮</t>
  </si>
  <si>
    <t>মোছাঃ শবরন নেছা</t>
  </si>
  <si>
    <t>১৫/০৭/১৯৮৯</t>
  </si>
  <si>
    <t>মোঃ মহাবুল হক</t>
  </si>
  <si>
    <t>আঃ শহিদুল হক</t>
  </si>
  <si>
    <t>০৪/০৫/১৯৯০</t>
  </si>
  <si>
    <t>মোঃ আনাত আলী</t>
  </si>
  <si>
    <t>মোঃ আবুবক্কর ছিদ্দিক</t>
  </si>
  <si>
    <t>২০/১২/১৯৭৬</t>
  </si>
  <si>
    <t>মোহাম্মাদ ইসরাইল ইসলাম</t>
  </si>
  <si>
    <t>মোছাঃ জাসিরন নেছা</t>
  </si>
  <si>
    <t>০৯/০৫/১৯৯১</t>
  </si>
  <si>
    <t>প্রবাসী</t>
  </si>
  <si>
    <t>মোঃ আমদ আলী</t>
  </si>
  <si>
    <t>মোছাঃ শাহেরা বেগম</t>
  </si>
  <si>
    <t>১১/০৩/১৯৯৪</t>
  </si>
  <si>
    <t>মোঃ সোহাগ আলী</t>
  </si>
  <si>
    <t>০৫/০৩/১৯৮৩</t>
  </si>
  <si>
    <t>১৭/০৫/১৯৯৩</t>
  </si>
  <si>
    <t>আঃ রহিম</t>
  </si>
  <si>
    <t>০৪/১০/১৯৯৫</t>
  </si>
  <si>
    <t>মোঃ আল- আমিন</t>
  </si>
  <si>
    <t>মোছাঃ ছাবিরা খাতুন</t>
  </si>
  <si>
    <t>০৩/১২/১৯৯৪</t>
  </si>
  <si>
    <t>মোঃ ইব্রাহিম হোসেন</t>
  </si>
  <si>
    <t>মোঃ মসলেম উদ্দিন</t>
  </si>
  <si>
    <t>মোছাঃ সাহিমা খাতুন</t>
  </si>
  <si>
    <t>১৮/০৭/১৯৮১</t>
  </si>
  <si>
    <t>মোঃ শফিক আলী</t>
  </si>
  <si>
    <t>মোঃ দাউদ হোসেন</t>
  </si>
  <si>
    <t>মোছাঃ মরিয়ম নেছা</t>
  </si>
  <si>
    <t>০৯/০২/১৯৯৪</t>
  </si>
  <si>
    <t>মোঃ আহাদ আলি</t>
  </si>
  <si>
    <t>মোছাঃ বিছারন নেছা</t>
  </si>
  <si>
    <t>০৫/০২/১৯৯৪</t>
  </si>
  <si>
    <t>মোঃ আঃ হালিম</t>
  </si>
  <si>
    <t>মোঃ জালাল উদ্দিন</t>
  </si>
  <si>
    <t>০৮/০৯/১৯৯২</t>
  </si>
  <si>
    <t>মোহাম্মাদ সাদ্দাম হোসাইন</t>
  </si>
  <si>
    <t>মোঃ আঃ হান্নান</t>
  </si>
  <si>
    <t>২৫/০৭/১৯৯৩</t>
  </si>
  <si>
    <t>আব্দুর রহিম</t>
  </si>
  <si>
    <t>শাহিনা আক্তার</t>
  </si>
  <si>
    <t>০৫/০২/১৯৮৫</t>
  </si>
  <si>
    <t>মোঃ আলামগীর আলি</t>
  </si>
  <si>
    <t>মোছাঃ সাবরিয়া খাতুন</t>
  </si>
  <si>
    <t>০৫/০৩/১৯৯২</t>
  </si>
  <si>
    <t>মোঃ ইসরাফিল হোসেন</t>
  </si>
  <si>
    <t>২০/০২/১৯৯৩</t>
  </si>
  <si>
    <t>মোঃ হামিদুর রহমান</t>
  </si>
  <si>
    <t>একরামুল হক</t>
  </si>
  <si>
    <t>০১/০৪/১৯৯৩</t>
  </si>
  <si>
    <t>আলাউদ্দীন</t>
  </si>
  <si>
    <t>০৮/০৩/১৯৯৫</t>
  </si>
  <si>
    <t>মোঃ লিয়াকত আলি</t>
  </si>
  <si>
    <t>মোছাঃ রাশিদা খাতুন</t>
  </si>
  <si>
    <t>২৪/০৪/১৯৯১</t>
  </si>
  <si>
    <t>মোঃ নহিম উদ্দীন</t>
  </si>
  <si>
    <t>মোছাঃ আমেনা বেগম</t>
  </si>
  <si>
    <t>২৬/০৯/১৯৯৫</t>
  </si>
  <si>
    <t>মোঃ শুকুর</t>
  </si>
  <si>
    <t>আব্দুস সাত্তার</t>
  </si>
  <si>
    <t>০৮/০৯/১৯৮০</t>
  </si>
  <si>
    <t>মোঃ আমানুল ইসলাম</t>
  </si>
  <si>
    <t>০১/০১/১৯৯৩</t>
  </si>
  <si>
    <t>মোঃ রাজু আহম্মোদ</t>
  </si>
  <si>
    <t>মোছাঃ ফুরুন্নি খাতুন</t>
  </si>
  <si>
    <t>মোঃ নহিমুদ্দীন</t>
  </si>
  <si>
    <t>০২/১০/১৯৯০</t>
  </si>
  <si>
    <t>মোঃ জিল্লুর রহমান রাকিব</t>
  </si>
  <si>
    <t>মোঃ শাহাদত আলী</t>
  </si>
  <si>
    <t>১৫/০৮/১৯৯৪</t>
  </si>
  <si>
    <t>০৩/০২/১৯৯৬</t>
  </si>
  <si>
    <t>মোঃ শাহিন আলম</t>
  </si>
  <si>
    <t>১২/০৬/১৯৯৬</t>
  </si>
  <si>
    <t>মোঃ পরাগ আলি</t>
  </si>
  <si>
    <t>মোঃ মিজান আলী</t>
  </si>
  <si>
    <t>০৪/১১/১৯৯৬</t>
  </si>
  <si>
    <t>মোঃ আলমগীর</t>
  </si>
  <si>
    <t>মোঃ বানী ইসরাইল</t>
  </si>
  <si>
    <t>১৯/০১/১৯৯৬</t>
  </si>
  <si>
    <t>মোঃ বাবুল হুছাইন</t>
  </si>
  <si>
    <t>মোঃ খুরমান আলি</t>
  </si>
  <si>
    <t>০৪/০১/১৯৯৬</t>
  </si>
  <si>
    <t>মোঃ শাহাবুল ইসলাম</t>
  </si>
  <si>
    <t>০১/০১/১৯৯৭</t>
  </si>
  <si>
    <t>মোঃ শাহিন আলি</t>
  </si>
  <si>
    <t>মোছাঃ মাহেরা খাতুন</t>
  </si>
  <si>
    <t>০১/০২/১৯৯৬</t>
  </si>
  <si>
    <t>মোঃ জিলহজ্ব আলী</t>
  </si>
  <si>
    <t>মোঃ ইলিয়াছ আলী</t>
  </si>
  <si>
    <t>১০/০৮/১৯৯৭</t>
  </si>
  <si>
    <t>মোঃ শাহিনুজ্জামান</t>
  </si>
  <si>
    <t>মোঃ আব্দুল বাসার</t>
  </si>
  <si>
    <t>১৬/১০/১৯৯৭</t>
  </si>
  <si>
    <t>মোঃ আব্দুল মোমিন</t>
  </si>
  <si>
    <t>মোছাঃ ছাহেলা</t>
  </si>
  <si>
    <t>০২/০৩/১৯৯৬</t>
  </si>
  <si>
    <t>মোঃ হাবিবুর</t>
  </si>
  <si>
    <t>ফয়সাল</t>
  </si>
  <si>
    <t>নাহিমা</t>
  </si>
  <si>
    <t>০১/০৮/১৯৮৭</t>
  </si>
  <si>
    <t>মোঃ ওমর ফারুক</t>
  </si>
  <si>
    <t>০৪/০১/১৯৯৭</t>
  </si>
  <si>
    <t>মকবুল</t>
  </si>
  <si>
    <t>মোঃ আইয়ুব আলী</t>
  </si>
  <si>
    <t>১৮/০৫/১৯৮৭</t>
  </si>
  <si>
    <t>মোঃ গোলাম রসুল</t>
  </si>
  <si>
    <t>নাসির উদ্দিন</t>
  </si>
  <si>
    <t>আনুরা বেগম</t>
  </si>
  <si>
    <t>২০/০৬/১৯৯২</t>
  </si>
  <si>
    <t>কালাচাঁদ</t>
  </si>
  <si>
    <t>খাদিজান নেছা</t>
  </si>
  <si>
    <t>১২/১০/১৯৮৪</t>
  </si>
  <si>
    <t>ভাদু</t>
  </si>
  <si>
    <t>নিমোয়ী খাতুন</t>
  </si>
  <si>
    <t>০৮/১০/১৯৯৭</t>
  </si>
  <si>
    <t>সুমন</t>
  </si>
  <si>
    <t>শুকিরন খাতুন</t>
  </si>
  <si>
    <t>২০/১০/১৯৯১</t>
  </si>
  <si>
    <t>মোঃ ইস্রাফিল</t>
  </si>
  <si>
    <t>০৭/১০/১৯৯৬</t>
  </si>
  <si>
    <t>মোঃ হুমায়ুন কবীর</t>
  </si>
  <si>
    <t>মোঃ আবু বক্কর ছিদ্দিক</t>
  </si>
  <si>
    <t>২৪/১১/১৯৯৬</t>
  </si>
  <si>
    <t>আবুল কালাম আজাদ</t>
  </si>
  <si>
    <t>মোছাঃ রওশন আরা</t>
  </si>
  <si>
    <t>১০/০৪/১৯৯০</t>
  </si>
  <si>
    <t>মোঃ রাসেল</t>
  </si>
  <si>
    <t>মোছাঃ মনজিরা খাতুন</t>
  </si>
  <si>
    <t>০৬/০৩/১৯৯৭</t>
  </si>
  <si>
    <t>০৯/০৯/১৯৯৪</t>
  </si>
  <si>
    <t>আনোয়ার হোসেন</t>
  </si>
  <si>
    <t>১৮/১২/১৯৭৪</t>
  </si>
  <si>
    <t>ইলিয়াস</t>
  </si>
  <si>
    <t>খেজমত</t>
  </si>
  <si>
    <t>মনজুরা</t>
  </si>
  <si>
    <t>২৫/১০/১৯৯০</t>
  </si>
  <si>
    <t>মোঃ তাইজেল বাদশা</t>
  </si>
  <si>
    <t>মোঃ বদর উদ্দিন</t>
  </si>
  <si>
    <t>মোছাঃ কোকিলা খাতুন</t>
  </si>
  <si>
    <t>মোঃ গোলাম রাব্বি</t>
  </si>
  <si>
    <t>১০/০৭/১৯৯৭</t>
  </si>
  <si>
    <t>মোঃ আয়ুব আলি</t>
  </si>
  <si>
    <t>মোছাঃ ছারেজান</t>
  </si>
  <si>
    <t>০৮/১২/১৯৮৯</t>
  </si>
  <si>
    <t>মোঃ বাপ্পারাজ</t>
  </si>
  <si>
    <t>মোঃ মকলেছুর রহমান</t>
  </si>
  <si>
    <t>মোছাঃ ইনছানুর নেছা</t>
  </si>
  <si>
    <t>০৭/০৮/১৯৯৬</t>
  </si>
  <si>
    <t>মোঃ সুজন আলী</t>
  </si>
  <si>
    <t>মোছাঃ চায়না খাতুন</t>
  </si>
  <si>
    <t>৩০/১২/১৯৯৭</t>
  </si>
  <si>
    <t>মোছাঃ ছহিরন নেছা</t>
  </si>
  <si>
    <t>২০/১০/১৯৯০</t>
  </si>
  <si>
    <t>০৪/০১/১৯৯৫</t>
  </si>
  <si>
    <t>মোঃ আকাশ আলী</t>
  </si>
  <si>
    <t>মোছাঃ জুলেখা খাতুন</t>
  </si>
  <si>
    <t>১২/১২/১৯৯৭</t>
  </si>
  <si>
    <t>মোঃ মহিদুল ইসলাম</t>
  </si>
  <si>
    <t>মোঃ ওহিদ আলী</t>
  </si>
  <si>
    <t>মোছাঃ মহিমা খাতুন</t>
  </si>
  <si>
    <t>০৯/০৭/১৯৯২</t>
  </si>
  <si>
    <t>মোঃ রমিজুল ইসলাম</t>
  </si>
  <si>
    <t>মোঃ রায়হান আলি</t>
  </si>
  <si>
    <t>০৮/০৭/১৯৯০</t>
  </si>
  <si>
    <t>মোঃ আরিফুল ইসলাম রিমন</t>
  </si>
  <si>
    <t>মো আহসানুল হক বাবু</t>
  </si>
  <si>
    <t>মোছাঃ আফরোজা খাতুন</t>
  </si>
  <si>
    <t>০৪/০৮/১৯৯৬</t>
  </si>
  <si>
    <t>ছাকেম</t>
  </si>
  <si>
    <t>২৪/১২/১৯৯১</t>
  </si>
  <si>
    <t>মোঃ ফরিদ</t>
  </si>
  <si>
    <t>মোঃ মজনু আলী</t>
  </si>
  <si>
    <t>মোছাঃ নাছিমা খাতুন</t>
  </si>
  <si>
    <t>২০/১০/১৯৯৫</t>
  </si>
  <si>
    <t>আল মামুন</t>
  </si>
  <si>
    <t>মোঃ আবু বক্কর</t>
  </si>
  <si>
    <t>০৮/০৪/১৯৮১</t>
  </si>
  <si>
    <t>ওয়াসিম আকরাম</t>
  </si>
  <si>
    <t>মোঃ জসিম উদ্দিন</t>
  </si>
  <si>
    <t>মোছাঃ সাজেদা খাতুন</t>
  </si>
  <si>
    <t>৩০/১২/১৯৮৭</t>
  </si>
  <si>
    <t>০৬/০৫/১৯৮৩</t>
  </si>
  <si>
    <t>মোঃ এমাজ উদ্দীন</t>
  </si>
  <si>
    <t>১২/০১/১৯৯০</t>
  </si>
  <si>
    <t>মোসাঃ খুরশীদা বেগম</t>
  </si>
  <si>
    <t>৩০/০৬/১৯৭৯</t>
  </si>
  <si>
    <t>মোঃ জহিরুল ইসলাম</t>
  </si>
  <si>
    <t>১৮/১০/১৯৮৭</t>
  </si>
  <si>
    <t>খেদু মোল্লা</t>
  </si>
  <si>
    <t>১৭/০৬/১৯৬৯</t>
  </si>
  <si>
    <t>মোঃ চাঁদআলী</t>
  </si>
  <si>
    <t>নাজিরা খাতুন</t>
  </si>
  <si>
    <t>০৩/০১/১৯৯৭</t>
  </si>
  <si>
    <t>মোঃ শাকিল খান</t>
  </si>
  <si>
    <t>মোছাঃ জাহারন নেছা</t>
  </si>
  <si>
    <t>৩০/১২/১৯৯৮</t>
  </si>
  <si>
    <t>মোঃ জয়নাল আলী</t>
  </si>
  <si>
    <t>মোঃ শুকুর আলি</t>
  </si>
  <si>
    <t>মোছাঃ রিনা খাতুন</t>
  </si>
  <si>
    <t>০৪/০৬/১৯৯৭</t>
  </si>
  <si>
    <t>মোঃ সুমন আলি</t>
  </si>
  <si>
    <t>২৫/০৬/১৯৯৮</t>
  </si>
  <si>
    <t>মোঃ মামুন আলী</t>
  </si>
  <si>
    <t>মোঃ ইদ্রিস আলি</t>
  </si>
  <si>
    <t>০৬/০৫/১৯৯৭</t>
  </si>
  <si>
    <t>মোছাঃ আতিয়ার রহমান</t>
  </si>
  <si>
    <t>সামসুল</t>
  </si>
  <si>
    <t>মনোয়ারা</t>
  </si>
  <si>
    <t>মোঃ শিহাব উদ্দিন</t>
  </si>
  <si>
    <t>০১/০১/১৯৯৮</t>
  </si>
  <si>
    <t>মোঃ মিলন আলী</t>
  </si>
  <si>
    <t>০৬/০৬/১৯৯২</t>
  </si>
  <si>
    <t>মোঃ রুবেল আহাম্মেদ</t>
  </si>
  <si>
    <t>মোছাঃ শিউলি খাতুন</t>
  </si>
  <si>
    <t>মোঃ রুবেল আলী</t>
  </si>
  <si>
    <t>০৩/০৫/১৯৯৭</t>
  </si>
  <si>
    <t>মোঃ অসমত আলী</t>
  </si>
  <si>
    <t>০৫/০২/১৯৯২</t>
  </si>
  <si>
    <t>আব্দুস সামাদ</t>
  </si>
  <si>
    <t>আবেদা খাতুন</t>
  </si>
  <si>
    <t>০২/০১/১৯৯৫</t>
  </si>
  <si>
    <t>ইমাম/পুরোহিত/পাদ্রী</t>
  </si>
  <si>
    <t>মোঃ হুমায়ন কবীর</t>
  </si>
  <si>
    <t>১৮/০৮/১৯৯৮</t>
  </si>
  <si>
    <t>মোঃ মেমন আলী</t>
  </si>
  <si>
    <t>মোছাঃ পারভীনা খাতুন</t>
  </si>
  <si>
    <t>০৩/০৭/১৯৯৮</t>
  </si>
  <si>
    <t>মোহাম্মদ আক্তারুল</t>
  </si>
  <si>
    <t>আকমান</t>
  </si>
  <si>
    <t>মোছাঃ মালেজান</t>
  </si>
  <si>
    <t>২২/০৯/১৯৯৩</t>
  </si>
  <si>
    <t>মোছাঃ ছানোয়ারা বেগম</t>
  </si>
  <si>
    <t>মোছাঃ ছপুর খাতুন</t>
  </si>
  <si>
    <t>২১/০৮/১৯৯২</t>
  </si>
  <si>
    <t>মোঃ তুহিন আলী</t>
  </si>
  <si>
    <t>১০/১১/১৯৯৯</t>
  </si>
  <si>
    <t>মোঃ আব্দুস সামাদ</t>
  </si>
  <si>
    <t>মোঃ ইনতাদুল হক</t>
  </si>
  <si>
    <t>মোছাঃ রেশমা খাতুন</t>
  </si>
  <si>
    <t>০৩/০৩/১৯৯৯</t>
  </si>
  <si>
    <t>মোঃ সাব্বির হোসেন</t>
  </si>
  <si>
    <t>মোঃ মিনহাজ আলী</t>
  </si>
  <si>
    <t>মোছাঃ পারভিনা খাতুন</t>
  </si>
  <si>
    <t>১০/০৫/১৯৯৯</t>
  </si>
  <si>
    <t>মোঃ টুকু মিয়া</t>
  </si>
  <si>
    <t>মোঃ তোমছ আলী</t>
  </si>
  <si>
    <t>মোছাঃ আশেদা খাতুন</t>
  </si>
  <si>
    <t>১২/০২/১৯৯৯</t>
  </si>
  <si>
    <t>মোঃ বুলবুল আহমেদ</t>
  </si>
  <si>
    <t>২০/০৮/১৯৯৯</t>
  </si>
  <si>
    <t>মোঃ মাসুম আলী</t>
  </si>
  <si>
    <t>মোঃ আনুছদ্দিন</t>
  </si>
  <si>
    <t>মোছাঃ মারছিনা খাতুন</t>
  </si>
  <si>
    <t>০৪/০৪/১৯৯৯</t>
  </si>
  <si>
    <t>মোছাঃ হাসিনা খাতুন</t>
  </si>
  <si>
    <t>০৫/০৮/১৯৯৩</t>
  </si>
  <si>
    <t>"মধ্যপাড়া</t>
  </si>
  <si>
    <t xml:space="preserve"> আড়পাড়া</t>
  </si>
  <si>
    <t>মোঃ তরিকুল ইসলাম</t>
  </si>
  <si>
    <t>মোঃ লিয়াকত</t>
  </si>
  <si>
    <t>০৪/০৩/১৯৯৭</t>
  </si>
  <si>
    <t>"বাজারপাড়া</t>
  </si>
  <si>
    <t>আঃ নুরাল আলী</t>
  </si>
  <si>
    <t>আঃ খালেক</t>
  </si>
  <si>
    <t>তাহরন খাতুন</t>
  </si>
  <si>
    <t>১০/১২/১৯৯৫</t>
  </si>
  <si>
    <t>"পূর্বপাড়া</t>
  </si>
  <si>
    <t>মোঃ হিমচাদ আলী</t>
  </si>
  <si>
    <t>মৃত জবেদা বেগম</t>
  </si>
  <si>
    <t>২০/১২/১৯৮৯</t>
  </si>
  <si>
    <t>সাইদুর রহমান</t>
  </si>
  <si>
    <t>২৩/১০/১৯৯০</t>
  </si>
  <si>
    <t>আমান</t>
  </si>
  <si>
    <t>১৫/০৮/১৯৯০</t>
  </si>
  <si>
    <t>"গোরস্থান পাড়া</t>
  </si>
  <si>
    <t>মোছাঃ ফাতিমা খাতুন</t>
  </si>
  <si>
    <t>০৪/০৬/১৯৯২</t>
  </si>
  <si>
    <t>"বাজার পাড়া</t>
  </si>
  <si>
    <t>মোঃ আলমগীর কবির</t>
  </si>
  <si>
    <t>মোছাঃ সারজিনা খাতুন</t>
  </si>
  <si>
    <t>২৫/০৮/১৯৯২</t>
  </si>
  <si>
    <t>চাকুরী</t>
  </si>
  <si>
    <t>"পশ্চিমপাড়া</t>
  </si>
  <si>
    <t>মোঃ রিফাজুল ইসলাম</t>
  </si>
  <si>
    <t>রেজাউল ইসলাম</t>
  </si>
  <si>
    <t>নেহেরুন নিছা</t>
  </si>
  <si>
    <t>০৫/০৪/১৯৮৫</t>
  </si>
  <si>
    <t>"পূর্ব পাড়া</t>
  </si>
  <si>
    <t>মোছাঃ শ্যামেলা খাতুন</t>
  </si>
  <si>
    <t>১২/০৬/১৯৮৯</t>
  </si>
  <si>
    <t>"মাঝের পাড়া</t>
  </si>
  <si>
    <t>মোহাঃ আব্দুর রশিদ</t>
  </si>
  <si>
    <t>মোহাঃ আকছেদ আলী</t>
  </si>
  <si>
    <t>মোছাঃ মোমেনা খাতুন</t>
  </si>
  <si>
    <t>০১/০৮/১৯৯৬</t>
  </si>
  <si>
    <t>মোছাঃ বুলবুলি</t>
  </si>
  <si>
    <t>২২/০২/১৯৯৪</t>
  </si>
  <si>
    <t>আরবিয়া</t>
  </si>
  <si>
    <t>"নতুন পাড়া</t>
  </si>
  <si>
    <t>মোঃ জনি আহমেদ</t>
  </si>
  <si>
    <t>মাম্ফাফ আলী</t>
  </si>
  <si>
    <t>১৫/১১/১৯৯৮</t>
  </si>
  <si>
    <t>"ফরাজীপাড়া</t>
  </si>
  <si>
    <t>মোঃ ছহির উদ্দিন</t>
  </si>
  <si>
    <t>খোদেজা খাতুন</t>
  </si>
  <si>
    <t>০৪/০৫/১৯৯৮</t>
  </si>
  <si>
    <t>ড্রাইভার</t>
  </si>
  <si>
    <t>মৃত হাবিবুর রহমান</t>
  </si>
  <si>
    <t>মৃত জাহানারা খাতুন</t>
  </si>
  <si>
    <t>১৮/০৪/১৯৮০</t>
  </si>
  <si>
    <t>মোঃ রাকিবুল ইসলাম</t>
  </si>
  <si>
    <t>মোঃ বসির উদ্দীন</t>
  </si>
  <si>
    <t>রিনা খাতুন</t>
  </si>
  <si>
    <t>০৭/০৮/১৯৯৮</t>
  </si>
  <si>
    <t>"ফরাজী পাড়া</t>
  </si>
  <si>
    <t>মোঃ মুজাম আলী</t>
  </si>
  <si>
    <t>মৃত সুরাতন খাতুন</t>
  </si>
  <si>
    <t>"উত্তর পাড়া</t>
  </si>
  <si>
    <t>ছহির উদ্দীন</t>
  </si>
  <si>
    <t>মৃত কহিনুর খাতুন</t>
  </si>
  <si>
    <t>০৬/০১/১৯৮২</t>
  </si>
  <si>
    <t>মজিবার রহমান</t>
  </si>
  <si>
    <t>মৃত আব্দুল লতিব</t>
  </si>
  <si>
    <t>মহিমা খাতুন</t>
  </si>
  <si>
    <t>২০/০১/১৯৯১</t>
  </si>
  <si>
    <t>"ফরাজি পাড়া</t>
  </si>
  <si>
    <t>মোঃ রানা আহমেদ</t>
  </si>
  <si>
    <t>মোঃ কুমুচ আলী</t>
  </si>
  <si>
    <t>০৯/০৯/১৯৯৮</t>
  </si>
  <si>
    <t>মোঃ আবু সাইম</t>
  </si>
  <si>
    <t>১৬/০৪/১৯৯৪</t>
  </si>
  <si>
    <t>মোঃ আব্দুল আজিত</t>
  </si>
  <si>
    <t>মোছাঃ রংফুল</t>
  </si>
  <si>
    <t>০৭/০৮/১৯৯২</t>
  </si>
  <si>
    <t>রিক্সা/ভ্যান চালক</t>
  </si>
  <si>
    <t>চিনিরদ্দিন</t>
  </si>
  <si>
    <t>২০/১০/১৯৯৭</t>
  </si>
  <si>
    <t>আঃ রহমান</t>
  </si>
  <si>
    <t>০১/০৯/১৯৮৫</t>
  </si>
  <si>
    <t>"সুতির পাড়া</t>
  </si>
  <si>
    <t>০৩/০৬/১৯৯৬</t>
  </si>
  <si>
    <t>আবু শহিদ</t>
  </si>
  <si>
    <t>মেহেরা খাতুন</t>
  </si>
  <si>
    <t>০৯/০৯/১৯৮৪</t>
  </si>
  <si>
    <t>মোঃ জয়ফল আলী</t>
  </si>
  <si>
    <t>মোঃ মোজ্জামেল হক</t>
  </si>
  <si>
    <t>"উত্তরপাড়া</t>
  </si>
  <si>
    <t>মৃত মহির উদ্দিন</t>
  </si>
  <si>
    <t>১২/০৫/১৯৯৮</t>
  </si>
  <si>
    <t>মোঃ মনিরুজ্জামান</t>
  </si>
  <si>
    <t>০৫/০৪/১৯৯৪</t>
  </si>
  <si>
    <t>মোঃ আইবার আলী মন্ডল</t>
  </si>
  <si>
    <t>মোছাঃ মহুয়া বেগম</t>
  </si>
  <si>
    <t>০১/০১/১৯৯৬</t>
  </si>
  <si>
    <t>মোহাম্মদ আজিজুল ইসলাম</t>
  </si>
  <si>
    <t>মৃত জবেদা খাতুন</t>
  </si>
  <si>
    <t>২০/০৫/১৯৯৬</t>
  </si>
  <si>
    <t>০২/০৩/১৯৯৫</t>
  </si>
  <si>
    <t>মোঃ ইমরান হোসেন</t>
  </si>
  <si>
    <t>মোঃ রহিদুল ইসলাম</t>
  </si>
  <si>
    <t>মোছাঃ সৃজনা খাতুন</t>
  </si>
  <si>
    <t>০৩/০১/১৯৯৪</t>
  </si>
  <si>
    <t>মোঃ আসাদুল্লাহ আল মামুন</t>
  </si>
  <si>
    <t>মোঃ মিরাজুল ইসলাম</t>
  </si>
  <si>
    <t>মোছাঃ হোসনেআরা খাতুন</t>
  </si>
  <si>
    <t>০৬/০৯/১৯৯৫</t>
  </si>
  <si>
    <t>মৃত আলম আলী</t>
  </si>
  <si>
    <t>সবেজান খাতুন</t>
  </si>
  <si>
    <t>মোঃ বাবলু ইসলাম</t>
  </si>
  <si>
    <t>মোছাঃ মুর্শিদা খাতুন</t>
  </si>
  <si>
    <t>২০/০৫/২০০২</t>
  </si>
  <si>
    <t>মোঃ ভাদু আলি</t>
  </si>
  <si>
    <t>নিময়ী খাতুন</t>
  </si>
  <si>
    <t>০৫/০৮/২০০১</t>
  </si>
  <si>
    <t>মোঃ শাহিন</t>
  </si>
  <si>
    <t>নূরজাহান</t>
  </si>
  <si>
    <t>২০/১০/২০০০</t>
  </si>
  <si>
    <t>মোছাঃ ফেরদোসৌ খাতুন</t>
  </si>
  <si>
    <t>১৫/১১/১৯৯২</t>
  </si>
  <si>
    <t>মোঃ মারুফ হোসাইন</t>
  </si>
  <si>
    <t>মোছাঃ মারুফা খাতুন</t>
  </si>
  <si>
    <t>০১/০১/২০০২</t>
  </si>
  <si>
    <t>মোঃ রাজু আহমেদ</t>
  </si>
  <si>
    <t>মোঃ ইমান আলী</t>
  </si>
  <si>
    <t>০৩/০২/২০০০</t>
  </si>
  <si>
    <t>আবু শোয়াইব আলম সিফাত</t>
  </si>
  <si>
    <t>মোছাঃ শেফালী আলম</t>
  </si>
  <si>
    <t>০৬/১১/২০০২</t>
  </si>
  <si>
    <t>মোঃ তুষার</t>
  </si>
  <si>
    <t>মোছাঃ শিউলী খাতুন</t>
  </si>
  <si>
    <t>০৪/০৬/২০০২</t>
  </si>
  <si>
    <t>মোঃ ইকবাল হোসাইন</t>
  </si>
  <si>
    <t>১১/০৯/২০০০</t>
  </si>
  <si>
    <t>মোঃ রাজিবুল</t>
  </si>
  <si>
    <t>মোঃ সাহাদুল</t>
  </si>
  <si>
    <t>মোছাঃ রোজিনা খাতুন</t>
  </si>
  <si>
    <t>০৭/১২/২০০২</t>
  </si>
  <si>
    <t>মোঃ সুমন আলী</t>
  </si>
  <si>
    <t>মোঃ আশাদুল</t>
  </si>
  <si>
    <t>১৫/০৬/২০০৩</t>
  </si>
  <si>
    <t>মোঃ আশিক আলী</t>
  </si>
  <si>
    <t>জাহের আলী</t>
  </si>
  <si>
    <t>মুরশিদা খাতুন</t>
  </si>
  <si>
    <t>০৮/০৬/২০০২</t>
  </si>
  <si>
    <t>জাহাঙ্গীর</t>
  </si>
  <si>
    <t>ছাবিয়া</t>
  </si>
  <si>
    <t>২০/১১/১৯৯৮</t>
  </si>
  <si>
    <t>মিঠু আলী</t>
  </si>
  <si>
    <t>পারভিনা</t>
  </si>
  <si>
    <t>২০/০২/২০০২</t>
  </si>
  <si>
    <t>মোঃ মিঠন আলী</t>
  </si>
  <si>
    <t>মোঃ জাহান আলী</t>
  </si>
  <si>
    <t>মোছাঃ ছামিরন</t>
  </si>
  <si>
    <t>২০/০৩/১৯৯৪</t>
  </si>
  <si>
    <t>ফিরোজুল</t>
  </si>
  <si>
    <t>ই্য়াজার</t>
  </si>
  <si>
    <t>রওশন আরা</t>
  </si>
  <si>
    <t>২৩/১০/১৯৮৯</t>
  </si>
  <si>
    <t>"-</t>
  </si>
  <si>
    <t>মোঃ মিকাইল হোসেন</t>
  </si>
  <si>
    <t>মোছাঃ মহিলা খাতুন</t>
  </si>
  <si>
    <t>০৪/১০/২০০০</t>
  </si>
  <si>
    <t>মোঃ আশকার</t>
  </si>
  <si>
    <t>আশাদুল হক</t>
  </si>
  <si>
    <t>মালেকা খাতুন</t>
  </si>
  <si>
    <t>০৩/০৩/১৯৯৮</t>
  </si>
  <si>
    <t>মুকুল মিয়া</t>
  </si>
  <si>
    <t>মৃত আবু সাইদ</t>
  </si>
  <si>
    <t>মেহেরুন বেগম</t>
  </si>
  <si>
    <t>০১/০৭/১৯৯০</t>
  </si>
  <si>
    <t>মোঃ মফেজদ্দীন</t>
  </si>
  <si>
    <t>১৮/১২/১৯৯৬</t>
  </si>
  <si>
    <t>মোঃ রাজীব আলী</t>
  </si>
  <si>
    <t>নাজমুল</t>
  </si>
  <si>
    <t>মাজেদা</t>
  </si>
  <si>
    <t>১২/০৮/২০০২</t>
  </si>
  <si>
    <t>মোঃ সাগর</t>
  </si>
  <si>
    <t>আবুল কালাম</t>
  </si>
  <si>
    <t>মেরিনা খাতুন</t>
  </si>
  <si>
    <t>০৩/১০/১৯৯৭</t>
  </si>
  <si>
    <t>মোঃ খালিকুজ্জামান</t>
  </si>
  <si>
    <t>ঠান্ডু আলী</t>
  </si>
  <si>
    <t>রুবিনা খাতুন</t>
  </si>
  <si>
    <t>১০/০৮/২০০৩</t>
  </si>
  <si>
    <t>জয় আহম্মেদ</t>
  </si>
  <si>
    <t>হাকিম উদ্দীন</t>
  </si>
  <si>
    <t>রওশনারা</t>
  </si>
  <si>
    <t>০৪/১২/২০০২</t>
  </si>
  <si>
    <t>মোঃ হৃদয় আহমেদ</t>
  </si>
  <si>
    <t>মোছাঃ রিপনা খাতুন</t>
  </si>
  <si>
    <t>১৫/১১/২০০০</t>
  </si>
  <si>
    <t>মোঃ সেলিম হোসেন</t>
  </si>
  <si>
    <t>০৬/০৫/১৯৯৬</t>
  </si>
  <si>
    <t>মন্টু মিয়া</t>
  </si>
  <si>
    <t>মোছাঃ কল্পনা খাতুন</t>
  </si>
  <si>
    <t>১২/০৭/২০০২</t>
  </si>
  <si>
    <t>কবির</t>
  </si>
  <si>
    <t>ছানোয়ার হোসেন</t>
  </si>
  <si>
    <t>নুরজাহান</t>
  </si>
  <si>
    <t>০৪/০৫/১৯৮৮</t>
  </si>
  <si>
    <t>শ্রী বিকাশ কুমার সাহা</t>
  </si>
  <si>
    <t>শ্রীমতি বিজলী রানী সাহা</t>
  </si>
  <si>
    <t>১২/০৯/২০০১</t>
  </si>
  <si>
    <t>মোঃ রজ্জব আলী</t>
  </si>
  <si>
    <t>মোছাঃ তাছলিমা খাতুন</t>
  </si>
  <si>
    <t>১৪/০১/২০০১</t>
  </si>
  <si>
    <t>মহিদুল</t>
  </si>
  <si>
    <t>মুনছুর আলী</t>
  </si>
  <si>
    <t>সাহেরা খাতুন</t>
  </si>
  <si>
    <t>১৮/০৩/১৯৯৩</t>
  </si>
  <si>
    <t>মোঃ তৌফিক এলাহী</t>
  </si>
  <si>
    <t>মোছাঃ রুনা খাতুন</t>
  </si>
  <si>
    <t>২০/১২/২০০৩</t>
  </si>
  <si>
    <t>মোছাঃ ইশারন নেছা</t>
  </si>
  <si>
    <t>১৮/০২/২০০২</t>
  </si>
  <si>
    <t>হিমচাদ আলী</t>
  </si>
  <si>
    <t>০৪/১২/২০০১</t>
  </si>
  <si>
    <t>মোঃ রহিম</t>
  </si>
  <si>
    <t>খইমন নেছা</t>
  </si>
  <si>
    <t>১২/১২/১৯৯২</t>
  </si>
  <si>
    <t>মোছাঃ রঙ্গিলা খাতুন</t>
  </si>
  <si>
    <t>০৮/০৮/২০০১</t>
  </si>
  <si>
    <t>মোঃ আদালত হোসেন</t>
  </si>
  <si>
    <t>২০/০৩/১৯৯৭</t>
  </si>
  <si>
    <t>শ্রী অপূর্ব সাহা</t>
  </si>
  <si>
    <t>মোছাঃ প্রতিমা রানী সাহা</t>
  </si>
  <si>
    <t>০১/০১/২০০১</t>
  </si>
  <si>
    <t>মোঃ রাজু আহাম্মেদ</t>
  </si>
  <si>
    <t>মোছাঃ মুসলিম খাতুন</t>
  </si>
  <si>
    <t>০১/০৩/২০০০</t>
  </si>
  <si>
    <t>মোঃ আলকামা হোসাইন</t>
  </si>
  <si>
    <t>২৫/১২/২০০১</t>
  </si>
  <si>
    <t>মোঃ রানা</t>
  </si>
  <si>
    <t>আজিজুল হক</t>
  </si>
  <si>
    <t>রাসেদা</t>
  </si>
  <si>
    <t>১০/০৫/২০০৩</t>
  </si>
  <si>
    <t>মোঃ ফিরোজ আলী</t>
  </si>
  <si>
    <t>মোঃ রবিউল</t>
  </si>
  <si>
    <t>০১/০৯/২০০১</t>
  </si>
  <si>
    <t>মোঃ ওসমান আলী</t>
  </si>
  <si>
    <t>মোছাঃ পাপিয়া খাতুন</t>
  </si>
  <si>
    <t>০১/০৫/২০০৩</t>
  </si>
  <si>
    <t>রায়হান আলী</t>
  </si>
  <si>
    <t>১৫/০৯/২০০২</t>
  </si>
  <si>
    <t>মোঃ সালাউদ্দীন</t>
  </si>
  <si>
    <t>২০/০৯/২০০৩</t>
  </si>
  <si>
    <t>মোঃ আল ইমরান</t>
  </si>
  <si>
    <t>মোঃ আক্তারুল</t>
  </si>
  <si>
    <t>মোঃ হাসানুল</t>
  </si>
  <si>
    <t>মোছাঃ আরফিনা খাতুন</t>
  </si>
  <si>
    <t>১৫/১০/২০০৩</t>
  </si>
  <si>
    <t>মোঃ আলাল হোসেন</t>
  </si>
  <si>
    <t>মৃত তাহাজদ্দীন</t>
  </si>
  <si>
    <t>মোছাঃ মঞ্জুরা বেগম</t>
  </si>
  <si>
    <t>০৯/১১/২০০০</t>
  </si>
  <si>
    <t>মোঃ লিখন আলী</t>
  </si>
  <si>
    <t>খুরমান আলী</t>
  </si>
  <si>
    <t>আছমা</t>
  </si>
  <si>
    <t>২০/০৯/২০০২</t>
  </si>
  <si>
    <t>মোঃ ইমরান হোসেন তাজুল</t>
  </si>
  <si>
    <t>মোছাঃ সোনাভানু</t>
  </si>
  <si>
    <t>মোছাঃ আঙ্গুরা খাতুন</t>
  </si>
  <si>
    <t>০৮/০৬/২০০৩</t>
  </si>
  <si>
    <t>মোঃ মোকবুল হোসেন</t>
  </si>
  <si>
    <t>০৩/০৮/২০০১</t>
  </si>
  <si>
    <t>মোঃ রিদয় আহমেদ</t>
  </si>
  <si>
    <t>মোঃ তোফাজ্জেল হোসেন</t>
  </si>
  <si>
    <t>মোছাঃ মরিয়ম খাতুন</t>
  </si>
  <si>
    <t>০৪/১২/২০০৩</t>
  </si>
  <si>
    <t>মোঃ আকরাম আলী</t>
  </si>
  <si>
    <t>০১/০১/২০০০</t>
  </si>
  <si>
    <t>আব্দুল মোমিন</t>
  </si>
  <si>
    <t>১২/০৬/২০০২</t>
  </si>
  <si>
    <t>মোঃ মহব্বত আলী</t>
  </si>
  <si>
    <t>মোছাঃ আফিয়া সুলতানা</t>
  </si>
  <si>
    <t>০১/০১/২০০৪</t>
  </si>
  <si>
    <t>মোহাম্মাদ সেন্টু আলী</t>
  </si>
  <si>
    <t>০৪/০৮/১৯৯২</t>
  </si>
  <si>
    <t>মোঃ আরজু আলী</t>
  </si>
  <si>
    <t>১৫/০৮/২০০২</t>
  </si>
  <si>
    <t>মোঃ জিয়ার আলী</t>
  </si>
  <si>
    <t>মোছাঃ জেসমিন</t>
  </si>
  <si>
    <t>০৪/০৩/২০০৩</t>
  </si>
  <si>
    <t>মোঃ মিয়ারুল</t>
  </si>
  <si>
    <t>জামিরন নেছা</t>
  </si>
  <si>
    <t>০৪/০৯/২০০১</t>
  </si>
  <si>
    <t>জাহানারা</t>
  </si>
  <si>
    <t>০৮/০৫/১৯৯৫</t>
  </si>
  <si>
    <t>মোঃ তিতাস রহমান</t>
  </si>
  <si>
    <t>মোছাঃ হাজেরা খাতুন</t>
  </si>
  <si>
    <t>২৭/০৩/২০০১</t>
  </si>
  <si>
    <t>মোঃ ইমরান সিকদার</t>
  </si>
  <si>
    <t>মোছাঃ সাকিরন খাতুন</t>
  </si>
  <si>
    <t>মোঃ মাজেদুল ইসলাম</t>
  </si>
  <si>
    <t>১২/০৫/২০০১</t>
  </si>
  <si>
    <t>মোঃ সাগর আলী</t>
  </si>
  <si>
    <t>মোছাঃ সাহেদা</t>
  </si>
  <si>
    <t>২৮/০৯/২০০২</t>
  </si>
  <si>
    <t>মোঃ মাহাফুজ আলী</t>
  </si>
  <si>
    <t>১০/০৩/২০০২</t>
  </si>
  <si>
    <t>মোঃ নাজমুল ইসলাম</t>
  </si>
  <si>
    <t>মোঃ আকিদুল ইসলাম</t>
  </si>
  <si>
    <t>মোছাঃ জেসমিনারা খাতুন</t>
  </si>
  <si>
    <t>২৫/০১/২০০৩</t>
  </si>
  <si>
    <t>০৮/০৮/১৯৯৮</t>
  </si>
  <si>
    <t>০৬/০৯/২০০৩</t>
  </si>
  <si>
    <t>মোঃ ওয়াসিম সাজ্জাদ সাব্বির</t>
  </si>
  <si>
    <t>মোছাঃ হুসনেয়ারা খাতুন</t>
  </si>
  <si>
    <t>৩০/০৪/২০০২</t>
  </si>
  <si>
    <t>মোঃ আফায়াত হোসেন</t>
  </si>
  <si>
    <t>তৌহিদুল</t>
  </si>
  <si>
    <t>ফাহিমা</t>
  </si>
  <si>
    <t>০২/০৪/১৯৯৮</t>
  </si>
  <si>
    <t>মোছাঃ রাজিয়া খাতুন</t>
  </si>
  <si>
    <t>১৯/১১/২০০৩</t>
  </si>
  <si>
    <t>মোঃ আরিফুল ইসলাম</t>
  </si>
  <si>
    <t>২৯/০৪/২০০১</t>
  </si>
  <si>
    <t>শ্রী সাধন কর্মকার</t>
  </si>
  <si>
    <t>শ্রীমতি অনিমা কর্মকার</t>
  </si>
  <si>
    <t>০৪/০৪/২০০০</t>
  </si>
  <si>
    <t>মোছাঃ শিউলী</t>
  </si>
  <si>
    <t>০৫/০৮/২০০২</t>
  </si>
  <si>
    <t>মোঃ সাকিল আহম্মেদ</t>
  </si>
  <si>
    <t>মোঃ কাওছার আলি</t>
  </si>
  <si>
    <t>১২/১২/২০০০</t>
  </si>
  <si>
    <t>মোহাঃ আশিক আলী</t>
  </si>
  <si>
    <t>আব্দুস সালাম</t>
  </si>
  <si>
    <t>শাহিনা খাতুন</t>
  </si>
  <si>
    <t>২৫/০৯/২০০১</t>
  </si>
  <si>
    <t>মোঃ আরিফ হোসাইন</t>
  </si>
  <si>
    <t>মোঃ ঝন্টু আলী</t>
  </si>
  <si>
    <t>মোছাঃ আজমিরা খাতুন</t>
  </si>
  <si>
    <t>০৫/০৯/২০০২</t>
  </si>
  <si>
    <t>মোঃ কামরান আলী</t>
  </si>
  <si>
    <t>মোছাঃ জছিরন নেছা</t>
  </si>
  <si>
    <t>১২/০৬/২০০১</t>
  </si>
  <si>
    <t>মোঃ সোহাগ রানা</t>
  </si>
  <si>
    <t>মোছাঃ রেহেনা খাতুন</t>
  </si>
  <si>
    <t>১৯/১১/২০০১</t>
  </si>
  <si>
    <t>স্বপন</t>
  </si>
  <si>
    <t>বদর উদ্দিন</t>
  </si>
  <si>
    <t>পারুলা</t>
  </si>
  <si>
    <t>২৬/১০/১৯৯০</t>
  </si>
  <si>
    <t>মোঃ আশিকুর রহমান</t>
  </si>
  <si>
    <t>২৫/০৩/২০০২</t>
  </si>
  <si>
    <t>মোঃ ফিরোজুল ইসলাম</t>
  </si>
  <si>
    <t>০২/১১/১৯৯৫</t>
  </si>
  <si>
    <t>মুহাঃ খালিদ হোসেন</t>
  </si>
  <si>
    <t>মুহাঃ জাফর আলী</t>
  </si>
  <si>
    <t>মোছাঃ খুরশিদা বেগম</t>
  </si>
  <si>
    <t>০১/০১/১৯৭০</t>
  </si>
  <si>
    <t>রহমান হোসেন</t>
  </si>
  <si>
    <t>মোছাঃ সায়েদা খাতুন</t>
  </si>
  <si>
    <t>১৮/০৭/১৯৮৮</t>
  </si>
  <si>
    <t>ঝন্টু</t>
  </si>
  <si>
    <t>ইকারুদ্দীন</t>
  </si>
  <si>
    <t>২৫/০২/১৯৭৫</t>
  </si>
  <si>
    <t>আঃ আলিম</t>
  </si>
  <si>
    <t>মোছাঃ ফেরদৌসি বেগম</t>
  </si>
  <si>
    <t>১২/০৭/১৯৯৩</t>
  </si>
  <si>
    <t>"৪৭৯</t>
  </si>
  <si>
    <t>মোহাম্মদ মানিক মিয়া</t>
  </si>
  <si>
    <t>মোঃ আমজাদ</t>
  </si>
  <si>
    <t>মোছাঃ ছাকিরন</t>
  </si>
  <si>
    <t>১২/০৮/১৯৮৬</t>
  </si>
  <si>
    <t>মোঃ আবুল বাসার</t>
  </si>
  <si>
    <t>মৃত কালাচাঁদ মন্ডল</t>
  </si>
  <si>
    <t>ফাজেরা বেগম</t>
  </si>
  <si>
    <t>১০/০৪/১৯৮০</t>
  </si>
  <si>
    <t>মোঃ বাদশা আলী</t>
  </si>
  <si>
    <t>মৃত রবিউল হক</t>
  </si>
  <si>
    <t>জানুয়ারা</t>
  </si>
  <si>
    <t>পিন্টু</t>
  </si>
  <si>
    <t>ফারজাক</t>
  </si>
  <si>
    <t>বেদানা</t>
  </si>
  <si>
    <t>০৯/০৭/১৯৮৯</t>
  </si>
  <si>
    <t>মোহাম্মদ মিন্টু</t>
  </si>
  <si>
    <t>মোহামাদ আবুল হোসেন</t>
  </si>
  <si>
    <t>১৫/০৪/১৯৯১</t>
  </si>
  <si>
    <t>মোঃ সিপন</t>
  </si>
  <si>
    <t>মোছাঃ পারুলা</t>
  </si>
  <si>
    <t>১০/১০/১৯৯৮</t>
  </si>
  <si>
    <t>"১১০</t>
  </si>
  <si>
    <t>মোছাঃ রেখা খাতুন</t>
  </si>
  <si>
    <t>১১/১১/২০০১</t>
  </si>
  <si>
    <t>বিলকিছ বেগম</t>
  </si>
  <si>
    <t>১৮/০৬/১৯৯৩</t>
  </si>
  <si>
    <t>তাঁতি</t>
  </si>
  <si>
    <t>"৭১/১</t>
  </si>
  <si>
    <t>তুষার ইমরান</t>
  </si>
  <si>
    <t>মোছাঃ মনিরা</t>
  </si>
  <si>
    <t>০৫/১০/২০০৪</t>
  </si>
  <si>
    <t>"৬৬০</t>
  </si>
  <si>
    <t>১২/১০/২০০৪</t>
  </si>
  <si>
    <t>মোঃ মামুন অর রশিদ</t>
  </si>
  <si>
    <t>১০/০৬/২০০৪</t>
  </si>
  <si>
    <t>"২৪২</t>
  </si>
  <si>
    <t>মোঃ আরিফ আহমেদ</t>
  </si>
  <si>
    <t>মোছাঃ ফেন্সি খাতুন</t>
  </si>
  <si>
    <t>০১/০১/২০০৭</t>
  </si>
  <si>
    <t>মোছাঃ বিউটি খাতুন</t>
  </si>
  <si>
    <t>০৫/০১/২০০৬</t>
  </si>
  <si>
    <t>"৭২</t>
  </si>
  <si>
    <t>মোঃ রাসেল খান</t>
  </si>
  <si>
    <t>২০/১০/২০০৫</t>
  </si>
  <si>
    <t>"১৪৭</t>
  </si>
  <si>
    <t>মোছাঃ সোহেলী আক্তার</t>
  </si>
  <si>
    <t>১৭/০৯/২০০৪</t>
  </si>
  <si>
    <t>মোঃ আলি রাজ হাওলাদার</t>
  </si>
  <si>
    <t>মোছাঃ নাছিরন খাতুন</t>
  </si>
  <si>
    <t>০২/০২/২০০৪</t>
  </si>
  <si>
    <t>"১৭৬</t>
  </si>
  <si>
    <t>মোঃ সাকলায়েন মোস্তাক</t>
  </si>
  <si>
    <t>মোছাঃ সেলিনা পারভিন</t>
  </si>
  <si>
    <t>০৩/০৩/২০০৪</t>
  </si>
  <si>
    <t>মোঃ মুস্তাকিন আলী</t>
  </si>
  <si>
    <t>১০/০৭/২০০৪</t>
  </si>
  <si>
    <t>মোঃ জাহিদ হাসান</t>
  </si>
  <si>
    <t>১২/০৭/২০০৪</t>
  </si>
  <si>
    <t>মোঃ আলী হোসেন</t>
  </si>
  <si>
    <t>মোছাঃ মুনজিলা খাতুন</t>
  </si>
  <si>
    <t>০৫/০৮/২০০৪</t>
  </si>
  <si>
    <t>"৭০৯</t>
  </si>
  <si>
    <t>মোঃ গোলাম নবী</t>
  </si>
  <si>
    <t>১৮/০৯/২০০৫</t>
  </si>
  <si>
    <t>মোঃ রাহুল</t>
  </si>
  <si>
    <t>মোছাঃ রুবিনা খাতুন</t>
  </si>
  <si>
    <t>০৯/১১/২০০৫</t>
  </si>
  <si>
    <t>"৪৫৬</t>
  </si>
  <si>
    <t>মোঃ সাজ্জাদ মিয়া</t>
  </si>
  <si>
    <t>মোঃ জিবালুর রহমান</t>
  </si>
  <si>
    <t>মোছাঃ আফরোজা</t>
  </si>
  <si>
    <t>১০/০৯/২০০৫</t>
  </si>
  <si>
    <t>"-১২২</t>
  </si>
  <si>
    <t>২০/০১/২০০৫</t>
  </si>
  <si>
    <t>"১৬১</t>
  </si>
  <si>
    <t>মোঃ হিরো আলী</t>
  </si>
  <si>
    <t>মোছাঃ তাসলিমা খাতুন</t>
  </si>
  <si>
    <t>০২/০৩/২০০৫</t>
  </si>
  <si>
    <t>মোঃ শামিমুজ্জামান</t>
  </si>
  <si>
    <t>মোছাঃ বছিরন নেছা</t>
  </si>
  <si>
    <t>১০/১২/২০০৫</t>
  </si>
  <si>
    <t>"১৮৭</t>
  </si>
  <si>
    <t>মোঃ মুরছালিন আহমেদ</t>
  </si>
  <si>
    <t>মোছাঃ বিলকিছ আরা</t>
  </si>
  <si>
    <t>০৮/০৭/২০০৫</t>
  </si>
  <si>
    <t>মোঃ সজীব আলী</t>
  </si>
  <si>
    <t>মোঃ বশিরউদ্দী্ন</t>
  </si>
  <si>
    <t>মোছাঃ সজিরন নেছা</t>
  </si>
  <si>
    <t>৩১/১২/২০০৫</t>
  </si>
  <si>
    <t>"৩৪৮</t>
  </si>
  <si>
    <t>আসিফ আলী</t>
  </si>
  <si>
    <t>০৫/০৮/২০০৫</t>
  </si>
  <si>
    <t>"১৭৭</t>
  </si>
  <si>
    <t>মোঃ ইমরান ফরহাদ মন্ডল</t>
  </si>
  <si>
    <t>মোছাঃ রেফা খাতুন</t>
  </si>
  <si>
    <t>২০/০৪/২০০৬</t>
  </si>
  <si>
    <t>"৭০</t>
  </si>
  <si>
    <t>মোছাঃ শারমিনা</t>
  </si>
  <si>
    <t>২০/০২/২০০৬</t>
  </si>
  <si>
    <t>"৩৭৬</t>
  </si>
  <si>
    <t>মোঃ রনি বিশ্বাস</t>
  </si>
  <si>
    <t>"-২৪২</t>
  </si>
  <si>
    <t>মোছাঃ ইন্নাতুন নেছা</t>
  </si>
  <si>
    <t>১৮/০৫/২০০৬</t>
  </si>
  <si>
    <t>মোঃ আবু সাঈদ</t>
  </si>
  <si>
    <t>১৯/১১/২০০৬</t>
  </si>
  <si>
    <t>"১৪০</t>
  </si>
  <si>
    <t>মোঃ শিহাব আলী</t>
  </si>
  <si>
    <t>২৫/০৬/২০০৬</t>
  </si>
  <si>
    <t>"৫৪৮</t>
  </si>
  <si>
    <t>মোছাঃ জেসমিন আরা</t>
  </si>
  <si>
    <t>০৬/০২/২০০১</t>
  </si>
  <si>
    <t>মোঃ ইমরান আলী</t>
  </si>
  <si>
    <t>মোঃ মাসুদ হোসেন</t>
  </si>
  <si>
    <t>মৃত রহমান</t>
  </si>
  <si>
    <t>মোছাঃ সহিদা খাতুন</t>
  </si>
  <si>
    <t>২০/০৬/১৯৯৪</t>
  </si>
  <si>
    <t>মোঃ শাহাবুদ্দিন</t>
  </si>
  <si>
    <t>মোঃ আবু বাক্কার</t>
  </si>
  <si>
    <t>মোছাঃ জামেনা খাতুন</t>
  </si>
  <si>
    <t>১৮/০৭/২০০২</t>
  </si>
  <si>
    <t>মোহাম্মদ আজিজুল হক</t>
  </si>
  <si>
    <t>মৃত মোঃ ফকির মন্ডল</t>
  </si>
  <si>
    <t>মৃত মোছাঃ মোলামজান</t>
  </si>
  <si>
    <t>১৯/০৩/১৯৮৭</t>
  </si>
  <si>
    <t>মোছাঃ রুপিয়া খাতুন</t>
  </si>
  <si>
    <t>০৫/১২/২০০১</t>
  </si>
  <si>
    <t>"১৩৫</t>
  </si>
  <si>
    <t>মোছাঃ হেমেলা খাতুন</t>
  </si>
  <si>
    <t>০৫/০৩/২০০৩</t>
  </si>
  <si>
    <t>মোঃ আজমাইল</t>
  </si>
  <si>
    <t>মোছাঃ আসুরা</t>
  </si>
  <si>
    <t>০৭/০৪/১৯৯৬</t>
  </si>
  <si>
    <t>মোঃ আবু হাসেম</t>
  </si>
  <si>
    <t>২৭/১১/২০০২</t>
  </si>
  <si>
    <t>মোঃ মানিক মিয়া</t>
  </si>
  <si>
    <t>মোছাঃ মালা খাতুন</t>
  </si>
  <si>
    <t>১২/০৮/২০০৩</t>
  </si>
  <si>
    <t>১০/০১/২০০২</t>
  </si>
  <si>
    <t>মোঃ বিপ্লব আলী</t>
  </si>
  <si>
    <t>মহলেছুর রহমান</t>
  </si>
  <si>
    <t>মৃত সেলিনা খাতুন</t>
  </si>
  <si>
    <t>২২/০৮/২০০১</t>
  </si>
  <si>
    <t>"১২৭</t>
  </si>
  <si>
    <t>"২৯০</t>
  </si>
  <si>
    <t>১৬/০৮/২০০১</t>
  </si>
  <si>
    <t>"০৬</t>
  </si>
  <si>
    <t>মৃত বদর উদ্দীন</t>
  </si>
  <si>
    <t>মোছাঃ লালন খাতুন</t>
  </si>
  <si>
    <t>০৮/০৫/১৯৯৭</t>
  </si>
  <si>
    <t>"১২২</t>
  </si>
  <si>
    <t>হাফিজুর রহমান</t>
  </si>
  <si>
    <t>মৃত আকমান আলী</t>
  </si>
  <si>
    <t>০১/০২/১৯৯১</t>
  </si>
  <si>
    <t>"১০২</t>
  </si>
  <si>
    <t>মনিরুল হক</t>
  </si>
  <si>
    <t>মোছাঃ মুর্সিদা খাতুন</t>
  </si>
  <si>
    <t>মৃত মোঃ এরশাদ আলী</t>
  </si>
  <si>
    <t>মোছাঃ রেকছনা খাতুন</t>
  </si>
  <si>
    <t>০৬/০৩/২০০২</t>
  </si>
  <si>
    <t>"-১০৪</t>
  </si>
  <si>
    <t>মৃত লালচাঁদ</t>
  </si>
  <si>
    <t>ইলাজান</t>
  </si>
  <si>
    <t>০৫/০১/১৯৭৫</t>
  </si>
  <si>
    <t>"১৭১</t>
  </si>
  <si>
    <t>মোঃ শিমুল আলী</t>
  </si>
  <si>
    <t>মোঃ কামাল উদ্দীন</t>
  </si>
  <si>
    <t>০৯/০৪/২০০২</t>
  </si>
  <si>
    <t>"২৮৮</t>
  </si>
  <si>
    <t>মোঃ মহাসিন মালিথা</t>
  </si>
  <si>
    <t>মোছাঃ রুসিয়া খাতুন</t>
  </si>
  <si>
    <t>১৫/০২/১৯৮৯</t>
  </si>
  <si>
    <t>"১২৫</t>
  </si>
  <si>
    <t>মোঃ মহিদুল হক</t>
  </si>
  <si>
    <t>মোছাঃ কুলছুম খাতুন</t>
  </si>
  <si>
    <t>০৩/০১/২০০০</t>
  </si>
  <si>
    <t>"১০০</t>
  </si>
  <si>
    <t>১০/০৯/২০০১</t>
  </si>
  <si>
    <t>১০/১২/১৯৯৩</t>
  </si>
  <si>
    <t>মোছাঃ সুরাইয়া খাতুন</t>
  </si>
  <si>
    <t>০৪/০৫/২০০৪</t>
  </si>
  <si>
    <t>মোছাঃ বুলবুলি খাতুন</t>
  </si>
  <si>
    <t>১২/০৪/২০০৪</t>
  </si>
  <si>
    <t>মোছাঃ আসরা</t>
  </si>
  <si>
    <t>২৬/০২/২০০৫</t>
  </si>
  <si>
    <t>মোছাঃ রিতা খাতুন</t>
  </si>
  <si>
    <t>১০/১০/২০০৫</t>
  </si>
  <si>
    <t>মোঃ তামিম ইসলাম</t>
  </si>
  <si>
    <t>মোছাঃ শামজুন্নাহার</t>
  </si>
  <si>
    <t>২৩/০৭/২০০৬</t>
  </si>
  <si>
    <t>মোঃ কিনার উদ্দীন আহাম্মেদ</t>
  </si>
  <si>
    <t>মোছাঃ শাহানাজ পারভীন</t>
  </si>
  <si>
    <t>০৮/০৯/২০০৬</t>
  </si>
  <si>
    <t>মোঃ আবু জাহিদ</t>
  </si>
  <si>
    <t>মোঃ আখিরুল ইসলাম</t>
  </si>
  <si>
    <t>মোঃ খাকচার আলী</t>
  </si>
  <si>
    <t>মোছাঃ কামরুন্নাহার</t>
  </si>
  <si>
    <t>আরিফুল</t>
  </si>
  <si>
    <t>মোঃ মহসিন মালিথা</t>
  </si>
  <si>
    <t>মৃত রুমিয়া খাতুন</t>
  </si>
  <si>
    <t>২১/১১/১৯৮৮</t>
  </si>
  <si>
    <t>মোঃ রিমন আলী</t>
  </si>
  <si>
    <t>মোঃ ইমারত আলী</t>
  </si>
  <si>
    <t>মোছাঃ নুরজাহান বেগম</t>
  </si>
  <si>
    <t>০৯/০১/২০০০</t>
  </si>
  <si>
    <t>মোঃ আব্দুল্লাহ আল মামুন</t>
  </si>
  <si>
    <t>মোছাঃ সানোয়ারা</t>
  </si>
  <si>
    <t>০৪/০৩/১৯৯২</t>
  </si>
  <si>
    <t>মোঃ রাজা মিয়া</t>
  </si>
  <si>
    <t>মৃত নিশপতি খাতুন</t>
  </si>
  <si>
    <t>"২৩০</t>
  </si>
  <si>
    <t>মোঃ সাকির আহমেদ</t>
  </si>
  <si>
    <t>মুক্তার আলী</t>
  </si>
  <si>
    <t>০১/১০/২০০২</t>
  </si>
  <si>
    <t>বিউটি খাতুন</t>
  </si>
  <si>
    <t>মোঃ মাসুদ রানা</t>
  </si>
  <si>
    <t>মোঃ নায়ের শেখ</t>
  </si>
  <si>
    <t>২১/০১/১৯৯৫</t>
  </si>
  <si>
    <t>মোঃ মিলন হোসেন</t>
  </si>
  <si>
    <t>মোঃ খলিলুর রহমান</t>
  </si>
  <si>
    <t>০১/০২/২০০১</t>
  </si>
  <si>
    <t>মোঃ নাজমুল হুদা</t>
  </si>
  <si>
    <t>মোছাঃ সামিমা আক্তার লিলি</t>
  </si>
  <si>
    <t>০৪/১০/১৯৯৩</t>
  </si>
  <si>
    <t>মোঃ আরজান মন্ডল</t>
  </si>
  <si>
    <t>২৮/০৮/২০০৩</t>
  </si>
  <si>
    <t>০৩/০৪/১৯৯০</t>
  </si>
  <si>
    <t>মোছাঃ বিলকিছ খাতুন</t>
  </si>
  <si>
    <t>মোঃ ইনতাজুল</t>
  </si>
  <si>
    <t>মোছাঃ আসেনা</t>
  </si>
  <si>
    <t>০৯/০৩/২০০১</t>
  </si>
  <si>
    <t>মোহাম্মদ কিবরিয়া</t>
  </si>
  <si>
    <t>পিতা মোহাম্মাদ ইমান আলী</t>
  </si>
  <si>
    <t>মাঃ আকেলা খাতুন</t>
  </si>
  <si>
    <t>১৫/১২/১৯৯১</t>
  </si>
  <si>
    <t>মোঃ জালালউদ্দিন</t>
  </si>
  <si>
    <t>৩০/১২/২০০২</t>
  </si>
  <si>
    <t>মোঃ মুরছালিন খান</t>
  </si>
  <si>
    <t>মোহাঃ বকুল হোসেন</t>
  </si>
  <si>
    <t>মোছাঃ রেকছানা খাতুন</t>
  </si>
  <si>
    <t>০৮/০৭/২০০৩</t>
  </si>
  <si>
    <t>০৩/০৪/২০০০</t>
  </si>
  <si>
    <t>"৪৪১</t>
  </si>
  <si>
    <t>মোঃ বিদ্যুৎ আলী</t>
  </si>
  <si>
    <t>মোছাঃ আছিয়া বেগম</t>
  </si>
  <si>
    <t>০৮/০৯/২০০১</t>
  </si>
  <si>
    <t>মোঃ সাহাদ আলী</t>
  </si>
  <si>
    <t>১০/০৫/২০০২</t>
  </si>
  <si>
    <t>"৭২৭</t>
  </si>
  <si>
    <t>মোঃ সাদবীন আহাদ</t>
  </si>
  <si>
    <t>মৃত মোহাঃ আলীমুজ্জামান</t>
  </si>
  <si>
    <t>১৫/০৭/২০০৪</t>
  </si>
  <si>
    <t>"৬০২</t>
  </si>
  <si>
    <t>রইচ উদ্দীন</t>
  </si>
  <si>
    <t>মোছাঃ রেবেকা</t>
  </si>
  <si>
    <t>০৭/১২/১৯৯৬</t>
  </si>
  <si>
    <t>"৪১০</t>
  </si>
  <si>
    <t>মোহাম্মদ শান্ত</t>
  </si>
  <si>
    <t>আরসাদ</t>
  </si>
  <si>
    <t>রাশিদা খাতুন</t>
  </si>
  <si>
    <t>১০/০২/১৯৯২</t>
  </si>
  <si>
    <t>মোঃ মোহাম্মাদ জুয়েল আলী</t>
  </si>
  <si>
    <t>মোছাঃ রাশিরা খাতুন</t>
  </si>
  <si>
    <t>০৪/০১/১৯৯১</t>
  </si>
  <si>
    <t>মোঃ নয়ন আহমেদ</t>
  </si>
  <si>
    <t>মোছাঃ লিপিআরা</t>
  </si>
  <si>
    <t>০৫/১০/১৯৯৭</t>
  </si>
  <si>
    <t>শিহাব আলী</t>
  </si>
  <si>
    <t>মোছাঃ পারুলা আক্তার</t>
  </si>
  <si>
    <t>১৫/০৮/১৯৯৫</t>
  </si>
  <si>
    <t>"৬৫</t>
  </si>
  <si>
    <t>স্বপ্নীল আহাম্মেদ</t>
  </si>
  <si>
    <t>মোঃ জিম্মত আলী</t>
  </si>
  <si>
    <t>০৭/০৯/২০০১</t>
  </si>
  <si>
    <t>"৬৮০</t>
  </si>
  <si>
    <t>মোহাম্মদ রকিবুল ইসলাম</t>
  </si>
  <si>
    <t>আবু বক্কর</t>
  </si>
  <si>
    <t>মোছাঃ জামেনা</t>
  </si>
  <si>
    <t>১৩/০৬/১৯৯০</t>
  </si>
  <si>
    <t>মোঃ নেমুদ্দীন</t>
  </si>
  <si>
    <t>মোঃ সায়েম হোসেন রনি</t>
  </si>
  <si>
    <t>মোছাঃ মুসলিমা খাতুন</t>
  </si>
  <si>
    <t>০১/০৬/২০০২</t>
  </si>
  <si>
    <t>দেলোয়ার হোসেন</t>
  </si>
  <si>
    <t>মুরাদ আলী</t>
  </si>
  <si>
    <t>হাফিজা খাতুন</t>
  </si>
  <si>
    <t>১২/০৪/১৯৮৪</t>
  </si>
  <si>
    <t>মোঃ আছরাফ হোসেন</t>
  </si>
  <si>
    <t>মোঃ রুপচাঁদ</t>
  </si>
  <si>
    <t>৫৭০০৫৫৫৫৪৫MDEw</t>
  </si>
  <si>
    <t>০১/০৬/২০০৩</t>
  </si>
  <si>
    <t>মোঃ নাজিব বিশ্বাস</t>
  </si>
  <si>
    <t>মোছাঃ নার্গিস আরা</t>
  </si>
  <si>
    <t>০১/০৮/২০০৪</t>
  </si>
  <si>
    <t>"৬৯৮</t>
  </si>
  <si>
    <t>মোঃ সজিব আলী</t>
  </si>
  <si>
    <t>মোঃ তজিমুদ্দীন</t>
  </si>
  <si>
    <t>০৯/০৩/২০০৪</t>
  </si>
  <si>
    <t>মোছাঃ কমেলা খাতুন</t>
  </si>
  <si>
    <t>২০/০২/১৯৮০</t>
  </si>
  <si>
    <t>মোঃ একলাচুর রহমান</t>
  </si>
  <si>
    <t>১০/০২/১৯৯০</t>
  </si>
  <si>
    <t>মোঃ বাধন আলী</t>
  </si>
  <si>
    <t>০৩/১২/২০০৪</t>
  </si>
  <si>
    <t>অনিক শেখ</t>
  </si>
  <si>
    <t>মোছাঃ রহিমা বেগম</t>
  </si>
  <si>
    <t>০৩/০৬/২০০৬</t>
  </si>
  <si>
    <t>মোঃ হাসিব আলী</t>
  </si>
  <si>
    <t>বাহাদুর</t>
  </si>
  <si>
    <t>তাছলিমা খাতুন</t>
  </si>
  <si>
    <t>"১০১</t>
  </si>
  <si>
    <t>মোঃ আলফাফ আলী</t>
  </si>
  <si>
    <t>মোঃ রুপচাঁদ আলী</t>
  </si>
  <si>
    <t>মোছাঃ পারভীন খাতুন</t>
  </si>
  <si>
    <t>০১/০৯/১৯৯৫</t>
  </si>
  <si>
    <t>"৭৮</t>
  </si>
  <si>
    <t>মোঃ শাহাজান আলী</t>
  </si>
  <si>
    <t>আয়নাল হক</t>
  </si>
  <si>
    <t>"৩৫৬</t>
  </si>
  <si>
    <t>মুহাম্মদ মাহফুজ আলী</t>
  </si>
  <si>
    <t>২৪/০২/২০০৪</t>
  </si>
  <si>
    <t>মোঃ মাজহারুল ইসলাম</t>
  </si>
  <si>
    <t>মোছাঃ ডেইজি খাতুন</t>
  </si>
  <si>
    <t>২১/১২/২০০৪</t>
  </si>
  <si>
    <t>মোঃ সৃজন হাওলাদার</t>
  </si>
  <si>
    <t>২০/১২/২০০৫</t>
  </si>
  <si>
    <t>"৪৭১</t>
  </si>
  <si>
    <t xml:space="preserve"> মহিষাখোলা</t>
  </si>
  <si>
    <t>রূপচাদ আলী</t>
  </si>
  <si>
    <t>ফয়জাল হক</t>
  </si>
  <si>
    <t>নাছিমা খাতুন</t>
  </si>
  <si>
    <t>০১/১২/১৯৮৮</t>
  </si>
  <si>
    <t>"৬৭৬</t>
  </si>
  <si>
    <t>মোছাঃ চায়না</t>
  </si>
  <si>
    <t>৩০/০১/২০০৪</t>
  </si>
  <si>
    <t>মোঃ ইব্রাহিম খলিল</t>
  </si>
  <si>
    <t>মোহাম্মদ আলী</t>
  </si>
  <si>
    <t>মোছাঃ আকলিমা খাতুন</t>
  </si>
  <si>
    <t>১০/০৪/২০০৪</t>
  </si>
  <si>
    <t>মোঃ জাহিদুল</t>
  </si>
  <si>
    <t>ইউনুস</t>
  </si>
  <si>
    <t>আম্বিয়া</t>
  </si>
  <si>
    <t>১০/০৬/১৯৯৮</t>
  </si>
  <si>
    <t>"৮৬</t>
  </si>
  <si>
    <t xml:space="preserve"> দক্ষিণ তেঁতুলবাড়িয়া</t>
  </si>
  <si>
    <t>মোঃ উবাইদুল্লাহ</t>
  </si>
  <si>
    <t>মোছাঃ জালিয়া</t>
  </si>
  <si>
    <t>০৫/০২/১৯৯৩</t>
  </si>
  <si>
    <t>"৩৫৩</t>
  </si>
  <si>
    <t>মোঃ নাজমুল হোসেন</t>
  </si>
  <si>
    <t>মোছাঃ নিমরী খাতুন</t>
  </si>
  <si>
    <t>১৮/০১/১৯৯৭</t>
  </si>
  <si>
    <t>মোঃ রিশাদ আলী</t>
  </si>
  <si>
    <t>মোছাঃ মন্তরা খাতুন</t>
  </si>
  <si>
    <t>০৩/০৬/২০০৪</t>
  </si>
  <si>
    <t>মোঃ গনজের আলী</t>
  </si>
  <si>
    <t>০৭/০৭/১৯৭৭</t>
  </si>
  <si>
    <t>"৬২৮</t>
  </si>
  <si>
    <t>৩০/০১/১৯৯১</t>
  </si>
  <si>
    <t>মোঃ মজিবার বিশ্বাস</t>
  </si>
  <si>
    <t>০৬/০৫/১৯৭৭</t>
  </si>
  <si>
    <t>জজ</t>
  </si>
  <si>
    <t>হাকিম</t>
  </si>
  <si>
    <t>০২/০২/১৯৯৪</t>
  </si>
  <si>
    <t>মোঃ লিমন আলী</t>
  </si>
  <si>
    <t>মোঃ সুলতান হোসেন</t>
  </si>
  <si>
    <t>১০/০৮/২০০৪</t>
  </si>
  <si>
    <t>মোঃ সালাম আলী</t>
  </si>
  <si>
    <t>০৫/০৪/১৯৯৭</t>
  </si>
  <si>
    <t>মোছাঃ মাকছুরা খাতুন</t>
  </si>
  <si>
    <t>১৪/১০/২০০৬</t>
  </si>
  <si>
    <t>শ্রী বিজয় কুমার সাহা</t>
  </si>
  <si>
    <t>শ্রীমতি দীপ্তী রানী সাহা</t>
  </si>
  <si>
    <t>০৪/০৯/২০০৬</t>
  </si>
  <si>
    <t>মোঃ আজাদ আলী</t>
  </si>
  <si>
    <t>মোছাঃ হাসেনা বেগম</t>
  </si>
  <si>
    <t>১০/০১/২০০০</t>
  </si>
  <si>
    <t>রুপিয়া খাতুন</t>
  </si>
  <si>
    <t>০৬/০৬/১৯৯৭</t>
  </si>
  <si>
    <t>মোঃ রাকিব আলী</t>
  </si>
  <si>
    <t>মোছাঃ নারগিছ খাতুন</t>
  </si>
  <si>
    <t>১০/০২/২০০৩</t>
  </si>
  <si>
    <t>মোঃ নাঈম আলী</t>
  </si>
  <si>
    <t>মোছাঃ ময়না খাতুন</t>
  </si>
  <si>
    <t>০২/০৫/২০০৬</t>
  </si>
  <si>
    <t>আকরামুল হক</t>
  </si>
  <si>
    <t>মৃত রুশিরা খাতুন</t>
  </si>
  <si>
    <t>০৯/১২/১৯৮২</t>
  </si>
  <si>
    <t>মোঃ শাওন আলী</t>
  </si>
  <si>
    <t>জাহাঙ্গীর আলম</t>
  </si>
  <si>
    <t>মৃত আঃ রাজ্জাক</t>
  </si>
  <si>
    <t>১৫/০৩/২০০৪</t>
  </si>
  <si>
    <t>মোছাঃ সাহারন খাতুন</t>
  </si>
  <si>
    <t>০১/০১/২০০৬</t>
  </si>
  <si>
    <t>মোঃ জাবির হোসেন</t>
  </si>
  <si>
    <t>০৮/১০/২০০৫</t>
  </si>
  <si>
    <t>মোঃ মমিনুল ইসলাম</t>
  </si>
  <si>
    <t>মোঃ নজিবুল হক</t>
  </si>
  <si>
    <t>২৩/১০/২০০৪</t>
  </si>
  <si>
    <t>মোঃ পারভেজ</t>
  </si>
  <si>
    <t>মোঃ মিঠু</t>
  </si>
  <si>
    <t>০১/০১/২০০৫</t>
  </si>
  <si>
    <t>মোঃ আবির হোসেন</t>
  </si>
  <si>
    <t>মোঃ খাকচার হোসেন</t>
  </si>
  <si>
    <t>২০/০৮/২০০৩</t>
  </si>
  <si>
    <t>মোঃ মালেক জিহাদী রাজা</t>
  </si>
  <si>
    <t>১১/১২/২০০৫</t>
  </si>
  <si>
    <t>১৫/১২/২০০১</t>
  </si>
  <si>
    <t>মোঃ হুমায়ূন আহম্মেদ</t>
  </si>
  <si>
    <t>মোছাঃ কহিনূর খাতুন</t>
  </si>
  <si>
    <t>মোঃ গোলাম রব্বিন</t>
  </si>
  <si>
    <t>মোছাঃ আরিবয়া</t>
  </si>
  <si>
    <t>০৫/০৬/২০০৪</t>
  </si>
  <si>
    <t>মোঃ আশিক</t>
  </si>
  <si>
    <t>মোছাঃ আকেলা</t>
  </si>
  <si>
    <t>০৪/০৫/২০০৬</t>
  </si>
  <si>
    <t>মোছাঃ খুরশিদা খাতুন</t>
  </si>
  <si>
    <t>১২/০৫/২০০৫</t>
  </si>
  <si>
    <t>মোঃ নয়ন আলী</t>
  </si>
  <si>
    <t>০৪/০৫/২০০৩</t>
  </si>
  <si>
    <t>মোছাঃ পিরজিরা খাতুন</t>
  </si>
  <si>
    <t>০১/০৭/২০০৪</t>
  </si>
  <si>
    <t>গৃহিনী</t>
  </si>
  <si>
    <t>মোছাঃ গুলফুন নেছা</t>
  </si>
  <si>
    <t>০৩/০১/২০০৬</t>
  </si>
  <si>
    <t>মোঃ তারিকুল</t>
  </si>
  <si>
    <t>মোঃ জাহাঙ্গীর আলী</t>
  </si>
  <si>
    <t>২০/০৯/১৯৯৮</t>
  </si>
  <si>
    <t>মোঃ আসিফ আলী</t>
  </si>
  <si>
    <t>মোঃ ছাবুল আলী</t>
  </si>
  <si>
    <t>মোছাঃ আদরি খাতুন</t>
  </si>
  <si>
    <t>০৫/০৯/২০০৬</t>
  </si>
  <si>
    <t xml:space="preserve"> ধানখোলা</t>
  </si>
  <si>
    <t>রকিবুল ইসলাম</t>
  </si>
  <si>
    <t>মোঃ হের আলী</t>
  </si>
  <si>
    <t>মোছাঃ খদেজা খাতুন</t>
  </si>
  <si>
    <t>মোঃ মকছেদুল ইসলাম</t>
  </si>
  <si>
    <t>মোছাঃ নাছিমা</t>
  </si>
  <si>
    <t>০২/০৬/১৯৯৭</t>
  </si>
  <si>
    <t>মোছাঃ জেসমিন খাতুন</t>
  </si>
  <si>
    <t>মোঃ সাকিব আল হাসান অন্তর</t>
  </si>
  <si>
    <t>২৪/১০/২০০৭</t>
  </si>
  <si>
    <t>মোছাঃ জোসনা খাতুন</t>
  </si>
  <si>
    <t>০৮/০৫/২০০৭</t>
  </si>
  <si>
    <t>মোঃ নাইম ইসলাম</t>
  </si>
  <si>
    <t>মোছাঃ মমতাজ খাতুন</t>
  </si>
  <si>
    <t>০২/০৩/২০০৭</t>
  </si>
  <si>
    <t>০৫/০২/২০০৭</t>
  </si>
  <si>
    <t>তাওসিফ হোসেন তানহা</t>
  </si>
  <si>
    <t>মোছাঃ ফারহানা আফরোজ</t>
  </si>
  <si>
    <t>০২/০১/২০০৭</t>
  </si>
  <si>
    <t>মোঃ সিহাব আলি</t>
  </si>
  <si>
    <t>মোছাঃ জেসমিনারা</t>
  </si>
  <si>
    <t>২০/০৪/২০০৭</t>
  </si>
  <si>
    <t>মোঃ তৌফিকুর রহমান</t>
  </si>
  <si>
    <t>মোঃ তহির উদ্দীন</t>
  </si>
  <si>
    <t>২২/০৬/২০০৭</t>
  </si>
  <si>
    <t>১৫/০৪/২০০৭</t>
  </si>
  <si>
    <t>মোঃ সাকিব রানা</t>
  </si>
  <si>
    <t>২০/০২/২০০৭</t>
  </si>
  <si>
    <t>"৬০৮</t>
  </si>
  <si>
    <t>মোঃ ইখলাচ আলী</t>
  </si>
  <si>
    <t>মোছাঃ সাগরি খাতুন</t>
  </si>
  <si>
    <t>০৪/০২/২০০৭</t>
  </si>
  <si>
    <t>মৃত বাদু মন্ডল</t>
  </si>
  <si>
    <t>আছিয়া বেগম</t>
  </si>
  <si>
    <t>সজিব</t>
  </si>
  <si>
    <t>২০/১১/১৯৯৫</t>
  </si>
  <si>
    <t>"২৯৮</t>
  </si>
  <si>
    <t>মোঃ সজিব বিশ্বাস</t>
  </si>
  <si>
    <t>১৪/০১/২০০৬</t>
  </si>
  <si>
    <t>"১৪৫</t>
  </si>
  <si>
    <t>মোঃ জিরাফত আলী</t>
  </si>
  <si>
    <t>মোছাঃ জেসমিন আলী</t>
  </si>
  <si>
    <t>১৫/১০/১৯৯২</t>
  </si>
  <si>
    <t>মোঃ জানিরুল ইসলাম</t>
  </si>
  <si>
    <t>মোঃ রবিউল হালিম</t>
  </si>
  <si>
    <t>১০/০৭/১৯৯৪</t>
  </si>
  <si>
    <t>২৯/০৮/১৯৯৬</t>
  </si>
  <si>
    <t>"২৫৪</t>
  </si>
  <si>
    <t>মোঃ ইকবাল আলী</t>
  </si>
  <si>
    <t>মোঃ খেজমত আলী</t>
  </si>
  <si>
    <t>মোছাঃ মুনজুরা খাতুন</t>
  </si>
  <si>
    <t>১৮/০৯/২০০০</t>
  </si>
  <si>
    <t>মোহাঃ রাজিবুল ইসলাম</t>
  </si>
  <si>
    <t>০১/০৩/১৯৯৬</t>
  </si>
  <si>
    <t>ক্রমিক নং,নাম,ভোটার নং,পিতা,মাতা,জন্ম তারিখ,পেশা,ঠিকানা</t>
  </si>
  <si>
    <t>১০২৪,মোঃ মাজেদুল ইসলাম,৫৭০০৫৫০০০৬১৪,মোঃ রেজাউল হক,মোছাঃ হাসিনা খাতুন,১২/০৫/২০০১,ছাত্র/ছাত্রী,"আড়পাড়া, গাংনী, মেহেরপুর"</t>
  </si>
  <si>
    <t>১০২৫,মোঃ সাগর আলী,৫৭০০৫৫০০০৬১৬,শহিদুল ইসলাম,মোছাঃ সাহেদা,২৮/০৯/২০০২,ব্যবসা,"আড়পাড়া, গাংনী, মেহেরপুর"</t>
  </si>
  <si>
    <t>১০২৬,মোঃ মাহাফুজ আলী,৫৭০০৫৫০০০৬২৪,মোঃ মনিরুল ইসলাম,মোছাঃ রওশন আরা,১০/০৩/২০০২,ছাত্র/ছাত্রী,"আড়পাড়া, গাংনী, মেহেরপুর"</t>
  </si>
  <si>
    <t>১০২৭,মোঃ নাজমুল ইসলাম,৫৭০০৫৫০০০৬২৬,মোঃ চাঁদআলী,নাজিরা খাতুন,০৩/০১/১৯৯৭,কৃষক,"আড়পাড়া, গাংনী, মেহেরপুর"</t>
  </si>
  <si>
    <t>১০২৮,মোঃ আকিদুল ইসলাম,৫৭০০৫৫০০০৬২৭,মোঃ রেজাউল হক,মোছাঃ জেসমিনারা খাতুন,২৫/০১/২০০৩,ছাত্র/ছাত্রী,"আড়পাড়া, গাংনী, মেহেরপুর"</t>
  </si>
  <si>
    <t>১০২৯,মোঃ রুবেল আলী,৫৭০০৫৫০০০৬৩০,মোঃ নুরুল ইসলাম,মোছাঃ মাহিরন নেছা,০৮/০৮/১৯৯৮,কৃষক,"আড়পাড়া, গাংনী, মেহেরপুর"</t>
  </si>
  <si>
    <t>১০৩০,মোঃ শাহাজামাল,৫৭০০৫৫০০০৬৩২,মোঃ আব্দুল মজিদ,মোছাঃ আছিয়া খাতুন,০৬/০৯/২০০৩,ছাত্র/ছাত্রী,"আড়পাড়া, গাংনী, মেহেরপুর"</t>
  </si>
  <si>
    <t>১০৩১,মোঃ ওয়াসিম সাজ্জাদ সাব্বির,৫৭০০৫৫০০০৬৩৩,মোঃ আঃ রহমান,মোছাঃ হুসনেয়ারা খাতুন,৩০/০৪/২০০২,ছাত্র/ছাত্রী,"আড়পাড়া, গাংনী, মেহেরপুর"</t>
  </si>
  <si>
    <t>১০৩২,মোঃ আফায়াত হোসেন,৫৭০০৫৫০০০৬৩৫,তৌহিদুল,ফাহিমা,০২/০৪/১৯৯৮,বেকার,"আড়পাড়া, গাংনী, মেহেরপুর"</t>
  </si>
  <si>
    <t>১০৩৩,মোঃ রাকিবুল ইসলাম,৫৭০০৫৫০০০৬৪৪,মোঃ হাসানুজ্জামান,মোছাঃ রাজিয়া খাতুন,১৯/১১/২০০৩,ছাত্র/ছাত্রী,"আড়পাড়া, গাংনী, মেহেরপুর"</t>
  </si>
  <si>
    <t>১০৩৪,মোঃ আরিফুল ইসলাম,৫৭০০৫৫০০০৬৪৫,মোঃ আঃ রহিম,মোছাঃ শুকিরন নেছা,২৯/০৪/২০০১,ছাত্র/ছাত্রী,"আড়পাড়া, গাংনী, মেহেরপুর"</t>
  </si>
  <si>
    <t>১০৩৫,শ্রী সাধন কর্মকার,৫৭০০৫৫০০০৬৪৬,শ্রী শ্যামল কর্মকার,শ্রীমতি অনিমা কর্মকার,০৪/০৪/২০০০,ছাত্র/ছাত্রী,"আড়পাড়া, গাংনী, মেহেরপুর"</t>
  </si>
  <si>
    <t>১০৩৬,মোঃ মিকাইল হোসেন,৫৭০০৫৫০০০৬৪৯,মোঃ রুহুল আমিন,মোছাঃ শিউলী,০৫/০৮/২০০২,ছাত্র/ছাত্রী,"আড়পাড়া, গাংনী, মেহেরপুর"</t>
  </si>
  <si>
    <t>১০৩৭,মোঃ সাকিল আহম্মেদ,৫৭০০৫৫০০০৬৫১,মোঃ কাওছার আলি,মোছাঃ নাছিমা খাতুন,১২/১২/২০০০,কৃষক,"আড়পাড়া, গাংনী, মেহেরপুর"</t>
  </si>
  <si>
    <t>১০৩৮,মোহাঃ আশিক আলী,৫৭০০৫৫০০০৬৫৩,আব্দুস সালাম,শাহিনা খাতুন,২৫/০৯/২০০১,কৃষক,"আড়পাড়া, গাংনী, মেহেরপুর"</t>
  </si>
  <si>
    <t>১০৩৯,মোঃ আরিফ হোসাইন,৫৭০০৫৫০০০৬৫৬,মোঃ ঝন্টু আলী,মোছাঃ আজমিরা খাতুন,০৫/০৯/২০০২,ছাত্র/ছাত্রী,"আড়পাড়া, গাংনী, মেহেরপুর"</t>
  </si>
  <si>
    <t>১০৪০,মোঃ কামরান আলী,৫৭০০৫৫০০০৬৫৭,মোঃ হেকমত আলী,মোছাঃ জছিরন নেছা,১২/০৬/২০০১,ব্যবসা,"আড়পাড়া, গাংনী, মেহেরপুর"</t>
  </si>
  <si>
    <t>১০৪১,মোঃ সোহাগ রানা,৫৭০০৫৫০০০৬৫৯,মোঃ পিন্টু আলী,মোছাঃ রেহেনা খাতুন,১৯/১১/২০০১,ছাত্র/ছাত্রী,"আড়পাড়া, গাংনী, মেহেরপুর"</t>
  </si>
  <si>
    <t>১০৪২,স্বপন,৫৭০০৫৫০০০৬৬০,বদর উদ্দিন,পারুলা,২৬/১০/১৯৯০,প্রবাসী,"আড়পাড়া, গাংনী, মেহেরপুর"</t>
  </si>
  <si>
    <t>১০৪৩,মোঃ আশিকুর রহমান,৫৭০০৫৫০০০৬৬৪,মোঃ বদর উদ্দিন,মোছাঃ পারুলা খাতুন,২৫/০৩/২০০২,ছাত্র/ছাত্রী,"আড়পাড়া, গাংনী, মেহেরপুর"</t>
  </si>
  <si>
    <t>১০৪৫,মোঃ ফিরোজুল ইসলাম,৫৭০০৫৫০০০৬৭১,মোঃ শাহাদত আলী,মোছাঃ আছমা খাতুন,০২/১১/১৯৯৫,সরকারী চাকুরী,"আড়পাড়া, গাংনী, মেহেরপুর"</t>
  </si>
  <si>
    <t>১০৪৬,মুহাঃ খালিদ হোসেন,৫৭০০৫৫০০০৪৯৬,মুহাঃ জাফর আলী,মোছাঃ খুরশিদা বেগম,০১/০১/১৯৭০,সরকারী চাকুরী,"আড়পাড়া, গাংনী, মেহেরপুর"</t>
  </si>
  <si>
    <t>১০৪৭,মোঃ আরিফুল ইসলাম,৫৭০০৫৫০০০৫৯৯,রহমান হোসেন,মোছাঃ সায়েদা খাতুন,১৮/০৭/১৯৮৮,কৃষক,"আড়পাড়া, গাংনী, মেহেরপুর"</t>
  </si>
  <si>
    <t>১০৪৮,ঝন্টু,৫৭০০৫৫৫৫৪৪৮৯৬,ইকারুদ্দীন,মৃত জাহানারা খাতুন,২৫/০২/১৯৭৫,ব্যবসা,"আড়পাড়া, গাংনী, মেহেরপুর"</t>
  </si>
  <si>
    <t>১০৪৯,আঃ আলিম,৫৭০০৫৫৫৫৪৪৮৯৭,মোঃ শহিদুল ইসলাম,মোছাঃ ফেরদৌসি বেগম,১২/০৭/১৯৯৩,কৃষক,"৪৭৯, আড়পাড়া, গাংনী, মেহেরপুর"</t>
  </si>
  <si>
    <t>১০৫০,মোহাম্মদ মানিক মিয়া,৫৭০০৫৫৫৫৪৪৯০,মোঃ আমজাদ,মোছাঃ ছাকিরন,১২/০৮/১৯৮৬,কৃষক,"আড়পাড়া, গাংনী, মেহেরপুর"</t>
  </si>
  <si>
    <t>১০৫১,মোঃ আবুল বাসার,৫৭০০৫৫৫৫৪৪৯০২,মৃত কালাচাঁদ মন্ডল,ফাজেরা বেগম,১০/০৪/১৯৮০,প্রবাসী,"আড়পাড়া, গাংনী, মেহেরপুর"</t>
  </si>
  <si>
    <t>১০৫২,মোঃ বাদশা আলী,৫৭০০৫৫৫৫৪৪৯০৩,মৃত রবিউল হক,জানুয়ারা,০৫/০৮/১৯৯৩,শ্রমিক,"আড়পাড়া, আড়পাড়া, গাংনী, মেহেরপুর"</t>
  </si>
  <si>
    <t>১০৫৩,পিন্টু,৫৭০০৫৫৫৫৪৪৯০৯,ফারজাক,বেদানা,০৯/০৭/১৯৮৯,কৃষক,"আড়পাড়া, গাংনী, মেহেরপুর"</t>
  </si>
  <si>
    <t>১০৫৪,মোহাম্মদ মিন্টু,৫৭০০৫৫৫৫৪৪৯১০,মোহামাদ আবুল হোসেন,মোছাঃ সফুরা খাতুন,১৫/০৪/১৯৯১,প্রবাসী,"আড়পাড়া, গাংনী, মেহেরপুর"</t>
  </si>
  <si>
    <t>১০৫৫,মোঃ সিপন,৫৭০০৫৫৫৫৪৪৯১১,মোঃ আব্দুল্লাহ,মোছাঃ পারুলা,১০/১০/১৯৯৮,শ্রমিক,"১১০, আড়পাড়া, গাংনী, মেহেরপুর"</t>
  </si>
  <si>
    <t>১০৫৬,মোঃ রাকিবুল ইসলাম,৫৭০০৫৫৫৫৪৪৯১২,মোঃ তমছের আলী,মোছাঃ রেখা খাতুন,১১/১১/২০০১,সরকারী চাকুরী,"আড়পাড়া, গাংনী, মেহেরপুর"</t>
  </si>
  <si>
    <t>১০৫৭,মোঃ ফারুক হোসেন,৫৭০০৫৫৫৫৪৪৯০০,মোঃ বজলুল হক,বিলকিছ বেগম,১৮/০৬/১৯৯৩,তাঁতি,"৭১/১, আড়পাড়া, গাংনী, মেহেরপুর"</t>
  </si>
  <si>
    <t>১০৫৮,তুষার ইমরান,৫৭০০৫৫০০০১০৮,মোঃ তনছের আলী,মোছাঃ মনিরা,০৫/১০/২০০৪,ছাত্র/ছাত্রী,"৬৬০, আড়পাড়া, গাংনী, মেহেরপুর"</t>
  </si>
  <si>
    <t>১০৫৯,মোঃ আনোয়ার হোসেন,৫৭০০৫৫০০০১৯৮,মোঃ শরিফুল ইসলাম,মোছাঃ রেহেনা খাতুন,১২/১০/২০০৪,ছাত্র/ছাত্রী,"আড়পাড়া, গাংনী, মেহেরপুর"</t>
  </si>
  <si>
    <t>১০৬০,মোঃ মামুন অর রশিদ,৫৭০০৫৫০০০২১২,মোঃ বাবু,মোছাঃ রেখা খাতুন,১০/০৬/২০০৪,কৃষক,"২৪২, আড়পাড়া, গাংনী, মেহেরপুর"</t>
  </si>
  <si>
    <t>১০৬১,মোঃ আরিফ আহমেদ,৫৭০০৫৫০০০২২২,মোঃ মজনু আলী,মোছাঃ ফেন্সি খাতুন,০১/০১/২০০৭,ছাত্র/ছাত্রী,"আড়পাড়া, গাংনী, মেহেরপুর"</t>
  </si>
  <si>
    <t>১০৬২,মোঃ তৌফিক এলাহী,৫৭০০৫৫০০০৩৬২,মোঃ আশরাফুল হক,মোছাঃ বিউটি খাতুন,০৫/০১/২০০৬,কৃষক,"৭২, আড়পাড়া, গাংনী, মেহেরপুর"</t>
  </si>
  <si>
    <t>১০৬৩,মোঃ রাসেল খান,৫৭০০৫৫০০০৫২৮,মোঃ হামিদুল ইসলাম,মোছাঃ হাওয়া খাতুন,২০/১০/২০০৫,ছাত্র/ছাত্রী,"১৪৭, আড়পাড়া, গাংনী, মেহেরপুর"</t>
  </si>
  <si>
    <t>১০৬৪,মোঃ আবুল কালাম আজাদ,৫৭০০৫৫০০০৫৪৯,মোঃ আব্দুল্লাহ আল মেহেদী,মোছাঃ সোহেলী আক্তার,১৭/০৯/২০০৪,ছাত্র/ছাত্রী,"আড়পাড়া, গাংনী, মেহেরপুর"</t>
  </si>
  <si>
    <t>১০৬৫,মোঃ আলি রাজ হাওলাদার,৫৭০০৫৫০০০৬৭৮,মোঃ আহাদুল ইসলাম,মোছাঃ নাছিরন খাতুন,০২/০২/২০০৪,কৃষক,"১৭৬, আড়পাড়া, গাংনী, মেহেরপুর"</t>
  </si>
  <si>
    <t>১০৬৬,মোঃ সাকলায়েন মোস্তাক,৫৭০০৫৫০০০৬৮১,মোঃ নজরুল ইসলাম,মোছাঃ সেলিনা পারভিন,০৩/০৩/২০০৪,ছাত্র/ছাত্রী,"আড়পাড়া, গাংনী, মেহেরপুর"</t>
  </si>
  <si>
    <t>১০৬৭,মোঃ মুস্তাকিন আলী,৫৭০০৫৫০০০৬৮২,মোঃ জামাল উদ্দীন,মোছাঃ জুলেখা খাতুন,১০/০৭/২০০৪,কৃষক,"আড়পাড়া, গাংনী, মেহেরপুর"</t>
  </si>
  <si>
    <t>১০৬৮,মোঃ জাহিদ হাসান,৫৭০০৫৫০০০৬৮৩,মোঃ জাহাঙ্গীর আলম,মোছাঃ চায়না খাতুন,১২/০৭/২০০৪,শ্রমিক,"আড়পাড়া, গাংনী, মেহেরপুর"</t>
  </si>
  <si>
    <t>১০৬৯,মোঃ আনারুল ইসলাম,৫৭০০৫৫০০০৬৮৫,মোঃ আলী হোসেন,মোছাঃ মুনজিলা খাতুন,০৫/০৮/২০০৪,কৃষক,"৭০৯, আড়পাড়া, গাংনী, মেহেরপুর"</t>
  </si>
  <si>
    <t>১০৭০,মোঃ গোলাম নবী,৫৭০০৫৫০০০৬৮৮,মোঃ বাবুল হোসেন,মোছাঃ মালেকা খাতুন,১৮/০৯/২০০৫,ছাত্র/ছাত্রী,"আড়পাড়া, গাংনী, মেহেরপুর"</t>
  </si>
  <si>
    <t>১০৭১,মোঃ রাহুল,৫৭০০৫৫০০০৬৯১,মোঃ হামিদুল ইসলাম,মোছাঃ রুবিনা খাতুন,০৯/১১/২০০৫,ছাত্র/ছাত্রী,"৪৫৬, আড়পাড়া, গাংনী, মেহেরপুর"</t>
  </si>
  <si>
    <t>১০৭২,মোঃ সাজ্জাদ মিয়া,৫৭০০৫৫০০০৬৯২,মোঃ জিবালুর রহমান,মোছাঃ আফরোজা,১০/০৯/২০০৫,ছাত্র/ছাত্রী,"-১২২, আড়পাড়া, গাংনী, মেহেরপুর"</t>
  </si>
  <si>
    <t>১০৭৩,মোঃ জনি আহমেদ,৫৭০০৫৫০০০৬৯৯,মোঃ বাবুর আলী,মোছাঃ রেখা খাতুন,২০/০১/২০০৫,ছাত্র/ছাত্রী,"১৬১, আড়পাড়া, গাংনী, মেহেরপুর"</t>
  </si>
  <si>
    <t>১০৭৪,মোঃ হিরো আলী,৫৭০০৫৫০০০৭০৭,মোঃ সাইফুল ইসলাম,মোছাঃ তাসলিমা খাতুন,০২/০৩/২০০৫,ছাত্র/ছাত্রী,"আড়পাড়া, গাংনী, মেহেরপুর"</t>
  </si>
  <si>
    <t>১০৭৫,মোঃ শামিমুজ্জামান,৫৭০০৫৫০০০৭১৬,মোঃ শওকত আলী,মোছাঃ বছিরন নেছা,১০/১২/২০০৫,ছাত্র/ছাত্রী,"১৮৭, আড়পাড়া, গাংনী, মেহেরপুর"</t>
  </si>
  <si>
    <t>১০৭৬,মোঃ মুরছালিন আহমেদ,৫৭০০৫৫০০০৭১৮,মোঃ রাশিদুল ইসলাম,মোছাঃ বিলকিছ আরা,০৮/০৭/২০০৫,ছাত্র/ছাত্রী,"আড়পাড়া, গাংনী, মেহেরপুর"</t>
  </si>
  <si>
    <t>১০৭৭,মোঃ সজীব আলী,৫৭০০৫৫০০০৭১৯,মোঃ বশিরউদ্দী্ন,মোছাঃ সজিরন নেছা,৩১/১২/২০০৫,ছাত্র/ছাত্রী,"৩৪৮, আড়পাড়া, গাংনী, মেহেরপুর"</t>
  </si>
  <si>
    <t>১০৭৮,আসিফ আলী,৫৭০০৫৫০০০৭২০,মোঃ আলমগীর হোসেন,মোছাঃ আমেনা খাতুন,০৫/০৮/২০০৫,ছাত্র/ছাত্রী,"১৭৭, আড়পাড়া, গাংনী, মেহেরপুর"</t>
  </si>
  <si>
    <t>১০৭৯,মোঃ ইমরান ফরহাদ মন্ডল,৫৭০০৫৫০০০৭২৪,মোঃ ইকরামুল হক,মোছাঃ রেফা খাতুন,২০/০৪/২০০৬,ছাত্র/ছাত্রী,"৭০, আড়পাড়া, গাংনী, মেহেরপুর"</t>
  </si>
  <si>
    <t>১০৮০,মোঃ শরিফুল ইসলাম,৫৭০০৫৫০০০৭২৫,মোঃ মধু,মোছাঃ শারমিনা,২০/০২/২০০৬,কৃষক,"৩৭৬, আড়পাড়া, গাংনী, মেহেরপুর"</t>
  </si>
  <si>
    <t>১০৮১,মোঃ রনি বিশ্বাস,৫৭০০৫৫০০০৭২৬,মোঃ মুন্নাফ আলী,মোছাঃ রশিদা খাতুন,২০/০২/২০০৬,কৃষক,"-২৪২, আড়পাড়া, গাংনী, মেহেরপুর"</t>
  </si>
  <si>
    <t>১০৮২,মোঃ মামুন আলী,৫৭০০৫৫০০০৭২৯,মোঃ শাহাদুল ইসলাম,মোছাঃ ইন্নাতুন নেছা,১৮/০৫/২০০৬,ছাত্র/ছাত্রী,"আড়পাড়া, গাংনী, মেহেরপুর"</t>
  </si>
  <si>
    <t>১০৮৩,মোঃ আবু সাঈদ,৫৭০০৫৫০০০৭৩২,মোঃ আব্দুল মাবুদ,মোছাঃ তহুরা খাতুন,১৯/১১/২০০৬,ছাত্র/ছাত্রী,"১৪০, আড়পাড়া, গাংনী, মেহেরপুর"</t>
  </si>
  <si>
    <t>১০৮৪,মোঃ শিহাব আলী,৫৭০০৫৫০০০৭৩৫,মোঃ আশাদুল ইসলাম,মোছাঃ শিরিনা খাতুন,২৫/০৬/২০০৬,ছাত্র/ছাত্রী,"৫৪৮, আড়পাড়া, গাংনী, মেহেরপুর"</t>
  </si>
  <si>
    <t>১০৮৫,মোঃ রাশিদুল ইসলাম,৫৭০০৫৫৫৫৪৪৯১৮,মোঃ রেজাউল হক,মোছাঃ জেসমিন আরা,০৬/০২/২০০১,বেকার,"আড়পাড়া, গাংনী, মেহেরপুর"</t>
  </si>
  <si>
    <t>১০৮৬,মোঃ ইমরান আলী,৫৭০০৫৫৫৫৪৪৯২১,মোঃ জান্টু,মোছাঃ ছকিনা খাতুন,০৮/০৬/২০০৩,শ্রমিক,"আড়পাড়া, গাংনী, মেহেরপুর"</t>
  </si>
  <si>
    <t>১০৮৭,মোঃ মাসুদ হোসেন,৫৭০০৫৫৫৫৪৪৯২২,মৃত রহমান,মোছাঃ সহিদা খাতুন,২০/০৬/১৯৯৪,শ্রমিক,"আড়পাড়া, গাংনী, মেহেরপুর"</t>
  </si>
  <si>
    <t>১০৮৮,মোঃ শাহাবুদ্দিন,৫৭০০৫৫৫৫৪৪৯২৩,মোঃ আবু বাক্কার,মোছাঃ জামেনা খাতুন,১৮/০৭/২০০২,বেকার,"আড়পাড়া, গাংনী, মেহেরপুর"</t>
  </si>
  <si>
    <t>১০৮৯,মোহাম্মদ আজিজুল হক,৫৭০০৫৫৫৫৪৪৯২৫,মৃত মোঃ ফকির মন্ডল,মৃত মোছাঃ মোলামজান,১৯/০৩/১৯৮৭,কৃষক,"আড়পাড়া, গাংনী, মেহেরপুর"</t>
  </si>
  <si>
    <t>১০৯০,মোঃ স্বপন আলী,৫৭০০৫৫৫৫৪৪৯২৬,মোঃ আশরাফুল,মোছাঃ রুপিয়া খাতুন,০৫/১২/২০০১,কৃষক,"১৩৫, আড়পাড়া, গাংনী, মেহেরপুর"</t>
  </si>
  <si>
    <t>১০৯১,মোঃ গাফফার আলী,৫৭০০৫৫৫৫৪৪৯২৭,মোঃ দ্বীন ইসলাম,মোছাঃ হেমেলা খাতুন,০৫/০৩/২০০৩,কৃষক,"আড়পাড়া, গাংনী, মেহেরপুর"</t>
  </si>
  <si>
    <t>১০৯২,মোঃ আজমাইল,৫৭০০৫৫৫৫৪৪৯২৮,মোঃ রবগুল,মোছাঃ আসুরা,০৭/০৪/১৯৯৬,মিস্ত্রী,"আড়পাড়া, গাংনী, মেহেরপুর"</t>
  </si>
  <si>
    <t>১০৯৩,মোঃ সুলতান আলী,৫৭০০৫৫৫৫৪৪৯২৯,মোঃ আবু হাসেম,মোছাঃ মনোয়ারা বেগম,২৭/১১/২০০২,কৃষক,"আড়পাড়া, গাংনী, মেহেরপুর"</t>
  </si>
  <si>
    <t>১০৯৪,মোঃ মানিক মিয়া,৫৭০০৫৫৫৫৪৪৯৩০,মোঃ আব্দুল লতিব,মোছাঃ মালা খাতুন,১২/০৮/২০০৩,কৃষক,"আড়পাড়া, গাংনী, মেহেরপুর"</t>
  </si>
  <si>
    <t>১০৯৫,মোঃ সোহেল রানা,৫৭০০৫৫৫৫৪৪৯৩৮,মোঃ আব্দুল লতিব,মোছাঃ মনোয়ারা খাতুন,১০/০১/২০০২,কৃষক,"আড়পাড়া, গাংনী, মেহেরপুর"</t>
  </si>
  <si>
    <t>১০৯৬,মোঃ বিপ্লব আলী,৫৭০০৫৫৫৫৪৪৯৫১,মহলেছুর রহমান,মৃত সেলিনা খাতুন,২২/০৮/২০০১,কৃষক,"১২৭, আড়পাড়া, গাংনী, মেহেরপুর"</t>
  </si>
  <si>
    <t>১০৯৭,মোঃ আকাশ আলী,৫৭০০৫৫৫৫৪৪৯৫২,মোঃ ইসমাইল হোসেন,মোছাঃ জাহানারা খাতুন,১৫/১১/২০০০,ছাত্র/ছাত্রী,"২৯০, আড়পাড়া, গাংনী, মেহেরপুর"</t>
  </si>
  <si>
    <t>১০৯৮,মোঃ তরিকুল ইসলাম,৫৭০০৫৫৫৫৪৪৯৫৩,মোঃ রাশিদুল ইসলাম,মোছাঃ সুন্দরী খাতুন,১৬/০৮/২০০১,কৃষক,"০৬, আড়পাড়া, গাংনী, মেহেরপুর"</t>
  </si>
  <si>
    <t>১০৯৯,মোঃ সাইফুল ইসলাম,৫৭০০৫৫৫৫৪৪৯৫৫,মৃত বদর উদ্দীন,মোছাঃ লালন খাতুন,০৮/০৫/১৯৯৭,কৃষক,"১২২, আড়পাড়া, গাংনী, মেহেরপুর"</t>
  </si>
  <si>
    <t>১১০০,হাফিজুর রহমান,৫৭০০৫৫৫৫৪৪৯৫৬,মৃত আকমান আলী,মোছাঃ মালেজান,০১/০২/১৯৯১,কৃষক,"১০২, আড়পাড়া, গাংনী, মেহেরপুর"</t>
  </si>
  <si>
    <t>১১০১,মোঃ আশিক আলী,৫৭০০৫৫৫৫৪৪৯৫৭,মনিরুল হক,মোছাঃ মুর্সিদা খাতুন,০১/০১/২০০০,কৃষক,"আড়পাড়া, গাংনী, মেহেরপুর"</t>
  </si>
  <si>
    <t>১১০২,মোঃ মিনারুল ইসলাম,৫৭০০৫৫৫৫৪৪৯৫৮,মৃত মোঃ এরশাদ আলী,মোছাঃ রেকছনা খাতুন,০৬/০৩/২০০২,কৃষক,"-১০৪, আড়পাড়া, গাংনী, মেহেরপুর"</t>
  </si>
  <si>
    <t>১১০৩,মোঃ আজিমুদ্দীন,৫৭০০৫৫৫৫৪৪৯৬০,মৃত লালচাঁদ,ইলাজান,০৫/০১/১৯৭৫,কৃষক,"১৭১, আড়পাড়া, গাংনী, মেহেরপুর"</t>
  </si>
  <si>
    <t>১১০৪,মোঃ শিমুল আলী,৫৭০০৫৫৫৫৪৪৯৬৩,মোঃ কামাল উদ্দীন,মোছাঃ শিউলী খাতুন,০৯/০৪/২০০২,কৃষক,"২৮৮, আড়পাড়া, গাংনী, মেহেরপুর"</t>
  </si>
  <si>
    <t>১১০৫,মোঃ আশরাফুল ইসলাম,৫৭০০৫৫৫৫৪৪৯৬৯,মোঃ মহাসিন মালিথা,মোছাঃ রুসিয়া খাতুন,১৫/০২/১৯৮৯,কৃষক,"১২৫, আড়পাড়া, গাংনী, মেহেরপুর"</t>
  </si>
  <si>
    <t>১১০৬,মোঃ সবুজ আলী,৫৭০০৫৫৫৫৪৪৯৭০,মোঃ মহিদুল হক,মোছাঃ কুলছুম খাতুন,০৩/০১/২০০০,কৃষক,"১০০, আড়পাড়া, গাংনী, মেহেরপুর"</t>
  </si>
  <si>
    <t>১১০৭,মোঃ তরিকুল ইসলাম,৫৭০০৫৫৫৫৪৪৯৭১,মোঃ আবুর কালাম,মোছাঃ ফরিদা খাতুন,১০/০৯/২০০১,কৃষক,"আড়পাড়া, গাংনী, মেহেরপুর"</t>
  </si>
  <si>
    <t>১১০৮,মোঃ ইব্রাহিম আলী,৫৭০০৫৫৫৫৪৪৯৭৪,মোঃ রবগুল,মোছাঃ আসুরা,১০/১২/১৯৯৩,কৃষক,"আড়পাড়া, গাংনী, মেহেরপুর"</t>
  </si>
  <si>
    <t>১১০৯,মোঃ সাগর আলী,৫৭০০৫৫০০০৬৭২,মোঃ জয়নাল আবেদীন,মোছাঃ সুরাইয়া খাতুন,০৪/০৫/২০০৪,কৃষক,"-, আড়পাড়া, গাংনী, মেহেরপুর"</t>
  </si>
  <si>
    <t>১১১০,মোঃ বিপুল হোসেন,৫৭০০৫৫০০০৬৭৫,মোঃ কিতাব আলী,মোছাঃ বুলবুলি খাতুন,১২/০৪/২০০৪,কৃষক,"আড়পাড়া, গাংনী, মেহেরপুর"</t>
  </si>
  <si>
    <t>১১১১,মোঃ শাহিন আলী,৫৭০০৫৫০০০৭০৯,শুকুর আলী,মোছাঃ আসরা,২৬/০২/২০০৫,ছাত্র/ছাত্রী,"আড়পাড়া, গাংনী, মেহেরপুর"</t>
  </si>
  <si>
    <t>১১১২,মোঃ তুহিন আলী,৫৭০০৫৫০০০৭১৫,মোঃ আজিজুল হক,মোছাঃ মদিনা খাতুন,১০/১২/২০০৫,কৃষক,"আড়পাড়া, গাংনী, মেহেরপুর"</t>
  </si>
  <si>
    <t>১১১৩,মোঃ রতন আলী,৫৭০০৫৫০০০৭১৭,মোঃ মুক্তার আলী,মোছাঃ রিতা খাতুন,১০/১০/২০০৫,ছাত্র/ছাত্রী,"আড়পাড়া, গাংনী, মেহেরপুর"</t>
  </si>
  <si>
    <t>১১১৪,মোঃ তামিম ইসলাম,৫৭০০৫৫০০০৭২৭,মোঃ জাহিদুল ইসলাম,মোছাঃ শামজুন্নাহার,২৩/০৭/২০০৬,ছাত্র/ছাত্রী,"আড়পাড়া, গাংনী, মেহেরপুর"</t>
  </si>
  <si>
    <t>১১১৫,মোঃ কিনার উদ্দীন আহাম্মেদ,৫৭০০৫৫০০০৭৩০,মোঃ বজলুল হক,মোছাঃ শাহানাজ পারভীন,০৮/০৯/২০০৬,ছাত্র/ছাত্রী,"আড়পাড়া, গাংনী, মেহেরপুর"</t>
  </si>
  <si>
    <t>১১১৬,মোঃ আবু জাহিদ,৫৭০০৫৫৫৫৪৪৯৭৬,মোঃ ইয়ার আলী,মোছাঃ তহমিনা খাতুন,০১/০১/২০০৪,ছাত্র/ছাত্রী,"আড়পাড়া, গাংনী, মেহেরপুর"</t>
  </si>
  <si>
    <t>১১১৭,মোঃ আখিরুল ইসলাম,৫৭০০৫৫৫৫৪৪৯৭৭,মোঃ খাকচার আলী,মোছাঃ কামরুন্নাহার,২০/০৫/২০০২,ছাত্র/ছাত্রী,"আড়পাড়া, গাংনী, মেহেরপুর"</t>
  </si>
  <si>
    <t>১১১৮,আরিফুল,৫৭০০৫৫৫৫৪৪৯৭৮,মোঃ মহসিন মালিথা,মৃত রুমিয়া খাতুন,২১/১১/১৯৮৮,কৃষক,"-, আড়পাড়া, গাংনী, মেহেরপুর"</t>
  </si>
  <si>
    <t>১১১৯,মোঃ রিমন আলী,৫৭০০৫৫৫৫৪৪৯৭৯,মোঃ ইমারত আলী,মোছাঃ নুরজাহান বেগম,০৯/০১/২০০০,কৃষক,"আড়পাড়া, গাংনী, মেহেরপুর"</t>
  </si>
  <si>
    <t>১১২০,মোঃ আব্দুল্লাহ আল মামুন,৫৭০০৫৫৫৫৪৪৯৮০,মোঃ রফিকুল ইসলাম,মোছাঃ সানোয়ারা,০৪/০৩/১৯৯২,ব্যবসা,"আড়পাড়া, গাংনী, মেহেরপুর"</t>
  </si>
  <si>
    <t>১১২১,মোঃ রাজা মিয়া,৫৭০০৫৫৫৫৪৪৯৮১,মোঃ আব্দুর রাজ্জাক,মৃত নিশপতি খাতুন,০১/০১/২০০৪,ব্যবসা,"২৩০, আড়পাড়া, গাংনী, মেহেরপুর"</t>
  </si>
  <si>
    <t>১১২২,মোঃ সাকির আহমেদ,৫৭০০৫৫৫৫৪৪৯৮২,মুক্তার আলী,মোছাঃ রিতা খাতুন,০১/১০/২০০২,ছাত্র/ছাত্রী,"আড়পাড়া, গাংনী, মেহেরপুর"</t>
  </si>
  <si>
    <t>১১২৩,মোঃ বিল্লাল হোসেন,৫৭০০৫৫৫৫৪৪৯৮৩,মোঃ তমছের আলী,বিউটি খাতুন,০৫/০২/১৯৯০,ব্যবসা,"আড়পাড়া, গাংনী, মেহেরপুর"</t>
  </si>
  <si>
    <t>১১২৪,মোঃ মাসুদ রানা,৫৭০০৫৫৫৫৪৪৯৮৪,মোঃ নায়ের শেখ,মোছাঃ রেজিয়া খাতুন,২১/০১/১৯৯৫,কৃষক,"আড়পাড়া, গাংনী, মেহেরপুর"</t>
  </si>
  <si>
    <t>১১২৫,মোঃ মিলন হোসেন,৫৭০০৫৫৫৫৪৪৯৮৫,মোঃ খলিলুর রহমান,মোছাঃ রুপিয়া খাতুন,০১/০২/২০০১,শ্রমিক,"আড়পাড়া, গাংনী, মেহেরপুর"</t>
  </si>
  <si>
    <t>১১২৬,মোঃ নাজমুল হুদা,৫৭০০৫৫৫৫৪৪৯৮৬,মোঃ নূর ইসলাম,মোছাঃ সামিমা আক্তার লিলি,০৪/১০/১৯৯৩,কৃষক,"আড়পাড়া, গাংনী, মেহেরপুর"</t>
  </si>
  <si>
    <t>১১২৭,মোঃ আরজান মন্ডল,৫৭০০৫৫৫৫৪৪৯৮৮,মোঃ আয়নাল হক,মোছাঃ নুরজাহান,২৮/০৮/২০০৩,কৃষক,"আড়পাড়া, গাংনী, মেহেরপুর"</t>
  </si>
  <si>
    <t>১১২৮,মোঃ আলাল হোসেন,৫৭০০৫৫৫৫৪৪৯৮৯,আব্দুর রহিম,মোছাঃ ফাহিমা খাতুন,০৩/০৪/১৯৯০,প্রবাসী,"আড়পাড়া, গাংনী, মেহেরপুর"</t>
  </si>
  <si>
    <t>১১২৯,মোঃ জাকিরুল ইসলাম,৫৭০০৫৫৫৫৪৪৯৯২,মোঃ জিয়ারুল ইসলাম,মোছাঃ বিলকিছ খাতুন,০৩/০১/২০০০,শ্রমিক,"আড়পাড়া, গাংনী, মেহেরপুর"</t>
  </si>
  <si>
    <t>১১৩০,মোঃ সুমন আলী,৫৭০০৫৫৫৫৪৪৯৯৪,মোঃ ইনতাজুল,মোছাঃ আসেনা,০৯/০৩/২০০১,কৃষক,"আড়পাড়া, গাংনী, মেহেরপুর"</t>
  </si>
  <si>
    <t>১১৩১,মোঃ জাকিরুল ইসলাম,৫৭০০৫৫৫৫৪৪৯৯৬,মোঃ সিদ্দিকুর রহমান,মোছাঃ সরলা খাতুন,০১/০১/২০০২,কৃষক,"আড়পাড়া, গাংনী, মেহেরপুর"</t>
  </si>
  <si>
    <t>১১৩২,মোহাম্মদ কিবরিয়া,৫৭০০৫৫৫৫৪৫০০০,পিতা মোহাম্মাদ ইমান আলী,মাঃ আকেলা খাতুন,১৫/১২/১৯৯১,প্রবাসী,"আড়পাড়া, গাংনী, মেহেরপুর"</t>
  </si>
  <si>
    <t>১১৩৩,মোঃ জুয়েল রানা,৫৭০০৫৫৫৫৪৫০০২,মোঃ জালালউদ্দিন,মোছাঃ মনোয়ারা খাতুন,৩০/১২/২০০২,ছাত্র/ছাত্রী,"আড়পাড়া, গাংনী, মেহেরপুর"</t>
  </si>
  <si>
    <t>১১৩৪,মোঃ মুরছালিন খান,৫৭০০৫৫৫৫৪৫০০৪,মোহাঃ বকুল হোসেন,মোছাঃ রেকছানা খাতুন,০৮/০৭/২০০৩,বেকার,"আড়পাড়া, গাংনী, মেহেরপুর"</t>
  </si>
  <si>
    <t>১১৩৫,মোঃ সোহেল রানা,৫৭০০৫৫৫৫৪৫০০৬,মোঃ আজিজুল হক মালিথা,মোছাঃ হালিমা বেগম,০৩/০৪/২০০০,শ্রমিক,"৪৪১, আড়পাড়া, গাংনী, মেহেরপুর"</t>
  </si>
  <si>
    <t>১১৩৬,মোঃ বিদ্যুৎ আলী,৫৭০০৫৫০০০৬৮৯,মোঃ আবুল কালাম,মোছাঃ আছিয়া বেগম,০৮/০৯/২০০১,কৃষক,"আড়পাড়া, গাংনী, মেহেরপুর"</t>
  </si>
  <si>
    <t>১১৩৭,মোঃ সাহাদ আলী,৫৭০০৫৫০০০৬৯০,মোঃ মিনারুল ইসলাম,মোছাঃ পারভিনা খাতুন,১০/০৫/২০০২,বেসরকারী চাকুরী,"৭২৭, আড়পাড়া, গাংনী, মেহেরপুর"</t>
  </si>
  <si>
    <t>১১৩৮,মোঃ সাদবীন আহাদ,৫৭০০৫৫০০০৬৯৬,মৃত মোহাঃ আলীমুজ্জামান,মোছাঃ বিলকিছ আরা,১৫/০৭/২০০৪,ছাত্র/ছাত্রী,"৬০২, আড়পাড়া, গাংনী, মেহেরপুর"</t>
  </si>
  <si>
    <t>১১৩৯,মোঃ আরিফুল ইসলাম,৫৭০০৫৫০০০৭০২,রইচ উদ্দীন,মোছাঃ রেবেকা,০৭/১২/১৯৯৬,শ্রমিক,"৪১০, আড়পাড়া, গাংনী, মেহেরপুর"</t>
  </si>
  <si>
    <t>১১৪০,মোহাম্মদ শান্ত,৫৭০০৫৫০০০৭০৩,আরসাদ,রাশিদা খাতুন,১০/০২/১৯৯২,প্রবাসী,"আড়পাড়া, গাংনী, মেহেরপুর"</t>
  </si>
  <si>
    <t>১১৪১,মোঃ মোহাম্মাদ জুয়েল আলী,৫৭০০৫৫০০০৭০৪,মোঃ কুরবান আলী,মোছাঃ রাশিরা খাতুন,০৪/০১/১৯৯১,প্রবাসী,"আড়পাড়া, গাংনী, মেহেরপুর"</t>
  </si>
  <si>
    <t>১১৪২,মোঃ নয়ন আহমেদ,৫৭০০৫৫০০০৭০৫,মোঃ মিজানুর রহমান,মোছাঃ লিপিআরা,০৫/১০/১৯৯৭,শ্রমিক,"আড়পাড়া, গাংনী, মেহেরপুর"</t>
  </si>
  <si>
    <t>১১৪৩,শিহাব আলী,৫৭০০৫৫০০০৭০৬,মোঃ মিজানুর রহমান,মোছাঃ পারুলা আক্তার,১৫/০৮/১৯৯৫,শ্রমিক,"৬৫, আড়পাড়া, গাংনী, মেহেরপুর"</t>
  </si>
  <si>
    <t>১১৪৪,স্বপ্নীল আহাম্মেদ,৫৭০০৫৫০০০৭১০,মোঃ জিম্মত আলী,মোছাঃ জহুরা,০৭/০৯/২০০১,শ্রমিক,"৬৮০, আড়পাড়া, গাংনী, মেহেরপুর"</t>
  </si>
  <si>
    <t>১১৪৫,মোহাম্মদ রকিবুল ইসলাম,৫৭০০৫৫৫৫৪৫০০৫,আবু বক্কর,মোছাঃ জামেনা,১৩/০৬/১৯৯০,শ্রমিক,"আড়পাড়া, গাংনী, মেহেরপুর"</t>
  </si>
  <si>
    <t>১১৪৬,মোঃ মজিবুল হক,৫৭০০৫৫৫৫৪৫০০৭,মোঃ নেমুদ্দীন,মোছাঃ আনজিরা খাতুন,০৪/১২/২০০২,বেকার,"আড়পাড়া, গাংনী, মেহেরপুর"</t>
  </si>
  <si>
    <t>১১৪৭,মোঃ সায়েম হোসেন রনি,৫৭০০৫৫৫৫৪৫০০৮,মোঃ মহিবুল ইসলাম,মোছাঃ মুসলিমা খাতুন,০১/০৬/২০০২,ব্যবসা,"আড়পাড়া, গাংনী, মেহেরপুর"</t>
  </si>
  <si>
    <t>১১৪৮,দেলোয়ার হোসেন,৫৭০০৫৫৫৫৪৫০০৯,মুরাদ আলী,হাফিজা খাতুন,১২/০৪/১৯৮৪,প্রবাসী,"আড়পাড়া, গাংনী, মেহেরপুর"</t>
  </si>
  <si>
    <t>১১৪৯,মোঃ আছরাফ হোসেন,৫৭০০৫৫৫৫৪৫MDEw,মোঃ রুপচাঁদ,মোছাঃ পারভীনা খাতুন,০১/০৬/২০০৩,মিস্ত্রী,"আড়পাড়া, গাংনী, মেহেরপুর"</t>
  </si>
  <si>
    <t>১১৫০,মোঃ নাজিব বিশ্বাস,৫৭০০৫৫৫৫৪৫০১১,মোঃ বাবুল হোসেন,মোছাঃ নার্গিস আরা,০১/০৮/২০০৪,শ্রমিক,"৬৯৮, আড়পাড়া, গাংনী, মেহেরপুর"</t>
  </si>
  <si>
    <t>১১৫১,মোঃ সজিব আলী,৫৭০০৫৫৫৫৪৫০১২,মোঃ তজিমুদ্দীন,মোছাঃ সাজেদা খাতুন,০৯/০৩/২০০৪,কৃষক,"আড়পাড়া, গাংনী, মেহেরপুর"</t>
  </si>
  <si>
    <t>১১৫২,মোঃ আজিজুল হক,৫৭০০৫৫৫৫৪৫০১৪,ছামছুদ্দীন,মোছাঃ কমেলা খাতুন,২০/০২/১৯৮০,কৃষক,"আড়পাড়া, গাংনী, মেহেরপুর"</t>
  </si>
  <si>
    <t>১১৫৩,মোঃ একলাচুর রহমান,৫৭০০৫৫৫৫৪৫০১৫,মোঃ রেজাউল হক,মোছাঃ সোনাভানু,১০/০২/১৯৯০,বেসরকারী চাকুরী,"আড়পাড়া, গাংনী, মেহেরপুর"</t>
  </si>
  <si>
    <t>১১৫৪,মোঃ বাধন আলী,৫৭০০৫৫৫৫৪৫০২৫,মোঃ বাবুল হোসেন,মোছাঃ কুলছুম খাতুন,০৩/১২/২০০৪,শ্রমিক,"আড়পাড়া, গাংনী, মেহেরপুর"</t>
  </si>
  <si>
    <t>১১৫৫,অনিক শেখ,৫৭০০৫৫০০০৭২১,মোঃ জানমোহাম্মদ,মোছাঃ রহিমা বেগম,০৩/০৬/২০০৬,শ্রমিক,"আড়পাড়া, গাংনী, মেহেরপুর"</t>
  </si>
  <si>
    <t>১১৫৬,মোঃ হাসিব আলী,৫৭০০৫৫৫৫৪৫০৩৪,বাহাদুর,তাছলিমা খাতুন,০১/০১/১৯৯৭,শ্রমিক,"১০১, আড়পাড়া, গাংনী, মেহেরপুর"</t>
  </si>
  <si>
    <t>১১৫৭,মোঃ আলফাফ আলী,৫৭০০৫৫৫৫৪৫০৩৫,মোঃ রুপচাঁদ আলী,মোছাঃ পারভীন খাতুন,০১/০৯/১৯৯৫,কৃষক,"৭৮, আড়পাড়া, গাংনী, মেহেরপুর"</t>
  </si>
  <si>
    <t>১১৫৮,মোঃ শাহাজান আলী,৫৭০০৫৫৫৫৪৫০৩৭,আয়নাল হক,নুরজাহান,০৫/১০/১৯৯৭,শ্রমিক,"৩৫৬, আড়পাড়া, গাংনী, মেহেরপুর"</t>
  </si>
  <si>
    <t>১১৫৯,মুহাম্মদ মাহফুজ আলী,৫৭০০৫৫৫৫৪৫০৩৯,মোঃ মিজানুর রহমান,মোছাঃ আমেনা খাতুন,২৪/০২/২০০৪,শ্রমিক,"আড়পাড়া, গাংনী, মেহেরপুর"</t>
  </si>
  <si>
    <t>১১৬০,মোঃ মাজহারুল ইসলাম,৫৭০০৫৫৫৫৪৫০৪০,মোঃ জহুরুল ইসলাম,মোছাঃ ডেইজি খাতুন,২১/১২/২০০৪,কৃষক,"আড়পাড়া, গাংনী, মেহেরপুর"</t>
  </si>
  <si>
    <t>১১৬১,মোঃ সৃজন হাওলাদার,৫৭০০৫৫৫৫৪৫০৪২,মোঃ শরিফদ্দীন,মোছাঃ আনোয়ারা খাতুন,২০/১২/২০০৫,শ্রমিক,"৪৭১, মহিষাখোলা, গাংনী, মেহেরপুর"</t>
  </si>
  <si>
    <t>১১৬২,রূপচাদ আলী,৫৭০০৫৫৫৫৪৫০৪৩,ফয়জাল হক,নাছিমা খাতুন,০১/১২/১৯৮৮,শ্রমিক,"৬৭৬, আড়পাড়া, গাংনী, মেহেরপুর"</t>
  </si>
  <si>
    <t>১১৬৩,মোঃ আকাশ আলী,৫৭০০৫৫৫৫৪৫০৪৪,মোঃ আক্তারুল,মোছাঃ চায়না,৩০/০১/২০০৪,শ্রমিক,"আড়পাড়া, গাংনী, মেহেরপুর"</t>
  </si>
  <si>
    <t>১১৬৪,মোঃ ইব্রাহিম খলিল,৫৭০০৫৫৫৫৪৫০৪৫,মোহাম্মদ আলী,মোছাঃ আকলিমা খাতুন,১০/০৪/২০০৪,কৃষক,"আড়পাড়া, গাংনী, মেহেরপুর"</t>
  </si>
  <si>
    <t>১১৬৫,মোঃ জাহিদুল,৫৭০০৫৫৫৫৪৫০৪৬,ইউনুস,আম্বিয়া,১০/০৬/১৯৯৮,শ্রমিক,"৮৬, দক্ষিণ তেঁতুলবাড়িয়া, গাংনী, মেহেরপুর"</t>
  </si>
  <si>
    <t>১১৬৬,মোঃ উবাইদুল্লাহ,৫৭০০৫৫৫৫৪৫০৪৮,মোঃ শরিয়ত,মোছাঃ জালিয়া,০৫/০২/১৯৯৩,শ্রমিক,"৩৫৩, আড়পাড়া, গাংনী, মেহেরপুর"</t>
  </si>
  <si>
    <t>১১৬৭,মোঃ নাজমুল হোসেন,৫৭০০৫৫৫৫৪৫০৪৯,মোঃ মহিবুল ইসলাম,মোছাঃ নিমরী খাতুন,১৮/০১/১৯৯৭,শ্রমিক,"আড়পাড়া, গাংনী, মেহেরপুর"</t>
  </si>
  <si>
    <t>১১৬৮,মোঃ রিশাদ আলী,৫৭০০৫৫৫৫৪৫০৫১,মোঃ রবিউল ইসলাম,মোছাঃ মন্তরা খাতুন,০৩/০৬/২০০৪,ছাত্র/ছাত্রী,"আড়পাড়া, গাংনী, মেহেরপুর"</t>
  </si>
  <si>
    <t>১১৬৯,ঠান্ডু আলী,৫৭০০৫৫৫৫৪৫০৫৬,মোঃ গনজের আলী,মোছাঃ আছিয়া খাতুন,০৭/০৭/১৯৭৭,কৃষক,"৬২৮, আড়পাড়া, গাংনী, মেহেরপুর"</t>
  </si>
  <si>
    <t>১১৭০,মোঃ মজিবুল হক,৫৭০০৫৫৫৫৪৫০৪৭,মোঃ ফেলু,মোছাঃ রংফুল,৩০/০১/১৯৯১,শ্রমিক,"আড়পাড়া, গাংনী, মেহেরপুর"</t>
  </si>
  <si>
    <t>১১৭১,মোঃ আবু হাসেম,৫৭০০৫৫৫৫৪৫০৫২,মোঃ মজিবার বিশ্বাস,মোছাঃ হামিদা খাতুন,০৬/০৫/১৯৭৭,দিনমজুর,"৮৬, আড়পাড়া, গাংনী, মেহেরপুর"</t>
  </si>
  <si>
    <t>১১৭২,জজ,৫৭০০৫৫৫৫৪৫০৫৯,হাকিম,রওশনারা,০২/০২/১৯৯৪,প্রবাসী,"আড়পাড়া, গাংনী, মেহেরপুর"</t>
  </si>
  <si>
    <t>১১৭৩,মোঃ লিমন আলী,৫৭০০৫৫৫৫৪৫০৬০,মোঃ সুলতান হোসেন,মোছাঃ রিনা খাতুন,০১/০১/২০০৭,ছাত্র/ছাত্রী,"আড়পাড়া, গাংনী, মেহেরপুর"</t>
  </si>
  <si>
    <t>১১৭৪,মোঃ তুহিন আলী,৫৭০০৫৫৫৫৪৫০৬১,মোঃ আবুল বাসার,মোছাঃ নার্গিস আরা,১০/০৮/২০০৪,কৃষক,"আড়পাড়া, গাংনী, মেহেরপুর"</t>
  </si>
  <si>
    <t>১১৭৫,মোঃ সালাম আলী,৫৭০০৫৫৫৫৪৫০৬২,মোঃ মক্কেল,মোছাঃ মর্জিনা,০৫/০৪/১৯৯৭,কৃষক,"আড়পাড়া, গাংনী, মেহেরপুর"</t>
  </si>
  <si>
    <t>১১৭৬,মোঃ আবু সাঈদ,৫৭০০৫৫৫৫৪৫০৬৪,মোঃ নাজমুল হক,মোছাঃ মাকছুরা খাতুন,১৪/১০/২০০৬,ছাত্র/ছাত্রী,"আড়পাড়া, গাংনী, মেহেরপুর"</t>
  </si>
  <si>
    <t>১১৭৭,শ্রী বিজয় কুমার সাহা,৫৭০০৫৫৫৫৪৫০৬৬,শ্রী সুনীল কুমার সাহা,শ্রীমতি দীপ্তী রানী সাহা,০৪/০৯/২০০৬,ছাত্র/ছাত্রী,"আড়পাড়া, গাংনী, মেহেরপুর"</t>
  </si>
  <si>
    <t>১১৭৮,মোঃ আজাদ আলী,৫৭০০৫৫৫৫৪৫০৬৭,মোঃ রেজাউল হক,মোছাঃ হাসেনা বেগম,১০/০১/২০০০,কৃষক,"আড়পাড়া, গাংনী, মেহেরপুর"</t>
  </si>
  <si>
    <t>১১৭৯,মোঃ রতন আলী,৫৭০০৫৫৫৫৪৫০৭১,মোঃ আশরাফুল,রুপিয়া খাতুন,০৬/০৬/১৯৯৭,কৃষক,"আড়পাড়া, গাংনী, মেহেরপুর"</t>
  </si>
  <si>
    <t>১১৮০,মোঃ রাকিব আলী,৫৭০০৫৫৫৫৪৫০৭৪,মোঃ ডাবলু হক,মোছাঃ নারগিছ খাতুন,১০/০২/২০০৩,শ্রমিক,"আড়পাড়া, গাংনী, মেহেরপুর"</t>
  </si>
  <si>
    <t>১১৮১,মোঃ নাঈম আলী,৫৭০০৫৫৫৫৪৫০৭৫,মোঃ বাবর আলী,মোছাঃ ময়না খাতুন,০২/০৫/২০০৬,শ্রমিক,"আড়পাড়া, গাংনী, মেহেরপুর"</t>
  </si>
  <si>
    <t>১১৮২,আকরামুল হক,৫৭০০৫৫৫৫৪৫০৭৬,মোঃ মহসিন মালিথা,মৃত রুশিরা খাতুন,০৯/১২/১৯৮২,কৃষক,"আড়পাড়া, গাংনী, মেহেরপুর"</t>
  </si>
  <si>
    <t>১১৮৩,মোঃ শাওন আলী,৫৭০০৫৫৫৫৪৫০৮১,মোঃ মমতাজ আলী,মোছাঃ হাসিনা খাতুন,০১/০১/২০০৭,ছাত্র/ছাত্রী,"আড়পাড়া, গাংনী, মেহেরপুর"</t>
  </si>
  <si>
    <t>১১৮৪,মোঃ সাব্বির হোসেন,৫৭০০৫৫৫৫৪৫০৮৭,মোঃ রিয়াজ উদ্দীন,মোছাঃ শাহানাজ পারভীন,০১/০১/২০০৭,ছাত্র/ছাত্রী,"আড়পাড়া, গাংনী, মেহেরপুর"</t>
  </si>
  <si>
    <t>১১৮৫,জাহাঙ্গীর আলম,৫৭০০৫৫৫৫৪৫০৮৮,মৃত আঃ রাজ্জাক,মোছাঃ জাহিদা খাতুন,১৫/০৩/২০০৪,মিস্ত্রী,"আড়পাড়া, গাংনী, মেহেরপুর"</t>
  </si>
  <si>
    <t>১১৮৬,মোঃ হামিদুল ইসলাম,৫৭০০৫৫৫৫৪৫০৮৯,মোঃ তাইজেল,মোছাঃ সাহারন খাতুন,০১/০১/২০০৬,ছাত্র/ছাত্রী,"আড়পাড়া, গাংনী, মেহেরপুর"</t>
  </si>
  <si>
    <t>১১৮৭,মোঃ জাবির হোসেন,৫৭০০৫৫৫৫৪৫০৯১,মোঃ আব্দুল মালেক,মোছাঃ জহুরা খাতুন,০৮/১০/২০০৫,কৃষক,"আড়পাড়া, গাংনী, মেহেরপুর"</t>
  </si>
  <si>
    <t>১১৮৮,মোঃ মমিনুল ইসলাম,৫৭০০৫৫৫৫৪৫০৯৩,মোঃ নজিবুল হক,মোছাঃ মোমেনা খাতুন,২৩/১০/২০০৪,কৃষক,"আড়পাড়া, গাংনী, মেহেরপুর"</t>
  </si>
  <si>
    <t>১১৮৯,মোঃ পারভেজ,৫৭০০৫৫৫৫৪৫০৯৬,মোঃ মিঠু,মোছাঃ পারভিনা খাতুন,০১/০১/২০০৫,ড্রাইভার,"আড়পাড়া, গাংনী, মেহেরপুর"</t>
  </si>
  <si>
    <t>১১৯০,মোঃ আবির হোসেন,৫৭০০৫৫৫৫৪৫০৯৭,মোঃ খাকচার হোসেন,মোছাঃ কামরুন্নাহার,২০/০৮/২০০৩,শ্রমিক,"আড়পাড়া, গাংনী, মেহেরপুর"</t>
  </si>
  <si>
    <t>১১৯১,মোঃ মালেক জিহাদী রাজা,৫৭০০৫৫৫৫৪৫০৯৯,মোঃ আছেল উদ্দীন,মোছাঃ শিউলী খাতুন,১১/১২/২০০৫,ছাত্র/ছাত্রী,"আড়পাড়া, গাংনী, মেহেরপুর"</t>
  </si>
  <si>
    <t>১১৯২,মোঃ আকাশ আলী,৫৭০০৫৫৫৫৪৫১১১,মোঃ বিল্লাল হোসেন,মোছাঃ বিউটি খাতুন,১৫/১২/২০০১,কৃষক,"আড়পাড়া, গাংনী, মেহেরপুর"</t>
  </si>
  <si>
    <t>১১৯৩,মোঃ হুমায়ূন আহম্মেদ,৫৭০০৫৫৫৫৪৫১১২,মোঃ আব্দুল হান্নান,মোছাঃ কহিনূর খাতুন,০৪/১২/২০০১,কৃষক,"আড়পাড়া, গাংনী, মেহেরপুর"</t>
  </si>
  <si>
    <t>১১৯৪,মোঃ গোলাম রব্বিন,৫৭০০৫৫৫৫৪৫১১৩,মোঃ আঃ মজিদ,মোছাঃ আরিবয়া,০৫/০৬/২০০৪,কৃষক,"আড়পাড়া, গাংনী, মেহেরপুর"</t>
  </si>
  <si>
    <t>১১৯৫,মোঃ আশিক,৫৭০০৫৫৫৫৪৫১১৪,মোঃ ইমান আলী,মোছাঃ আকেলা,০৪/০৫/২০০৬,শ্রমিক,"আড়পাড়া, গাংনী, মেহেরপুর"</t>
  </si>
  <si>
    <t>১১৯৬,মোঃ আকাশ আলী,৫৭০০৫৫৫৫৪৫১১৬,মোঃ ওমর আলী,মোছাঃ খুরশিদা খাতুন,১২/০৫/২০০৫,ছাত্র/ছাত্রী,"আড়পাড়া, গাংনী, মেহেরপুর"</t>
  </si>
  <si>
    <t>১১৯৭,মোঃ নয়ন আলী,৫৭০০৫৫৫৫৪৫১১৭,মোঃ জামাল উদ্দীন,মোছাঃ পারুলা খাতুন,০৪/০৫/২০০৩,কৃষক,"আড়পাড়া, গাংনী, মেহেরপুর"</t>
  </si>
  <si>
    <t>১১৯৮,মোঃ তরিকুল ইসলাম,৫৭০০৫৫৫৫৪৫১১৮,মোঃ শহিদুল ইসলাম,মোছাঃ পিরজিরা খাতুন,০১/০৭/২০০৪,গৃহিনী,"আড়পাড়া, গাংনী, মেহেরপুর"</t>
  </si>
  <si>
    <t>১১৯৯,মোঃ মহাবুল ইসলাম,৫৭০০৫৫৫৫৪৫১১৯,মোঃ শরিফুল ইসলাম,মোছাঃ গুলফুন নেছা,০৩/০১/২০০৬,কৃষক,"আড়পাড়া, গাংনী, মেহেরপুর"</t>
  </si>
  <si>
    <t>১২০০,মোঃ তারিকুল,৫৭০০৫৫৫৫৪৫১২৪,মোঃ মজনু আলী,মোছাঃ নাছিমা খাতুন,০৫/০৮/২০০৪,শ্রমিক,"আড়পাড়া, গাংনী, মেহেরপুর"</t>
  </si>
  <si>
    <t>১২০১,মোঃ জাহাঙ্গীর আলী,৫৭০০৫৫৫৫৪৫১২৬,মোঃ ছানুয়ার,মোছাঃ বুলবুলি খাতুন,২০/০৯/১৯৯৮,শ্রমিক,"আড়পাড়া, গাংনী, মেহেরপুর"</t>
  </si>
  <si>
    <t>১২০২,মোঃ আসিফ আলী,৫৭০০৫৫৫৫৪৫১৩০,মোঃ ছাবুল আলী,মোছাঃ আদরি খাতুন,০৫/০৯/২০০৬,কৃষক,"আড়পাড়া, ধানখোলা, গাংনী, মেহেরপুর"</t>
  </si>
  <si>
    <t>১২০৩,রকিবুল ইসলাম,৫৭০০৫৫৫৫৪৫১৩১,মোঃ হের আলী,মোছাঃ খদেজা খাতুন,১০/০৫/১৯৮৭,কৃষক,"-, আড়পাড়া, গাংনী, মেহেরপুর"</t>
  </si>
  <si>
    <t>১২০৪,মোঃ মকছেদুল ইসলাম,৫৭০০৫৫৫৫৪৫১৩৫,মোঃ ফয়জাল,মোছাঃ নাছিমা,০২/০৬/১৯৯৭,শ্রমিক,"৬৭৬, আড়পাড়া, গাংনী, মেহেরপুর"</t>
  </si>
  <si>
    <t>১২০৫,মোঃ আল ইমরান,৫৭০০৫৫৫৫৪৫১৩৬,মোঃ আনারুল ইসলাম,মোছাঃ জেসমিন খাতুন,০১/০৯/২০০১,শ্রমিক,"আড়পাড়া, গাংনী, মেহেরপুর"</t>
  </si>
  <si>
    <t>১২০৬,মোঃ সাকিব আল হাসান অন্তর,৫৭০০৫৫০০০৭৩৮,মোঃ লোকমান হোসেন,মোছাঃ আফরোজা খাতুন,২৪/১০/২০০৭,ছাত্র/ছাত্রী,"আড়পাড়া, গাংনী, মেহেরপুর"</t>
  </si>
  <si>
    <t>১২০৭,মোঃ আবির হোসেন,৫৭০০৫৫০০০৭৪০,মোঃ মোক্তার হোসেন,মোছাঃ জোসনা খাতুন,০৮/০৫/২০০৭,ছাত্র/ছাত্রী,"আড়পাড়া, গাংনী, মেহেরপুর"</t>
  </si>
  <si>
    <t>১২০৮,মোঃ নাইম ইসলাম,৫৭০০৫৫০০০৭৪২,মোঃ দুলাল হোসেন,মোছাঃ মমতাজ খাতুন,০২/০৩/২০০৭,ছাত্র/ছাত্রী,"আড়পাড়া, গাংনী, মেহেরপুর"</t>
  </si>
  <si>
    <t>১২০৯,মোঃ শরিফুল ইসলাম,৫৭০০৫৫০০০৭৪৩,মোঃ মজনু আলী,মোছাঃ নাছিমা খাতুন,০৫/০২/২০০৭,শ্রমিক,"আড়পাড়া, গাংনী, মেহেরপুর"</t>
  </si>
  <si>
    <t>১২১০,তাওসিফ হোসেন তানহা,৫৭০০৫৫০০০৭৪৪,মুহাঃ খালিদ হোসেন,মোছাঃ ফারহানা আফরোজ,০২/০১/২০০৭,ছাত্র/ছাত্রী,"মাঝের পাড়া, আড়পাড়া, গাংনী, মেহেরপুর"</t>
  </si>
  <si>
    <t>১২১১,মোঃ সিহাব আলি,৫৭০০৫৫০০০৭৪৬,মোঃ মিনারুল ইসলাম,মোছাঃ জেসমিনারা,২০/০৪/২০০৭,ছাত্র/ছাত্রী,"আড়পাড়া, গাংনী, মেহেরপুর"</t>
  </si>
  <si>
    <t>১২১২,মোঃ তৌফিকুর রহমান,৫৭০০৫৫০০০৭৫২,মোঃ তহির উদ্দীন,মোছাঃ সাজেদা খাতুন,২২/০৬/২০০৭,ছাত্র/ছাত্রী,"আড়পাড়া, গাংনী, মেহেরপুর"</t>
  </si>
  <si>
    <t>১২১৩,মোঃ সাগর আলী,৫৭০০৫৫০০০৭৫৪,মোঃ বিল্লাল হোসেন,মোছাঃ বিউটি খাতুন,১৫/০৪/২০০৭,ছাত্র/ছাত্রী,"আড়পাড়া, গাংনী, মেহেরপুর"</t>
  </si>
  <si>
    <t>১২১৪,মোঃ সাকিব রানা,৫৭০০৫৫০০০৭৫৫,মোঃ বুলবুল,মোছাঃ কোহিনুর খাতুন,২০/০২/২০০৭,ছাত্র/ছাত্রী,"৬০৮, আড়পাড়া, গাংনী, মেহেরপুর"</t>
  </si>
  <si>
    <t>১২১৫,মোঃ ইখলাচ আলী,৫৭০০৫৫০০০৭৫৬,মোঃ হাবিবুর রহমান,মোছাঃ সাগরি খাতুন,০৪/০২/২০০৭,শ্রমিক,"আড়পাড়া, গাংনী, মেহেরপুর"</t>
  </si>
  <si>
    <t>১২১৬,মোঃ এনামুল হক,৫৭০০৫৫৫৫৪৫১৩৮,মৃত বাদু মন্ডল,আছিয়া বেগম,১০/০৫/১৯৮২,কৃষক,"আড়পাড়া, গাংনী, মেহেরপুর"</t>
  </si>
  <si>
    <t>১২১৭,সজিব,৫৭০০৫৫৫৫৪৫১৩৯,মোঃ আনারুল ইসলাম,মোছাঃ শাহানাজ পারভীন,২০/১১/১৯৯৫,শ্রমিক,"২৯৮, আড়পাড়া, গাংনী, মেহেরপুর"</t>
  </si>
  <si>
    <t>১২১৮,মোঃ সজিব বিশ্বাস,৫৭০০৫৫৫৫৪৫১৪০,মোঃ ওমর আলী,মোছাঃ শিউলী খাতুন,১৪/০১/২০০৬,শ্রমিক,"১৪৫, আড়পাড়া, গাংনী, মেহেরপুর"</t>
  </si>
  <si>
    <t>১২১৯,মোঃ সোহাগ আলী,৫৭০০৫৫৫৫৪৫১৪১,মোঃ জিরাফত আলী,মোছাঃ জেসমিন আলী,১৫/১০/১৯৯২,কৃষক,"আড়পাড়া, আড়পাড়া, গাংনী, মেহেরপুর"</t>
  </si>
  <si>
    <t>১২২০,মোঃ জানিরুল ইসলাম,৫৭০০৫৫৫৫৪৫১৪৭,মোঃ রবিউল হালিম,মোছাঃ ফাতেমা খাতুন,১০/০৭/১৯৯৪,শ্রমিক,"আড়পাড়া, আড়পাড়া, গাংনী, মেহেরপুর"</t>
  </si>
  <si>
    <t>১২২১,মোঃ তুহিন আলী,৫৭০০৫৫৫৫৪৫১৪৮,মোঃ আঃ হালিম,মোছাঃ রওশন আরা,২৯/০৮/১৯৯৬,শ্রমিক,"২৫৪, আড়পাড়া, গাংনী, মেহেরপুর"</t>
  </si>
  <si>
    <t>১২২২,মোঃ ইকবাল আলী,৫৭০০৫৫৫৫৪৫১৪৯,মোঃ খেজমত আলী,মোছাঃ মুনজুরা খাতুন,১৮/০৯/২০০০,ব্যবসা,"৪৭১, আড়পাড়া, গাংনী, মেহেরপুর"</t>
  </si>
  <si>
    <t>১২২৩,মোহাঃ রাজিবুল ইসলাম,৫৭০০৫৫৫৫৪৫১৫০,মোঃ রেজাউল হক,মোছাঃ জেসমিন আরা,০১/০৩/১৯৯৬,শ্রমিক,"আড়পাড়া, গাংনী, মেহেরপুর"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</si>
</sst>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5.70055372403E11</v>
      </c>
      <c r="F2" s="1" t="s">
        <v>11</v>
      </c>
      <c r="G2" s="1" t="s">
        <v>12</v>
      </c>
      <c r="H2" s="3" t="s">
        <v>13</v>
      </c>
      <c r="I2" s="1"/>
    </row>
    <row r="3" ht="15.75" customHeight="1">
      <c r="A3" s="2">
        <v>2.0</v>
      </c>
      <c r="B3" s="1" t="s">
        <v>14</v>
      </c>
      <c r="C3" s="1" t="s">
        <v>9</v>
      </c>
      <c r="D3" s="1" t="s">
        <v>10</v>
      </c>
      <c r="E3" s="2">
        <v>5.70055372405E11</v>
      </c>
      <c r="F3" s="1" t="s">
        <v>15</v>
      </c>
      <c r="G3" s="1" t="s">
        <v>12</v>
      </c>
      <c r="H3" s="3" t="s">
        <v>13</v>
      </c>
      <c r="I3" s="1"/>
    </row>
    <row r="4" ht="15.75" customHeight="1">
      <c r="A4" s="2">
        <v>3.0</v>
      </c>
      <c r="B4" s="1" t="s">
        <v>16</v>
      </c>
      <c r="C4" s="1" t="s">
        <v>17</v>
      </c>
      <c r="D4" s="1" t="s">
        <v>18</v>
      </c>
      <c r="E4" s="2">
        <v>5.70055372408E11</v>
      </c>
      <c r="F4" s="1" t="s">
        <v>19</v>
      </c>
      <c r="G4" s="1" t="s">
        <v>20</v>
      </c>
      <c r="H4" s="3" t="s">
        <v>13</v>
      </c>
      <c r="I4" s="1"/>
    </row>
    <row r="5" ht="15.75" customHeight="1">
      <c r="A5" s="2">
        <v>4.0</v>
      </c>
      <c r="B5" s="1" t="s">
        <v>21</v>
      </c>
      <c r="C5" s="1" t="s">
        <v>22</v>
      </c>
      <c r="D5" s="1" t="s">
        <v>23</v>
      </c>
      <c r="E5" s="2">
        <v>5.70055372409E11</v>
      </c>
      <c r="F5" s="1" t="s">
        <v>24</v>
      </c>
      <c r="G5" s="1" t="s">
        <v>25</v>
      </c>
      <c r="H5" s="3" t="s">
        <v>13</v>
      </c>
      <c r="I5" s="1"/>
    </row>
    <row r="6" ht="15.75" customHeight="1">
      <c r="A6" s="2">
        <v>5.0</v>
      </c>
      <c r="B6" s="1" t="s">
        <v>26</v>
      </c>
      <c r="C6" s="1" t="s">
        <v>27</v>
      </c>
      <c r="D6" s="1" t="s">
        <v>28</v>
      </c>
      <c r="E6" s="2">
        <v>5.7005537241E11</v>
      </c>
      <c r="F6" s="1" t="s">
        <v>29</v>
      </c>
      <c r="G6" s="1" t="s">
        <v>20</v>
      </c>
      <c r="H6" s="3" t="s">
        <v>13</v>
      </c>
      <c r="I6" s="1"/>
    </row>
    <row r="7" ht="15.75" customHeight="1">
      <c r="A7" s="2">
        <v>6.0</v>
      </c>
      <c r="B7" s="1" t="s">
        <v>30</v>
      </c>
      <c r="C7" s="1" t="s">
        <v>31</v>
      </c>
      <c r="D7" s="1" t="s">
        <v>32</v>
      </c>
      <c r="E7" s="2">
        <v>5.70055372411E11</v>
      </c>
      <c r="F7" s="1" t="s">
        <v>33</v>
      </c>
      <c r="G7" s="1" t="s">
        <v>12</v>
      </c>
      <c r="H7" s="3" t="s">
        <v>13</v>
      </c>
      <c r="I7" s="1"/>
    </row>
    <row r="8" ht="15.75" customHeight="1">
      <c r="A8" s="2">
        <v>7.0</v>
      </c>
      <c r="B8" s="1" t="s">
        <v>34</v>
      </c>
      <c r="C8" s="1"/>
      <c r="D8" s="1"/>
      <c r="E8" s="1"/>
      <c r="F8" s="1"/>
      <c r="G8" s="1"/>
      <c r="H8" s="1"/>
      <c r="I8" s="1"/>
    </row>
    <row r="9" ht="15.75" customHeight="1">
      <c r="A9" s="2">
        <v>8.0</v>
      </c>
      <c r="B9" s="1" t="s">
        <v>35</v>
      </c>
      <c r="C9" s="1" t="s">
        <v>36</v>
      </c>
      <c r="D9" s="1" t="s">
        <v>37</v>
      </c>
      <c r="E9" s="2">
        <v>5.70055372413E11</v>
      </c>
      <c r="F9" s="1" t="s">
        <v>38</v>
      </c>
      <c r="G9" s="1" t="s">
        <v>12</v>
      </c>
      <c r="H9" s="3" t="s">
        <v>13</v>
      </c>
      <c r="I9" s="1"/>
    </row>
    <row r="10" ht="15.75" customHeight="1">
      <c r="A10" s="2">
        <v>9.0</v>
      </c>
      <c r="B10" s="1" t="s">
        <v>39</v>
      </c>
      <c r="C10" s="1" t="s">
        <v>36</v>
      </c>
      <c r="D10" s="1" t="s">
        <v>37</v>
      </c>
      <c r="E10" s="2">
        <v>5.70055372414E11</v>
      </c>
      <c r="F10" s="1" t="s">
        <v>40</v>
      </c>
      <c r="G10" s="1" t="s">
        <v>12</v>
      </c>
      <c r="H10" s="3" t="s">
        <v>13</v>
      </c>
      <c r="I10" s="1"/>
    </row>
    <row r="11" ht="15.75" customHeight="1">
      <c r="A11" s="2">
        <v>10.0</v>
      </c>
      <c r="B11" s="1" t="s">
        <v>41</v>
      </c>
      <c r="C11" s="1" t="s">
        <v>42</v>
      </c>
      <c r="D11" s="1" t="s">
        <v>37</v>
      </c>
      <c r="E11" s="2">
        <v>5.70055372419E11</v>
      </c>
      <c r="F11" s="1" t="s">
        <v>43</v>
      </c>
      <c r="G11" s="1" t="s">
        <v>20</v>
      </c>
      <c r="H11" s="3" t="s">
        <v>13</v>
      </c>
      <c r="I11" s="1"/>
    </row>
    <row r="12" ht="15.75" customHeight="1">
      <c r="A12" s="2">
        <v>11.0</v>
      </c>
      <c r="B12" s="1" t="s">
        <v>44</v>
      </c>
      <c r="C12" s="1" t="s">
        <v>45</v>
      </c>
      <c r="D12" s="1" t="s">
        <v>46</v>
      </c>
      <c r="E12" s="2">
        <v>5.7005537242E11</v>
      </c>
      <c r="F12" s="1" t="s">
        <v>47</v>
      </c>
      <c r="G12" s="1" t="s">
        <v>12</v>
      </c>
      <c r="H12" s="3" t="s">
        <v>13</v>
      </c>
      <c r="I12" s="1"/>
    </row>
    <row r="13" ht="15.75" customHeight="1">
      <c r="A13" s="2">
        <v>12.0</v>
      </c>
      <c r="B13" s="1" t="s">
        <v>48</v>
      </c>
      <c r="C13" s="1" t="s">
        <v>49</v>
      </c>
      <c r="D13" s="1" t="s">
        <v>50</v>
      </c>
      <c r="E13" s="2">
        <v>5.70055372421E11</v>
      </c>
      <c r="F13" s="1" t="s">
        <v>51</v>
      </c>
      <c r="G13" s="1" t="s">
        <v>12</v>
      </c>
      <c r="H13" s="3" t="s">
        <v>13</v>
      </c>
      <c r="I13" s="1"/>
    </row>
    <row r="14" ht="15.75" customHeight="1">
      <c r="A14" s="2">
        <v>13.0</v>
      </c>
      <c r="B14" s="1" t="s">
        <v>52</v>
      </c>
      <c r="C14" s="1" t="s">
        <v>48</v>
      </c>
      <c r="D14" s="1" t="s">
        <v>53</v>
      </c>
      <c r="E14" s="2">
        <v>5.70055372426E11</v>
      </c>
      <c r="F14" s="1" t="s">
        <v>54</v>
      </c>
      <c r="G14" s="1" t="s">
        <v>12</v>
      </c>
      <c r="H14" s="3" t="s">
        <v>13</v>
      </c>
      <c r="I14" s="1"/>
    </row>
    <row r="15" ht="15.75" customHeight="1">
      <c r="A15" s="2">
        <v>14.0</v>
      </c>
      <c r="B15" s="1" t="s">
        <v>55</v>
      </c>
      <c r="C15" s="1" t="s">
        <v>56</v>
      </c>
      <c r="D15" s="1" t="s">
        <v>57</v>
      </c>
      <c r="E15" s="2">
        <v>5.7005537243E11</v>
      </c>
      <c r="F15" s="1" t="s">
        <v>58</v>
      </c>
      <c r="G15" s="1" t="s">
        <v>12</v>
      </c>
      <c r="H15" s="3" t="s">
        <v>13</v>
      </c>
      <c r="I15" s="1"/>
    </row>
    <row r="16" ht="15.75" customHeight="1">
      <c r="A16" s="2">
        <v>15.0</v>
      </c>
      <c r="B16" s="1" t="s">
        <v>59</v>
      </c>
      <c r="C16" s="1" t="s">
        <v>56</v>
      </c>
      <c r="D16" s="1" t="s">
        <v>60</v>
      </c>
      <c r="E16" s="2">
        <v>5.70055372432E11</v>
      </c>
      <c r="F16" s="1" t="s">
        <v>61</v>
      </c>
      <c r="G16" s="1" t="s">
        <v>12</v>
      </c>
      <c r="H16" s="3" t="s">
        <v>13</v>
      </c>
      <c r="I16" s="1"/>
    </row>
    <row r="17" ht="15.75" customHeight="1">
      <c r="A17" s="2">
        <v>16.0</v>
      </c>
      <c r="B17" s="1" t="s">
        <v>62</v>
      </c>
      <c r="C17" s="1" t="s">
        <v>63</v>
      </c>
      <c r="D17" s="1" t="s">
        <v>64</v>
      </c>
      <c r="E17" s="2">
        <v>5.70055372436E11</v>
      </c>
      <c r="F17" s="1" t="s">
        <v>65</v>
      </c>
      <c r="G17" s="1" t="s">
        <v>12</v>
      </c>
      <c r="H17" s="3" t="s">
        <v>13</v>
      </c>
      <c r="I17" s="1"/>
    </row>
    <row r="18" ht="15.75" customHeight="1">
      <c r="A18" s="2">
        <v>17.0</v>
      </c>
      <c r="B18" s="1" t="s">
        <v>66</v>
      </c>
      <c r="C18" s="1" t="s">
        <v>67</v>
      </c>
      <c r="D18" s="1" t="s">
        <v>68</v>
      </c>
      <c r="E18" s="2">
        <v>5.70055372441E11</v>
      </c>
      <c r="F18" s="1" t="s">
        <v>69</v>
      </c>
      <c r="G18" s="1" t="s">
        <v>70</v>
      </c>
      <c r="H18" s="3" t="s">
        <v>13</v>
      </c>
      <c r="I18" s="1"/>
    </row>
    <row r="19" ht="15.75" customHeight="1">
      <c r="A19" s="2">
        <v>18.0</v>
      </c>
      <c r="B19" s="1" t="s">
        <v>71</v>
      </c>
      <c r="C19" s="1" t="s">
        <v>72</v>
      </c>
      <c r="D19" s="1" t="s">
        <v>73</v>
      </c>
      <c r="E19" s="2">
        <v>5.70055372443E11</v>
      </c>
      <c r="F19" s="1" t="s">
        <v>74</v>
      </c>
      <c r="G19" s="1" t="s">
        <v>12</v>
      </c>
      <c r="H19" s="3" t="s">
        <v>13</v>
      </c>
      <c r="I19" s="1"/>
    </row>
    <row r="20" ht="15.75" customHeight="1">
      <c r="A20" s="2">
        <v>19.0</v>
      </c>
      <c r="B20" s="1" t="s">
        <v>75</v>
      </c>
      <c r="C20" s="1" t="s">
        <v>76</v>
      </c>
      <c r="D20" s="1" t="s">
        <v>77</v>
      </c>
      <c r="E20" s="2">
        <v>5.70055372448E11</v>
      </c>
      <c r="F20" s="1" t="s">
        <v>78</v>
      </c>
      <c r="G20" s="1" t="s">
        <v>12</v>
      </c>
      <c r="H20" s="3" t="s">
        <v>13</v>
      </c>
      <c r="I20" s="1"/>
    </row>
    <row r="21" ht="15.75" customHeight="1">
      <c r="A21" s="2">
        <v>20.0</v>
      </c>
      <c r="B21" s="1" t="s">
        <v>79</v>
      </c>
      <c r="C21" s="1" t="s">
        <v>80</v>
      </c>
      <c r="D21" s="1" t="s">
        <v>81</v>
      </c>
      <c r="E21" s="2">
        <v>5.7005537245E11</v>
      </c>
      <c r="F21" s="1" t="s">
        <v>82</v>
      </c>
      <c r="G21" s="1" t="s">
        <v>25</v>
      </c>
      <c r="H21" s="3" t="s">
        <v>13</v>
      </c>
      <c r="I21" s="1"/>
    </row>
    <row r="22" ht="15.75" customHeight="1">
      <c r="A22" s="2">
        <v>21.0</v>
      </c>
      <c r="B22" s="1" t="s">
        <v>83</v>
      </c>
      <c r="C22" s="1" t="s">
        <v>84</v>
      </c>
      <c r="D22" s="1" t="s">
        <v>85</v>
      </c>
      <c r="E22" s="2">
        <v>5.70055372457E11</v>
      </c>
      <c r="F22" s="1" t="s">
        <v>86</v>
      </c>
      <c r="G22" s="1" t="s">
        <v>12</v>
      </c>
      <c r="H22" s="3" t="s">
        <v>13</v>
      </c>
      <c r="I22" s="1"/>
    </row>
    <row r="23" ht="15.75" customHeight="1">
      <c r="A23" s="2">
        <v>22.0</v>
      </c>
      <c r="B23" s="1" t="s">
        <v>87</v>
      </c>
      <c r="C23" s="1" t="s">
        <v>88</v>
      </c>
      <c r="D23" s="1" t="s">
        <v>89</v>
      </c>
      <c r="E23" s="2">
        <v>5.7005537246E11</v>
      </c>
      <c r="F23" s="1" t="s">
        <v>90</v>
      </c>
      <c r="G23" s="1" t="s">
        <v>12</v>
      </c>
      <c r="H23" s="3" t="s">
        <v>13</v>
      </c>
      <c r="I23" s="1"/>
    </row>
    <row r="24" ht="15.75" customHeight="1">
      <c r="A24" s="2">
        <v>23.0</v>
      </c>
      <c r="B24" s="1" t="s">
        <v>91</v>
      </c>
      <c r="C24" s="1" t="s">
        <v>92</v>
      </c>
      <c r="D24" s="1" t="s">
        <v>93</v>
      </c>
      <c r="E24" s="2">
        <v>5.70055372461E11</v>
      </c>
      <c r="F24" s="1" t="s">
        <v>94</v>
      </c>
      <c r="G24" s="1" t="s">
        <v>95</v>
      </c>
      <c r="H24" s="3" t="s">
        <v>13</v>
      </c>
      <c r="I24" s="1"/>
    </row>
    <row r="25" ht="15.75" customHeight="1">
      <c r="A25" s="2">
        <v>24.0</v>
      </c>
      <c r="B25" s="1" t="s">
        <v>34</v>
      </c>
      <c r="C25" s="1"/>
      <c r="D25" s="1"/>
      <c r="E25" s="1"/>
      <c r="F25" s="1"/>
      <c r="G25" s="1"/>
      <c r="H25" s="1"/>
      <c r="I25" s="1"/>
    </row>
    <row r="26" ht="15.75" customHeight="1">
      <c r="A26" s="2">
        <v>25.0</v>
      </c>
      <c r="B26" s="1" t="s">
        <v>96</v>
      </c>
      <c r="C26" s="1" t="s">
        <v>97</v>
      </c>
      <c r="D26" s="1" t="s">
        <v>85</v>
      </c>
      <c r="E26" s="2">
        <v>5.70055372466E11</v>
      </c>
      <c r="F26" s="1" t="s">
        <v>98</v>
      </c>
      <c r="G26" s="1" t="s">
        <v>12</v>
      </c>
      <c r="H26" s="3" t="s">
        <v>13</v>
      </c>
      <c r="I26" s="1"/>
    </row>
    <row r="27" ht="15.75" customHeight="1">
      <c r="A27" s="2">
        <v>26.0</v>
      </c>
      <c r="B27" s="1" t="s">
        <v>99</v>
      </c>
      <c r="C27" s="1" t="s">
        <v>72</v>
      </c>
      <c r="D27" s="1" t="s">
        <v>73</v>
      </c>
      <c r="E27" s="2">
        <v>5.70055372468E11</v>
      </c>
      <c r="F27" s="1" t="s">
        <v>100</v>
      </c>
      <c r="G27" s="1" t="s">
        <v>12</v>
      </c>
      <c r="H27" s="3" t="s">
        <v>13</v>
      </c>
      <c r="I27" s="1"/>
    </row>
    <row r="28" ht="15.75" customHeight="1">
      <c r="A28" s="2">
        <v>27.0</v>
      </c>
      <c r="B28" s="1" t="s">
        <v>101</v>
      </c>
      <c r="C28" s="1" t="s">
        <v>102</v>
      </c>
      <c r="D28" s="1" t="s">
        <v>103</v>
      </c>
      <c r="E28" s="2">
        <v>5.7005537247E11</v>
      </c>
      <c r="F28" s="1" t="s">
        <v>104</v>
      </c>
      <c r="G28" s="1" t="s">
        <v>12</v>
      </c>
      <c r="H28" s="3" t="s">
        <v>13</v>
      </c>
      <c r="I28" s="1"/>
    </row>
    <row r="29" ht="15.75" customHeight="1">
      <c r="A29" s="2">
        <v>28.0</v>
      </c>
      <c r="B29" s="1" t="s">
        <v>105</v>
      </c>
      <c r="C29" s="1" t="s">
        <v>106</v>
      </c>
      <c r="D29" s="1" t="s">
        <v>107</v>
      </c>
      <c r="E29" s="2">
        <v>5.70055372471E11</v>
      </c>
      <c r="F29" s="1" t="s">
        <v>108</v>
      </c>
      <c r="G29" s="1" t="s">
        <v>12</v>
      </c>
      <c r="H29" s="3" t="s">
        <v>13</v>
      </c>
      <c r="I29" s="1"/>
    </row>
    <row r="30" ht="15.75" customHeight="1">
      <c r="A30" s="2">
        <v>29.0</v>
      </c>
      <c r="B30" s="1" t="s">
        <v>109</v>
      </c>
      <c r="C30" s="1" t="s">
        <v>110</v>
      </c>
      <c r="D30" s="1" t="s">
        <v>111</v>
      </c>
      <c r="E30" s="2">
        <v>5.70055372474E11</v>
      </c>
      <c r="F30" s="1" t="s">
        <v>112</v>
      </c>
      <c r="G30" s="1" t="s">
        <v>12</v>
      </c>
      <c r="H30" s="3" t="s">
        <v>13</v>
      </c>
      <c r="I30" s="1"/>
    </row>
    <row r="31" ht="15.75" customHeight="1">
      <c r="A31" s="2">
        <v>30.0</v>
      </c>
      <c r="B31" s="1" t="s">
        <v>113</v>
      </c>
      <c r="C31" s="1" t="s">
        <v>114</v>
      </c>
      <c r="D31" s="1" t="s">
        <v>23</v>
      </c>
      <c r="E31" s="2">
        <v>5.70055372479E11</v>
      </c>
      <c r="F31" s="1" t="s">
        <v>115</v>
      </c>
      <c r="G31" s="1" t="s">
        <v>12</v>
      </c>
      <c r="H31" s="3" t="s">
        <v>13</v>
      </c>
      <c r="I31" s="1"/>
    </row>
    <row r="32" ht="15.75" customHeight="1">
      <c r="A32" s="2">
        <v>31.0</v>
      </c>
      <c r="B32" s="1" t="s">
        <v>116</v>
      </c>
      <c r="C32" s="1" t="s">
        <v>117</v>
      </c>
      <c r="D32" s="1" t="s">
        <v>118</v>
      </c>
      <c r="E32" s="2">
        <v>5.70055372481E11</v>
      </c>
      <c r="F32" s="1" t="s">
        <v>119</v>
      </c>
      <c r="G32" s="1" t="s">
        <v>120</v>
      </c>
      <c r="H32" s="3" t="s">
        <v>13</v>
      </c>
      <c r="I32" s="1"/>
    </row>
    <row r="33" ht="15.75" customHeight="1">
      <c r="A33" s="2">
        <v>32.0</v>
      </c>
      <c r="B33" s="1" t="s">
        <v>121</v>
      </c>
      <c r="C33" s="1" t="s">
        <v>122</v>
      </c>
      <c r="D33" s="1" t="s">
        <v>123</v>
      </c>
      <c r="E33" s="2">
        <v>5.70055372489E11</v>
      </c>
      <c r="F33" s="1" t="s">
        <v>124</v>
      </c>
      <c r="G33" s="1" t="s">
        <v>12</v>
      </c>
      <c r="H33" s="3" t="s">
        <v>13</v>
      </c>
      <c r="I33" s="1"/>
    </row>
    <row r="34" ht="15.75" customHeight="1">
      <c r="A34" s="2">
        <v>33.0</v>
      </c>
      <c r="B34" s="1" t="s">
        <v>125</v>
      </c>
      <c r="C34" s="1" t="s">
        <v>126</v>
      </c>
      <c r="D34" s="1" t="s">
        <v>127</v>
      </c>
      <c r="E34" s="2">
        <v>5.70055372491E11</v>
      </c>
      <c r="F34" s="1" t="s">
        <v>128</v>
      </c>
      <c r="G34" s="1" t="s">
        <v>12</v>
      </c>
      <c r="H34" s="3" t="s">
        <v>13</v>
      </c>
      <c r="I34" s="1"/>
    </row>
    <row r="35" ht="15.75" customHeight="1">
      <c r="A35" s="2">
        <v>34.0</v>
      </c>
      <c r="B35" s="1" t="s">
        <v>129</v>
      </c>
      <c r="C35" s="1" t="s">
        <v>130</v>
      </c>
      <c r="D35" s="1" t="s">
        <v>131</v>
      </c>
      <c r="E35" s="2">
        <v>5.70055372493E11</v>
      </c>
      <c r="F35" s="1" t="s">
        <v>132</v>
      </c>
      <c r="G35" s="1" t="s">
        <v>12</v>
      </c>
      <c r="H35" s="3" t="s">
        <v>13</v>
      </c>
      <c r="I35" s="1"/>
    </row>
    <row r="36" ht="15.75" customHeight="1">
      <c r="A36" s="2">
        <v>35.0</v>
      </c>
      <c r="B36" s="1" t="s">
        <v>133</v>
      </c>
      <c r="C36" s="1" t="s">
        <v>134</v>
      </c>
      <c r="D36" s="1" t="s">
        <v>135</v>
      </c>
      <c r="E36" s="2">
        <v>5.70055372494E11</v>
      </c>
      <c r="F36" s="1" t="s">
        <v>136</v>
      </c>
      <c r="G36" s="1" t="s">
        <v>12</v>
      </c>
      <c r="H36" s="3" t="s">
        <v>13</v>
      </c>
      <c r="I36" s="1"/>
    </row>
    <row r="37" ht="15.75" customHeight="1">
      <c r="A37" s="2">
        <v>36.0</v>
      </c>
      <c r="B37" s="1" t="s">
        <v>137</v>
      </c>
      <c r="C37" s="1" t="s">
        <v>138</v>
      </c>
      <c r="D37" s="1" t="s">
        <v>46</v>
      </c>
      <c r="E37" s="2">
        <v>5.70055372495E11</v>
      </c>
      <c r="F37" s="1" t="s">
        <v>139</v>
      </c>
      <c r="G37" s="1" t="s">
        <v>12</v>
      </c>
      <c r="H37" s="3" t="s">
        <v>13</v>
      </c>
      <c r="I37" s="1"/>
    </row>
    <row r="38" ht="15.75" customHeight="1">
      <c r="A38" s="2">
        <v>37.0</v>
      </c>
      <c r="B38" s="1" t="s">
        <v>140</v>
      </c>
      <c r="C38" s="1" t="s">
        <v>141</v>
      </c>
      <c r="D38" s="1" t="s">
        <v>142</v>
      </c>
      <c r="E38" s="2">
        <v>5.70055372497E11</v>
      </c>
      <c r="F38" s="1" t="s">
        <v>143</v>
      </c>
      <c r="G38" s="1" t="s">
        <v>25</v>
      </c>
      <c r="H38" s="3" t="s">
        <v>13</v>
      </c>
      <c r="I38" s="1"/>
    </row>
    <row r="39" ht="15.75" customHeight="1">
      <c r="A39" s="2">
        <v>38.0</v>
      </c>
      <c r="B39" s="1" t="s">
        <v>144</v>
      </c>
      <c r="C39" s="1" t="s">
        <v>145</v>
      </c>
      <c r="D39" s="1" t="s">
        <v>146</v>
      </c>
      <c r="E39" s="2">
        <v>5.70055372498E11</v>
      </c>
      <c r="F39" s="1" t="s">
        <v>147</v>
      </c>
      <c r="G39" s="1" t="s">
        <v>12</v>
      </c>
      <c r="H39" s="3" t="s">
        <v>13</v>
      </c>
      <c r="I39" s="1"/>
    </row>
    <row r="40" ht="15.75" customHeight="1">
      <c r="A40" s="2">
        <v>39.0</v>
      </c>
      <c r="B40" s="1" t="s">
        <v>148</v>
      </c>
      <c r="C40" s="1" t="s">
        <v>149</v>
      </c>
      <c r="D40" s="1" t="s">
        <v>150</v>
      </c>
      <c r="E40" s="2">
        <v>5.70055372504E11</v>
      </c>
      <c r="F40" s="1" t="s">
        <v>151</v>
      </c>
      <c r="G40" s="1" t="s">
        <v>12</v>
      </c>
      <c r="H40" s="3" t="s">
        <v>13</v>
      </c>
      <c r="I40" s="1"/>
    </row>
    <row r="41" ht="15.75" customHeight="1">
      <c r="A41" s="2">
        <v>40.0</v>
      </c>
      <c r="B41" s="1" t="s">
        <v>42</v>
      </c>
      <c r="C41" s="1" t="s">
        <v>152</v>
      </c>
      <c r="D41" s="1" t="s">
        <v>153</v>
      </c>
      <c r="E41" s="2">
        <v>5.70055372507E11</v>
      </c>
      <c r="F41" s="1" t="s">
        <v>154</v>
      </c>
      <c r="G41" s="1" t="s">
        <v>120</v>
      </c>
      <c r="H41" s="3" t="s">
        <v>13</v>
      </c>
      <c r="I41" s="1"/>
    </row>
    <row r="42" ht="15.75" customHeight="1">
      <c r="A42" s="2">
        <v>41.0</v>
      </c>
      <c r="B42" s="1" t="s">
        <v>155</v>
      </c>
      <c r="C42" s="1" t="s">
        <v>156</v>
      </c>
      <c r="D42" s="1" t="s">
        <v>18</v>
      </c>
      <c r="E42" s="2">
        <v>5.7005537251E11</v>
      </c>
      <c r="F42" s="1" t="s">
        <v>157</v>
      </c>
      <c r="G42" s="1" t="s">
        <v>120</v>
      </c>
      <c r="H42" s="3" t="s">
        <v>13</v>
      </c>
      <c r="I42" s="1"/>
    </row>
    <row r="43" ht="15.75" customHeight="1">
      <c r="A43" s="2">
        <v>42.0</v>
      </c>
      <c r="B43" s="1" t="s">
        <v>122</v>
      </c>
      <c r="C43" s="1" t="s">
        <v>158</v>
      </c>
      <c r="D43" s="1" t="s">
        <v>142</v>
      </c>
      <c r="E43" s="2">
        <v>5.70055372517E11</v>
      </c>
      <c r="F43" s="1" t="s">
        <v>159</v>
      </c>
      <c r="G43" s="1" t="s">
        <v>12</v>
      </c>
      <c r="H43" s="3" t="s">
        <v>13</v>
      </c>
      <c r="I43" s="1"/>
    </row>
    <row r="44" ht="15.75" customHeight="1">
      <c r="A44" s="2">
        <v>43.0</v>
      </c>
      <c r="B44" s="1" t="s">
        <v>160</v>
      </c>
      <c r="C44" s="1" t="s">
        <v>161</v>
      </c>
      <c r="D44" s="1" t="s">
        <v>162</v>
      </c>
      <c r="E44" s="2">
        <v>5.70055372521E11</v>
      </c>
      <c r="F44" s="1" t="s">
        <v>163</v>
      </c>
      <c r="G44" s="1" t="s">
        <v>12</v>
      </c>
      <c r="H44" s="3" t="s">
        <v>13</v>
      </c>
      <c r="I44" s="1"/>
    </row>
    <row r="45" ht="15.75" customHeight="1">
      <c r="A45" s="2">
        <v>44.0</v>
      </c>
      <c r="B45" s="1" t="s">
        <v>161</v>
      </c>
      <c r="C45" s="1" t="s">
        <v>164</v>
      </c>
      <c r="D45" s="1" t="s">
        <v>165</v>
      </c>
      <c r="E45" s="2">
        <v>5.70055372522E11</v>
      </c>
      <c r="F45" s="1" t="s">
        <v>166</v>
      </c>
      <c r="G45" s="1" t="s">
        <v>120</v>
      </c>
      <c r="H45" s="3" t="s">
        <v>13</v>
      </c>
      <c r="I45" s="1"/>
    </row>
    <row r="46" ht="15.75" customHeight="1">
      <c r="A46" s="2">
        <v>45.0</v>
      </c>
      <c r="B46" s="1" t="s">
        <v>167</v>
      </c>
      <c r="C46" s="1" t="s">
        <v>168</v>
      </c>
      <c r="D46" s="1" t="s">
        <v>169</v>
      </c>
      <c r="E46" s="2">
        <v>5.70055372523E11</v>
      </c>
      <c r="F46" s="1" t="s">
        <v>170</v>
      </c>
      <c r="G46" s="1" t="s">
        <v>12</v>
      </c>
      <c r="H46" s="3" t="s">
        <v>13</v>
      </c>
      <c r="I46" s="1"/>
    </row>
    <row r="47" ht="15.75" customHeight="1">
      <c r="A47" s="2">
        <v>46.0</v>
      </c>
      <c r="B47" s="1" t="s">
        <v>171</v>
      </c>
      <c r="C47" s="1" t="s">
        <v>172</v>
      </c>
      <c r="D47" s="1" t="s">
        <v>146</v>
      </c>
      <c r="E47" s="2">
        <v>5.70055372527E11</v>
      </c>
      <c r="F47" s="1" t="s">
        <v>173</v>
      </c>
      <c r="G47" s="1" t="s">
        <v>12</v>
      </c>
      <c r="H47" s="3" t="s">
        <v>13</v>
      </c>
      <c r="I47" s="1"/>
    </row>
    <row r="48" ht="15.75" customHeight="1">
      <c r="A48" s="2">
        <v>47.0</v>
      </c>
      <c r="B48" s="1" t="s">
        <v>174</v>
      </c>
      <c r="C48" s="1" t="s">
        <v>175</v>
      </c>
      <c r="D48" s="1" t="s">
        <v>176</v>
      </c>
      <c r="E48" s="2">
        <v>5.70055372531E11</v>
      </c>
      <c r="F48" s="1" t="s">
        <v>177</v>
      </c>
      <c r="G48" s="1" t="s">
        <v>12</v>
      </c>
      <c r="H48" s="3" t="s">
        <v>13</v>
      </c>
      <c r="I48" s="1"/>
    </row>
    <row r="49" ht="15.75" customHeight="1">
      <c r="A49" s="2">
        <v>48.0</v>
      </c>
      <c r="B49" s="1" t="s">
        <v>178</v>
      </c>
      <c r="C49" s="1" t="s">
        <v>179</v>
      </c>
      <c r="D49" s="1" t="s">
        <v>180</v>
      </c>
      <c r="E49" s="2">
        <v>5.70055372532E11</v>
      </c>
      <c r="F49" s="1" t="s">
        <v>181</v>
      </c>
      <c r="G49" s="1" t="s">
        <v>12</v>
      </c>
      <c r="H49" s="3" t="s">
        <v>13</v>
      </c>
      <c r="I49" s="1"/>
    </row>
    <row r="50" ht="15.75" customHeight="1">
      <c r="A50" s="2">
        <v>49.0</v>
      </c>
      <c r="B50" s="1" t="s">
        <v>182</v>
      </c>
      <c r="C50" s="1" t="s">
        <v>183</v>
      </c>
      <c r="D50" s="1" t="s">
        <v>184</v>
      </c>
      <c r="E50" s="2">
        <v>5.70055372533E11</v>
      </c>
      <c r="F50" s="1" t="s">
        <v>185</v>
      </c>
      <c r="G50" s="1" t="s">
        <v>12</v>
      </c>
      <c r="H50" s="3" t="s">
        <v>13</v>
      </c>
      <c r="I50" s="1"/>
    </row>
    <row r="51" ht="15.75" customHeight="1">
      <c r="A51" s="2">
        <v>50.0</v>
      </c>
      <c r="B51" s="1" t="s">
        <v>186</v>
      </c>
      <c r="C51" s="1" t="s">
        <v>187</v>
      </c>
      <c r="D51" s="1" t="s">
        <v>162</v>
      </c>
      <c r="E51" s="2">
        <v>5.70055372543E11</v>
      </c>
      <c r="F51" s="1" t="s">
        <v>188</v>
      </c>
      <c r="G51" s="1" t="s">
        <v>12</v>
      </c>
      <c r="H51" s="3" t="s">
        <v>13</v>
      </c>
      <c r="I51" s="1"/>
    </row>
    <row r="52" ht="15.75" customHeight="1">
      <c r="A52" s="2">
        <v>51.0</v>
      </c>
      <c r="B52" s="1" t="s">
        <v>34</v>
      </c>
      <c r="C52" s="1"/>
      <c r="D52" s="1"/>
      <c r="E52" s="1"/>
      <c r="F52" s="1"/>
      <c r="G52" s="1"/>
      <c r="H52" s="1"/>
      <c r="I52" s="1"/>
    </row>
    <row r="53" ht="15.75" customHeight="1">
      <c r="A53" s="2">
        <v>52.0</v>
      </c>
      <c r="B53" s="1" t="s">
        <v>189</v>
      </c>
      <c r="C53" s="1" t="s">
        <v>138</v>
      </c>
      <c r="D53" s="1" t="s">
        <v>46</v>
      </c>
      <c r="E53" s="2">
        <v>5.70055372551E11</v>
      </c>
      <c r="F53" s="1" t="s">
        <v>190</v>
      </c>
      <c r="G53" s="1" t="s">
        <v>12</v>
      </c>
      <c r="H53" s="3" t="s">
        <v>13</v>
      </c>
      <c r="I53" s="1"/>
    </row>
    <row r="54" ht="15.75" customHeight="1">
      <c r="A54" s="2">
        <v>53.0</v>
      </c>
      <c r="B54" s="1" t="s">
        <v>191</v>
      </c>
      <c r="C54" s="1" t="s">
        <v>192</v>
      </c>
      <c r="D54" s="1" t="s">
        <v>193</v>
      </c>
      <c r="E54" s="2">
        <v>5.70055372554E11</v>
      </c>
      <c r="F54" s="1" t="s">
        <v>147</v>
      </c>
      <c r="G54" s="1" t="s">
        <v>12</v>
      </c>
      <c r="H54" s="3" t="s">
        <v>13</v>
      </c>
      <c r="I54" s="1"/>
    </row>
    <row r="55" ht="15.75" customHeight="1">
      <c r="A55" s="2">
        <v>54.0</v>
      </c>
      <c r="B55" s="1" t="s">
        <v>194</v>
      </c>
      <c r="C55" s="1" t="s">
        <v>195</v>
      </c>
      <c r="D55" s="1" t="s">
        <v>196</v>
      </c>
      <c r="E55" s="2">
        <v>5.70055372559E11</v>
      </c>
      <c r="F55" s="1" t="s">
        <v>197</v>
      </c>
      <c r="G55" s="1" t="s">
        <v>12</v>
      </c>
      <c r="H55" s="3" t="s">
        <v>13</v>
      </c>
      <c r="I55" s="1"/>
    </row>
    <row r="56" ht="15.75" customHeight="1">
      <c r="A56" s="2">
        <v>55.0</v>
      </c>
      <c r="B56" s="1" t="s">
        <v>75</v>
      </c>
      <c r="C56" s="1" t="s">
        <v>198</v>
      </c>
      <c r="D56" s="1" t="s">
        <v>50</v>
      </c>
      <c r="E56" s="2">
        <v>5.7005537256E11</v>
      </c>
      <c r="F56" s="1" t="s">
        <v>47</v>
      </c>
      <c r="G56" s="1" t="s">
        <v>12</v>
      </c>
      <c r="H56" s="3" t="s">
        <v>13</v>
      </c>
      <c r="I56" s="1"/>
    </row>
    <row r="57" ht="15.75" customHeight="1">
      <c r="A57" s="2">
        <v>56.0</v>
      </c>
      <c r="B57" s="1" t="s">
        <v>199</v>
      </c>
      <c r="C57" s="1" t="s">
        <v>198</v>
      </c>
      <c r="D57" s="1" t="s">
        <v>50</v>
      </c>
      <c r="E57" s="2">
        <v>5.70055372561E11</v>
      </c>
      <c r="F57" s="1" t="s">
        <v>200</v>
      </c>
      <c r="G57" s="1" t="s">
        <v>12</v>
      </c>
      <c r="H57" s="3" t="s">
        <v>13</v>
      </c>
      <c r="I57" s="1"/>
    </row>
    <row r="58" ht="15.75" customHeight="1">
      <c r="A58" s="2">
        <v>57.0</v>
      </c>
      <c r="B58" s="1" t="s">
        <v>201</v>
      </c>
      <c r="C58" s="1" t="s">
        <v>202</v>
      </c>
      <c r="D58" s="1" t="s">
        <v>203</v>
      </c>
      <c r="E58" s="2">
        <v>5.70055372563E11</v>
      </c>
      <c r="F58" s="1" t="s">
        <v>204</v>
      </c>
      <c r="G58" s="1" t="s">
        <v>12</v>
      </c>
      <c r="H58" s="3" t="s">
        <v>13</v>
      </c>
      <c r="I58" s="1"/>
    </row>
    <row r="59" ht="15.75" customHeight="1">
      <c r="A59" s="2">
        <v>58.0</v>
      </c>
      <c r="B59" s="1" t="s">
        <v>205</v>
      </c>
      <c r="C59" s="1" t="s">
        <v>206</v>
      </c>
      <c r="D59" s="1" t="s">
        <v>207</v>
      </c>
      <c r="E59" s="2">
        <v>5.70055372564E11</v>
      </c>
      <c r="F59" s="1" t="s">
        <v>208</v>
      </c>
      <c r="G59" s="1" t="s">
        <v>12</v>
      </c>
      <c r="H59" s="3" t="s">
        <v>13</v>
      </c>
      <c r="I59" s="1"/>
    </row>
    <row r="60" ht="15.75" customHeight="1">
      <c r="A60" s="2">
        <v>59.0</v>
      </c>
      <c r="B60" s="1" t="s">
        <v>209</v>
      </c>
      <c r="C60" s="1" t="s">
        <v>198</v>
      </c>
      <c r="D60" s="1" t="s">
        <v>50</v>
      </c>
      <c r="E60" s="2">
        <v>5.70055372565E11</v>
      </c>
      <c r="F60" s="1" t="s">
        <v>210</v>
      </c>
      <c r="G60" s="1" t="s">
        <v>12</v>
      </c>
      <c r="H60" s="3" t="s">
        <v>13</v>
      </c>
      <c r="I60" s="1"/>
    </row>
    <row r="61" ht="15.75" customHeight="1">
      <c r="A61" s="2">
        <v>60.0</v>
      </c>
      <c r="B61" s="1" t="s">
        <v>211</v>
      </c>
      <c r="C61" s="1" t="s">
        <v>212</v>
      </c>
      <c r="D61" s="1" t="s">
        <v>213</v>
      </c>
      <c r="E61" s="2">
        <v>5.70055372566E11</v>
      </c>
      <c r="F61" s="1" t="s">
        <v>214</v>
      </c>
      <c r="G61" s="1" t="s">
        <v>12</v>
      </c>
      <c r="H61" s="3" t="s">
        <v>13</v>
      </c>
      <c r="I61" s="1"/>
    </row>
    <row r="62" ht="15.75" customHeight="1">
      <c r="A62" s="2">
        <v>61.0</v>
      </c>
      <c r="B62" s="1" t="s">
        <v>215</v>
      </c>
      <c r="C62" s="1" t="s">
        <v>216</v>
      </c>
      <c r="D62" s="1" t="s">
        <v>123</v>
      </c>
      <c r="E62" s="2">
        <v>5.70055372567E11</v>
      </c>
      <c r="F62" s="1" t="s">
        <v>217</v>
      </c>
      <c r="G62" s="1" t="s">
        <v>12</v>
      </c>
      <c r="H62" s="3" t="s">
        <v>13</v>
      </c>
      <c r="I62" s="1"/>
    </row>
    <row r="63" ht="15.75" customHeight="1">
      <c r="A63" s="2">
        <v>62.0</v>
      </c>
      <c r="B63" s="1" t="s">
        <v>218</v>
      </c>
      <c r="C63" s="1" t="s">
        <v>219</v>
      </c>
      <c r="D63" s="1" t="s">
        <v>220</v>
      </c>
      <c r="E63" s="2">
        <v>5.70055372569E11</v>
      </c>
      <c r="F63" s="1" t="s">
        <v>221</v>
      </c>
      <c r="G63" s="1" t="s">
        <v>12</v>
      </c>
      <c r="H63" s="3" t="s">
        <v>13</v>
      </c>
      <c r="I63" s="1"/>
    </row>
    <row r="64" ht="15.75" customHeight="1">
      <c r="A64" s="2">
        <v>63.0</v>
      </c>
      <c r="B64" s="1" t="s">
        <v>222</v>
      </c>
      <c r="C64" s="1" t="s">
        <v>223</v>
      </c>
      <c r="D64" s="1" t="s">
        <v>220</v>
      </c>
      <c r="E64" s="2">
        <v>5.7005537257E11</v>
      </c>
      <c r="F64" s="1" t="s">
        <v>224</v>
      </c>
      <c r="G64" s="1" t="s">
        <v>12</v>
      </c>
      <c r="H64" s="3" t="s">
        <v>13</v>
      </c>
      <c r="I64" s="1"/>
    </row>
    <row r="65" ht="15.75" customHeight="1">
      <c r="A65" s="2">
        <v>64.0</v>
      </c>
      <c r="B65" s="1" t="s">
        <v>225</v>
      </c>
      <c r="C65" s="1" t="s">
        <v>226</v>
      </c>
      <c r="D65" s="1" t="s">
        <v>227</v>
      </c>
      <c r="E65" s="2">
        <v>5.70055372571E11</v>
      </c>
      <c r="F65" s="1" t="s">
        <v>228</v>
      </c>
      <c r="G65" s="1" t="s">
        <v>12</v>
      </c>
      <c r="H65" s="3" t="s">
        <v>13</v>
      </c>
      <c r="I65" s="1"/>
    </row>
    <row r="66" ht="15.75" customHeight="1">
      <c r="A66" s="2">
        <v>65.0</v>
      </c>
      <c r="B66" s="1" t="s">
        <v>229</v>
      </c>
      <c r="C66" s="1" t="s">
        <v>230</v>
      </c>
      <c r="D66" s="1" t="s">
        <v>64</v>
      </c>
      <c r="E66" s="2">
        <v>5.70055372572E11</v>
      </c>
      <c r="F66" s="1" t="s">
        <v>231</v>
      </c>
      <c r="G66" s="1" t="s">
        <v>12</v>
      </c>
      <c r="H66" s="3" t="s">
        <v>13</v>
      </c>
      <c r="I66" s="1"/>
    </row>
    <row r="67" ht="15.75" customHeight="1">
      <c r="A67" s="2">
        <v>66.0</v>
      </c>
      <c r="B67" s="1" t="s">
        <v>232</v>
      </c>
      <c r="C67" s="1" t="s">
        <v>233</v>
      </c>
      <c r="D67" s="1" t="s">
        <v>234</v>
      </c>
      <c r="E67" s="2">
        <v>5.70055372576E11</v>
      </c>
      <c r="F67" s="1" t="s">
        <v>235</v>
      </c>
      <c r="G67" s="1" t="s">
        <v>12</v>
      </c>
      <c r="H67" s="3" t="s">
        <v>13</v>
      </c>
      <c r="I67" s="1"/>
    </row>
    <row r="68" ht="15.75" customHeight="1">
      <c r="A68" s="2">
        <v>67.0</v>
      </c>
      <c r="B68" s="1" t="s">
        <v>34</v>
      </c>
      <c r="C68" s="1"/>
      <c r="D68" s="1"/>
      <c r="E68" s="1"/>
      <c r="F68" s="1"/>
      <c r="G68" s="1"/>
      <c r="H68" s="1"/>
      <c r="I68" s="1"/>
    </row>
    <row r="69" ht="15.75" customHeight="1">
      <c r="A69" s="2">
        <v>68.0</v>
      </c>
      <c r="B69" s="1" t="s">
        <v>236</v>
      </c>
      <c r="C69" s="1" t="s">
        <v>237</v>
      </c>
      <c r="D69" s="1" t="s">
        <v>238</v>
      </c>
      <c r="E69" s="2">
        <v>5.70055372582E11</v>
      </c>
      <c r="F69" s="1" t="s">
        <v>239</v>
      </c>
      <c r="G69" s="1" t="s">
        <v>12</v>
      </c>
      <c r="H69" s="3" t="s">
        <v>13</v>
      </c>
      <c r="I69" s="1"/>
    </row>
    <row r="70" ht="15.75" customHeight="1">
      <c r="A70" s="2">
        <v>69.0</v>
      </c>
      <c r="B70" s="1" t="s">
        <v>240</v>
      </c>
      <c r="C70" s="1" t="s">
        <v>241</v>
      </c>
      <c r="D70" s="1" t="s">
        <v>123</v>
      </c>
      <c r="E70" s="2">
        <v>5.70055372583E11</v>
      </c>
      <c r="F70" s="1" t="s">
        <v>242</v>
      </c>
      <c r="G70" s="1" t="s">
        <v>20</v>
      </c>
      <c r="H70" s="3" t="s">
        <v>13</v>
      </c>
      <c r="I70" s="1"/>
    </row>
    <row r="71" ht="15.75" customHeight="1">
      <c r="A71" s="4">
        <v>70.0</v>
      </c>
      <c r="B71" s="4" t="s">
        <v>243</v>
      </c>
      <c r="C71" s="4" t="s">
        <v>244</v>
      </c>
      <c r="D71" s="4" t="s">
        <v>245</v>
      </c>
      <c r="E71" s="4">
        <v>5.70055375584E11</v>
      </c>
      <c r="F71" s="4" t="s">
        <v>246</v>
      </c>
      <c r="G71" s="4" t="s">
        <v>247</v>
      </c>
      <c r="H71" s="4" t="s">
        <v>248</v>
      </c>
      <c r="I71" s="4" t="s">
        <v>249</v>
      </c>
      <c r="J71" s="4" t="s">
        <v>250</v>
      </c>
    </row>
    <row r="72" ht="15.75" customHeight="1">
      <c r="A72" s="4">
        <v>71.0</v>
      </c>
      <c r="B72" s="4" t="s">
        <v>251</v>
      </c>
      <c r="C72" s="4" t="s">
        <v>252</v>
      </c>
      <c r="D72" s="4" t="s">
        <v>253</v>
      </c>
      <c r="E72" s="4">
        <v>5.70055375545E11</v>
      </c>
      <c r="F72" s="4" t="s">
        <v>254</v>
      </c>
      <c r="G72" s="4" t="s">
        <v>12</v>
      </c>
      <c r="H72" s="4" t="s">
        <v>248</v>
      </c>
      <c r="I72" s="4" t="s">
        <v>249</v>
      </c>
      <c r="J72" s="4" t="s">
        <v>250</v>
      </c>
    </row>
    <row r="73" ht="15.75" customHeight="1">
      <c r="A73" s="4">
        <v>72.0</v>
      </c>
      <c r="B73" s="4" t="s">
        <v>255</v>
      </c>
      <c r="C73" s="4" t="s">
        <v>256</v>
      </c>
      <c r="D73" s="4" t="s">
        <v>257</v>
      </c>
      <c r="E73" s="4">
        <v>5.70055375546E11</v>
      </c>
      <c r="F73" s="4" t="s">
        <v>258</v>
      </c>
      <c r="G73" s="4" t="s">
        <v>247</v>
      </c>
      <c r="H73" s="4" t="s">
        <v>248</v>
      </c>
      <c r="I73" s="4" t="s">
        <v>249</v>
      </c>
      <c r="J73" s="4" t="s">
        <v>250</v>
      </c>
    </row>
    <row r="74" ht="15.75" customHeight="1">
      <c r="A74" s="4">
        <v>73.0</v>
      </c>
      <c r="B74" s="4" t="s">
        <v>259</v>
      </c>
      <c r="C74" s="4" t="s">
        <v>260</v>
      </c>
      <c r="D74" s="4" t="s">
        <v>261</v>
      </c>
      <c r="E74" s="4">
        <v>5.70055375588E11</v>
      </c>
      <c r="F74" s="4" t="s">
        <v>262</v>
      </c>
      <c r="G74" s="4" t="s">
        <v>12</v>
      </c>
      <c r="H74" s="4" t="s">
        <v>248</v>
      </c>
      <c r="I74" s="4" t="s">
        <v>249</v>
      </c>
      <c r="J74" s="4" t="s">
        <v>250</v>
      </c>
    </row>
    <row r="75" ht="15.75" customHeight="1">
      <c r="A75" s="4">
        <v>74.0</v>
      </c>
      <c r="B75" s="4" t="s">
        <v>263</v>
      </c>
      <c r="C75" s="4" t="s">
        <v>264</v>
      </c>
      <c r="D75" s="4" t="s">
        <v>265</v>
      </c>
      <c r="E75" s="4">
        <v>5.70055375549E11</v>
      </c>
      <c r="F75" s="4" t="s">
        <v>266</v>
      </c>
      <c r="G75" s="4" t="s">
        <v>70</v>
      </c>
      <c r="H75" s="4" t="s">
        <v>248</v>
      </c>
      <c r="I75" s="4" t="s">
        <v>249</v>
      </c>
      <c r="J75" s="4" t="s">
        <v>250</v>
      </c>
    </row>
    <row r="76" ht="15.75" customHeight="1">
      <c r="A76" s="4">
        <v>75.0</v>
      </c>
      <c r="B76" s="4" t="s">
        <v>267</v>
      </c>
      <c r="C76" s="4" t="s">
        <v>268</v>
      </c>
      <c r="D76" s="4" t="s">
        <v>269</v>
      </c>
      <c r="E76" s="4">
        <v>5.7005537555E11</v>
      </c>
      <c r="F76" s="4" t="s">
        <v>270</v>
      </c>
      <c r="G76" s="4" t="s">
        <v>25</v>
      </c>
      <c r="H76" s="4" t="s">
        <v>248</v>
      </c>
      <c r="I76" s="4" t="s">
        <v>249</v>
      </c>
      <c r="J76" s="4" t="s">
        <v>250</v>
      </c>
    </row>
    <row r="77" ht="15.75" customHeight="1">
      <c r="A77" s="4">
        <v>76.0</v>
      </c>
      <c r="B77" s="4" t="s">
        <v>271</v>
      </c>
      <c r="C77" s="4" t="s">
        <v>272</v>
      </c>
      <c r="D77" s="4" t="s">
        <v>273</v>
      </c>
      <c r="E77" s="4">
        <v>5.70055375591E11</v>
      </c>
      <c r="F77" s="4" t="s">
        <v>274</v>
      </c>
      <c r="G77" s="4" t="s">
        <v>247</v>
      </c>
      <c r="H77" s="4" t="s">
        <v>248</v>
      </c>
      <c r="I77" s="4" t="s">
        <v>249</v>
      </c>
      <c r="J77" s="4" t="s">
        <v>250</v>
      </c>
    </row>
    <row r="78" ht="15.75" customHeight="1">
      <c r="A78" s="4">
        <v>77.0</v>
      </c>
      <c r="B78" s="4" t="s">
        <v>267</v>
      </c>
      <c r="C78" s="4" t="s">
        <v>275</v>
      </c>
      <c r="D78" s="4" t="s">
        <v>276</v>
      </c>
      <c r="E78" s="4">
        <v>5.70055375594E11</v>
      </c>
      <c r="F78" s="4" t="s">
        <v>277</v>
      </c>
      <c r="G78" s="4" t="s">
        <v>70</v>
      </c>
      <c r="H78" s="4" t="s">
        <v>248</v>
      </c>
      <c r="I78" s="4" t="s">
        <v>249</v>
      </c>
      <c r="J78" s="4" t="s">
        <v>250</v>
      </c>
    </row>
    <row r="79" ht="15.75" customHeight="1">
      <c r="A79" s="4">
        <v>78.0</v>
      </c>
      <c r="B79" s="4" t="s">
        <v>278</v>
      </c>
      <c r="C79" s="4" t="s">
        <v>279</v>
      </c>
      <c r="D79" s="4" t="s">
        <v>280</v>
      </c>
      <c r="E79" s="4">
        <v>5.70055375596E11</v>
      </c>
      <c r="F79" s="4" t="s">
        <v>281</v>
      </c>
      <c r="G79" s="4" t="s">
        <v>12</v>
      </c>
      <c r="H79" s="4" t="s">
        <v>248</v>
      </c>
      <c r="I79" s="4" t="s">
        <v>249</v>
      </c>
      <c r="J79" s="4" t="s">
        <v>250</v>
      </c>
    </row>
    <row r="80" ht="15.75" customHeight="1">
      <c r="A80" s="4">
        <v>79.0</v>
      </c>
      <c r="B80" s="4" t="s">
        <v>282</v>
      </c>
      <c r="C80" s="4" t="s">
        <v>279</v>
      </c>
      <c r="D80" s="4" t="s">
        <v>283</v>
      </c>
      <c r="E80" s="4">
        <v>5.70055375597E11</v>
      </c>
      <c r="F80" s="4" t="s">
        <v>284</v>
      </c>
      <c r="G80" s="4" t="s">
        <v>12</v>
      </c>
      <c r="H80" s="4" t="s">
        <v>248</v>
      </c>
      <c r="I80" s="4" t="s">
        <v>249</v>
      </c>
      <c r="J80" s="4" t="s">
        <v>250</v>
      </c>
    </row>
    <row r="81" ht="15.75" customHeight="1">
      <c r="A81" s="4">
        <v>80.0</v>
      </c>
      <c r="B81" s="4" t="s">
        <v>285</v>
      </c>
      <c r="C81" s="4" t="s">
        <v>230</v>
      </c>
      <c r="D81" s="4" t="s">
        <v>286</v>
      </c>
      <c r="E81" s="4">
        <v>5.70055375598E11</v>
      </c>
      <c r="F81" s="4" t="s">
        <v>287</v>
      </c>
      <c r="G81" s="4" t="s">
        <v>12</v>
      </c>
      <c r="H81" s="4" t="s">
        <v>248</v>
      </c>
      <c r="I81" s="4" t="s">
        <v>249</v>
      </c>
      <c r="J81" s="4" t="s">
        <v>250</v>
      </c>
    </row>
    <row r="82" ht="15.75" customHeight="1">
      <c r="A82" s="4">
        <v>81.0</v>
      </c>
      <c r="B82" s="4" t="s">
        <v>288</v>
      </c>
      <c r="C82" s="4" t="s">
        <v>289</v>
      </c>
      <c r="D82" s="4" t="s">
        <v>290</v>
      </c>
      <c r="E82" s="4">
        <v>5.70055375677E11</v>
      </c>
      <c r="F82" s="4" t="s">
        <v>291</v>
      </c>
      <c r="G82" s="4" t="s">
        <v>12</v>
      </c>
      <c r="H82" s="4" t="s">
        <v>248</v>
      </c>
      <c r="I82" s="4" t="s">
        <v>249</v>
      </c>
      <c r="J82" s="4" t="s">
        <v>250</v>
      </c>
    </row>
    <row r="83" ht="15.75" customHeight="1">
      <c r="A83" s="4">
        <v>82.0</v>
      </c>
      <c r="B83" s="4" t="s">
        <v>292</v>
      </c>
      <c r="C83" s="4" t="s">
        <v>293</v>
      </c>
      <c r="D83" s="4" t="s">
        <v>294</v>
      </c>
      <c r="E83" s="4">
        <v>5.70055375679E11</v>
      </c>
      <c r="F83" s="4" t="s">
        <v>295</v>
      </c>
      <c r="G83" s="4" t="s">
        <v>12</v>
      </c>
      <c r="H83" s="4" t="s">
        <v>248</v>
      </c>
      <c r="I83" s="4" t="s">
        <v>249</v>
      </c>
      <c r="J83" s="4" t="s">
        <v>250</v>
      </c>
    </row>
    <row r="84" ht="15.75" customHeight="1">
      <c r="A84" s="4">
        <v>83.0</v>
      </c>
      <c r="B84" s="4" t="s">
        <v>296</v>
      </c>
      <c r="C84" s="4" t="s">
        <v>297</v>
      </c>
      <c r="D84" s="4" t="s">
        <v>298</v>
      </c>
      <c r="E84" s="4">
        <v>5.7005537568E11</v>
      </c>
      <c r="F84" s="4" t="s">
        <v>299</v>
      </c>
      <c r="G84" s="4" t="s">
        <v>95</v>
      </c>
      <c r="H84" s="4" t="s">
        <v>248</v>
      </c>
      <c r="I84" s="4" t="s">
        <v>249</v>
      </c>
      <c r="J84" s="4" t="s">
        <v>250</v>
      </c>
    </row>
    <row r="85" ht="15.75" customHeight="1">
      <c r="A85" s="4">
        <v>84.0</v>
      </c>
      <c r="B85" s="4" t="s">
        <v>300</v>
      </c>
      <c r="C85" s="4" t="s">
        <v>297</v>
      </c>
      <c r="D85" s="4" t="s">
        <v>298</v>
      </c>
      <c r="E85" s="4">
        <v>5.70055375683E11</v>
      </c>
      <c r="F85" s="4" t="s">
        <v>301</v>
      </c>
      <c r="G85" s="4" t="s">
        <v>12</v>
      </c>
      <c r="H85" s="4" t="s">
        <v>248</v>
      </c>
      <c r="I85" s="4" t="s">
        <v>249</v>
      </c>
      <c r="J85" s="4" t="s">
        <v>250</v>
      </c>
    </row>
    <row r="86" ht="15.75" customHeight="1">
      <c r="A86" s="4">
        <v>85.0</v>
      </c>
      <c r="B86" s="4" t="s">
        <v>302</v>
      </c>
      <c r="C86" s="4" t="s">
        <v>303</v>
      </c>
      <c r="D86" s="4" t="s">
        <v>298</v>
      </c>
      <c r="E86" s="4">
        <v>5.70055375685E11</v>
      </c>
      <c r="F86" s="4" t="s">
        <v>304</v>
      </c>
      <c r="G86" s="4" t="s">
        <v>247</v>
      </c>
      <c r="H86" s="4" t="s">
        <v>248</v>
      </c>
      <c r="I86" s="4" t="s">
        <v>249</v>
      </c>
      <c r="J86" s="4" t="s">
        <v>250</v>
      </c>
    </row>
    <row r="87" ht="15.75" customHeight="1">
      <c r="A87" s="4">
        <v>86.0</v>
      </c>
      <c r="B87" s="4" t="s">
        <v>305</v>
      </c>
      <c r="C87" s="4" t="s">
        <v>297</v>
      </c>
      <c r="D87" s="4" t="s">
        <v>306</v>
      </c>
      <c r="E87" s="4">
        <v>5.70055375686E11</v>
      </c>
      <c r="F87" s="4" t="s">
        <v>307</v>
      </c>
      <c r="G87" s="4" t="s">
        <v>12</v>
      </c>
      <c r="H87" s="4" t="s">
        <v>248</v>
      </c>
      <c r="I87" s="4" t="s">
        <v>249</v>
      </c>
      <c r="J87" s="4" t="s">
        <v>250</v>
      </c>
    </row>
    <row r="88" ht="15.75" customHeight="1">
      <c r="A88" s="4">
        <v>87.0</v>
      </c>
      <c r="B88" s="4" t="s">
        <v>308</v>
      </c>
      <c r="C88" s="4" t="s">
        <v>309</v>
      </c>
      <c r="D88" s="4" t="s">
        <v>298</v>
      </c>
      <c r="E88" s="4">
        <v>5.70055375689E11</v>
      </c>
      <c r="F88" s="4" t="s">
        <v>310</v>
      </c>
      <c r="G88" s="4" t="s">
        <v>70</v>
      </c>
      <c r="H88" s="4" t="s">
        <v>248</v>
      </c>
      <c r="I88" s="4" t="s">
        <v>249</v>
      </c>
      <c r="J88" s="4" t="s">
        <v>250</v>
      </c>
    </row>
    <row r="89" ht="15.75" customHeight="1">
      <c r="A89" s="4">
        <v>88.0</v>
      </c>
      <c r="B89" s="4" t="s">
        <v>311</v>
      </c>
      <c r="C89" s="4" t="s">
        <v>289</v>
      </c>
      <c r="D89" s="4" t="s">
        <v>312</v>
      </c>
      <c r="E89" s="4">
        <v>5.70055375691E11</v>
      </c>
      <c r="F89" s="4" t="s">
        <v>313</v>
      </c>
      <c r="G89" s="4" t="s">
        <v>70</v>
      </c>
      <c r="H89" s="4" t="s">
        <v>248</v>
      </c>
      <c r="I89" s="4" t="s">
        <v>249</v>
      </c>
      <c r="J89" s="4" t="s">
        <v>250</v>
      </c>
    </row>
    <row r="90" ht="15.75" customHeight="1">
      <c r="A90" s="4">
        <v>89.0</v>
      </c>
      <c r="B90" s="4" t="s">
        <v>314</v>
      </c>
      <c r="C90" s="4" t="s">
        <v>289</v>
      </c>
      <c r="D90" s="4" t="s">
        <v>312</v>
      </c>
      <c r="E90" s="4">
        <v>5.70055375696E11</v>
      </c>
      <c r="F90" s="4" t="s">
        <v>315</v>
      </c>
      <c r="G90" s="4" t="s">
        <v>12</v>
      </c>
      <c r="H90" s="4" t="s">
        <v>248</v>
      </c>
      <c r="I90" s="4" t="s">
        <v>249</v>
      </c>
      <c r="J90" s="4" t="s">
        <v>250</v>
      </c>
    </row>
    <row r="91" ht="15.75" customHeight="1">
      <c r="A91" s="4">
        <v>90.0</v>
      </c>
      <c r="B91" s="4" t="s">
        <v>316</v>
      </c>
      <c r="C91" s="4" t="s">
        <v>317</v>
      </c>
      <c r="D91" s="4" t="s">
        <v>318</v>
      </c>
      <c r="E91" s="4">
        <v>5.70055375699E11</v>
      </c>
      <c r="F91" s="4" t="s">
        <v>319</v>
      </c>
      <c r="G91" s="4" t="s">
        <v>70</v>
      </c>
      <c r="H91" s="4" t="s">
        <v>248</v>
      </c>
      <c r="I91" s="4" t="s">
        <v>249</v>
      </c>
      <c r="J91" s="4" t="s">
        <v>250</v>
      </c>
    </row>
    <row r="92" ht="15.75" customHeight="1">
      <c r="A92" s="4">
        <v>91.0</v>
      </c>
      <c r="B92" s="4" t="s">
        <v>320</v>
      </c>
      <c r="C92" s="4" t="s">
        <v>321</v>
      </c>
      <c r="D92" s="4" t="s">
        <v>322</v>
      </c>
      <c r="E92" s="4">
        <v>5.70055375701E11</v>
      </c>
      <c r="F92" s="4" t="s">
        <v>323</v>
      </c>
      <c r="G92" s="4" t="s">
        <v>25</v>
      </c>
      <c r="H92" s="4" t="s">
        <v>248</v>
      </c>
      <c r="I92" s="4" t="s">
        <v>249</v>
      </c>
      <c r="J92" s="4" t="s">
        <v>250</v>
      </c>
    </row>
    <row r="93" ht="15.75" customHeight="1">
      <c r="A93" s="4">
        <v>92.0</v>
      </c>
      <c r="B93" s="4" t="s">
        <v>324</v>
      </c>
      <c r="C93" s="4" t="s">
        <v>325</v>
      </c>
      <c r="D93" s="4" t="s">
        <v>326</v>
      </c>
      <c r="E93" s="4">
        <v>5.70055375708E11</v>
      </c>
      <c r="F93" s="4" t="s">
        <v>327</v>
      </c>
      <c r="G93" s="4" t="s">
        <v>12</v>
      </c>
      <c r="H93" s="4" t="s">
        <v>248</v>
      </c>
      <c r="I93" s="4" t="s">
        <v>249</v>
      </c>
      <c r="J93" s="4" t="s">
        <v>250</v>
      </c>
    </row>
    <row r="94" ht="15.75" customHeight="1">
      <c r="A94" s="4">
        <v>93.0</v>
      </c>
      <c r="B94" s="4" t="s">
        <v>251</v>
      </c>
      <c r="C94" s="4" t="s">
        <v>328</v>
      </c>
      <c r="D94" s="4" t="s">
        <v>329</v>
      </c>
      <c r="E94" s="4">
        <v>5.70055375715E11</v>
      </c>
      <c r="F94" s="4" t="s">
        <v>330</v>
      </c>
      <c r="G94" s="4" t="s">
        <v>25</v>
      </c>
      <c r="H94" s="4" t="s">
        <v>248</v>
      </c>
      <c r="I94" s="4" t="s">
        <v>249</v>
      </c>
      <c r="J94" s="4" t="s">
        <v>250</v>
      </c>
    </row>
    <row r="95" ht="15.75" customHeight="1">
      <c r="A95" s="4">
        <v>94.0</v>
      </c>
      <c r="B95" s="4" t="s">
        <v>331</v>
      </c>
      <c r="C95" s="4" t="s">
        <v>325</v>
      </c>
      <c r="D95" s="4" t="s">
        <v>332</v>
      </c>
      <c r="E95" s="4">
        <v>5.70055375717E11</v>
      </c>
      <c r="F95" s="4" t="s">
        <v>333</v>
      </c>
      <c r="G95" s="4" t="s">
        <v>12</v>
      </c>
      <c r="H95" s="4" t="s">
        <v>248</v>
      </c>
      <c r="I95" s="4" t="s">
        <v>249</v>
      </c>
      <c r="J95" s="4" t="s">
        <v>250</v>
      </c>
    </row>
    <row r="96" ht="15.75" customHeight="1">
      <c r="A96" s="4">
        <v>95.0</v>
      </c>
      <c r="B96" s="4" t="s">
        <v>334</v>
      </c>
      <c r="C96" s="4" t="s">
        <v>335</v>
      </c>
      <c r="D96" s="4" t="s">
        <v>336</v>
      </c>
      <c r="E96" s="4">
        <v>5.70055375721E11</v>
      </c>
      <c r="F96" s="4" t="s">
        <v>337</v>
      </c>
      <c r="G96" s="4" t="s">
        <v>12</v>
      </c>
      <c r="H96" s="4" t="s">
        <v>248</v>
      </c>
      <c r="I96" s="4" t="s">
        <v>249</v>
      </c>
      <c r="J96" s="4" t="s">
        <v>250</v>
      </c>
    </row>
    <row r="97" ht="15.75" customHeight="1">
      <c r="A97" s="4">
        <v>96.0</v>
      </c>
      <c r="B97" s="4" t="s">
        <v>338</v>
      </c>
      <c r="C97" s="4" t="s">
        <v>339</v>
      </c>
      <c r="D97" s="4" t="s">
        <v>340</v>
      </c>
      <c r="E97" s="4">
        <v>5.70055375725E11</v>
      </c>
      <c r="F97" s="4" t="s">
        <v>341</v>
      </c>
      <c r="G97" s="4" t="s">
        <v>12</v>
      </c>
      <c r="H97" s="4" t="s">
        <v>248</v>
      </c>
      <c r="I97" s="4" t="s">
        <v>249</v>
      </c>
      <c r="J97" s="4" t="s">
        <v>250</v>
      </c>
    </row>
    <row r="98" ht="15.75" customHeight="1">
      <c r="A98" s="4">
        <v>97.0</v>
      </c>
      <c r="B98" s="4" t="s">
        <v>342</v>
      </c>
      <c r="C98" s="4" t="s">
        <v>343</v>
      </c>
      <c r="D98" s="4" t="s">
        <v>344</v>
      </c>
      <c r="E98" s="4">
        <v>5.70055375726E11</v>
      </c>
      <c r="F98" s="4" t="s">
        <v>345</v>
      </c>
      <c r="G98" s="4" t="s">
        <v>70</v>
      </c>
      <c r="H98" s="4" t="s">
        <v>248</v>
      </c>
      <c r="I98" s="4" t="s">
        <v>249</v>
      </c>
      <c r="J98" s="4" t="s">
        <v>250</v>
      </c>
    </row>
    <row r="99" ht="15.75" customHeight="1">
      <c r="A99" s="4">
        <v>98.0</v>
      </c>
      <c r="B99" s="4" t="s">
        <v>346</v>
      </c>
      <c r="C99" s="4" t="s">
        <v>347</v>
      </c>
      <c r="D99" s="4" t="s">
        <v>348</v>
      </c>
      <c r="E99" s="4">
        <v>5.70055375727E11</v>
      </c>
      <c r="F99" s="4" t="s">
        <v>349</v>
      </c>
      <c r="G99" s="4" t="s">
        <v>25</v>
      </c>
      <c r="H99" s="4" t="s">
        <v>248</v>
      </c>
      <c r="I99" s="4" t="s">
        <v>249</v>
      </c>
      <c r="J99" s="4" t="s">
        <v>250</v>
      </c>
    </row>
    <row r="100" ht="15.75" customHeight="1">
      <c r="A100" s="4">
        <v>99.0</v>
      </c>
      <c r="B100" s="4" t="s">
        <v>350</v>
      </c>
      <c r="C100" s="4" t="s">
        <v>351</v>
      </c>
      <c r="D100" s="4" t="s">
        <v>352</v>
      </c>
      <c r="E100" s="4">
        <v>5.70055375731E11</v>
      </c>
      <c r="F100" s="4" t="s">
        <v>353</v>
      </c>
      <c r="G100" s="4" t="s">
        <v>25</v>
      </c>
      <c r="H100" s="4" t="s">
        <v>248</v>
      </c>
      <c r="I100" s="4" t="s">
        <v>249</v>
      </c>
      <c r="J100" s="4" t="s">
        <v>250</v>
      </c>
    </row>
    <row r="101" ht="15.75" customHeight="1">
      <c r="A101" s="4">
        <v>100.0</v>
      </c>
      <c r="B101" s="4" t="s">
        <v>354</v>
      </c>
      <c r="C101" s="4" t="s">
        <v>355</v>
      </c>
      <c r="D101" s="4" t="s">
        <v>356</v>
      </c>
      <c r="E101" s="4">
        <v>5.70055375733E11</v>
      </c>
      <c r="F101" s="4" t="s">
        <v>357</v>
      </c>
      <c r="G101" s="4" t="s">
        <v>12</v>
      </c>
      <c r="H101" s="4" t="s">
        <v>248</v>
      </c>
      <c r="I101" s="4" t="s">
        <v>249</v>
      </c>
      <c r="J101" s="4" t="s">
        <v>250</v>
      </c>
    </row>
    <row r="102" ht="15.75" customHeight="1">
      <c r="A102" s="4">
        <v>101.0</v>
      </c>
      <c r="B102" s="4" t="s">
        <v>358</v>
      </c>
      <c r="C102" s="4" t="s">
        <v>359</v>
      </c>
      <c r="D102" s="4" t="s">
        <v>360</v>
      </c>
      <c r="E102" s="4">
        <v>5.70055375735E11</v>
      </c>
      <c r="F102" s="4" t="s">
        <v>361</v>
      </c>
      <c r="G102" s="4" t="s">
        <v>95</v>
      </c>
      <c r="H102" s="4" t="s">
        <v>248</v>
      </c>
      <c r="I102" s="4" t="s">
        <v>249</v>
      </c>
      <c r="J102" s="4" t="s">
        <v>250</v>
      </c>
    </row>
    <row r="103" ht="15.75" customHeight="1">
      <c r="A103" s="4">
        <v>102.0</v>
      </c>
      <c r="B103" s="4" t="s">
        <v>264</v>
      </c>
      <c r="C103" s="4" t="s">
        <v>297</v>
      </c>
      <c r="D103" s="4" t="s">
        <v>306</v>
      </c>
      <c r="E103" s="4">
        <v>5.70055375736E11</v>
      </c>
      <c r="F103" s="4" t="s">
        <v>362</v>
      </c>
      <c r="G103" s="4" t="s">
        <v>12</v>
      </c>
      <c r="H103" s="4" t="s">
        <v>248</v>
      </c>
      <c r="I103" s="4" t="s">
        <v>249</v>
      </c>
      <c r="J103" s="4" t="s">
        <v>250</v>
      </c>
    </row>
    <row r="104" ht="15.75" customHeight="1">
      <c r="A104" s="4">
        <v>103.0</v>
      </c>
      <c r="B104" s="4" t="s">
        <v>363</v>
      </c>
      <c r="C104" s="4" t="s">
        <v>320</v>
      </c>
      <c r="D104" s="4" t="s">
        <v>273</v>
      </c>
      <c r="E104" s="4">
        <v>5.70055375739E11</v>
      </c>
      <c r="F104" s="4" t="s">
        <v>364</v>
      </c>
      <c r="G104" s="4" t="s">
        <v>12</v>
      </c>
      <c r="H104" s="4" t="s">
        <v>248</v>
      </c>
      <c r="I104" s="4" t="s">
        <v>249</v>
      </c>
      <c r="J104" s="4" t="s">
        <v>250</v>
      </c>
    </row>
    <row r="105" ht="15.75" customHeight="1">
      <c r="A105" s="4">
        <v>104.0</v>
      </c>
      <c r="B105" s="4" t="s">
        <v>365</v>
      </c>
      <c r="C105" s="4" t="s">
        <v>366</v>
      </c>
      <c r="D105" s="4" t="s">
        <v>367</v>
      </c>
      <c r="E105" s="4">
        <v>5.7005537574E11</v>
      </c>
      <c r="F105" s="4" t="s">
        <v>368</v>
      </c>
      <c r="G105" s="4" t="s">
        <v>70</v>
      </c>
      <c r="H105" s="4" t="s">
        <v>248</v>
      </c>
      <c r="I105" s="4" t="s">
        <v>249</v>
      </c>
      <c r="J105" s="4" t="s">
        <v>250</v>
      </c>
    </row>
    <row r="106" ht="15.75" customHeight="1">
      <c r="A106" s="4">
        <v>105.0</v>
      </c>
      <c r="B106" s="4" t="s">
        <v>369</v>
      </c>
      <c r="C106" s="4" t="s">
        <v>370</v>
      </c>
      <c r="D106" s="4" t="s">
        <v>371</v>
      </c>
      <c r="E106" s="4">
        <v>5.70055375742E11</v>
      </c>
      <c r="F106" s="4" t="s">
        <v>372</v>
      </c>
      <c r="G106" s="4" t="s">
        <v>70</v>
      </c>
      <c r="H106" s="4" t="s">
        <v>248</v>
      </c>
      <c r="I106" s="4" t="s">
        <v>249</v>
      </c>
      <c r="J106" s="4" t="s">
        <v>250</v>
      </c>
    </row>
    <row r="107" ht="15.75" customHeight="1">
      <c r="A107" s="4">
        <v>106.0</v>
      </c>
      <c r="B107" s="4" t="s">
        <v>373</v>
      </c>
      <c r="C107" s="4" t="s">
        <v>374</v>
      </c>
      <c r="D107" s="4" t="s">
        <v>273</v>
      </c>
      <c r="E107" s="4">
        <v>5.70055375743E11</v>
      </c>
      <c r="F107" s="4" t="s">
        <v>375</v>
      </c>
      <c r="G107" s="4" t="s">
        <v>12</v>
      </c>
      <c r="H107" s="4" t="s">
        <v>248</v>
      </c>
      <c r="I107" s="4" t="s">
        <v>249</v>
      </c>
      <c r="J107" s="4" t="s">
        <v>250</v>
      </c>
    </row>
    <row r="108" ht="15.75" customHeight="1">
      <c r="A108" s="4">
        <v>107.0</v>
      </c>
      <c r="B108" s="4" t="s">
        <v>376</v>
      </c>
      <c r="C108" s="4" t="s">
        <v>377</v>
      </c>
      <c r="D108" s="4" t="s">
        <v>378</v>
      </c>
      <c r="E108" s="4">
        <v>5.70055375746E11</v>
      </c>
      <c r="F108" s="4" t="s">
        <v>379</v>
      </c>
      <c r="G108" s="4" t="s">
        <v>70</v>
      </c>
      <c r="H108" s="4" t="s">
        <v>248</v>
      </c>
      <c r="I108" s="4" t="s">
        <v>249</v>
      </c>
      <c r="J108" s="4" t="s">
        <v>250</v>
      </c>
    </row>
    <row r="109" ht="15.75" customHeight="1">
      <c r="A109" s="4">
        <v>108.0</v>
      </c>
      <c r="B109" s="4" t="s">
        <v>380</v>
      </c>
      <c r="C109" s="4" t="s">
        <v>381</v>
      </c>
      <c r="D109" s="4" t="s">
        <v>382</v>
      </c>
      <c r="E109" s="4">
        <v>5.70055375747E11</v>
      </c>
      <c r="F109" s="4" t="s">
        <v>383</v>
      </c>
      <c r="G109" s="4" t="s">
        <v>12</v>
      </c>
      <c r="H109" s="4" t="s">
        <v>248</v>
      </c>
      <c r="I109" s="4" t="s">
        <v>249</v>
      </c>
      <c r="J109" s="4" t="s">
        <v>250</v>
      </c>
    </row>
    <row r="110" ht="15.75" customHeight="1">
      <c r="A110" s="4">
        <v>109.0</v>
      </c>
      <c r="B110" s="4" t="s">
        <v>384</v>
      </c>
      <c r="C110" s="4" t="s">
        <v>381</v>
      </c>
      <c r="D110" s="4" t="s">
        <v>382</v>
      </c>
      <c r="E110" s="4">
        <v>5.70055375748E11</v>
      </c>
      <c r="F110" s="4" t="s">
        <v>385</v>
      </c>
      <c r="G110" s="4" t="s">
        <v>12</v>
      </c>
      <c r="H110" s="4" t="s">
        <v>248</v>
      </c>
      <c r="I110" s="4" t="s">
        <v>249</v>
      </c>
      <c r="J110" s="4" t="s">
        <v>250</v>
      </c>
    </row>
    <row r="111" ht="15.75" customHeight="1">
      <c r="A111" s="4">
        <v>110.0</v>
      </c>
      <c r="B111" s="4" t="s">
        <v>386</v>
      </c>
      <c r="C111" s="4" t="s">
        <v>387</v>
      </c>
      <c r="D111" s="4" t="s">
        <v>388</v>
      </c>
      <c r="E111" s="4">
        <v>5.7005537575E11</v>
      </c>
      <c r="F111" s="4" t="s">
        <v>389</v>
      </c>
      <c r="G111" s="4" t="s">
        <v>70</v>
      </c>
      <c r="H111" s="4" t="s">
        <v>248</v>
      </c>
      <c r="I111" s="4" t="s">
        <v>249</v>
      </c>
      <c r="J111" s="4" t="s">
        <v>250</v>
      </c>
    </row>
    <row r="112" ht="15.75" customHeight="1">
      <c r="A112" s="4">
        <v>111.0</v>
      </c>
      <c r="B112" s="4" t="s">
        <v>390</v>
      </c>
      <c r="C112" s="4" t="s">
        <v>387</v>
      </c>
      <c r="D112" s="4" t="s">
        <v>388</v>
      </c>
      <c r="E112" s="4">
        <v>5.70055375752E11</v>
      </c>
      <c r="F112" s="4" t="s">
        <v>391</v>
      </c>
      <c r="G112" s="4" t="s">
        <v>70</v>
      </c>
      <c r="H112" s="4" t="s">
        <v>248</v>
      </c>
      <c r="I112" s="4" t="s">
        <v>249</v>
      </c>
      <c r="J112" s="4" t="s">
        <v>250</v>
      </c>
    </row>
    <row r="113" ht="15.75" customHeight="1">
      <c r="A113" s="4">
        <v>112.0</v>
      </c>
      <c r="B113" s="4" t="s">
        <v>392</v>
      </c>
      <c r="C113" s="4" t="s">
        <v>393</v>
      </c>
      <c r="D113" s="4" t="s">
        <v>394</v>
      </c>
      <c r="E113" s="4">
        <v>5.70055375761E11</v>
      </c>
      <c r="F113" s="4" t="s">
        <v>395</v>
      </c>
      <c r="G113" s="4" t="s">
        <v>25</v>
      </c>
      <c r="H113" s="4" t="s">
        <v>248</v>
      </c>
      <c r="I113" s="4" t="s">
        <v>249</v>
      </c>
      <c r="J113" s="4" t="s">
        <v>250</v>
      </c>
    </row>
    <row r="114" ht="15.75" customHeight="1">
      <c r="A114" s="4">
        <v>113.0</v>
      </c>
      <c r="B114" s="4" t="s">
        <v>396</v>
      </c>
      <c r="C114" s="4" t="s">
        <v>397</v>
      </c>
      <c r="D114" s="4" t="s">
        <v>398</v>
      </c>
      <c r="E114" s="4">
        <v>5.70055375771E11</v>
      </c>
      <c r="F114" s="4" t="s">
        <v>399</v>
      </c>
      <c r="G114" s="4" t="s">
        <v>12</v>
      </c>
      <c r="H114" s="4" t="s">
        <v>248</v>
      </c>
      <c r="I114" s="4" t="s">
        <v>249</v>
      </c>
      <c r="J114" s="4" t="s">
        <v>250</v>
      </c>
    </row>
    <row r="115" ht="15.75" customHeight="1">
      <c r="A115" s="4">
        <v>114.0</v>
      </c>
      <c r="B115" s="4" t="s">
        <v>400</v>
      </c>
      <c r="C115" s="4" t="s">
        <v>401</v>
      </c>
      <c r="D115" s="4" t="s">
        <v>402</v>
      </c>
      <c r="E115" s="4">
        <v>5.70055375773E11</v>
      </c>
      <c r="F115" s="4" t="s">
        <v>403</v>
      </c>
      <c r="G115" s="4" t="s">
        <v>12</v>
      </c>
      <c r="H115" s="4" t="s">
        <v>248</v>
      </c>
      <c r="I115" s="4" t="s">
        <v>249</v>
      </c>
      <c r="J115" s="4" t="s">
        <v>250</v>
      </c>
    </row>
    <row r="116" ht="15.75" customHeight="1">
      <c r="A116" s="4">
        <v>115.0</v>
      </c>
      <c r="B116" s="4" t="s">
        <v>404</v>
      </c>
      <c r="C116" s="4" t="s">
        <v>401</v>
      </c>
      <c r="D116" s="4" t="s">
        <v>402</v>
      </c>
      <c r="E116" s="4">
        <v>5.70055375774E11</v>
      </c>
      <c r="F116" s="4" t="s">
        <v>405</v>
      </c>
      <c r="G116" s="4" t="s">
        <v>12</v>
      </c>
      <c r="H116" s="4" t="s">
        <v>248</v>
      </c>
      <c r="I116" s="4" t="s">
        <v>249</v>
      </c>
      <c r="J116" s="4" t="s">
        <v>250</v>
      </c>
    </row>
    <row r="117" ht="15.75" customHeight="1">
      <c r="A117" s="4">
        <v>116.0</v>
      </c>
      <c r="B117" s="4" t="s">
        <v>406</v>
      </c>
      <c r="C117" s="4" t="s">
        <v>407</v>
      </c>
      <c r="D117" s="4" t="s">
        <v>290</v>
      </c>
      <c r="E117" s="4">
        <v>5.70055375785E11</v>
      </c>
      <c r="F117" s="4" t="s">
        <v>408</v>
      </c>
      <c r="G117" s="4" t="s">
        <v>25</v>
      </c>
      <c r="H117" s="4" t="s">
        <v>248</v>
      </c>
      <c r="I117" s="4" t="s">
        <v>249</v>
      </c>
      <c r="J117" s="4" t="s">
        <v>250</v>
      </c>
    </row>
    <row r="118" ht="15.75" customHeight="1">
      <c r="A118" s="4">
        <v>117.0</v>
      </c>
      <c r="B118" s="4" t="s">
        <v>409</v>
      </c>
      <c r="C118" s="4" t="s">
        <v>410</v>
      </c>
      <c r="D118" s="4" t="s">
        <v>411</v>
      </c>
      <c r="E118" s="4">
        <v>5.70055375792E11</v>
      </c>
      <c r="F118" s="4" t="s">
        <v>412</v>
      </c>
      <c r="G118" s="4" t="s">
        <v>25</v>
      </c>
      <c r="H118" s="4" t="s">
        <v>248</v>
      </c>
      <c r="I118" s="4" t="s">
        <v>249</v>
      </c>
      <c r="J118" s="4" t="s">
        <v>250</v>
      </c>
    </row>
    <row r="119" ht="15.75" customHeight="1">
      <c r="A119" s="4">
        <v>118.0</v>
      </c>
      <c r="B119" s="4" t="s">
        <v>413</v>
      </c>
      <c r="C119" s="4" t="s">
        <v>414</v>
      </c>
      <c r="D119" s="4" t="s">
        <v>415</v>
      </c>
      <c r="E119" s="4">
        <v>5.70055375796E11</v>
      </c>
      <c r="F119" s="4" t="s">
        <v>416</v>
      </c>
      <c r="G119" s="4" t="s">
        <v>12</v>
      </c>
      <c r="H119" s="4" t="s">
        <v>248</v>
      </c>
      <c r="I119" s="4" t="s">
        <v>249</v>
      </c>
      <c r="J119" s="4" t="s">
        <v>250</v>
      </c>
    </row>
    <row r="120" ht="15.75" customHeight="1">
      <c r="A120" s="4">
        <v>119.0</v>
      </c>
      <c r="B120" s="4" t="s">
        <v>417</v>
      </c>
      <c r="C120" s="4" t="s">
        <v>418</v>
      </c>
      <c r="D120" s="4" t="s">
        <v>419</v>
      </c>
      <c r="E120" s="4">
        <v>5.70055375798E11</v>
      </c>
      <c r="F120" s="4" t="s">
        <v>420</v>
      </c>
      <c r="G120" s="4" t="s">
        <v>120</v>
      </c>
      <c r="H120" s="4" t="s">
        <v>248</v>
      </c>
      <c r="I120" s="4" t="s">
        <v>249</v>
      </c>
      <c r="J120" s="4" t="s">
        <v>250</v>
      </c>
    </row>
    <row r="121" ht="15.75" customHeight="1">
      <c r="A121" s="4">
        <v>120.0</v>
      </c>
      <c r="B121" s="4" t="s">
        <v>421</v>
      </c>
      <c r="C121" s="4" t="s">
        <v>413</v>
      </c>
      <c r="D121" s="4" t="s">
        <v>422</v>
      </c>
      <c r="E121" s="4">
        <v>5.70055375799E11</v>
      </c>
      <c r="F121" s="4" t="s">
        <v>423</v>
      </c>
      <c r="G121" s="4" t="s">
        <v>25</v>
      </c>
      <c r="H121" s="4" t="s">
        <v>248</v>
      </c>
      <c r="I121" s="4" t="s">
        <v>249</v>
      </c>
      <c r="J121" s="4" t="s">
        <v>250</v>
      </c>
    </row>
    <row r="122" ht="15.75" customHeight="1">
      <c r="A122" s="4">
        <v>121.0</v>
      </c>
      <c r="B122" s="4" t="s">
        <v>424</v>
      </c>
      <c r="C122" s="4" t="s">
        <v>425</v>
      </c>
      <c r="D122" s="4" t="s">
        <v>426</v>
      </c>
      <c r="E122" s="4">
        <v>5.70055375806E11</v>
      </c>
      <c r="F122" s="4" t="s">
        <v>427</v>
      </c>
      <c r="G122" s="4" t="s">
        <v>25</v>
      </c>
      <c r="H122" s="4" t="s">
        <v>248</v>
      </c>
      <c r="I122" s="4" t="s">
        <v>249</v>
      </c>
      <c r="J122" s="4" t="s">
        <v>250</v>
      </c>
    </row>
    <row r="123" ht="15.75" customHeight="1">
      <c r="A123" s="4">
        <v>122.0</v>
      </c>
      <c r="B123" s="4" t="s">
        <v>428</v>
      </c>
      <c r="C123" s="4" t="s">
        <v>429</v>
      </c>
      <c r="D123" s="4" t="s">
        <v>430</v>
      </c>
      <c r="E123" s="4">
        <v>5.70055375812E11</v>
      </c>
      <c r="F123" s="4" t="s">
        <v>431</v>
      </c>
      <c r="G123" s="4" t="s">
        <v>25</v>
      </c>
      <c r="H123" s="4" t="s">
        <v>248</v>
      </c>
      <c r="I123" s="4" t="s">
        <v>249</v>
      </c>
      <c r="J123" s="4" t="s">
        <v>250</v>
      </c>
    </row>
    <row r="124" ht="15.75" customHeight="1">
      <c r="A124" s="4">
        <v>123.0</v>
      </c>
      <c r="B124" s="4" t="s">
        <v>432</v>
      </c>
      <c r="C124" s="4" t="s">
        <v>433</v>
      </c>
      <c r="D124" s="4" t="s">
        <v>434</v>
      </c>
      <c r="E124" s="4">
        <v>5.70055375815E11</v>
      </c>
      <c r="F124" s="4" t="s">
        <v>435</v>
      </c>
      <c r="G124" s="4" t="s">
        <v>120</v>
      </c>
      <c r="H124" s="4" t="s">
        <v>248</v>
      </c>
      <c r="I124" s="4" t="s">
        <v>249</v>
      </c>
      <c r="J124" s="4" t="s">
        <v>250</v>
      </c>
    </row>
    <row r="125" ht="15.75" customHeight="1">
      <c r="A125" s="4">
        <v>124.0</v>
      </c>
      <c r="B125" s="4" t="s">
        <v>436</v>
      </c>
      <c r="C125" s="4" t="s">
        <v>252</v>
      </c>
      <c r="D125" s="4" t="s">
        <v>430</v>
      </c>
      <c r="E125" s="4">
        <v>5.70055375821E11</v>
      </c>
      <c r="F125" s="4" t="s">
        <v>437</v>
      </c>
      <c r="G125" s="4" t="s">
        <v>247</v>
      </c>
      <c r="H125" s="4" t="s">
        <v>248</v>
      </c>
      <c r="I125" s="4" t="s">
        <v>249</v>
      </c>
      <c r="J125" s="4" t="s">
        <v>250</v>
      </c>
    </row>
    <row r="126" ht="15.75" customHeight="1">
      <c r="A126" s="4">
        <v>125.0</v>
      </c>
      <c r="B126" s="4" t="s">
        <v>252</v>
      </c>
      <c r="C126" s="4" t="s">
        <v>438</v>
      </c>
      <c r="D126" s="4" t="s">
        <v>439</v>
      </c>
      <c r="E126" s="4">
        <v>5.70055375822E11</v>
      </c>
      <c r="F126" s="4" t="s">
        <v>440</v>
      </c>
      <c r="G126" s="4" t="s">
        <v>441</v>
      </c>
      <c r="H126" s="4" t="s">
        <v>248</v>
      </c>
      <c r="I126" s="4" t="s">
        <v>249</v>
      </c>
      <c r="J126" s="4" t="s">
        <v>250</v>
      </c>
    </row>
    <row r="127" ht="15.75" customHeight="1">
      <c r="A127" s="4">
        <v>126.0</v>
      </c>
      <c r="B127" s="4" t="s">
        <v>442</v>
      </c>
      <c r="C127" s="4" t="s">
        <v>443</v>
      </c>
      <c r="D127" s="4" t="s">
        <v>444</v>
      </c>
      <c r="E127" s="4">
        <v>5.70055375825E11</v>
      </c>
      <c r="F127" s="4" t="s">
        <v>445</v>
      </c>
      <c r="G127" s="4" t="s">
        <v>25</v>
      </c>
      <c r="H127" s="4" t="s">
        <v>248</v>
      </c>
      <c r="I127" s="4" t="s">
        <v>249</v>
      </c>
      <c r="J127" s="4" t="s">
        <v>250</v>
      </c>
    </row>
    <row r="128" ht="15.75" customHeight="1">
      <c r="A128" s="4">
        <v>127.0</v>
      </c>
      <c r="B128" s="4" t="s">
        <v>342</v>
      </c>
      <c r="C128" s="4" t="s">
        <v>446</v>
      </c>
      <c r="D128" s="4" t="s">
        <v>447</v>
      </c>
      <c r="E128" s="4">
        <v>5.70055375827E11</v>
      </c>
      <c r="F128" s="4" t="s">
        <v>448</v>
      </c>
      <c r="G128" s="4" t="s">
        <v>25</v>
      </c>
      <c r="H128" s="4" t="s">
        <v>248</v>
      </c>
      <c r="I128" s="4" t="s">
        <v>249</v>
      </c>
      <c r="J128" s="4" t="s">
        <v>250</v>
      </c>
    </row>
    <row r="129" ht="15.75" customHeight="1">
      <c r="A129" s="4">
        <v>128.0</v>
      </c>
      <c r="B129" s="4" t="s">
        <v>449</v>
      </c>
      <c r="C129" s="4" t="s">
        <v>450</v>
      </c>
      <c r="D129" s="4" t="s">
        <v>451</v>
      </c>
      <c r="E129" s="4">
        <v>5.70055375835E11</v>
      </c>
      <c r="F129" s="4" t="s">
        <v>452</v>
      </c>
      <c r="G129" s="4" t="s">
        <v>12</v>
      </c>
      <c r="H129" s="4" t="s">
        <v>248</v>
      </c>
      <c r="I129" s="4" t="s">
        <v>249</v>
      </c>
      <c r="J129" s="4" t="s">
        <v>250</v>
      </c>
    </row>
    <row r="130" ht="15.75" customHeight="1">
      <c r="A130" s="4">
        <v>129.0</v>
      </c>
      <c r="B130" s="4" t="s">
        <v>453</v>
      </c>
      <c r="C130" s="4" t="s">
        <v>454</v>
      </c>
      <c r="D130" s="4" t="s">
        <v>455</v>
      </c>
      <c r="E130" s="4">
        <v>5.70055375836E11</v>
      </c>
      <c r="F130" s="4" t="s">
        <v>456</v>
      </c>
      <c r="G130" s="4" t="s">
        <v>12</v>
      </c>
      <c r="H130" s="4" t="s">
        <v>248</v>
      </c>
      <c r="I130" s="4" t="s">
        <v>249</v>
      </c>
      <c r="J130" s="4" t="s">
        <v>250</v>
      </c>
    </row>
    <row r="131" ht="15.75" customHeight="1">
      <c r="A131" s="4">
        <v>130.0</v>
      </c>
      <c r="B131" s="4" t="s">
        <v>457</v>
      </c>
      <c r="C131" s="4" t="s">
        <v>458</v>
      </c>
      <c r="D131" s="4" t="s">
        <v>459</v>
      </c>
      <c r="E131" s="4">
        <v>5.70055375837E11</v>
      </c>
      <c r="F131" s="4" t="s">
        <v>460</v>
      </c>
      <c r="G131" s="4" t="s">
        <v>12</v>
      </c>
      <c r="H131" s="4" t="s">
        <v>248</v>
      </c>
      <c r="I131" s="4" t="s">
        <v>249</v>
      </c>
      <c r="J131" s="4" t="s">
        <v>250</v>
      </c>
    </row>
    <row r="132" ht="15.75" customHeight="1">
      <c r="A132" s="4">
        <v>131.0</v>
      </c>
      <c r="B132" s="4" t="s">
        <v>461</v>
      </c>
      <c r="C132" s="4" t="s">
        <v>305</v>
      </c>
      <c r="D132" s="4" t="s">
        <v>430</v>
      </c>
      <c r="E132" s="4">
        <v>5.70055375838E11</v>
      </c>
      <c r="F132" s="4" t="s">
        <v>462</v>
      </c>
      <c r="G132" s="4" t="s">
        <v>463</v>
      </c>
      <c r="H132" s="4" t="s">
        <v>248</v>
      </c>
      <c r="I132" s="4" t="s">
        <v>249</v>
      </c>
      <c r="J132" s="4" t="s">
        <v>250</v>
      </c>
    </row>
    <row r="133" ht="15.75" customHeight="1">
      <c r="A133" s="4">
        <v>132.0</v>
      </c>
      <c r="B133" s="4" t="s">
        <v>464</v>
      </c>
      <c r="C133" s="4" t="s">
        <v>465</v>
      </c>
      <c r="D133" s="4" t="s">
        <v>466</v>
      </c>
      <c r="E133" s="4">
        <v>5.7005537584E11</v>
      </c>
      <c r="F133" s="4" t="s">
        <v>467</v>
      </c>
      <c r="G133" s="4" t="s">
        <v>12</v>
      </c>
      <c r="H133" s="4" t="s">
        <v>248</v>
      </c>
      <c r="I133" s="4" t="s">
        <v>249</v>
      </c>
      <c r="J133" s="4" t="s">
        <v>250</v>
      </c>
    </row>
    <row r="134" ht="15.75" customHeight="1">
      <c r="A134" s="4">
        <v>133.0</v>
      </c>
      <c r="B134" s="4" t="s">
        <v>468</v>
      </c>
      <c r="C134" s="4" t="s">
        <v>469</v>
      </c>
      <c r="D134" s="4" t="s">
        <v>470</v>
      </c>
      <c r="E134" s="4">
        <v>5.70055375844E11</v>
      </c>
      <c r="F134" s="4" t="s">
        <v>471</v>
      </c>
      <c r="G134" s="4" t="s">
        <v>12</v>
      </c>
      <c r="H134" s="4" t="s">
        <v>248</v>
      </c>
      <c r="I134" s="4" t="s">
        <v>249</v>
      </c>
      <c r="J134" s="4" t="s">
        <v>250</v>
      </c>
    </row>
    <row r="135" ht="15.75" customHeight="1">
      <c r="A135" s="4">
        <v>134.0</v>
      </c>
      <c r="B135" s="4" t="s">
        <v>292</v>
      </c>
      <c r="C135" s="4" t="s">
        <v>472</v>
      </c>
      <c r="D135" s="4" t="s">
        <v>473</v>
      </c>
      <c r="E135" s="4">
        <v>5.70055375848E11</v>
      </c>
      <c r="F135" s="4" t="s">
        <v>474</v>
      </c>
      <c r="G135" s="4" t="s">
        <v>12</v>
      </c>
      <c r="H135" s="4" t="s">
        <v>248</v>
      </c>
      <c r="I135" s="4" t="s">
        <v>249</v>
      </c>
      <c r="J135" s="4" t="s">
        <v>250</v>
      </c>
    </row>
    <row r="136" ht="15.75" customHeight="1">
      <c r="A136" s="4">
        <v>135.0</v>
      </c>
      <c r="B136" s="4" t="s">
        <v>296</v>
      </c>
      <c r="C136" s="4" t="s">
        <v>475</v>
      </c>
      <c r="D136" s="4" t="s">
        <v>476</v>
      </c>
      <c r="E136" s="4">
        <v>5.70055375853E11</v>
      </c>
      <c r="F136" s="4" t="s">
        <v>477</v>
      </c>
      <c r="G136" s="4" t="s">
        <v>12</v>
      </c>
      <c r="H136" s="4" t="s">
        <v>248</v>
      </c>
      <c r="I136" s="4" t="s">
        <v>249</v>
      </c>
      <c r="J136" s="4" t="s">
        <v>250</v>
      </c>
    </row>
    <row r="137" ht="15.75" customHeight="1">
      <c r="A137" s="4">
        <v>136.0</v>
      </c>
      <c r="B137" s="4" t="s">
        <v>478</v>
      </c>
      <c r="C137" s="4" t="s">
        <v>479</v>
      </c>
      <c r="D137" s="4" t="s">
        <v>480</v>
      </c>
      <c r="E137" s="4">
        <v>5.70055375859E11</v>
      </c>
      <c r="F137" s="4" t="s">
        <v>262</v>
      </c>
      <c r="G137" s="4" t="s">
        <v>120</v>
      </c>
      <c r="H137" s="4" t="s">
        <v>248</v>
      </c>
      <c r="I137" s="4" t="s">
        <v>249</v>
      </c>
      <c r="J137" s="4" t="s">
        <v>250</v>
      </c>
    </row>
    <row r="138" ht="15.75" customHeight="1">
      <c r="A138" s="4">
        <v>137.0</v>
      </c>
      <c r="B138" s="4" t="s">
        <v>481</v>
      </c>
      <c r="C138" s="4" t="s">
        <v>482</v>
      </c>
      <c r="D138" s="4" t="s">
        <v>483</v>
      </c>
      <c r="E138" s="4">
        <v>5.70055375862E11</v>
      </c>
      <c r="F138" s="4" t="s">
        <v>484</v>
      </c>
      <c r="G138" s="4" t="s">
        <v>12</v>
      </c>
      <c r="H138" s="4" t="s">
        <v>248</v>
      </c>
      <c r="I138" s="4" t="s">
        <v>249</v>
      </c>
      <c r="J138" s="4" t="s">
        <v>250</v>
      </c>
    </row>
    <row r="139" ht="15.75" customHeight="1">
      <c r="A139" s="4">
        <v>138.0</v>
      </c>
      <c r="B139" s="4" t="s">
        <v>485</v>
      </c>
      <c r="C139" s="4" t="s">
        <v>486</v>
      </c>
      <c r="D139" s="4" t="s">
        <v>487</v>
      </c>
      <c r="E139" s="4">
        <v>5.70055375864E11</v>
      </c>
      <c r="F139" s="4" t="s">
        <v>488</v>
      </c>
      <c r="G139" s="4" t="s">
        <v>12</v>
      </c>
      <c r="H139" s="4" t="s">
        <v>248</v>
      </c>
      <c r="I139" s="4" t="s">
        <v>249</v>
      </c>
      <c r="J139" s="4" t="s">
        <v>250</v>
      </c>
    </row>
    <row r="140" ht="15.75" customHeight="1">
      <c r="A140" s="4">
        <v>139.0</v>
      </c>
      <c r="B140" s="4" t="s">
        <v>489</v>
      </c>
      <c r="C140" s="4" t="s">
        <v>486</v>
      </c>
      <c r="D140" s="4" t="s">
        <v>487</v>
      </c>
      <c r="E140" s="4">
        <v>5.70055375866E11</v>
      </c>
      <c r="F140" s="4" t="s">
        <v>490</v>
      </c>
      <c r="G140" s="4" t="s">
        <v>12</v>
      </c>
      <c r="H140" s="4" t="s">
        <v>248</v>
      </c>
      <c r="I140" s="4" t="s">
        <v>249</v>
      </c>
      <c r="J140" s="4" t="s">
        <v>250</v>
      </c>
    </row>
    <row r="141" ht="15.75" customHeight="1">
      <c r="A141" s="4">
        <v>140.0</v>
      </c>
      <c r="B141" s="4" t="s">
        <v>491</v>
      </c>
      <c r="C141" s="4" t="s">
        <v>492</v>
      </c>
      <c r="D141" s="4" t="s">
        <v>493</v>
      </c>
      <c r="E141" s="4">
        <v>5.70055375871E11</v>
      </c>
      <c r="F141" s="4" t="s">
        <v>494</v>
      </c>
      <c r="G141" s="4" t="s">
        <v>12</v>
      </c>
      <c r="H141" s="4" t="s">
        <v>248</v>
      </c>
      <c r="I141" s="4" t="s">
        <v>249</v>
      </c>
      <c r="J141" s="4" t="s">
        <v>250</v>
      </c>
    </row>
    <row r="142" ht="15.75" customHeight="1">
      <c r="A142" s="5">
        <v>141.0</v>
      </c>
    </row>
    <row r="143" ht="15.75" customHeight="1">
      <c r="A143" s="4">
        <v>142.0</v>
      </c>
      <c r="B143" s="4" t="s">
        <v>495</v>
      </c>
      <c r="C143" s="4" t="s">
        <v>496</v>
      </c>
      <c r="D143" s="4" t="s">
        <v>497</v>
      </c>
      <c r="E143" s="4">
        <v>5.70055375879E11</v>
      </c>
      <c r="F143" s="4" t="s">
        <v>498</v>
      </c>
      <c r="G143" s="4" t="s">
        <v>12</v>
      </c>
      <c r="H143" s="4" t="s">
        <v>248</v>
      </c>
      <c r="I143" s="4" t="s">
        <v>249</v>
      </c>
      <c r="J143" s="4" t="s">
        <v>250</v>
      </c>
    </row>
    <row r="144" ht="15.75" customHeight="1">
      <c r="A144" s="4">
        <v>143.0</v>
      </c>
      <c r="B144" s="4" t="s">
        <v>499</v>
      </c>
      <c r="C144" s="4" t="s">
        <v>500</v>
      </c>
      <c r="D144" s="4" t="s">
        <v>451</v>
      </c>
      <c r="E144" s="4">
        <v>5.7005537588E11</v>
      </c>
      <c r="F144" s="4" t="s">
        <v>501</v>
      </c>
      <c r="G144" s="4" t="s">
        <v>12</v>
      </c>
      <c r="H144" s="4" t="s">
        <v>248</v>
      </c>
      <c r="I144" s="4" t="s">
        <v>249</v>
      </c>
      <c r="J144" s="4" t="s">
        <v>250</v>
      </c>
    </row>
    <row r="145" ht="15.75" customHeight="1">
      <c r="A145" s="4">
        <v>144.0</v>
      </c>
      <c r="B145" s="4" t="s">
        <v>502</v>
      </c>
      <c r="C145" s="4" t="s">
        <v>453</v>
      </c>
      <c r="D145" s="4" t="s">
        <v>503</v>
      </c>
      <c r="E145" s="4">
        <v>5.70055375881E11</v>
      </c>
      <c r="F145" s="4" t="s">
        <v>504</v>
      </c>
      <c r="G145" s="4" t="s">
        <v>12</v>
      </c>
      <c r="H145" s="4" t="s">
        <v>248</v>
      </c>
      <c r="I145" s="4" t="s">
        <v>249</v>
      </c>
      <c r="J145" s="4" t="s">
        <v>250</v>
      </c>
    </row>
    <row r="146" ht="15.75" customHeight="1">
      <c r="A146" s="4">
        <v>145.0</v>
      </c>
      <c r="B146" s="4" t="s">
        <v>300</v>
      </c>
      <c r="C146" s="4" t="s">
        <v>475</v>
      </c>
      <c r="D146" s="4" t="s">
        <v>505</v>
      </c>
      <c r="E146" s="4">
        <v>5.70055375883E11</v>
      </c>
      <c r="F146" s="4" t="s">
        <v>506</v>
      </c>
      <c r="G146" s="4" t="s">
        <v>12</v>
      </c>
      <c r="H146" s="4" t="s">
        <v>248</v>
      </c>
      <c r="I146" s="4" t="s">
        <v>249</v>
      </c>
      <c r="J146" s="4" t="s">
        <v>250</v>
      </c>
    </row>
    <row r="147" ht="15.75" customHeight="1">
      <c r="A147" s="4">
        <v>146.0</v>
      </c>
      <c r="B147" s="4" t="s">
        <v>305</v>
      </c>
      <c r="C147" s="4" t="s">
        <v>507</v>
      </c>
      <c r="D147" s="4" t="s">
        <v>508</v>
      </c>
      <c r="E147" s="4">
        <v>5.70055375885E11</v>
      </c>
      <c r="F147" s="4" t="s">
        <v>509</v>
      </c>
      <c r="G147" s="4" t="s">
        <v>12</v>
      </c>
      <c r="H147" s="4" t="s">
        <v>248</v>
      </c>
      <c r="I147" s="4" t="s">
        <v>249</v>
      </c>
      <c r="J147" s="4" t="s">
        <v>250</v>
      </c>
    </row>
    <row r="148" ht="15.75" customHeight="1">
      <c r="A148" s="4">
        <v>147.0</v>
      </c>
      <c r="B148" s="4" t="s">
        <v>510</v>
      </c>
      <c r="C148" s="4" t="s">
        <v>511</v>
      </c>
      <c r="D148" s="4" t="s">
        <v>503</v>
      </c>
      <c r="E148" s="4">
        <v>5.70055375887E11</v>
      </c>
      <c r="F148" s="4" t="s">
        <v>512</v>
      </c>
      <c r="G148" s="4" t="s">
        <v>12</v>
      </c>
      <c r="H148" s="4" t="s">
        <v>248</v>
      </c>
      <c r="I148" s="4" t="s">
        <v>249</v>
      </c>
      <c r="J148" s="4" t="s">
        <v>250</v>
      </c>
    </row>
    <row r="149" ht="15.75" customHeight="1">
      <c r="A149" s="4">
        <v>148.0</v>
      </c>
      <c r="B149" s="4" t="s">
        <v>513</v>
      </c>
      <c r="C149" s="4" t="s">
        <v>514</v>
      </c>
      <c r="D149" s="4" t="s">
        <v>515</v>
      </c>
      <c r="E149" s="4">
        <v>5.70055375888E11</v>
      </c>
      <c r="F149" s="4" t="s">
        <v>516</v>
      </c>
      <c r="G149" s="4" t="s">
        <v>12</v>
      </c>
      <c r="H149" s="4" t="s">
        <v>248</v>
      </c>
      <c r="I149" s="4" t="s">
        <v>249</v>
      </c>
      <c r="J149" s="4" t="s">
        <v>250</v>
      </c>
    </row>
    <row r="150" ht="15.75" customHeight="1">
      <c r="A150" s="4">
        <v>149.0</v>
      </c>
      <c r="B150" s="4" t="s">
        <v>517</v>
      </c>
      <c r="C150" s="4" t="s">
        <v>518</v>
      </c>
      <c r="D150" s="4" t="s">
        <v>519</v>
      </c>
      <c r="E150" s="4">
        <v>5.70055375889E11</v>
      </c>
      <c r="F150" s="4" t="s">
        <v>520</v>
      </c>
      <c r="G150" s="4" t="s">
        <v>12</v>
      </c>
      <c r="H150" s="4" t="s">
        <v>248</v>
      </c>
      <c r="I150" s="4" t="s">
        <v>249</v>
      </c>
      <c r="J150" s="4" t="s">
        <v>250</v>
      </c>
    </row>
    <row r="151" ht="15.75" customHeight="1">
      <c r="A151" s="4">
        <v>150.0</v>
      </c>
      <c r="B151" s="4" t="s">
        <v>320</v>
      </c>
      <c r="C151" s="4" t="s">
        <v>513</v>
      </c>
      <c r="D151" s="4" t="s">
        <v>521</v>
      </c>
      <c r="E151" s="4">
        <v>5.7005537589E11</v>
      </c>
      <c r="F151" s="4" t="s">
        <v>522</v>
      </c>
      <c r="G151" s="4" t="s">
        <v>120</v>
      </c>
      <c r="H151" s="4" t="s">
        <v>248</v>
      </c>
      <c r="I151" s="4" t="s">
        <v>249</v>
      </c>
      <c r="J151" s="4" t="s">
        <v>250</v>
      </c>
    </row>
    <row r="152" ht="15.75" customHeight="1">
      <c r="A152" s="4">
        <v>151.0</v>
      </c>
      <c r="B152" s="5" t="s">
        <v>523</v>
      </c>
      <c r="C152" s="4" t="s">
        <v>524</v>
      </c>
      <c r="D152" s="4" t="s">
        <v>525</v>
      </c>
      <c r="E152" s="4">
        <v>5.70055375891E11</v>
      </c>
      <c r="F152" s="4" t="s">
        <v>526</v>
      </c>
      <c r="G152" s="4" t="s">
        <v>441</v>
      </c>
      <c r="H152" s="4" t="s">
        <v>248</v>
      </c>
      <c r="I152" s="4" t="s">
        <v>249</v>
      </c>
      <c r="J152" s="4" t="s">
        <v>250</v>
      </c>
    </row>
    <row r="153" ht="15.75" customHeight="1">
      <c r="A153" s="4">
        <v>152.0</v>
      </c>
      <c r="B153" s="4" t="s">
        <v>527</v>
      </c>
      <c r="C153" s="4" t="s">
        <v>528</v>
      </c>
      <c r="D153" s="4" t="s">
        <v>529</v>
      </c>
      <c r="E153" s="4">
        <v>5.70055375892E11</v>
      </c>
      <c r="F153" s="4" t="s">
        <v>530</v>
      </c>
      <c r="G153" s="4" t="s">
        <v>12</v>
      </c>
      <c r="H153" s="4" t="s">
        <v>248</v>
      </c>
      <c r="I153" s="4" t="s">
        <v>249</v>
      </c>
      <c r="J153" s="4" t="s">
        <v>250</v>
      </c>
    </row>
    <row r="154" ht="15.75" customHeight="1">
      <c r="A154" s="4">
        <v>153.0</v>
      </c>
      <c r="B154" s="4" t="s">
        <v>531</v>
      </c>
      <c r="C154" s="4" t="s">
        <v>292</v>
      </c>
      <c r="D154" s="4" t="s">
        <v>402</v>
      </c>
      <c r="E154" s="4">
        <v>5.70055375894E11</v>
      </c>
      <c r="F154" s="4" t="s">
        <v>532</v>
      </c>
      <c r="G154" s="4" t="s">
        <v>12</v>
      </c>
      <c r="H154" s="4" t="s">
        <v>248</v>
      </c>
      <c r="I154" s="4" t="s">
        <v>249</v>
      </c>
      <c r="J154" s="4" t="s">
        <v>250</v>
      </c>
    </row>
    <row r="155" ht="15.75" customHeight="1">
      <c r="A155" s="4">
        <v>154.0</v>
      </c>
      <c r="B155" s="4" t="s">
        <v>533</v>
      </c>
      <c r="C155" s="5" t="s">
        <v>534</v>
      </c>
      <c r="D155" s="4" t="str">
        <f>D156</f>
        <v>মোছা: ফরিদা পারভীন</v>
      </c>
      <c r="E155" s="4">
        <v>5.70055375895E11</v>
      </c>
      <c r="F155" s="4" t="s">
        <v>535</v>
      </c>
      <c r="G155" s="4" t="s">
        <v>247</v>
      </c>
      <c r="H155" s="4" t="s">
        <v>248</v>
      </c>
      <c r="I155" s="4" t="s">
        <v>249</v>
      </c>
      <c r="J155" s="4" t="s">
        <v>250</v>
      </c>
    </row>
    <row r="156" ht="15.75" customHeight="1">
      <c r="A156" s="4">
        <v>155.0</v>
      </c>
      <c r="B156" s="5" t="s">
        <v>536</v>
      </c>
      <c r="C156" s="4" t="str">
        <f t="shared" ref="C156:C157" si="1">C155</f>
        <v>আ ফ ম ইদ্রিস</v>
      </c>
      <c r="D156" s="4" t="s">
        <v>537</v>
      </c>
      <c r="E156" s="4">
        <v>5.70055375896E11</v>
      </c>
      <c r="F156" s="4" t="s">
        <v>538</v>
      </c>
      <c r="G156" s="4" t="s">
        <v>247</v>
      </c>
      <c r="H156" s="4" t="s">
        <v>248</v>
      </c>
      <c r="I156" s="4" t="s">
        <v>249</v>
      </c>
      <c r="J156" s="4" t="s">
        <v>250</v>
      </c>
    </row>
    <row r="157" ht="15.75" customHeight="1">
      <c r="A157" s="4">
        <v>156.0</v>
      </c>
      <c r="B157" s="5" t="s">
        <v>539</v>
      </c>
      <c r="C157" s="4" t="str">
        <f t="shared" si="1"/>
        <v>আ ফ ম ইদ্রিস</v>
      </c>
      <c r="D157" s="4" t="s">
        <v>537</v>
      </c>
      <c r="E157" s="4">
        <v>5.70055375897E11</v>
      </c>
      <c r="F157" s="4" t="s">
        <v>540</v>
      </c>
      <c r="G157" s="4" t="s">
        <v>70</v>
      </c>
      <c r="H157" s="4" t="s">
        <v>248</v>
      </c>
      <c r="I157" s="4" t="s">
        <v>249</v>
      </c>
      <c r="J157" s="4" t="s">
        <v>250</v>
      </c>
    </row>
    <row r="158" ht="15.75" customHeight="1">
      <c r="A158" s="4">
        <v>157.0</v>
      </c>
      <c r="B158" s="4" t="s">
        <v>541</v>
      </c>
      <c r="C158" s="4" t="s">
        <v>542</v>
      </c>
      <c r="D158" s="4" t="s">
        <v>434</v>
      </c>
      <c r="E158" s="4">
        <v>5.70055375903E11</v>
      </c>
      <c r="F158" s="4" t="s">
        <v>543</v>
      </c>
      <c r="G158" s="4" t="s">
        <v>12</v>
      </c>
      <c r="H158" s="4" t="s">
        <v>248</v>
      </c>
      <c r="I158" s="4" t="s">
        <v>249</v>
      </c>
      <c r="J158" s="4" t="s">
        <v>250</v>
      </c>
    </row>
    <row r="159" ht="15.75" customHeight="1">
      <c r="A159" s="4">
        <v>158.0</v>
      </c>
      <c r="B159" s="4" t="s">
        <v>544</v>
      </c>
      <c r="C159" s="4" t="s">
        <v>545</v>
      </c>
      <c r="D159" s="4" t="s">
        <v>546</v>
      </c>
      <c r="E159" s="4">
        <v>5.70055375904E11</v>
      </c>
      <c r="F159" s="4" t="s">
        <v>547</v>
      </c>
      <c r="G159" s="4" t="s">
        <v>12</v>
      </c>
      <c r="H159" s="4" t="s">
        <v>248</v>
      </c>
      <c r="I159" s="4" t="s">
        <v>249</v>
      </c>
      <c r="J159" s="4" t="s">
        <v>250</v>
      </c>
    </row>
    <row r="160" ht="15.75" customHeight="1">
      <c r="A160" s="4">
        <v>159.0</v>
      </c>
      <c r="B160" s="4" t="s">
        <v>548</v>
      </c>
      <c r="C160" s="4" t="s">
        <v>31</v>
      </c>
      <c r="D160" s="4" t="s">
        <v>549</v>
      </c>
      <c r="E160" s="4">
        <v>5.70055375905E11</v>
      </c>
      <c r="F160" s="4" t="s">
        <v>550</v>
      </c>
      <c r="G160" s="4" t="s">
        <v>12</v>
      </c>
      <c r="H160" s="4" t="s">
        <v>248</v>
      </c>
      <c r="I160" s="4" t="s">
        <v>249</v>
      </c>
      <c r="J160" s="4" t="s">
        <v>250</v>
      </c>
    </row>
    <row r="161" ht="15.75" customHeight="1">
      <c r="A161" s="4">
        <v>160.0</v>
      </c>
      <c r="B161" s="4" t="s">
        <v>551</v>
      </c>
      <c r="C161" s="4" t="s">
        <v>552</v>
      </c>
      <c r="D161" s="4" t="s">
        <v>298</v>
      </c>
      <c r="E161" s="4">
        <v>5.70055375907E11</v>
      </c>
      <c r="F161" s="4" t="s">
        <v>553</v>
      </c>
      <c r="G161" s="4" t="s">
        <v>12</v>
      </c>
      <c r="H161" s="4" t="s">
        <v>248</v>
      </c>
      <c r="I161" s="4" t="s">
        <v>249</v>
      </c>
      <c r="J161" s="4" t="s">
        <v>250</v>
      </c>
    </row>
    <row r="162" ht="15.75" customHeight="1">
      <c r="A162" s="4">
        <v>161.0</v>
      </c>
      <c r="B162" s="4" t="s">
        <v>417</v>
      </c>
      <c r="C162" s="4" t="s">
        <v>554</v>
      </c>
      <c r="D162" s="4" t="s">
        <v>503</v>
      </c>
      <c r="E162" s="4">
        <v>5.70055375909E11</v>
      </c>
      <c r="F162" s="4" t="s">
        <v>555</v>
      </c>
      <c r="G162" s="4" t="s">
        <v>12</v>
      </c>
      <c r="H162" s="4" t="s">
        <v>248</v>
      </c>
      <c r="I162" s="4" t="s">
        <v>249</v>
      </c>
      <c r="J162" s="4" t="s">
        <v>250</v>
      </c>
    </row>
    <row r="163" ht="15.75" customHeight="1">
      <c r="A163" s="4">
        <v>162.0</v>
      </c>
      <c r="B163" s="4" t="s">
        <v>264</v>
      </c>
      <c r="C163" s="4" t="s">
        <v>556</v>
      </c>
      <c r="D163" s="4" t="s">
        <v>557</v>
      </c>
      <c r="E163" s="4">
        <v>5.70055375911E11</v>
      </c>
      <c r="F163" s="4" t="s">
        <v>558</v>
      </c>
      <c r="G163" s="4" t="s">
        <v>12</v>
      </c>
      <c r="H163" s="4" t="s">
        <v>248</v>
      </c>
      <c r="I163" s="4" t="s">
        <v>249</v>
      </c>
      <c r="J163" s="4" t="s">
        <v>250</v>
      </c>
    </row>
    <row r="164" ht="15.75" customHeight="1">
      <c r="A164" s="4">
        <v>163.0</v>
      </c>
      <c r="B164" s="4" t="s">
        <v>559</v>
      </c>
      <c r="C164" s="4" t="s">
        <v>560</v>
      </c>
      <c r="D164" s="4" t="s">
        <v>561</v>
      </c>
      <c r="E164" s="4">
        <v>5.70055375912E11</v>
      </c>
      <c r="F164" s="4" t="s">
        <v>562</v>
      </c>
      <c r="G164" s="4" t="s">
        <v>120</v>
      </c>
      <c r="H164" s="4" t="s">
        <v>248</v>
      </c>
      <c r="I164" s="4" t="s">
        <v>249</v>
      </c>
      <c r="J164" s="4" t="s">
        <v>250</v>
      </c>
    </row>
    <row r="165" ht="15.75" customHeight="1">
      <c r="A165" s="4">
        <v>164.0</v>
      </c>
      <c r="B165" s="4" t="s">
        <v>563</v>
      </c>
      <c r="C165" s="4" t="s">
        <v>564</v>
      </c>
      <c r="D165" s="4" t="s">
        <v>565</v>
      </c>
      <c r="E165" s="4">
        <v>5.70055375913E11</v>
      </c>
      <c r="F165" s="4" t="s">
        <v>566</v>
      </c>
      <c r="G165" s="4" t="s">
        <v>12</v>
      </c>
      <c r="H165" s="4" t="s">
        <v>248</v>
      </c>
      <c r="I165" s="4" t="s">
        <v>249</v>
      </c>
      <c r="J165" s="4" t="s">
        <v>250</v>
      </c>
    </row>
    <row r="166" ht="15.75" customHeight="1">
      <c r="A166" s="4">
        <v>165.0</v>
      </c>
      <c r="B166" s="4" t="s">
        <v>567</v>
      </c>
      <c r="C166" s="4" t="s">
        <v>568</v>
      </c>
      <c r="D166" s="4" t="s">
        <v>569</v>
      </c>
      <c r="E166" s="4">
        <v>5.70055375915E11</v>
      </c>
      <c r="F166" s="4" t="s">
        <v>570</v>
      </c>
      <c r="G166" s="4" t="s">
        <v>12</v>
      </c>
      <c r="H166" s="4" t="s">
        <v>248</v>
      </c>
      <c r="I166" s="4" t="s">
        <v>249</v>
      </c>
      <c r="J166" s="4" t="s">
        <v>250</v>
      </c>
    </row>
    <row r="167" ht="15.75" customHeight="1">
      <c r="A167" s="4">
        <v>166.0</v>
      </c>
      <c r="B167" s="4" t="s">
        <v>571</v>
      </c>
      <c r="C167" s="4" t="s">
        <v>17</v>
      </c>
      <c r="D167" s="4" t="s">
        <v>572</v>
      </c>
      <c r="E167" s="4">
        <v>5.70055375919E11</v>
      </c>
      <c r="F167" s="4" t="s">
        <v>573</v>
      </c>
      <c r="G167" s="4" t="s">
        <v>70</v>
      </c>
      <c r="H167" s="4" t="s">
        <v>248</v>
      </c>
      <c r="I167" s="4" t="s">
        <v>249</v>
      </c>
      <c r="J167" s="4" t="s">
        <v>250</v>
      </c>
    </row>
    <row r="168" ht="15.75" customHeight="1">
      <c r="A168" s="4">
        <v>167.0</v>
      </c>
      <c r="B168" s="4" t="s">
        <v>574</v>
      </c>
      <c r="C168" s="4" t="s">
        <v>575</v>
      </c>
      <c r="D168" s="4" t="s">
        <v>576</v>
      </c>
      <c r="E168" s="4">
        <v>5.70055375922E11</v>
      </c>
      <c r="F168" s="4" t="s">
        <v>577</v>
      </c>
      <c r="G168" s="4" t="s">
        <v>12</v>
      </c>
      <c r="H168" s="4" t="s">
        <v>248</v>
      </c>
      <c r="I168" s="4" t="s">
        <v>249</v>
      </c>
      <c r="J168" s="4" t="s">
        <v>250</v>
      </c>
    </row>
    <row r="169" ht="15.75" customHeight="1">
      <c r="A169" s="4">
        <v>168.0</v>
      </c>
      <c r="B169" s="4" t="s">
        <v>578</v>
      </c>
      <c r="C169" s="4" t="s">
        <v>579</v>
      </c>
      <c r="D169" s="4" t="s">
        <v>580</v>
      </c>
      <c r="E169" s="4">
        <v>5.70055375926E11</v>
      </c>
      <c r="F169" s="4" t="s">
        <v>581</v>
      </c>
      <c r="G169" s="4" t="s">
        <v>12</v>
      </c>
      <c r="H169" s="4" t="s">
        <v>248</v>
      </c>
      <c r="I169" s="4" t="s">
        <v>249</v>
      </c>
      <c r="J169" s="4" t="s">
        <v>250</v>
      </c>
    </row>
    <row r="170" ht="15.75" customHeight="1">
      <c r="A170" s="4">
        <v>169.0</v>
      </c>
      <c r="B170" s="4" t="s">
        <v>582</v>
      </c>
      <c r="C170" s="4" t="s">
        <v>583</v>
      </c>
      <c r="D170" s="4" t="s">
        <v>584</v>
      </c>
      <c r="E170" s="4">
        <v>5.70055375933E11</v>
      </c>
      <c r="F170" s="4" t="s">
        <v>585</v>
      </c>
      <c r="G170" s="4" t="s">
        <v>25</v>
      </c>
      <c r="H170" s="4" t="s">
        <v>248</v>
      </c>
      <c r="I170" s="4" t="s">
        <v>249</v>
      </c>
      <c r="J170" s="4" t="s">
        <v>250</v>
      </c>
    </row>
    <row r="171" ht="15.75" customHeight="1">
      <c r="A171" s="4">
        <v>170.0</v>
      </c>
      <c r="B171" s="4" t="s">
        <v>586</v>
      </c>
      <c r="C171" s="4" t="s">
        <v>342</v>
      </c>
      <c r="D171" s="4" t="s">
        <v>587</v>
      </c>
      <c r="E171" s="4">
        <v>5.70055375938E11</v>
      </c>
      <c r="F171" s="4" t="s">
        <v>588</v>
      </c>
      <c r="G171" s="4" t="s">
        <v>12</v>
      </c>
      <c r="H171" s="4" t="s">
        <v>248</v>
      </c>
      <c r="I171" s="4" t="s">
        <v>249</v>
      </c>
      <c r="J171" s="4" t="s">
        <v>250</v>
      </c>
    </row>
    <row r="172" ht="15.75" customHeight="1">
      <c r="A172" s="4">
        <v>171.0</v>
      </c>
      <c r="B172" s="4" t="s">
        <v>589</v>
      </c>
      <c r="C172" s="4" t="s">
        <v>583</v>
      </c>
      <c r="D172" s="4" t="s">
        <v>584</v>
      </c>
      <c r="E172" s="4">
        <v>5.70055375939E11</v>
      </c>
      <c r="F172" s="4" t="s">
        <v>590</v>
      </c>
      <c r="G172" s="4" t="s">
        <v>25</v>
      </c>
      <c r="H172" s="4" t="s">
        <v>248</v>
      </c>
      <c r="I172" s="4" t="s">
        <v>249</v>
      </c>
      <c r="J172" s="4" t="s">
        <v>250</v>
      </c>
    </row>
    <row r="173" ht="15.75" customHeight="1">
      <c r="A173" s="4">
        <v>172.0</v>
      </c>
      <c r="B173" s="4" t="s">
        <v>591</v>
      </c>
      <c r="C173" s="4" t="s">
        <v>592</v>
      </c>
      <c r="D173" s="4" t="s">
        <v>593</v>
      </c>
      <c r="E173" s="4">
        <v>5.70055375942E11</v>
      </c>
      <c r="F173" s="4" t="s">
        <v>594</v>
      </c>
      <c r="G173" s="4" t="s">
        <v>25</v>
      </c>
      <c r="H173" s="4" t="s">
        <v>248</v>
      </c>
      <c r="I173" s="4" t="s">
        <v>249</v>
      </c>
      <c r="J173" s="4" t="s">
        <v>250</v>
      </c>
    </row>
    <row r="174" ht="15.75" customHeight="1">
      <c r="A174" s="4">
        <v>173.0</v>
      </c>
      <c r="B174" s="4" t="s">
        <v>595</v>
      </c>
      <c r="C174" s="4" t="s">
        <v>596</v>
      </c>
      <c r="D174" s="4" t="s">
        <v>597</v>
      </c>
      <c r="E174" s="4">
        <v>5.70055375944E11</v>
      </c>
      <c r="F174" s="4" t="s">
        <v>598</v>
      </c>
      <c r="G174" s="4" t="s">
        <v>12</v>
      </c>
      <c r="H174" s="4" t="s">
        <v>248</v>
      </c>
      <c r="I174" s="4" t="s">
        <v>249</v>
      </c>
      <c r="J174" s="4" t="s">
        <v>250</v>
      </c>
    </row>
    <row r="175" ht="15.75" customHeight="1">
      <c r="A175" s="4">
        <v>174.0</v>
      </c>
      <c r="B175" s="4" t="s">
        <v>599</v>
      </c>
      <c r="C175" s="4" t="s">
        <v>600</v>
      </c>
      <c r="D175" s="4" t="s">
        <v>576</v>
      </c>
      <c r="E175" s="4">
        <v>5.70055375946E11</v>
      </c>
      <c r="F175" s="4" t="s">
        <v>601</v>
      </c>
      <c r="G175" s="4" t="s">
        <v>70</v>
      </c>
      <c r="H175" s="4" t="s">
        <v>248</v>
      </c>
      <c r="I175" s="4" t="s">
        <v>249</v>
      </c>
      <c r="J175" s="4" t="s">
        <v>250</v>
      </c>
    </row>
    <row r="176" ht="15.75" customHeight="1">
      <c r="A176" s="4">
        <v>175.0</v>
      </c>
      <c r="B176" s="4" t="s">
        <v>602</v>
      </c>
      <c r="C176" s="4" t="s">
        <v>603</v>
      </c>
      <c r="D176" s="4" t="s">
        <v>604</v>
      </c>
      <c r="E176" s="4">
        <v>5.70055375952E11</v>
      </c>
      <c r="F176" s="4" t="s">
        <v>581</v>
      </c>
      <c r="G176" s="4" t="s">
        <v>12</v>
      </c>
      <c r="H176" s="4" t="s">
        <v>248</v>
      </c>
      <c r="I176" s="4" t="s">
        <v>249</v>
      </c>
      <c r="J176" s="4" t="s">
        <v>250</v>
      </c>
    </row>
    <row r="177" ht="15.75" customHeight="1">
      <c r="A177" s="4">
        <v>176.0</v>
      </c>
      <c r="B177" s="4" t="s">
        <v>302</v>
      </c>
      <c r="C177" s="4" t="s">
        <v>605</v>
      </c>
      <c r="D177" s="4" t="s">
        <v>606</v>
      </c>
      <c r="E177" s="4">
        <v>5.70055375953E11</v>
      </c>
      <c r="F177" s="4" t="s">
        <v>607</v>
      </c>
      <c r="G177" s="4" t="s">
        <v>12</v>
      </c>
      <c r="H177" s="4" t="s">
        <v>248</v>
      </c>
      <c r="I177" s="4" t="s">
        <v>249</v>
      </c>
      <c r="J177" s="4" t="s">
        <v>250</v>
      </c>
    </row>
    <row r="178" ht="15.75" customHeight="1">
      <c r="A178" s="4">
        <v>177.0</v>
      </c>
      <c r="B178" s="4" t="s">
        <v>608</v>
      </c>
      <c r="C178" s="4" t="s">
        <v>609</v>
      </c>
      <c r="D178" s="4" t="s">
        <v>610</v>
      </c>
      <c r="E178" s="4">
        <v>5.7005537596E11</v>
      </c>
      <c r="F178" s="4" t="s">
        <v>611</v>
      </c>
      <c r="G178" s="4" t="s">
        <v>120</v>
      </c>
      <c r="H178" s="4" t="s">
        <v>248</v>
      </c>
      <c r="I178" s="4" t="s">
        <v>249</v>
      </c>
      <c r="J178" s="4" t="s">
        <v>250</v>
      </c>
    </row>
    <row r="179" ht="15.75" customHeight="1">
      <c r="A179" s="4">
        <v>178.0</v>
      </c>
      <c r="B179" s="4" t="s">
        <v>609</v>
      </c>
      <c r="C179" s="4" t="s">
        <v>612</v>
      </c>
      <c r="D179" s="4" t="s">
        <v>434</v>
      </c>
      <c r="E179" s="4">
        <v>5.70055375962E11</v>
      </c>
      <c r="F179" s="4" t="s">
        <v>613</v>
      </c>
      <c r="G179" s="4" t="s">
        <v>120</v>
      </c>
      <c r="H179" s="4" t="s">
        <v>248</v>
      </c>
      <c r="I179" s="4" t="s">
        <v>249</v>
      </c>
      <c r="J179" s="4" t="s">
        <v>250</v>
      </c>
    </row>
    <row r="180" ht="15.75" customHeight="1">
      <c r="A180" s="4">
        <v>180.0</v>
      </c>
      <c r="B180" s="4" t="s">
        <v>614</v>
      </c>
      <c r="C180" s="4" t="s">
        <v>615</v>
      </c>
      <c r="D180" s="4" t="s">
        <v>616</v>
      </c>
      <c r="E180" s="4">
        <v>5.70055375965E11</v>
      </c>
      <c r="F180" s="4" t="s">
        <v>617</v>
      </c>
      <c r="G180" s="4" t="s">
        <v>25</v>
      </c>
      <c r="H180" s="4" t="s">
        <v>248</v>
      </c>
      <c r="I180" s="4" t="s">
        <v>249</v>
      </c>
      <c r="J180" s="4" t="s">
        <v>250</v>
      </c>
    </row>
    <row r="181" ht="15.75" customHeight="1">
      <c r="A181" s="4">
        <v>181.0</v>
      </c>
      <c r="B181" s="4" t="s">
        <v>618</v>
      </c>
      <c r="C181" s="4" t="s">
        <v>582</v>
      </c>
      <c r="D181" s="4" t="s">
        <v>619</v>
      </c>
      <c r="E181" s="4">
        <v>5.70055375967E11</v>
      </c>
      <c r="F181" s="4" t="s">
        <v>620</v>
      </c>
      <c r="G181" s="4" t="s">
        <v>12</v>
      </c>
      <c r="H181" s="4" t="s">
        <v>248</v>
      </c>
      <c r="I181" s="4" t="s">
        <v>249</v>
      </c>
      <c r="J181" s="4" t="s">
        <v>250</v>
      </c>
    </row>
    <row r="182" ht="15.75" customHeight="1">
      <c r="A182" s="4">
        <v>182.0</v>
      </c>
      <c r="B182" s="4" t="s">
        <v>582</v>
      </c>
      <c r="C182" s="4" t="s">
        <v>621</v>
      </c>
      <c r="D182" s="4" t="s">
        <v>622</v>
      </c>
      <c r="E182" s="4">
        <v>5.70055375968E11</v>
      </c>
      <c r="F182" s="4" t="s">
        <v>623</v>
      </c>
      <c r="G182" s="4" t="s">
        <v>25</v>
      </c>
      <c r="H182" s="4" t="s">
        <v>248</v>
      </c>
      <c r="I182" s="4" t="s">
        <v>249</v>
      </c>
      <c r="J182" s="4" t="s">
        <v>250</v>
      </c>
    </row>
    <row r="183" ht="15.75" customHeight="1">
      <c r="A183" s="4">
        <v>183.0</v>
      </c>
      <c r="B183" s="4" t="s">
        <v>624</v>
      </c>
      <c r="C183" s="4" t="s">
        <v>413</v>
      </c>
      <c r="D183" s="4" t="s">
        <v>597</v>
      </c>
      <c r="E183" s="4">
        <v>5.70055375969E11</v>
      </c>
      <c r="F183" s="4" t="s">
        <v>625</v>
      </c>
      <c r="G183" s="4" t="s">
        <v>25</v>
      </c>
      <c r="H183" s="4" t="s">
        <v>248</v>
      </c>
      <c r="I183" s="4" t="s">
        <v>249</v>
      </c>
      <c r="J183" s="4" t="s">
        <v>250</v>
      </c>
    </row>
    <row r="184" ht="15.75" customHeight="1">
      <c r="A184" s="4">
        <v>184.0</v>
      </c>
      <c r="B184" s="4" t="s">
        <v>626</v>
      </c>
      <c r="C184" s="4" t="s">
        <v>592</v>
      </c>
      <c r="D184" s="4" t="s">
        <v>627</v>
      </c>
      <c r="E184" s="4">
        <v>5.7005537597E11</v>
      </c>
      <c r="F184" s="4" t="s">
        <v>628</v>
      </c>
      <c r="G184" s="4" t="s">
        <v>12</v>
      </c>
      <c r="H184" s="4" t="s">
        <v>248</v>
      </c>
      <c r="I184" s="4" t="s">
        <v>249</v>
      </c>
      <c r="J184" s="4" t="s">
        <v>250</v>
      </c>
    </row>
    <row r="185" ht="15.75" customHeight="1">
      <c r="A185" s="4">
        <v>185.0</v>
      </c>
      <c r="B185" s="4" t="s">
        <v>629</v>
      </c>
      <c r="C185" s="4" t="s">
        <v>413</v>
      </c>
      <c r="D185" s="4" t="s">
        <v>597</v>
      </c>
      <c r="E185" s="4">
        <v>5.70055375971E11</v>
      </c>
      <c r="F185" s="4" t="s">
        <v>630</v>
      </c>
      <c r="G185" s="4" t="s">
        <v>25</v>
      </c>
      <c r="H185" s="4" t="s">
        <v>248</v>
      </c>
      <c r="I185" s="4" t="s">
        <v>249</v>
      </c>
      <c r="J185" s="4" t="s">
        <v>250</v>
      </c>
    </row>
    <row r="186" ht="15.75" customHeight="1">
      <c r="A186" s="4">
        <v>186.0</v>
      </c>
      <c r="B186" s="4" t="s">
        <v>631</v>
      </c>
      <c r="C186" s="4" t="s">
        <v>632</v>
      </c>
      <c r="D186" s="4" t="s">
        <v>633</v>
      </c>
      <c r="E186" s="4">
        <v>5.70055375972E11</v>
      </c>
      <c r="F186" s="4" t="s">
        <v>634</v>
      </c>
      <c r="G186" s="4" t="s">
        <v>12</v>
      </c>
      <c r="H186" s="4" t="s">
        <v>248</v>
      </c>
      <c r="I186" s="4" t="s">
        <v>249</v>
      </c>
      <c r="J186" s="4" t="s">
        <v>250</v>
      </c>
    </row>
    <row r="187" ht="15.75" customHeight="1">
      <c r="A187" s="4">
        <v>187.0</v>
      </c>
      <c r="B187" s="4" t="s">
        <v>635</v>
      </c>
      <c r="C187" s="4" t="s">
        <v>636</v>
      </c>
      <c r="D187" s="4" t="s">
        <v>637</v>
      </c>
      <c r="E187" s="4">
        <v>5.70055375973E11</v>
      </c>
      <c r="F187" s="4" t="s">
        <v>638</v>
      </c>
      <c r="G187" s="4" t="s">
        <v>70</v>
      </c>
      <c r="H187" s="4" t="s">
        <v>248</v>
      </c>
      <c r="I187" s="4" t="s">
        <v>249</v>
      </c>
      <c r="J187" s="4" t="s">
        <v>250</v>
      </c>
    </row>
    <row r="188" ht="15.75" customHeight="1">
      <c r="A188" s="4">
        <v>188.0</v>
      </c>
      <c r="B188" s="4" t="s">
        <v>639</v>
      </c>
      <c r="C188" s="4" t="s">
        <v>640</v>
      </c>
      <c r="D188" s="4" t="s">
        <v>641</v>
      </c>
      <c r="E188" s="4">
        <v>5.70055375974E11</v>
      </c>
      <c r="F188" s="4" t="s">
        <v>642</v>
      </c>
      <c r="G188" s="4" t="s">
        <v>70</v>
      </c>
      <c r="H188" s="4" t="s">
        <v>248</v>
      </c>
      <c r="I188" s="4" t="s">
        <v>249</v>
      </c>
      <c r="J188" s="4" t="s">
        <v>250</v>
      </c>
    </row>
    <row r="189" ht="15.75" customHeight="1">
      <c r="A189" s="4">
        <v>189.0</v>
      </c>
      <c r="B189" s="4" t="s">
        <v>643</v>
      </c>
      <c r="C189" s="4" t="s">
        <v>635</v>
      </c>
      <c r="D189" s="4" t="s">
        <v>584</v>
      </c>
      <c r="E189" s="4">
        <v>5.70055375976E11</v>
      </c>
      <c r="F189" s="4" t="s">
        <v>644</v>
      </c>
      <c r="G189" s="4" t="s">
        <v>70</v>
      </c>
      <c r="H189" s="4" t="s">
        <v>248</v>
      </c>
      <c r="I189" s="4" t="s">
        <v>249</v>
      </c>
      <c r="J189" s="4" t="s">
        <v>250</v>
      </c>
    </row>
    <row r="190" ht="15.75" customHeight="1">
      <c r="A190" s="4">
        <v>190.0</v>
      </c>
      <c r="B190" s="4" t="s">
        <v>645</v>
      </c>
      <c r="C190" s="4" t="s">
        <v>635</v>
      </c>
      <c r="D190" s="4" t="s">
        <v>584</v>
      </c>
      <c r="E190" s="4">
        <v>5.7005537598E11</v>
      </c>
      <c r="F190" s="4" t="s">
        <v>646</v>
      </c>
      <c r="G190" s="4" t="s">
        <v>70</v>
      </c>
      <c r="H190" s="4" t="s">
        <v>248</v>
      </c>
      <c r="I190" s="4" t="s">
        <v>249</v>
      </c>
      <c r="J190" s="4" t="s">
        <v>250</v>
      </c>
    </row>
    <row r="191" ht="15.75" customHeight="1">
      <c r="A191" s="4">
        <v>191.0</v>
      </c>
      <c r="B191" s="4" t="s">
        <v>647</v>
      </c>
      <c r="C191" s="4" t="s">
        <v>648</v>
      </c>
      <c r="D191" s="4" t="s">
        <v>649</v>
      </c>
      <c r="E191" s="4">
        <v>5.70055375988E11</v>
      </c>
      <c r="F191" s="4" t="s">
        <v>650</v>
      </c>
      <c r="G191" s="4" t="s">
        <v>70</v>
      </c>
      <c r="H191" s="4" t="s">
        <v>248</v>
      </c>
      <c r="I191" s="4" t="s">
        <v>249</v>
      </c>
      <c r="J191" s="4" t="s">
        <v>250</v>
      </c>
    </row>
    <row r="192" ht="15.75" customHeight="1">
      <c r="A192" s="4">
        <v>192.0</v>
      </c>
      <c r="B192" s="4" t="s">
        <v>651</v>
      </c>
      <c r="C192" s="4" t="s">
        <v>652</v>
      </c>
      <c r="D192" s="4" t="s">
        <v>653</v>
      </c>
      <c r="E192" s="4">
        <v>5.7005537599E11</v>
      </c>
      <c r="F192" s="4" t="s">
        <v>654</v>
      </c>
      <c r="G192" s="4" t="s">
        <v>70</v>
      </c>
      <c r="H192" s="4" t="s">
        <v>248</v>
      </c>
      <c r="I192" s="4" t="s">
        <v>249</v>
      </c>
      <c r="J192" s="4" t="s">
        <v>250</v>
      </c>
    </row>
    <row r="193" ht="15.75" customHeight="1">
      <c r="A193" s="4">
        <v>193.0</v>
      </c>
      <c r="B193" s="4" t="s">
        <v>655</v>
      </c>
      <c r="C193" s="4" t="s">
        <v>635</v>
      </c>
      <c r="D193" s="4" t="s">
        <v>656</v>
      </c>
      <c r="E193" s="4">
        <v>5.70055375992E11</v>
      </c>
      <c r="F193" s="4" t="s">
        <v>657</v>
      </c>
      <c r="G193" s="4" t="s">
        <v>70</v>
      </c>
      <c r="H193" s="4" t="s">
        <v>248</v>
      </c>
      <c r="I193" s="4" t="s">
        <v>249</v>
      </c>
      <c r="J193" s="4" t="s">
        <v>250</v>
      </c>
    </row>
    <row r="194" ht="15.75" customHeight="1">
      <c r="A194" s="4">
        <v>194.0</v>
      </c>
      <c r="B194" s="4" t="s">
        <v>658</v>
      </c>
      <c r="C194" s="4" t="s">
        <v>256</v>
      </c>
      <c r="D194" s="4" t="s">
        <v>257</v>
      </c>
      <c r="E194" s="4">
        <v>5.70055375993E11</v>
      </c>
      <c r="F194" s="4" t="s">
        <v>659</v>
      </c>
      <c r="G194" s="4" t="s">
        <v>120</v>
      </c>
      <c r="H194" s="4" t="s">
        <v>248</v>
      </c>
      <c r="I194" s="4" t="s">
        <v>249</v>
      </c>
      <c r="J194" s="4" t="s">
        <v>250</v>
      </c>
    </row>
    <row r="195" ht="15.75" customHeight="1">
      <c r="A195" s="4">
        <v>195.0</v>
      </c>
      <c r="B195" s="4" t="s">
        <v>660</v>
      </c>
      <c r="C195" s="4" t="s">
        <v>661</v>
      </c>
      <c r="D195" s="4" t="s">
        <v>662</v>
      </c>
      <c r="E195" s="4">
        <v>5.70055375995E11</v>
      </c>
      <c r="F195" s="4" t="s">
        <v>663</v>
      </c>
      <c r="G195" s="4" t="s">
        <v>12</v>
      </c>
      <c r="H195" s="4" t="s">
        <v>248</v>
      </c>
      <c r="I195" s="4" t="s">
        <v>249</v>
      </c>
      <c r="J195" s="4" t="s">
        <v>250</v>
      </c>
    </row>
    <row r="196" ht="15.75" customHeight="1">
      <c r="A196" s="4">
        <v>197.0</v>
      </c>
      <c r="B196" s="4" t="s">
        <v>554</v>
      </c>
      <c r="C196" s="4" t="s">
        <v>664</v>
      </c>
      <c r="D196" s="4" t="s">
        <v>665</v>
      </c>
      <c r="E196" s="4">
        <v>5.70055375997E11</v>
      </c>
      <c r="F196" s="4" t="s">
        <v>666</v>
      </c>
      <c r="G196" s="4" t="s">
        <v>70</v>
      </c>
      <c r="H196" s="4" t="s">
        <v>248</v>
      </c>
      <c r="I196" s="4" t="s">
        <v>249</v>
      </c>
      <c r="J196" s="4" t="s">
        <v>250</v>
      </c>
    </row>
    <row r="197" ht="15.75" customHeight="1">
      <c r="A197" s="4">
        <v>198.0</v>
      </c>
      <c r="B197" s="4" t="s">
        <v>667</v>
      </c>
      <c r="C197" s="4" t="s">
        <v>668</v>
      </c>
      <c r="D197" s="4" t="s">
        <v>669</v>
      </c>
      <c r="E197" s="4">
        <v>5.70055375998E11</v>
      </c>
      <c r="F197" s="4" t="s">
        <v>170</v>
      </c>
      <c r="G197" s="4" t="s">
        <v>70</v>
      </c>
      <c r="H197" s="4" t="s">
        <v>248</v>
      </c>
      <c r="I197" s="4" t="s">
        <v>249</v>
      </c>
      <c r="J197" s="4" t="s">
        <v>250</v>
      </c>
    </row>
    <row r="198" ht="15.75" customHeight="1">
      <c r="A198" s="4">
        <v>200.0</v>
      </c>
      <c r="B198" s="4" t="s">
        <v>366</v>
      </c>
      <c r="C198" s="4" t="s">
        <v>670</v>
      </c>
      <c r="D198" s="4" t="s">
        <v>671</v>
      </c>
      <c r="E198" s="4">
        <v>5.70055376002E11</v>
      </c>
      <c r="F198" s="4" t="s">
        <v>672</v>
      </c>
      <c r="G198" s="4" t="s">
        <v>12</v>
      </c>
      <c r="H198" s="4" t="s">
        <v>248</v>
      </c>
      <c r="I198" s="4" t="s">
        <v>249</v>
      </c>
      <c r="J198" s="4" t="s">
        <v>250</v>
      </c>
    </row>
    <row r="199" ht="15.75" customHeight="1">
      <c r="A199" s="4">
        <v>201.0</v>
      </c>
      <c r="B199" s="4" t="s">
        <v>559</v>
      </c>
      <c r="C199" s="4" t="s">
        <v>673</v>
      </c>
      <c r="D199" s="4" t="s">
        <v>674</v>
      </c>
      <c r="E199" s="4">
        <v>5.70055376003E11</v>
      </c>
      <c r="F199" s="4" t="s">
        <v>675</v>
      </c>
      <c r="G199" s="4" t="s">
        <v>12</v>
      </c>
      <c r="H199" s="4" t="s">
        <v>248</v>
      </c>
      <c r="I199" s="4" t="s">
        <v>249</v>
      </c>
      <c r="J199" s="4" t="s">
        <v>250</v>
      </c>
    </row>
    <row r="200" ht="15.75" customHeight="1">
      <c r="A200" s="4">
        <v>202.0</v>
      </c>
      <c r="B200" s="4" t="s">
        <v>676</v>
      </c>
      <c r="C200" s="4" t="s">
        <v>677</v>
      </c>
      <c r="D200" s="4" t="s">
        <v>678</v>
      </c>
      <c r="E200" s="4">
        <v>5.70055376005E11</v>
      </c>
      <c r="F200" s="4" t="s">
        <v>679</v>
      </c>
      <c r="G200" s="4" t="s">
        <v>12</v>
      </c>
      <c r="H200" s="4" t="s">
        <v>248</v>
      </c>
      <c r="I200" s="4" t="s">
        <v>249</v>
      </c>
      <c r="J200" s="4" t="s">
        <v>250</v>
      </c>
    </row>
    <row r="201" ht="15.75" customHeight="1">
      <c r="A201" s="4">
        <v>203.0</v>
      </c>
      <c r="B201" s="4" t="s">
        <v>680</v>
      </c>
      <c r="C201" s="4" t="s">
        <v>681</v>
      </c>
      <c r="D201" s="4" t="s">
        <v>340</v>
      </c>
      <c r="E201" s="4">
        <v>5.70055376011E11</v>
      </c>
      <c r="F201" s="4" t="s">
        <v>682</v>
      </c>
      <c r="G201" s="4" t="s">
        <v>12</v>
      </c>
      <c r="H201" s="4" t="s">
        <v>248</v>
      </c>
      <c r="I201" s="4" t="s">
        <v>249</v>
      </c>
      <c r="J201" s="4" t="s">
        <v>250</v>
      </c>
    </row>
    <row r="202" ht="15.75" customHeight="1">
      <c r="A202" s="4">
        <v>204.0</v>
      </c>
      <c r="B202" s="4" t="s">
        <v>683</v>
      </c>
      <c r="C202" s="4" t="s">
        <v>684</v>
      </c>
      <c r="D202" s="4" t="s">
        <v>455</v>
      </c>
      <c r="E202" s="4">
        <v>5.70055376012E11</v>
      </c>
      <c r="F202" s="4" t="s">
        <v>685</v>
      </c>
      <c r="G202" s="4" t="s">
        <v>70</v>
      </c>
      <c r="H202" s="4" t="s">
        <v>248</v>
      </c>
      <c r="I202" s="4" t="s">
        <v>249</v>
      </c>
      <c r="J202" s="4" t="s">
        <v>250</v>
      </c>
    </row>
    <row r="203" ht="15.75" customHeight="1">
      <c r="A203" s="4">
        <v>206.0</v>
      </c>
      <c r="B203" s="4" t="s">
        <v>686</v>
      </c>
      <c r="C203" s="4" t="s">
        <v>684</v>
      </c>
      <c r="D203" s="4" t="s">
        <v>455</v>
      </c>
      <c r="E203" s="4">
        <v>5.70055376016E11</v>
      </c>
      <c r="F203" s="4" t="s">
        <v>687</v>
      </c>
      <c r="G203" s="4" t="s">
        <v>95</v>
      </c>
      <c r="H203" s="4" t="s">
        <v>248</v>
      </c>
      <c r="I203" s="4" t="s">
        <v>249</v>
      </c>
      <c r="J203" s="4" t="s">
        <v>250</v>
      </c>
    </row>
    <row r="204" ht="15.75" customHeight="1">
      <c r="A204" s="4">
        <v>207.0</v>
      </c>
      <c r="B204" s="4" t="s">
        <v>390</v>
      </c>
      <c r="C204" s="4" t="s">
        <v>670</v>
      </c>
      <c r="D204" s="4" t="s">
        <v>688</v>
      </c>
      <c r="E204" s="4">
        <v>5.7005537602E11</v>
      </c>
      <c r="F204" s="4" t="s">
        <v>689</v>
      </c>
      <c r="G204" s="4" t="s">
        <v>12</v>
      </c>
      <c r="H204" s="4" t="s">
        <v>248</v>
      </c>
      <c r="I204" s="4" t="s">
        <v>249</v>
      </c>
      <c r="J204" s="4" t="s">
        <v>250</v>
      </c>
    </row>
    <row r="205" ht="15.75" customHeight="1">
      <c r="A205" s="4">
        <v>208.0</v>
      </c>
      <c r="B205" s="4" t="s">
        <v>690</v>
      </c>
      <c r="C205" s="4" t="s">
        <v>527</v>
      </c>
      <c r="D205" s="4" t="s">
        <v>691</v>
      </c>
      <c r="E205" s="4">
        <v>5.70055376021E11</v>
      </c>
      <c r="F205" s="4" t="s">
        <v>692</v>
      </c>
      <c r="G205" s="4" t="s">
        <v>25</v>
      </c>
      <c r="H205" s="4" t="s">
        <v>248</v>
      </c>
      <c r="I205" s="4" t="s">
        <v>249</v>
      </c>
      <c r="J205" s="4" t="s">
        <v>250</v>
      </c>
    </row>
    <row r="206" ht="15.75" customHeight="1">
      <c r="A206" s="4">
        <v>209.0</v>
      </c>
      <c r="B206" s="4" t="s">
        <v>693</v>
      </c>
      <c r="C206" s="4" t="s">
        <v>694</v>
      </c>
      <c r="D206" s="4" t="s">
        <v>434</v>
      </c>
      <c r="E206" s="4">
        <v>5.70055376024E11</v>
      </c>
      <c r="F206" s="4" t="s">
        <v>695</v>
      </c>
      <c r="G206" s="4" t="s">
        <v>12</v>
      </c>
      <c r="H206" s="4" t="s">
        <v>248</v>
      </c>
      <c r="I206" s="4" t="s">
        <v>249</v>
      </c>
      <c r="J206" s="4" t="s">
        <v>250</v>
      </c>
    </row>
    <row r="207" ht="15.75" customHeight="1">
      <c r="A207" s="4">
        <v>210.0</v>
      </c>
      <c r="B207" s="4" t="s">
        <v>696</v>
      </c>
      <c r="C207" s="4" t="s">
        <v>697</v>
      </c>
      <c r="D207" s="4" t="s">
        <v>698</v>
      </c>
      <c r="E207" s="4">
        <v>5.70055376025E11</v>
      </c>
      <c r="F207" s="4" t="s">
        <v>699</v>
      </c>
      <c r="G207" s="4" t="s">
        <v>12</v>
      </c>
      <c r="H207" s="4" t="s">
        <v>248</v>
      </c>
      <c r="I207" s="4" t="s">
        <v>249</v>
      </c>
      <c r="J207" s="4" t="s">
        <v>250</v>
      </c>
    </row>
    <row r="208" ht="15.75" customHeight="1">
      <c r="A208" s="4">
        <v>211.0</v>
      </c>
      <c r="B208" s="4" t="s">
        <v>645</v>
      </c>
      <c r="C208" s="4" t="s">
        <v>697</v>
      </c>
      <c r="D208" s="4" t="s">
        <v>700</v>
      </c>
      <c r="E208" s="4">
        <v>5.70055376026E11</v>
      </c>
      <c r="F208" s="4" t="s">
        <v>701</v>
      </c>
      <c r="G208" s="4" t="s">
        <v>70</v>
      </c>
      <c r="H208" s="4" t="s">
        <v>248</v>
      </c>
      <c r="I208" s="4" t="s">
        <v>249</v>
      </c>
      <c r="J208" s="4" t="s">
        <v>250</v>
      </c>
    </row>
    <row r="209" ht="15.75" customHeight="1">
      <c r="A209" s="4">
        <v>212.0</v>
      </c>
      <c r="B209" s="4" t="s">
        <v>697</v>
      </c>
      <c r="C209" s="4" t="s">
        <v>343</v>
      </c>
      <c r="D209" s="4" t="s">
        <v>702</v>
      </c>
      <c r="E209" s="4">
        <v>5.70055376033E11</v>
      </c>
      <c r="F209" s="4" t="s">
        <v>703</v>
      </c>
      <c r="G209" s="4" t="s">
        <v>70</v>
      </c>
      <c r="H209" s="4" t="s">
        <v>248</v>
      </c>
      <c r="I209" s="4" t="s">
        <v>249</v>
      </c>
      <c r="J209" s="4" t="s">
        <v>250</v>
      </c>
    </row>
    <row r="210" ht="15.75" customHeight="1">
      <c r="A210" s="4">
        <v>213.0</v>
      </c>
      <c r="B210" s="4" t="s">
        <v>704</v>
      </c>
      <c r="C210" s="4" t="s">
        <v>583</v>
      </c>
      <c r="D210" s="4" t="s">
        <v>705</v>
      </c>
      <c r="E210" s="4">
        <v>5.70055376038E11</v>
      </c>
      <c r="F210" s="4" t="s">
        <v>706</v>
      </c>
      <c r="G210" s="4" t="s">
        <v>25</v>
      </c>
      <c r="H210" s="4" t="s">
        <v>248</v>
      </c>
      <c r="I210" s="4" t="s">
        <v>249</v>
      </c>
      <c r="J210" s="4" t="s">
        <v>250</v>
      </c>
    </row>
    <row r="211" ht="15.75" customHeight="1">
      <c r="A211" s="4">
        <v>214.0</v>
      </c>
      <c r="B211" s="4" t="s">
        <v>707</v>
      </c>
      <c r="C211" s="4" t="s">
        <v>527</v>
      </c>
      <c r="D211" s="4" t="s">
        <v>691</v>
      </c>
      <c r="E211" s="4">
        <v>5.70055376041E11</v>
      </c>
      <c r="F211" s="4" t="s">
        <v>708</v>
      </c>
      <c r="G211" s="4" t="s">
        <v>12</v>
      </c>
      <c r="H211" s="4" t="s">
        <v>248</v>
      </c>
      <c r="I211" s="4" t="s">
        <v>249</v>
      </c>
      <c r="J211" s="4" t="s">
        <v>250</v>
      </c>
    </row>
    <row r="212" ht="15.75" customHeight="1">
      <c r="A212" s="4">
        <v>215.0</v>
      </c>
      <c r="B212" s="4" t="s">
        <v>635</v>
      </c>
      <c r="C212" s="4" t="s">
        <v>709</v>
      </c>
      <c r="D212" s="4" t="s">
        <v>710</v>
      </c>
      <c r="E212" s="4">
        <v>5.70055376042E11</v>
      </c>
      <c r="F212" s="4" t="s">
        <v>711</v>
      </c>
      <c r="G212" s="4" t="s">
        <v>12</v>
      </c>
      <c r="H212" s="4" t="s">
        <v>248</v>
      </c>
      <c r="I212" s="4" t="s">
        <v>249</v>
      </c>
      <c r="J212" s="4" t="s">
        <v>250</v>
      </c>
    </row>
    <row r="213" ht="15.75" customHeight="1">
      <c r="A213" s="4">
        <v>216.0</v>
      </c>
      <c r="B213" s="4" t="s">
        <v>712</v>
      </c>
      <c r="C213" s="4" t="s">
        <v>697</v>
      </c>
      <c r="D213" s="4" t="s">
        <v>713</v>
      </c>
      <c r="E213" s="4">
        <v>5.70055376045E11</v>
      </c>
      <c r="F213" s="4" t="s">
        <v>714</v>
      </c>
      <c r="G213" s="4" t="s">
        <v>70</v>
      </c>
      <c r="H213" s="4" t="s">
        <v>248</v>
      </c>
      <c r="I213" s="4" t="s">
        <v>249</v>
      </c>
      <c r="J213" s="4" t="s">
        <v>250</v>
      </c>
    </row>
    <row r="214" ht="15.75" customHeight="1">
      <c r="A214" s="4">
        <v>217.0</v>
      </c>
      <c r="B214" s="4" t="s">
        <v>715</v>
      </c>
      <c r="C214" s="4" t="s">
        <v>681</v>
      </c>
      <c r="D214" s="4" t="s">
        <v>716</v>
      </c>
      <c r="E214" s="4">
        <v>5.70055376046E11</v>
      </c>
      <c r="F214" s="4" t="s">
        <v>717</v>
      </c>
      <c r="G214" s="4" t="s">
        <v>25</v>
      </c>
      <c r="H214" s="4" t="s">
        <v>248</v>
      </c>
      <c r="I214" s="4" t="s">
        <v>249</v>
      </c>
      <c r="J214" s="4" t="s">
        <v>250</v>
      </c>
    </row>
    <row r="215" ht="15.75" customHeight="1">
      <c r="A215" s="4">
        <v>218.0</v>
      </c>
      <c r="B215" s="4" t="s">
        <v>718</v>
      </c>
      <c r="C215" s="4" t="s">
        <v>719</v>
      </c>
      <c r="D215" s="4" t="s">
        <v>720</v>
      </c>
      <c r="E215" s="4">
        <v>5.70055376048E11</v>
      </c>
      <c r="F215" s="4" t="s">
        <v>721</v>
      </c>
      <c r="G215" s="4" t="s">
        <v>95</v>
      </c>
      <c r="H215" s="4" t="s">
        <v>248</v>
      </c>
      <c r="I215" s="4" t="s">
        <v>249</v>
      </c>
      <c r="J215" s="4" t="s">
        <v>250</v>
      </c>
    </row>
    <row r="216" ht="15.75" customHeight="1">
      <c r="A216" s="4">
        <v>219.0</v>
      </c>
      <c r="B216" s="4" t="s">
        <v>722</v>
      </c>
      <c r="C216" s="4" t="s">
        <v>723</v>
      </c>
      <c r="D216" s="4" t="s">
        <v>720</v>
      </c>
      <c r="E216" s="4">
        <v>5.70055376051E11</v>
      </c>
      <c r="F216" s="4" t="s">
        <v>724</v>
      </c>
      <c r="G216" s="4" t="s">
        <v>12</v>
      </c>
      <c r="H216" s="4" t="s">
        <v>248</v>
      </c>
      <c r="I216" s="4" t="s">
        <v>249</v>
      </c>
      <c r="J216" s="4" t="s">
        <v>250</v>
      </c>
    </row>
    <row r="217" ht="15.75" customHeight="1">
      <c r="A217" s="4">
        <v>220.0</v>
      </c>
      <c r="B217" s="4" t="s">
        <v>725</v>
      </c>
      <c r="C217" s="4" t="s">
        <v>726</v>
      </c>
      <c r="D217" s="4" t="s">
        <v>727</v>
      </c>
      <c r="E217" s="4">
        <v>5.70055376052E11</v>
      </c>
      <c r="F217" s="4" t="s">
        <v>728</v>
      </c>
      <c r="G217" s="4" t="s">
        <v>12</v>
      </c>
      <c r="H217" s="4" t="s">
        <v>248</v>
      </c>
      <c r="I217" s="4" t="s">
        <v>249</v>
      </c>
      <c r="J217" s="4" t="s">
        <v>250</v>
      </c>
    </row>
    <row r="218" ht="15.75" customHeight="1">
      <c r="A218" s="4">
        <v>221.0</v>
      </c>
      <c r="B218" s="4" t="s">
        <v>729</v>
      </c>
      <c r="C218" s="4" t="s">
        <v>730</v>
      </c>
      <c r="D218" s="4" t="s">
        <v>731</v>
      </c>
      <c r="E218" s="4">
        <v>5.70055376055E11</v>
      </c>
      <c r="F218" s="4" t="s">
        <v>732</v>
      </c>
      <c r="G218" s="4" t="s">
        <v>12</v>
      </c>
      <c r="H218" s="4" t="s">
        <v>248</v>
      </c>
      <c r="I218" s="4" t="s">
        <v>249</v>
      </c>
      <c r="J218" s="4" t="s">
        <v>250</v>
      </c>
    </row>
    <row r="219" ht="15.75" customHeight="1">
      <c r="A219" s="4">
        <v>222.0</v>
      </c>
      <c r="B219" s="4" t="s">
        <v>733</v>
      </c>
      <c r="C219" s="4" t="s">
        <v>734</v>
      </c>
      <c r="D219" s="4" t="s">
        <v>735</v>
      </c>
      <c r="E219" s="4">
        <v>5.70055376057E11</v>
      </c>
      <c r="F219" s="4" t="s">
        <v>736</v>
      </c>
      <c r="G219" s="4" t="s">
        <v>12</v>
      </c>
      <c r="H219" s="4" t="s">
        <v>248</v>
      </c>
      <c r="I219" s="4" t="s">
        <v>249</v>
      </c>
      <c r="J219" s="4" t="s">
        <v>250</v>
      </c>
    </row>
    <row r="220" ht="15.75" customHeight="1">
      <c r="A220" s="4">
        <v>223.0</v>
      </c>
      <c r="B220" s="4" t="s">
        <v>296</v>
      </c>
      <c r="C220" s="4" t="s">
        <v>737</v>
      </c>
      <c r="D220" s="4" t="s">
        <v>738</v>
      </c>
      <c r="E220" s="4">
        <v>5.70055376061E11</v>
      </c>
      <c r="F220" s="4" t="s">
        <v>739</v>
      </c>
      <c r="G220" s="4" t="s">
        <v>12</v>
      </c>
      <c r="H220" s="4" t="s">
        <v>248</v>
      </c>
      <c r="I220" s="4" t="s">
        <v>249</v>
      </c>
      <c r="J220" s="4" t="s">
        <v>250</v>
      </c>
    </row>
    <row r="221" ht="15.75" customHeight="1">
      <c r="A221" s="4">
        <v>224.0</v>
      </c>
      <c r="B221" s="4" t="s">
        <v>740</v>
      </c>
      <c r="C221" s="4" t="s">
        <v>737</v>
      </c>
      <c r="D221" s="4" t="s">
        <v>738</v>
      </c>
      <c r="E221" s="4">
        <v>5.70055376064E11</v>
      </c>
      <c r="F221" s="4" t="s">
        <v>741</v>
      </c>
      <c r="G221" s="4" t="s">
        <v>12</v>
      </c>
      <c r="H221" s="4" t="s">
        <v>248</v>
      </c>
      <c r="I221" s="4" t="s">
        <v>249</v>
      </c>
      <c r="J221" s="4" t="s">
        <v>250</v>
      </c>
    </row>
    <row r="222" ht="15.75" customHeight="1">
      <c r="A222" s="4">
        <v>225.0</v>
      </c>
      <c r="B222" s="4" t="s">
        <v>635</v>
      </c>
      <c r="C222" s="4" t="s">
        <v>740</v>
      </c>
      <c r="D222" s="4" t="s">
        <v>742</v>
      </c>
      <c r="E222" s="4">
        <v>5.70055376065E11</v>
      </c>
      <c r="F222" s="4" t="s">
        <v>743</v>
      </c>
      <c r="G222" s="4" t="s">
        <v>12</v>
      </c>
      <c r="H222" s="4" t="s">
        <v>248</v>
      </c>
      <c r="I222" s="4" t="s">
        <v>249</v>
      </c>
      <c r="J222" s="4" t="s">
        <v>250</v>
      </c>
    </row>
    <row r="223" ht="15.75" customHeight="1">
      <c r="A223" s="4">
        <v>226.0</v>
      </c>
      <c r="B223" s="4" t="s">
        <v>744</v>
      </c>
      <c r="C223" s="4" t="s">
        <v>740</v>
      </c>
      <c r="D223" s="4" t="s">
        <v>742</v>
      </c>
      <c r="E223" s="4">
        <v>5.70055376066E11</v>
      </c>
      <c r="F223" s="4" t="s">
        <v>745</v>
      </c>
      <c r="G223" s="4" t="s">
        <v>12</v>
      </c>
      <c r="H223" s="4" t="s">
        <v>248</v>
      </c>
      <c r="I223" s="4" t="s">
        <v>249</v>
      </c>
      <c r="J223" s="4" t="s">
        <v>250</v>
      </c>
    </row>
    <row r="224" ht="15.75" customHeight="1">
      <c r="A224" s="4">
        <v>227.0</v>
      </c>
      <c r="B224" s="4" t="s">
        <v>746</v>
      </c>
      <c r="C224" s="4" t="s">
        <v>740</v>
      </c>
      <c r="D224" s="4" t="s">
        <v>742</v>
      </c>
      <c r="E224" s="4">
        <v>5.70055376067E11</v>
      </c>
      <c r="F224" s="4" t="s">
        <v>747</v>
      </c>
      <c r="G224" s="4" t="s">
        <v>12</v>
      </c>
      <c r="H224" s="4" t="s">
        <v>248</v>
      </c>
      <c r="I224" s="4" t="s">
        <v>249</v>
      </c>
      <c r="J224" s="4" t="s">
        <v>250</v>
      </c>
    </row>
    <row r="225" ht="15.75" customHeight="1">
      <c r="A225" s="4">
        <v>228.0</v>
      </c>
      <c r="B225" s="4" t="s">
        <v>748</v>
      </c>
      <c r="C225" s="4" t="s">
        <v>749</v>
      </c>
      <c r="D225" s="4" t="s">
        <v>750</v>
      </c>
      <c r="E225" s="4">
        <v>5.70055376068E11</v>
      </c>
      <c r="F225" s="4" t="s">
        <v>488</v>
      </c>
      <c r="G225" s="4" t="s">
        <v>12</v>
      </c>
      <c r="H225" s="4" t="s">
        <v>248</v>
      </c>
      <c r="I225" s="4" t="s">
        <v>249</v>
      </c>
      <c r="J225" s="4" t="s">
        <v>250</v>
      </c>
    </row>
    <row r="226" ht="15.75" customHeight="1">
      <c r="A226" s="4">
        <v>229.0</v>
      </c>
      <c r="B226" s="4" t="s">
        <v>751</v>
      </c>
      <c r="C226" s="4" t="s">
        <v>733</v>
      </c>
      <c r="D226" s="4" t="s">
        <v>752</v>
      </c>
      <c r="E226" s="4">
        <v>5.70055376075E11</v>
      </c>
      <c r="F226" s="4" t="s">
        <v>753</v>
      </c>
      <c r="G226" s="4" t="s">
        <v>12</v>
      </c>
      <c r="H226" s="4" t="s">
        <v>248</v>
      </c>
      <c r="I226" s="4" t="s">
        <v>249</v>
      </c>
      <c r="J226" s="4" t="s">
        <v>250</v>
      </c>
    </row>
    <row r="227" ht="15.75" customHeight="1">
      <c r="A227" s="4">
        <v>230.0</v>
      </c>
      <c r="B227" s="4" t="s">
        <v>754</v>
      </c>
      <c r="C227" s="4" t="s">
        <v>296</v>
      </c>
      <c r="D227" s="4" t="s">
        <v>755</v>
      </c>
      <c r="E227" s="4">
        <v>5.70055376077E11</v>
      </c>
      <c r="F227" s="4" t="s">
        <v>756</v>
      </c>
      <c r="G227" s="4" t="s">
        <v>247</v>
      </c>
      <c r="H227" s="4" t="s">
        <v>248</v>
      </c>
      <c r="I227" s="4" t="s">
        <v>249</v>
      </c>
      <c r="J227" s="4" t="s">
        <v>250</v>
      </c>
    </row>
    <row r="228" ht="15.75" customHeight="1">
      <c r="A228" s="4">
        <v>231.0</v>
      </c>
      <c r="B228" s="4" t="s">
        <v>757</v>
      </c>
      <c r="C228" s="4" t="s">
        <v>758</v>
      </c>
      <c r="D228" s="4" t="s">
        <v>759</v>
      </c>
      <c r="E228" s="4">
        <v>5.70055376078E11</v>
      </c>
      <c r="F228" s="4" t="s">
        <v>760</v>
      </c>
      <c r="G228" s="4" t="s">
        <v>12</v>
      </c>
      <c r="H228" s="4" t="s">
        <v>248</v>
      </c>
      <c r="I228" s="4" t="s">
        <v>249</v>
      </c>
      <c r="J228" s="4" t="s">
        <v>250</v>
      </c>
    </row>
    <row r="229" ht="15.75" customHeight="1">
      <c r="A229" s="4">
        <v>232.0</v>
      </c>
      <c r="B229" s="4" t="s">
        <v>761</v>
      </c>
      <c r="C229" s="4" t="s">
        <v>762</v>
      </c>
      <c r="D229" s="4" t="s">
        <v>763</v>
      </c>
      <c r="E229" s="4">
        <v>5.70055376079E11</v>
      </c>
      <c r="F229" s="4" t="s">
        <v>764</v>
      </c>
      <c r="G229" s="4" t="s">
        <v>120</v>
      </c>
      <c r="H229" s="4" t="s">
        <v>248</v>
      </c>
      <c r="I229" s="4" t="s">
        <v>249</v>
      </c>
      <c r="J229" s="4" t="s">
        <v>250</v>
      </c>
    </row>
    <row r="230" ht="15.75" customHeight="1">
      <c r="A230" s="4">
        <v>233.0</v>
      </c>
      <c r="B230" s="4" t="s">
        <v>765</v>
      </c>
      <c r="C230" s="4" t="s">
        <v>766</v>
      </c>
      <c r="D230" s="4" t="s">
        <v>767</v>
      </c>
      <c r="E230" s="4">
        <v>5.7005537608E11</v>
      </c>
      <c r="F230" s="4" t="s">
        <v>768</v>
      </c>
      <c r="G230" s="4" t="s">
        <v>25</v>
      </c>
      <c r="H230" s="4" t="s">
        <v>248</v>
      </c>
      <c r="I230" s="4" t="s">
        <v>249</v>
      </c>
      <c r="J230" s="4" t="s">
        <v>250</v>
      </c>
    </row>
    <row r="231" ht="15.75" customHeight="1">
      <c r="A231" s="4">
        <v>234.0</v>
      </c>
      <c r="B231" s="4" t="s">
        <v>769</v>
      </c>
      <c r="C231" s="4" t="s">
        <v>321</v>
      </c>
      <c r="D231" s="4" t="s">
        <v>770</v>
      </c>
      <c r="E231" s="4">
        <v>5.70055376081E11</v>
      </c>
      <c r="F231" s="4" t="s">
        <v>771</v>
      </c>
      <c r="G231" s="4" t="s">
        <v>25</v>
      </c>
      <c r="H231" s="4" t="s">
        <v>248</v>
      </c>
      <c r="I231" s="4" t="s">
        <v>249</v>
      </c>
      <c r="J231" s="4" t="s">
        <v>250</v>
      </c>
    </row>
    <row r="232" ht="15.75" customHeight="1">
      <c r="A232" s="4">
        <v>235.0</v>
      </c>
      <c r="B232" s="4" t="s">
        <v>772</v>
      </c>
      <c r="C232" s="4" t="s">
        <v>342</v>
      </c>
      <c r="D232" s="4" t="s">
        <v>455</v>
      </c>
      <c r="E232" s="4">
        <v>5.70055376082E11</v>
      </c>
      <c r="F232" s="4" t="s">
        <v>773</v>
      </c>
      <c r="G232" s="4" t="s">
        <v>247</v>
      </c>
      <c r="H232" s="4" t="s">
        <v>248</v>
      </c>
      <c r="I232" s="4" t="s">
        <v>249</v>
      </c>
      <c r="J232" s="4" t="s">
        <v>250</v>
      </c>
    </row>
    <row r="233" ht="15.75" customHeight="1">
      <c r="A233" s="4">
        <v>236.0</v>
      </c>
      <c r="B233" s="4" t="s">
        <v>774</v>
      </c>
      <c r="C233" s="4" t="s">
        <v>342</v>
      </c>
      <c r="D233" s="4" t="s">
        <v>775</v>
      </c>
      <c r="E233" s="4">
        <v>5.70055376083E11</v>
      </c>
      <c r="F233" s="4" t="s">
        <v>776</v>
      </c>
      <c r="G233" s="4" t="s">
        <v>70</v>
      </c>
      <c r="H233" s="4" t="s">
        <v>248</v>
      </c>
      <c r="I233" s="4" t="s">
        <v>249</v>
      </c>
      <c r="J233" s="4" t="s">
        <v>250</v>
      </c>
    </row>
    <row r="234" ht="15.75" customHeight="1">
      <c r="A234" s="4">
        <v>237.0</v>
      </c>
      <c r="B234" s="4" t="s">
        <v>777</v>
      </c>
      <c r="C234" s="4" t="s">
        <v>734</v>
      </c>
      <c r="D234" s="4" t="s">
        <v>735</v>
      </c>
      <c r="E234" s="4">
        <v>5.70055376085E11</v>
      </c>
      <c r="F234" s="4" t="s">
        <v>778</v>
      </c>
      <c r="G234" s="4" t="s">
        <v>12</v>
      </c>
      <c r="H234" s="4" t="s">
        <v>248</v>
      </c>
      <c r="I234" s="4" t="s">
        <v>249</v>
      </c>
      <c r="J234" s="4" t="s">
        <v>250</v>
      </c>
    </row>
    <row r="235" ht="15.75" customHeight="1">
      <c r="A235" s="4">
        <v>238.0</v>
      </c>
      <c r="B235" s="4" t="s">
        <v>779</v>
      </c>
      <c r="C235" s="4" t="s">
        <v>780</v>
      </c>
      <c r="D235" s="4" t="s">
        <v>781</v>
      </c>
      <c r="E235" s="4">
        <v>5.70055376086E11</v>
      </c>
      <c r="F235" s="4" t="s">
        <v>782</v>
      </c>
      <c r="G235" s="4" t="s">
        <v>12</v>
      </c>
      <c r="H235" s="4" t="s">
        <v>248</v>
      </c>
      <c r="I235" s="4" t="s">
        <v>249</v>
      </c>
      <c r="J235" s="4" t="s">
        <v>250</v>
      </c>
    </row>
    <row r="236" ht="15.75" customHeight="1">
      <c r="A236" s="4">
        <v>239.0</v>
      </c>
      <c r="B236" s="4" t="s">
        <v>783</v>
      </c>
      <c r="C236" s="4" t="s">
        <v>784</v>
      </c>
      <c r="D236" s="4" t="s">
        <v>785</v>
      </c>
      <c r="E236" s="4">
        <v>5.70055376089E11</v>
      </c>
      <c r="F236" s="4" t="s">
        <v>786</v>
      </c>
      <c r="G236" s="4" t="s">
        <v>70</v>
      </c>
      <c r="H236" s="4" t="s">
        <v>248</v>
      </c>
      <c r="I236" s="4" t="s">
        <v>249</v>
      </c>
      <c r="J236" s="4" t="s">
        <v>250</v>
      </c>
    </row>
    <row r="237" ht="15.75" customHeight="1">
      <c r="A237" s="4">
        <v>240.0</v>
      </c>
      <c r="B237" s="4" t="s">
        <v>787</v>
      </c>
      <c r="C237" s="4" t="s">
        <v>788</v>
      </c>
      <c r="D237" s="4" t="s">
        <v>789</v>
      </c>
      <c r="E237" s="4">
        <v>5.70055376091E11</v>
      </c>
      <c r="F237" s="4" t="s">
        <v>790</v>
      </c>
      <c r="G237" s="4" t="s">
        <v>70</v>
      </c>
      <c r="H237" s="4" t="s">
        <v>248</v>
      </c>
      <c r="I237" s="4" t="s">
        <v>249</v>
      </c>
      <c r="J237" s="4" t="s">
        <v>250</v>
      </c>
    </row>
    <row r="238" ht="15.75" customHeight="1">
      <c r="A238" s="4">
        <v>241.0</v>
      </c>
      <c r="B238" s="4" t="s">
        <v>791</v>
      </c>
      <c r="C238" s="4" t="s">
        <v>792</v>
      </c>
      <c r="D238" s="4" t="s">
        <v>738</v>
      </c>
      <c r="E238" s="4">
        <v>5.70055376092E11</v>
      </c>
      <c r="F238" s="4" t="s">
        <v>793</v>
      </c>
      <c r="G238" s="4" t="s">
        <v>12</v>
      </c>
      <c r="H238" s="4" t="s">
        <v>248</v>
      </c>
      <c r="I238" s="4" t="s">
        <v>249</v>
      </c>
      <c r="J238" s="4" t="s">
        <v>250</v>
      </c>
    </row>
    <row r="239" ht="15.75" customHeight="1">
      <c r="A239" s="4">
        <v>242.0</v>
      </c>
      <c r="B239" s="4" t="s">
        <v>794</v>
      </c>
      <c r="C239" s="4" t="s">
        <v>795</v>
      </c>
      <c r="D239" s="4" t="s">
        <v>796</v>
      </c>
      <c r="E239" s="4">
        <v>5.70055376093E11</v>
      </c>
      <c r="F239" s="4" t="s">
        <v>239</v>
      </c>
      <c r="G239" s="4" t="s">
        <v>70</v>
      </c>
      <c r="H239" s="4" t="s">
        <v>248</v>
      </c>
      <c r="I239" s="4" t="s">
        <v>249</v>
      </c>
      <c r="J239" s="4" t="s">
        <v>250</v>
      </c>
    </row>
    <row r="240" ht="15.75" customHeight="1">
      <c r="A240" s="4">
        <v>243.0</v>
      </c>
      <c r="B240" s="4" t="s">
        <v>797</v>
      </c>
      <c r="C240" s="4" t="s">
        <v>697</v>
      </c>
      <c r="D240" s="4" t="s">
        <v>798</v>
      </c>
      <c r="E240" s="4">
        <v>5.70055376094E11</v>
      </c>
      <c r="F240" s="4" t="s">
        <v>799</v>
      </c>
      <c r="G240" s="4" t="s">
        <v>70</v>
      </c>
      <c r="H240" s="4" t="s">
        <v>248</v>
      </c>
      <c r="I240" s="4" t="s">
        <v>249</v>
      </c>
      <c r="J240" s="4" t="s">
        <v>250</v>
      </c>
    </row>
    <row r="241" ht="15.75" customHeight="1">
      <c r="A241" s="4">
        <v>244.0</v>
      </c>
      <c r="B241" s="4" t="s">
        <v>800</v>
      </c>
      <c r="C241" s="4" t="s">
        <v>733</v>
      </c>
      <c r="D241" s="4" t="s">
        <v>801</v>
      </c>
      <c r="E241" s="4">
        <v>5.70055376096E11</v>
      </c>
      <c r="F241" s="4" t="s">
        <v>802</v>
      </c>
      <c r="G241" s="4" t="s">
        <v>247</v>
      </c>
      <c r="H241" s="4" t="s">
        <v>248</v>
      </c>
      <c r="I241" s="4" t="s">
        <v>249</v>
      </c>
      <c r="J241" s="4" t="s">
        <v>250</v>
      </c>
    </row>
    <row r="242" ht="15.75" customHeight="1">
      <c r="A242" s="4">
        <v>245.0</v>
      </c>
      <c r="B242" s="4" t="s">
        <v>803</v>
      </c>
      <c r="C242" s="4" t="s">
        <v>804</v>
      </c>
      <c r="D242" s="4" t="s">
        <v>805</v>
      </c>
      <c r="E242" s="4">
        <v>5.70055376097E11</v>
      </c>
      <c r="F242" s="4" t="s">
        <v>806</v>
      </c>
      <c r="G242" s="4" t="s">
        <v>12</v>
      </c>
      <c r="H242" s="4" t="s">
        <v>248</v>
      </c>
      <c r="I242" s="4" t="s">
        <v>249</v>
      </c>
      <c r="J242" s="4" t="s">
        <v>250</v>
      </c>
    </row>
    <row r="243" ht="15.75" customHeight="1">
      <c r="A243" s="4">
        <v>246.0</v>
      </c>
      <c r="B243" s="4" t="s">
        <v>807</v>
      </c>
      <c r="C243" s="4" t="s">
        <v>808</v>
      </c>
      <c r="D243" s="4" t="s">
        <v>809</v>
      </c>
      <c r="E243" s="4">
        <v>5.70055376098E11</v>
      </c>
      <c r="F243" s="4" t="s">
        <v>810</v>
      </c>
      <c r="G243" s="4" t="s">
        <v>20</v>
      </c>
      <c r="H243" s="4" t="s">
        <v>248</v>
      </c>
      <c r="I243" s="4" t="s">
        <v>249</v>
      </c>
      <c r="J243" s="4" t="s">
        <v>250</v>
      </c>
    </row>
    <row r="244" ht="15.75" customHeight="1">
      <c r="A244" s="4">
        <v>247.0</v>
      </c>
      <c r="B244" s="4" t="s">
        <v>342</v>
      </c>
      <c r="C244" s="4" t="s">
        <v>811</v>
      </c>
      <c r="D244" s="4" t="s">
        <v>812</v>
      </c>
      <c r="E244" s="4">
        <v>5.70055376099E11</v>
      </c>
      <c r="F244" s="4" t="s">
        <v>813</v>
      </c>
      <c r="G244" s="4" t="s">
        <v>12</v>
      </c>
      <c r="H244" s="4" t="s">
        <v>248</v>
      </c>
      <c r="I244" s="4" t="s">
        <v>249</v>
      </c>
      <c r="J244" s="4" t="s">
        <v>250</v>
      </c>
    </row>
    <row r="245" ht="15.75" customHeight="1">
      <c r="A245" s="4">
        <v>248.0</v>
      </c>
      <c r="B245" s="4" t="s">
        <v>814</v>
      </c>
      <c r="C245" s="4" t="s">
        <v>815</v>
      </c>
      <c r="D245" s="4" t="s">
        <v>816</v>
      </c>
      <c r="E245" s="4">
        <v>5.70055376104E11</v>
      </c>
      <c r="F245" s="4" t="s">
        <v>817</v>
      </c>
      <c r="G245" s="4" t="s">
        <v>12</v>
      </c>
      <c r="H245" s="4" t="s">
        <v>248</v>
      </c>
      <c r="I245" s="4" t="s">
        <v>249</v>
      </c>
      <c r="J245" s="4" t="s">
        <v>250</v>
      </c>
    </row>
    <row r="246" ht="15.75" customHeight="1">
      <c r="A246" s="4">
        <v>249.0</v>
      </c>
      <c r="B246" s="4" t="s">
        <v>818</v>
      </c>
      <c r="C246" s="4" t="s">
        <v>819</v>
      </c>
      <c r="D246" s="4" t="s">
        <v>820</v>
      </c>
      <c r="E246" s="4">
        <v>5.70055376108E11</v>
      </c>
      <c r="F246" s="4" t="s">
        <v>821</v>
      </c>
      <c r="G246" s="4" t="s">
        <v>12</v>
      </c>
      <c r="H246" s="4" t="s">
        <v>248</v>
      </c>
      <c r="I246" s="4" t="s">
        <v>249</v>
      </c>
      <c r="J246" s="4" t="s">
        <v>250</v>
      </c>
    </row>
    <row r="247" ht="15.75" customHeight="1">
      <c r="A247" s="2">
        <v>250.0</v>
      </c>
      <c r="B247" s="1" t="s">
        <v>822</v>
      </c>
      <c r="C247" s="1" t="s">
        <v>823</v>
      </c>
      <c r="D247" s="1" t="s">
        <v>824</v>
      </c>
      <c r="E247" s="2">
        <v>5.70055376111E11</v>
      </c>
      <c r="F247" s="1" t="s">
        <v>825</v>
      </c>
      <c r="G247" s="1" t="s">
        <v>20</v>
      </c>
      <c r="H247" s="3" t="s">
        <v>826</v>
      </c>
      <c r="I247" s="1"/>
    </row>
    <row r="248" ht="15.75" customHeight="1">
      <c r="A248" s="2">
        <v>251.0</v>
      </c>
      <c r="B248" s="1" t="s">
        <v>827</v>
      </c>
      <c r="C248" s="1" t="s">
        <v>828</v>
      </c>
      <c r="D248" s="1" t="s">
        <v>829</v>
      </c>
      <c r="E248" s="2">
        <v>5.70055376112E11</v>
      </c>
      <c r="F248" s="1" t="s">
        <v>830</v>
      </c>
      <c r="G248" s="1" t="s">
        <v>12</v>
      </c>
      <c r="H248" s="3" t="s">
        <v>826</v>
      </c>
      <c r="I248" s="1"/>
    </row>
    <row r="249" ht="15.75" customHeight="1">
      <c r="A249" s="2">
        <v>252.0</v>
      </c>
      <c r="B249" s="1" t="s">
        <v>831</v>
      </c>
      <c r="C249" s="1" t="s">
        <v>832</v>
      </c>
      <c r="D249" s="1" t="s">
        <v>833</v>
      </c>
      <c r="E249" s="2">
        <v>5.70055376114E11</v>
      </c>
      <c r="F249" s="1" t="s">
        <v>834</v>
      </c>
      <c r="G249" s="1" t="s">
        <v>12</v>
      </c>
      <c r="H249" s="3" t="s">
        <v>826</v>
      </c>
      <c r="I249" s="1"/>
    </row>
    <row r="250" ht="15.75" customHeight="1">
      <c r="A250" s="2">
        <v>253.0</v>
      </c>
      <c r="B250" s="1" t="s">
        <v>835</v>
      </c>
      <c r="C250" s="1" t="s">
        <v>836</v>
      </c>
      <c r="D250" s="1" t="s">
        <v>837</v>
      </c>
      <c r="E250" s="2">
        <v>5.70055376115E11</v>
      </c>
      <c r="F250" s="1" t="s">
        <v>838</v>
      </c>
      <c r="G250" s="1" t="s">
        <v>70</v>
      </c>
      <c r="H250" s="3" t="s">
        <v>826</v>
      </c>
      <c r="I250" s="1"/>
    </row>
    <row r="251" ht="15.75" customHeight="1">
      <c r="A251" s="2">
        <v>254.0</v>
      </c>
      <c r="B251" s="1" t="s">
        <v>839</v>
      </c>
      <c r="C251" s="1" t="s">
        <v>840</v>
      </c>
      <c r="D251" s="1" t="s">
        <v>841</v>
      </c>
      <c r="E251" s="2">
        <v>5.70055376116E11</v>
      </c>
      <c r="F251" s="1" t="s">
        <v>842</v>
      </c>
      <c r="G251" s="1" t="s">
        <v>12</v>
      </c>
      <c r="H251" s="3" t="s">
        <v>826</v>
      </c>
      <c r="I251" s="1"/>
    </row>
    <row r="252" ht="15.75" customHeight="1">
      <c r="A252" s="2">
        <v>255.0</v>
      </c>
      <c r="B252" s="1" t="s">
        <v>843</v>
      </c>
      <c r="C252" s="1" t="s">
        <v>840</v>
      </c>
      <c r="D252" s="1" t="s">
        <v>841</v>
      </c>
      <c r="E252" s="2">
        <v>5.70055376118E11</v>
      </c>
      <c r="F252" s="1" t="s">
        <v>844</v>
      </c>
      <c r="G252" s="1" t="s">
        <v>12</v>
      </c>
      <c r="H252" s="3" t="s">
        <v>826</v>
      </c>
      <c r="I252" s="1"/>
    </row>
    <row r="253" ht="15.75" customHeight="1">
      <c r="A253" s="2">
        <v>256.0</v>
      </c>
      <c r="B253" s="1" t="s">
        <v>845</v>
      </c>
      <c r="C253" s="1" t="s">
        <v>846</v>
      </c>
      <c r="D253" s="1" t="s">
        <v>847</v>
      </c>
      <c r="E253" s="2">
        <v>5.7005537612E11</v>
      </c>
      <c r="F253" s="1" t="s">
        <v>848</v>
      </c>
      <c r="G253" s="1" t="s">
        <v>12</v>
      </c>
      <c r="H253" s="3" t="s">
        <v>826</v>
      </c>
      <c r="I253" s="1"/>
    </row>
    <row r="254" ht="15.75" customHeight="1">
      <c r="A254" s="2">
        <v>257.0</v>
      </c>
      <c r="B254" s="1" t="s">
        <v>849</v>
      </c>
      <c r="C254" s="1" t="s">
        <v>850</v>
      </c>
      <c r="D254" s="1" t="s">
        <v>851</v>
      </c>
      <c r="E254" s="2">
        <v>5.70055376122E11</v>
      </c>
      <c r="F254" s="1" t="s">
        <v>852</v>
      </c>
      <c r="G254" s="1" t="s">
        <v>12</v>
      </c>
      <c r="H254" s="3" t="s">
        <v>826</v>
      </c>
      <c r="I254" s="1"/>
    </row>
    <row r="255" ht="15.75" customHeight="1">
      <c r="A255" s="2">
        <v>258.0</v>
      </c>
      <c r="B255" s="1" t="s">
        <v>853</v>
      </c>
      <c r="C255" s="1" t="s">
        <v>846</v>
      </c>
      <c r="D255" s="1" t="s">
        <v>847</v>
      </c>
      <c r="E255" s="2">
        <v>5.70055376128E11</v>
      </c>
      <c r="F255" s="1" t="s">
        <v>854</v>
      </c>
      <c r="G255" s="1" t="s">
        <v>95</v>
      </c>
      <c r="H255" s="3" t="s">
        <v>826</v>
      </c>
      <c r="I255" s="1"/>
    </row>
    <row r="256" ht="15.75" customHeight="1">
      <c r="A256" s="2">
        <v>259.0</v>
      </c>
      <c r="B256" s="1" t="s">
        <v>855</v>
      </c>
      <c r="C256" s="1" t="s">
        <v>856</v>
      </c>
      <c r="D256" s="1" t="s">
        <v>857</v>
      </c>
      <c r="E256" s="2">
        <v>5.70055376129E11</v>
      </c>
      <c r="F256" s="1" t="s">
        <v>858</v>
      </c>
      <c r="G256" s="1" t="s">
        <v>12</v>
      </c>
      <c r="H256" s="3" t="s">
        <v>826</v>
      </c>
      <c r="I256" s="1"/>
    </row>
    <row r="257" ht="15.75" customHeight="1">
      <c r="A257" s="2">
        <v>260.0</v>
      </c>
      <c r="B257" s="1" t="s">
        <v>859</v>
      </c>
      <c r="C257" s="1" t="s">
        <v>846</v>
      </c>
      <c r="D257" s="1" t="s">
        <v>847</v>
      </c>
      <c r="E257" s="2">
        <v>5.70055376131E11</v>
      </c>
      <c r="F257" s="1" t="s">
        <v>860</v>
      </c>
      <c r="G257" s="1" t="s">
        <v>12</v>
      </c>
      <c r="H257" s="3" t="s">
        <v>826</v>
      </c>
      <c r="I257" s="1"/>
    </row>
    <row r="258" ht="15.75" customHeight="1">
      <c r="A258" s="2">
        <v>261.0</v>
      </c>
      <c r="B258" s="1" t="s">
        <v>861</v>
      </c>
      <c r="C258" s="1" t="s">
        <v>862</v>
      </c>
      <c r="D258" s="1" t="s">
        <v>863</v>
      </c>
      <c r="E258" s="2">
        <v>5.70055376132E11</v>
      </c>
      <c r="F258" s="1" t="s">
        <v>864</v>
      </c>
      <c r="G258" s="1" t="s">
        <v>12</v>
      </c>
      <c r="H258" s="3" t="s">
        <v>826</v>
      </c>
      <c r="I258" s="1"/>
    </row>
    <row r="259" ht="15.75" customHeight="1">
      <c r="A259" s="2">
        <v>262.0</v>
      </c>
      <c r="B259" s="1" t="s">
        <v>865</v>
      </c>
      <c r="C259" s="1" t="s">
        <v>866</v>
      </c>
      <c r="D259" s="1" t="s">
        <v>867</v>
      </c>
      <c r="E259" s="2">
        <v>5.70055376133E11</v>
      </c>
      <c r="F259" s="1" t="s">
        <v>868</v>
      </c>
      <c r="G259" s="1" t="s">
        <v>12</v>
      </c>
      <c r="H259" s="3" t="s">
        <v>826</v>
      </c>
      <c r="I259" s="1"/>
    </row>
    <row r="260" ht="15.75" customHeight="1">
      <c r="A260" s="2">
        <v>263.0</v>
      </c>
      <c r="B260" s="1" t="s">
        <v>856</v>
      </c>
      <c r="C260" s="1" t="s">
        <v>869</v>
      </c>
      <c r="D260" s="1" t="s">
        <v>870</v>
      </c>
      <c r="E260" s="2">
        <v>5.70055376134E11</v>
      </c>
      <c r="F260" s="1" t="s">
        <v>871</v>
      </c>
      <c r="G260" s="1" t="s">
        <v>12</v>
      </c>
      <c r="H260" s="3" t="s">
        <v>826</v>
      </c>
      <c r="I260" s="1"/>
    </row>
    <row r="261" ht="15.75" customHeight="1">
      <c r="A261" s="2">
        <v>264.0</v>
      </c>
      <c r="B261" s="1" t="s">
        <v>872</v>
      </c>
      <c r="C261" s="1" t="s">
        <v>873</v>
      </c>
      <c r="D261" s="1" t="s">
        <v>874</v>
      </c>
      <c r="E261" s="2">
        <v>5.70055376138E11</v>
      </c>
      <c r="F261" s="1" t="s">
        <v>875</v>
      </c>
      <c r="G261" s="1" t="s">
        <v>12</v>
      </c>
      <c r="H261" s="3" t="s">
        <v>826</v>
      </c>
      <c r="I261" s="1"/>
    </row>
    <row r="262" ht="15.75" customHeight="1">
      <c r="A262" s="2">
        <v>265.0</v>
      </c>
      <c r="B262" s="1" t="s">
        <v>876</v>
      </c>
      <c r="C262" s="1" t="s">
        <v>877</v>
      </c>
      <c r="D262" s="1" t="s">
        <v>878</v>
      </c>
      <c r="E262" s="2">
        <v>5.70055376147E11</v>
      </c>
      <c r="F262" s="1" t="s">
        <v>879</v>
      </c>
      <c r="G262" s="1" t="s">
        <v>12</v>
      </c>
      <c r="H262" s="3" t="s">
        <v>826</v>
      </c>
      <c r="I262" s="1"/>
    </row>
    <row r="263" ht="15.75" customHeight="1">
      <c r="A263" s="2">
        <v>266.0</v>
      </c>
      <c r="B263" s="1" t="s">
        <v>229</v>
      </c>
      <c r="C263" s="1" t="s">
        <v>880</v>
      </c>
      <c r="D263" s="1" t="s">
        <v>881</v>
      </c>
      <c r="E263" s="2">
        <v>5.70055376149E11</v>
      </c>
      <c r="F263" s="1" t="s">
        <v>882</v>
      </c>
      <c r="G263" s="1" t="s">
        <v>12</v>
      </c>
      <c r="H263" s="3" t="s">
        <v>826</v>
      </c>
      <c r="I263" s="1"/>
    </row>
    <row r="264" ht="15.75" customHeight="1">
      <c r="A264" s="2">
        <v>267.0</v>
      </c>
      <c r="B264" s="1" t="s">
        <v>189</v>
      </c>
      <c r="C264" s="1" t="s">
        <v>880</v>
      </c>
      <c r="D264" s="1" t="s">
        <v>881</v>
      </c>
      <c r="E264" s="2">
        <v>5.7005537615E11</v>
      </c>
      <c r="F264" s="1" t="s">
        <v>883</v>
      </c>
      <c r="G264" s="1" t="s">
        <v>12</v>
      </c>
      <c r="H264" s="3" t="s">
        <v>826</v>
      </c>
      <c r="I264" s="1"/>
    </row>
    <row r="265" ht="15.75" customHeight="1">
      <c r="A265" s="2">
        <v>268.0</v>
      </c>
      <c r="B265" s="1" t="s">
        <v>884</v>
      </c>
      <c r="C265" s="1" t="s">
        <v>885</v>
      </c>
      <c r="D265" s="1" t="s">
        <v>886</v>
      </c>
      <c r="E265" s="2">
        <v>5.70055376157E11</v>
      </c>
      <c r="F265" s="1" t="s">
        <v>887</v>
      </c>
      <c r="G265" s="1" t="s">
        <v>12</v>
      </c>
      <c r="H265" s="3" t="s">
        <v>826</v>
      </c>
      <c r="I265" s="1"/>
    </row>
    <row r="266" ht="15.75" customHeight="1">
      <c r="A266" s="2">
        <v>269.0</v>
      </c>
      <c r="B266" s="1" t="s">
        <v>888</v>
      </c>
      <c r="C266" s="1" t="s">
        <v>885</v>
      </c>
      <c r="D266" s="1" t="s">
        <v>886</v>
      </c>
      <c r="E266" s="2">
        <v>5.70055376158E11</v>
      </c>
      <c r="F266" s="1" t="s">
        <v>889</v>
      </c>
      <c r="G266" s="1" t="s">
        <v>12</v>
      </c>
      <c r="H266" s="3" t="s">
        <v>826</v>
      </c>
      <c r="I266" s="1"/>
    </row>
    <row r="267" ht="15.75" customHeight="1">
      <c r="A267" s="2">
        <v>270.0</v>
      </c>
      <c r="B267" s="1" t="s">
        <v>167</v>
      </c>
      <c r="C267" s="1" t="s">
        <v>885</v>
      </c>
      <c r="D267" s="1" t="s">
        <v>886</v>
      </c>
      <c r="E267" s="2">
        <v>5.70055376159E11</v>
      </c>
      <c r="F267" s="1" t="s">
        <v>890</v>
      </c>
      <c r="G267" s="1" t="s">
        <v>12</v>
      </c>
      <c r="H267" s="3" t="s">
        <v>826</v>
      </c>
      <c r="I267" s="1"/>
    </row>
    <row r="268" ht="15.75" customHeight="1">
      <c r="A268" s="2">
        <v>271.0</v>
      </c>
      <c r="B268" s="1" t="s">
        <v>891</v>
      </c>
      <c r="C268" s="1" t="s">
        <v>892</v>
      </c>
      <c r="D268" s="1" t="s">
        <v>123</v>
      </c>
      <c r="E268" s="2">
        <v>5.70055376161E11</v>
      </c>
      <c r="F268" s="1" t="s">
        <v>893</v>
      </c>
      <c r="G268" s="1" t="s">
        <v>12</v>
      </c>
      <c r="H268" s="3" t="s">
        <v>826</v>
      </c>
      <c r="I268" s="1"/>
    </row>
    <row r="269" ht="15.75" customHeight="1">
      <c r="A269" s="2">
        <v>272.0</v>
      </c>
      <c r="B269" s="1" t="s">
        <v>894</v>
      </c>
      <c r="C269" s="1" t="s">
        <v>895</v>
      </c>
      <c r="D269" s="1" t="s">
        <v>851</v>
      </c>
      <c r="E269" s="2">
        <v>5.70055376162E11</v>
      </c>
      <c r="F269" s="1" t="s">
        <v>896</v>
      </c>
      <c r="G269" s="1" t="s">
        <v>12</v>
      </c>
      <c r="H269" s="3" t="s">
        <v>826</v>
      </c>
      <c r="I269" s="1"/>
    </row>
    <row r="270" ht="15.75" customHeight="1">
      <c r="A270" s="2">
        <v>273.0</v>
      </c>
      <c r="B270" s="1" t="s">
        <v>897</v>
      </c>
      <c r="C270" s="1" t="s">
        <v>898</v>
      </c>
      <c r="D270" s="1" t="s">
        <v>899</v>
      </c>
      <c r="E270" s="2">
        <v>5.70055376165E11</v>
      </c>
      <c r="F270" s="1" t="s">
        <v>900</v>
      </c>
      <c r="G270" s="1" t="s">
        <v>12</v>
      </c>
      <c r="H270" s="3" t="s">
        <v>826</v>
      </c>
      <c r="I270" s="1"/>
    </row>
    <row r="271" ht="15.75" customHeight="1">
      <c r="A271" s="2">
        <v>274.0</v>
      </c>
      <c r="B271" s="1" t="s">
        <v>901</v>
      </c>
      <c r="C271" s="1" t="s">
        <v>892</v>
      </c>
      <c r="D271" s="1" t="s">
        <v>123</v>
      </c>
      <c r="E271" s="2">
        <v>5.70055376166E11</v>
      </c>
      <c r="F271" s="1" t="s">
        <v>902</v>
      </c>
      <c r="G271" s="1" t="s">
        <v>12</v>
      </c>
      <c r="H271" s="3" t="s">
        <v>826</v>
      </c>
      <c r="I271" s="1"/>
    </row>
    <row r="272" ht="15.75" customHeight="1">
      <c r="A272" s="2">
        <v>275.0</v>
      </c>
      <c r="B272" s="1" t="s">
        <v>160</v>
      </c>
      <c r="C272" s="1" t="s">
        <v>856</v>
      </c>
      <c r="D272" s="1" t="s">
        <v>857</v>
      </c>
      <c r="E272" s="2">
        <v>5.70055376167E11</v>
      </c>
      <c r="F272" s="1" t="s">
        <v>903</v>
      </c>
      <c r="G272" s="1" t="s">
        <v>12</v>
      </c>
      <c r="H272" s="3" t="s">
        <v>826</v>
      </c>
      <c r="I272" s="1"/>
    </row>
    <row r="273" ht="15.75" customHeight="1">
      <c r="A273" s="2">
        <v>276.0</v>
      </c>
      <c r="B273" s="1" t="s">
        <v>904</v>
      </c>
      <c r="C273" s="1" t="s">
        <v>905</v>
      </c>
      <c r="D273" s="1" t="s">
        <v>906</v>
      </c>
      <c r="E273" s="2">
        <v>5.7005537617E11</v>
      </c>
      <c r="F273" s="1" t="s">
        <v>907</v>
      </c>
      <c r="G273" s="1" t="s">
        <v>12</v>
      </c>
      <c r="H273" s="3" t="s">
        <v>826</v>
      </c>
      <c r="I273" s="1"/>
    </row>
    <row r="274" ht="15.75" customHeight="1">
      <c r="A274" s="2">
        <v>277.0</v>
      </c>
      <c r="B274" s="1" t="s">
        <v>101</v>
      </c>
      <c r="C274" s="1" t="s">
        <v>908</v>
      </c>
      <c r="D274" s="1" t="s">
        <v>909</v>
      </c>
      <c r="E274" s="2">
        <v>5.70055376173E11</v>
      </c>
      <c r="F274" s="1" t="s">
        <v>910</v>
      </c>
      <c r="G274" s="1" t="s">
        <v>12</v>
      </c>
      <c r="H274" s="3" t="s">
        <v>826</v>
      </c>
      <c r="I274" s="1"/>
    </row>
    <row r="275" ht="15.75" customHeight="1">
      <c r="A275" s="2">
        <v>278.0</v>
      </c>
      <c r="B275" s="1" t="s">
        <v>911</v>
      </c>
      <c r="C275" s="1" t="s">
        <v>912</v>
      </c>
      <c r="D275" s="1" t="s">
        <v>913</v>
      </c>
      <c r="E275" s="2">
        <v>5.70055376174E11</v>
      </c>
      <c r="F275" s="1" t="s">
        <v>914</v>
      </c>
      <c r="G275" s="1" t="s">
        <v>12</v>
      </c>
      <c r="H275" s="3" t="s">
        <v>826</v>
      </c>
      <c r="I275" s="1"/>
    </row>
    <row r="276" ht="15.75" customHeight="1">
      <c r="A276" s="2">
        <v>279.0</v>
      </c>
      <c r="B276" s="1" t="s">
        <v>915</v>
      </c>
      <c r="C276" s="1" t="s">
        <v>916</v>
      </c>
      <c r="D276" s="1" t="s">
        <v>917</v>
      </c>
      <c r="E276" s="2">
        <v>5.70055376178E11</v>
      </c>
      <c r="F276" s="1" t="s">
        <v>918</v>
      </c>
      <c r="G276" s="1" t="s">
        <v>12</v>
      </c>
      <c r="H276" s="3" t="s">
        <v>826</v>
      </c>
      <c r="I276" s="1"/>
    </row>
    <row r="277" ht="15.75" customHeight="1">
      <c r="A277" s="2">
        <v>281.0</v>
      </c>
      <c r="B277" s="1" t="s">
        <v>832</v>
      </c>
      <c r="C277" s="1" t="s">
        <v>919</v>
      </c>
      <c r="D277" s="1" t="s">
        <v>920</v>
      </c>
      <c r="E277" s="2">
        <v>5.70055376181E11</v>
      </c>
      <c r="F277" s="1" t="s">
        <v>921</v>
      </c>
      <c r="G277" s="1" t="s">
        <v>12</v>
      </c>
      <c r="H277" s="3" t="s">
        <v>826</v>
      </c>
      <c r="I277" s="1"/>
    </row>
    <row r="278" ht="15.75" customHeight="1">
      <c r="A278" s="2">
        <v>282.0</v>
      </c>
      <c r="B278" s="1" t="s">
        <v>922</v>
      </c>
      <c r="C278" s="1" t="s">
        <v>923</v>
      </c>
      <c r="D278" s="1" t="s">
        <v>924</v>
      </c>
      <c r="E278" s="2">
        <v>5.70055376182E11</v>
      </c>
      <c r="F278" s="1" t="s">
        <v>925</v>
      </c>
      <c r="G278" s="1" t="s">
        <v>12</v>
      </c>
      <c r="H278" s="3" t="s">
        <v>826</v>
      </c>
      <c r="I278" s="1"/>
    </row>
    <row r="279" ht="15.75" customHeight="1">
      <c r="A279" s="2">
        <v>283.0</v>
      </c>
      <c r="B279" s="1" t="s">
        <v>926</v>
      </c>
      <c r="C279" s="1" t="s">
        <v>927</v>
      </c>
      <c r="D279" s="1" t="s">
        <v>37</v>
      </c>
      <c r="E279" s="2">
        <v>5.70055376186E11</v>
      </c>
      <c r="F279" s="1" t="s">
        <v>928</v>
      </c>
      <c r="G279" s="1" t="s">
        <v>12</v>
      </c>
      <c r="H279" s="3" t="s">
        <v>826</v>
      </c>
      <c r="I279" s="1"/>
    </row>
    <row r="280" ht="15.75" customHeight="1">
      <c r="A280" s="2">
        <v>284.0</v>
      </c>
      <c r="B280" s="1" t="s">
        <v>929</v>
      </c>
      <c r="C280" s="1" t="s">
        <v>930</v>
      </c>
      <c r="D280" s="1" t="s">
        <v>931</v>
      </c>
      <c r="E280" s="2">
        <v>5.70055376188E11</v>
      </c>
      <c r="F280" s="1" t="s">
        <v>932</v>
      </c>
      <c r="G280" s="1" t="s">
        <v>12</v>
      </c>
      <c r="H280" s="3" t="s">
        <v>826</v>
      </c>
      <c r="I280" s="1"/>
    </row>
    <row r="281" ht="15.75" customHeight="1">
      <c r="A281" s="2">
        <v>285.0</v>
      </c>
      <c r="B281" s="1" t="s">
        <v>933</v>
      </c>
      <c r="C281" s="1" t="s">
        <v>934</v>
      </c>
      <c r="D281" s="1" t="s">
        <v>935</v>
      </c>
      <c r="E281" s="2">
        <v>5.70055376189E11</v>
      </c>
      <c r="F281" s="1" t="s">
        <v>617</v>
      </c>
      <c r="G281" s="1" t="s">
        <v>12</v>
      </c>
      <c r="H281" s="3" t="s">
        <v>826</v>
      </c>
      <c r="I281" s="1"/>
    </row>
    <row r="282" ht="15.75" customHeight="1">
      <c r="A282" s="2">
        <v>286.0</v>
      </c>
      <c r="B282" s="1" t="s">
        <v>880</v>
      </c>
      <c r="C282" s="1" t="s">
        <v>936</v>
      </c>
      <c r="D282" s="1" t="s">
        <v>937</v>
      </c>
      <c r="E282" s="2">
        <v>5.7005537619E11</v>
      </c>
      <c r="F282" s="1" t="s">
        <v>938</v>
      </c>
      <c r="G282" s="1" t="s">
        <v>12</v>
      </c>
      <c r="H282" s="3" t="s">
        <v>826</v>
      </c>
      <c r="I282" s="1"/>
    </row>
    <row r="283" ht="15.75" customHeight="1">
      <c r="A283" s="2">
        <v>287.0</v>
      </c>
      <c r="B283" s="1" t="s">
        <v>939</v>
      </c>
      <c r="C283" s="1" t="s">
        <v>940</v>
      </c>
      <c r="D283" s="1" t="s">
        <v>203</v>
      </c>
      <c r="E283" s="2">
        <v>5.700553762E11</v>
      </c>
      <c r="F283" s="1" t="s">
        <v>941</v>
      </c>
      <c r="G283" s="1" t="s">
        <v>12</v>
      </c>
      <c r="H283" s="3" t="s">
        <v>826</v>
      </c>
      <c r="I283" s="1"/>
    </row>
    <row r="284" ht="15.75" customHeight="1">
      <c r="A284" s="2">
        <v>288.0</v>
      </c>
      <c r="B284" s="1" t="s">
        <v>942</v>
      </c>
      <c r="C284" s="1" t="s">
        <v>381</v>
      </c>
      <c r="D284" s="1" t="s">
        <v>943</v>
      </c>
      <c r="E284" s="2">
        <v>5.70055376201E11</v>
      </c>
      <c r="F284" s="1" t="s">
        <v>379</v>
      </c>
      <c r="G284" s="1" t="s">
        <v>70</v>
      </c>
      <c r="H284" s="3" t="s">
        <v>826</v>
      </c>
      <c r="I284" s="1"/>
    </row>
    <row r="285" ht="15.75" customHeight="1">
      <c r="A285" s="2">
        <v>289.0</v>
      </c>
      <c r="B285" s="1" t="s">
        <v>944</v>
      </c>
      <c r="C285" s="1" t="s">
        <v>945</v>
      </c>
      <c r="D285" s="1" t="s">
        <v>946</v>
      </c>
      <c r="E285" s="2">
        <v>5.70055376203E11</v>
      </c>
      <c r="F285" s="1" t="s">
        <v>947</v>
      </c>
      <c r="G285" s="1" t="s">
        <v>12</v>
      </c>
      <c r="H285" s="3" t="s">
        <v>826</v>
      </c>
      <c r="I285" s="1"/>
    </row>
    <row r="286" ht="15.75" customHeight="1">
      <c r="A286" s="2">
        <v>290.0</v>
      </c>
      <c r="B286" s="1" t="s">
        <v>948</v>
      </c>
      <c r="C286" s="1" t="s">
        <v>949</v>
      </c>
      <c r="D286" s="1" t="s">
        <v>950</v>
      </c>
      <c r="E286" s="2">
        <v>5.70055376204E11</v>
      </c>
      <c r="F286" s="1" t="s">
        <v>951</v>
      </c>
      <c r="G286" s="1" t="s">
        <v>12</v>
      </c>
      <c r="H286" s="3" t="s">
        <v>826</v>
      </c>
      <c r="I286" s="1"/>
    </row>
    <row r="287" ht="15.75" customHeight="1">
      <c r="A287" s="2">
        <v>291.0</v>
      </c>
      <c r="B287" s="1" t="s">
        <v>952</v>
      </c>
      <c r="C287" s="1" t="s">
        <v>953</v>
      </c>
      <c r="D287" s="1" t="s">
        <v>954</v>
      </c>
      <c r="E287" s="2">
        <v>5.70055376205E11</v>
      </c>
      <c r="F287" s="1" t="s">
        <v>955</v>
      </c>
      <c r="G287" s="1" t="s">
        <v>12</v>
      </c>
      <c r="H287" s="3" t="s">
        <v>826</v>
      </c>
      <c r="I287" s="1"/>
    </row>
    <row r="288" ht="15.75" customHeight="1">
      <c r="A288" s="2">
        <v>292.0</v>
      </c>
      <c r="B288" s="1" t="s">
        <v>956</v>
      </c>
      <c r="C288" s="1" t="s">
        <v>957</v>
      </c>
      <c r="D288" s="1" t="s">
        <v>950</v>
      </c>
      <c r="E288" s="2">
        <v>5.70055376206E11</v>
      </c>
      <c r="F288" s="1" t="s">
        <v>958</v>
      </c>
      <c r="G288" s="1" t="s">
        <v>12</v>
      </c>
      <c r="H288" s="3" t="s">
        <v>826</v>
      </c>
      <c r="I288" s="1"/>
    </row>
    <row r="289" ht="15.75" customHeight="1">
      <c r="A289" s="2">
        <v>293.0</v>
      </c>
      <c r="B289" s="1" t="s">
        <v>959</v>
      </c>
      <c r="C289" s="1" t="s">
        <v>957</v>
      </c>
      <c r="D289" s="1" t="s">
        <v>950</v>
      </c>
      <c r="E289" s="2">
        <v>5.70055376207E11</v>
      </c>
      <c r="F289" s="1" t="s">
        <v>960</v>
      </c>
      <c r="G289" s="1" t="s">
        <v>12</v>
      </c>
      <c r="H289" s="3" t="s">
        <v>826</v>
      </c>
      <c r="I289" s="1"/>
    </row>
    <row r="290" ht="15.75" customHeight="1">
      <c r="A290" s="2">
        <v>294.0</v>
      </c>
      <c r="B290" s="1" t="s">
        <v>961</v>
      </c>
      <c r="C290" s="1" t="s">
        <v>962</v>
      </c>
      <c r="D290" s="1" t="s">
        <v>963</v>
      </c>
      <c r="E290" s="2">
        <v>5.70055376233E11</v>
      </c>
      <c r="F290" s="1" t="s">
        <v>964</v>
      </c>
      <c r="G290" s="1" t="s">
        <v>120</v>
      </c>
      <c r="H290" s="3" t="s">
        <v>826</v>
      </c>
      <c r="I290" s="1"/>
    </row>
    <row r="291" ht="15.75" customHeight="1">
      <c r="A291" s="2">
        <v>295.0</v>
      </c>
      <c r="B291" s="1" t="s">
        <v>965</v>
      </c>
      <c r="C291" s="1" t="s">
        <v>966</v>
      </c>
      <c r="D291" s="1" t="s">
        <v>967</v>
      </c>
      <c r="E291" s="2">
        <v>5.70055376234E11</v>
      </c>
      <c r="F291" s="1" t="s">
        <v>968</v>
      </c>
      <c r="G291" s="1" t="s">
        <v>25</v>
      </c>
      <c r="H291" s="3" t="s">
        <v>826</v>
      </c>
      <c r="I291" s="1"/>
    </row>
    <row r="292" ht="15.75" customHeight="1">
      <c r="A292" s="2">
        <v>296.0</v>
      </c>
      <c r="B292" s="1" t="s">
        <v>155</v>
      </c>
      <c r="C292" s="1" t="s">
        <v>969</v>
      </c>
      <c r="D292" s="1" t="s">
        <v>970</v>
      </c>
      <c r="E292" s="2">
        <v>5.70055376235E11</v>
      </c>
      <c r="F292" s="1" t="s">
        <v>971</v>
      </c>
      <c r="G292" s="1" t="s">
        <v>12</v>
      </c>
      <c r="H292" s="3" t="s">
        <v>826</v>
      </c>
      <c r="I292" s="1"/>
    </row>
    <row r="293" ht="15.75" customHeight="1">
      <c r="A293" s="2">
        <v>297.0</v>
      </c>
      <c r="B293" s="1" t="s">
        <v>972</v>
      </c>
      <c r="C293" s="1" t="s">
        <v>973</v>
      </c>
      <c r="D293" s="1" t="s">
        <v>974</v>
      </c>
      <c r="E293" s="2">
        <v>5.70055376238E11</v>
      </c>
      <c r="F293" s="1" t="s">
        <v>975</v>
      </c>
      <c r="G293" s="1" t="s">
        <v>25</v>
      </c>
      <c r="H293" s="3" t="s">
        <v>826</v>
      </c>
      <c r="I293" s="1"/>
    </row>
    <row r="294" ht="15.75" customHeight="1">
      <c r="A294" s="2">
        <v>298.0</v>
      </c>
      <c r="B294" s="1" t="s">
        <v>976</v>
      </c>
      <c r="C294" s="1" t="s">
        <v>977</v>
      </c>
      <c r="D294" s="1" t="s">
        <v>978</v>
      </c>
      <c r="E294" s="2">
        <v>5.70055376239E11</v>
      </c>
      <c r="F294" s="1" t="s">
        <v>625</v>
      </c>
      <c r="G294" s="1" t="s">
        <v>25</v>
      </c>
      <c r="H294" s="3" t="s">
        <v>826</v>
      </c>
      <c r="I294" s="1"/>
    </row>
    <row r="295" ht="15.75" customHeight="1">
      <c r="A295" s="2">
        <v>299.0</v>
      </c>
      <c r="B295" s="1" t="s">
        <v>979</v>
      </c>
      <c r="C295" s="1" t="s">
        <v>973</v>
      </c>
      <c r="D295" s="1" t="s">
        <v>974</v>
      </c>
      <c r="E295" s="2">
        <v>5.7005537624E11</v>
      </c>
      <c r="F295" s="1" t="s">
        <v>980</v>
      </c>
      <c r="G295" s="1" t="s">
        <v>12</v>
      </c>
      <c r="H295" s="3" t="s">
        <v>826</v>
      </c>
      <c r="I295" s="1"/>
    </row>
    <row r="296" ht="15.75" customHeight="1">
      <c r="A296" s="2">
        <v>300.0</v>
      </c>
      <c r="B296" s="1" t="s">
        <v>215</v>
      </c>
      <c r="C296" s="1" t="s">
        <v>195</v>
      </c>
      <c r="D296" s="1" t="s">
        <v>981</v>
      </c>
      <c r="E296" s="2">
        <v>5.70055376241E11</v>
      </c>
      <c r="F296" s="1" t="s">
        <v>982</v>
      </c>
      <c r="G296" s="1" t="s">
        <v>25</v>
      </c>
      <c r="H296" s="3" t="s">
        <v>826</v>
      </c>
      <c r="I296" s="1"/>
    </row>
    <row r="297" ht="15.75" customHeight="1">
      <c r="A297" s="2">
        <v>301.0</v>
      </c>
      <c r="B297" s="1" t="s">
        <v>839</v>
      </c>
      <c r="C297" s="1" t="s">
        <v>983</v>
      </c>
      <c r="D297" s="1" t="s">
        <v>984</v>
      </c>
      <c r="E297" s="2">
        <v>5.70055376242E11</v>
      </c>
      <c r="F297" s="1" t="s">
        <v>985</v>
      </c>
      <c r="G297" s="1" t="s">
        <v>70</v>
      </c>
      <c r="H297" s="3" t="s">
        <v>826</v>
      </c>
      <c r="I297" s="1"/>
    </row>
    <row r="298" ht="15.75" customHeight="1">
      <c r="A298" s="2">
        <v>302.0</v>
      </c>
      <c r="B298" s="1" t="s">
        <v>986</v>
      </c>
      <c r="C298" s="1" t="s">
        <v>983</v>
      </c>
      <c r="D298" s="1" t="s">
        <v>987</v>
      </c>
      <c r="E298" s="2">
        <v>5.70055376243E11</v>
      </c>
      <c r="F298" s="1" t="s">
        <v>988</v>
      </c>
      <c r="G298" s="1" t="s">
        <v>70</v>
      </c>
      <c r="H298" s="3" t="s">
        <v>826</v>
      </c>
      <c r="I298" s="1"/>
    </row>
    <row r="299" ht="15.75" customHeight="1">
      <c r="A299" s="2">
        <v>303.0</v>
      </c>
      <c r="B299" s="1" t="s">
        <v>989</v>
      </c>
      <c r="C299" s="1" t="s">
        <v>962</v>
      </c>
      <c r="D299" s="1" t="s">
        <v>990</v>
      </c>
      <c r="E299" s="2">
        <v>5.70055376245E11</v>
      </c>
      <c r="F299" s="1" t="s">
        <v>991</v>
      </c>
      <c r="G299" s="1" t="s">
        <v>25</v>
      </c>
      <c r="H299" s="3" t="s">
        <v>826</v>
      </c>
      <c r="I299" s="1"/>
    </row>
    <row r="300" ht="15.75" customHeight="1">
      <c r="A300" s="2">
        <v>304.0</v>
      </c>
      <c r="B300" s="1" t="s">
        <v>992</v>
      </c>
      <c r="C300" s="1" t="s">
        <v>993</v>
      </c>
      <c r="D300" s="1" t="s">
        <v>994</v>
      </c>
      <c r="E300" s="2">
        <v>5.70055376246E11</v>
      </c>
      <c r="F300" s="1" t="s">
        <v>995</v>
      </c>
      <c r="G300" s="1" t="s">
        <v>996</v>
      </c>
      <c r="H300" s="3" t="s">
        <v>826</v>
      </c>
      <c r="I300" s="1"/>
    </row>
    <row r="301" ht="15.75" customHeight="1">
      <c r="A301" s="2">
        <v>305.0</v>
      </c>
      <c r="B301" s="1" t="s">
        <v>997</v>
      </c>
      <c r="C301" s="1" t="s">
        <v>998</v>
      </c>
      <c r="D301" s="1" t="s">
        <v>999</v>
      </c>
      <c r="E301" s="2">
        <v>5.70055376248E11</v>
      </c>
      <c r="F301" s="1" t="s">
        <v>910</v>
      </c>
      <c r="G301" s="1" t="s">
        <v>25</v>
      </c>
      <c r="H301" s="3" t="s">
        <v>826</v>
      </c>
      <c r="I301" s="1"/>
    </row>
    <row r="302" ht="15.75" customHeight="1">
      <c r="A302" s="2">
        <v>306.0</v>
      </c>
      <c r="B302" s="1" t="s">
        <v>961</v>
      </c>
      <c r="C302" s="1" t="s">
        <v>973</v>
      </c>
      <c r="D302" s="1" t="s">
        <v>1000</v>
      </c>
      <c r="E302" s="2">
        <v>5.70055376249E11</v>
      </c>
      <c r="F302" s="1" t="s">
        <v>1001</v>
      </c>
      <c r="G302" s="1" t="s">
        <v>12</v>
      </c>
      <c r="H302" s="3" t="s">
        <v>826</v>
      </c>
      <c r="I302" s="1"/>
    </row>
    <row r="303" ht="15.75" customHeight="1">
      <c r="A303" s="2">
        <v>307.0</v>
      </c>
      <c r="B303" s="1" t="s">
        <v>1002</v>
      </c>
      <c r="C303" s="1" t="s">
        <v>1003</v>
      </c>
      <c r="D303" s="1" t="s">
        <v>1004</v>
      </c>
      <c r="E303" s="2">
        <v>5.7005537625E11</v>
      </c>
      <c r="F303" s="1" t="s">
        <v>1005</v>
      </c>
      <c r="G303" s="1" t="s">
        <v>25</v>
      </c>
      <c r="H303" s="3" t="s">
        <v>826</v>
      </c>
      <c r="I303" s="1"/>
    </row>
    <row r="304" ht="15.75" customHeight="1">
      <c r="A304" s="2">
        <v>308.0</v>
      </c>
      <c r="B304" s="1" t="s">
        <v>1006</v>
      </c>
      <c r="C304" s="1" t="s">
        <v>1007</v>
      </c>
      <c r="D304" s="1" t="s">
        <v>1008</v>
      </c>
      <c r="E304" s="2">
        <v>5.70055376252E11</v>
      </c>
      <c r="F304" s="1" t="s">
        <v>1009</v>
      </c>
      <c r="G304" s="1" t="s">
        <v>25</v>
      </c>
      <c r="H304" s="3" t="s">
        <v>826</v>
      </c>
      <c r="I304" s="1"/>
    </row>
    <row r="305" ht="15.75" customHeight="1">
      <c r="A305" s="2">
        <v>309.0</v>
      </c>
      <c r="B305" s="1" t="s">
        <v>1010</v>
      </c>
      <c r="C305" s="1" t="s">
        <v>1011</v>
      </c>
      <c r="D305" s="1" t="s">
        <v>1012</v>
      </c>
      <c r="E305" s="2">
        <v>5.70055376253E11</v>
      </c>
      <c r="F305" s="1" t="s">
        <v>982</v>
      </c>
      <c r="G305" s="1" t="s">
        <v>12</v>
      </c>
      <c r="H305" s="3" t="s">
        <v>826</v>
      </c>
      <c r="I305" s="1"/>
    </row>
    <row r="306" ht="15.75" customHeight="1">
      <c r="A306" s="2">
        <v>310.0</v>
      </c>
      <c r="B306" s="1" t="s">
        <v>1013</v>
      </c>
      <c r="C306" s="1" t="s">
        <v>962</v>
      </c>
      <c r="D306" s="1" t="s">
        <v>1014</v>
      </c>
      <c r="E306" s="2">
        <v>5.70055376254E11</v>
      </c>
      <c r="F306" s="1" t="s">
        <v>1015</v>
      </c>
      <c r="G306" s="1" t="s">
        <v>70</v>
      </c>
      <c r="H306" s="3" t="s">
        <v>826</v>
      </c>
      <c r="I306" s="1"/>
    </row>
    <row r="307" ht="15.75" customHeight="1">
      <c r="A307" s="2">
        <v>311.0</v>
      </c>
      <c r="B307" s="1" t="s">
        <v>1016</v>
      </c>
      <c r="C307" s="1" t="s">
        <v>1017</v>
      </c>
      <c r="D307" s="1" t="s">
        <v>1018</v>
      </c>
      <c r="E307" s="2">
        <v>5.70055376255E11</v>
      </c>
      <c r="F307" s="1" t="s">
        <v>1019</v>
      </c>
      <c r="G307" s="1" t="s">
        <v>25</v>
      </c>
      <c r="H307" s="3" t="s">
        <v>826</v>
      </c>
      <c r="I307" s="1"/>
    </row>
    <row r="308" ht="15.75" customHeight="1">
      <c r="A308" s="2">
        <v>312.0</v>
      </c>
      <c r="B308" s="1" t="s">
        <v>241</v>
      </c>
      <c r="C308" s="1" t="s">
        <v>1020</v>
      </c>
      <c r="D308" s="1" t="s">
        <v>1012</v>
      </c>
      <c r="E308" s="2">
        <v>5.70055376256E11</v>
      </c>
      <c r="F308" s="1" t="s">
        <v>1021</v>
      </c>
      <c r="G308" s="1" t="s">
        <v>12</v>
      </c>
      <c r="H308" s="3" t="s">
        <v>826</v>
      </c>
      <c r="I308" s="1"/>
    </row>
    <row r="309" ht="15.75" customHeight="1">
      <c r="A309" s="2">
        <v>313.0</v>
      </c>
      <c r="B309" s="1" t="s">
        <v>952</v>
      </c>
      <c r="C309" s="1" t="s">
        <v>1022</v>
      </c>
      <c r="D309" s="1" t="s">
        <v>1023</v>
      </c>
      <c r="E309" s="2">
        <v>5.70055376258E11</v>
      </c>
      <c r="F309" s="1" t="s">
        <v>1024</v>
      </c>
      <c r="G309" s="1" t="s">
        <v>12</v>
      </c>
      <c r="H309" s="3" t="s">
        <v>826</v>
      </c>
      <c r="I309" s="1"/>
    </row>
    <row r="310" ht="15.75" customHeight="1">
      <c r="A310" s="2">
        <v>314.0</v>
      </c>
      <c r="B310" s="1" t="s">
        <v>1025</v>
      </c>
      <c r="C310" s="1" t="s">
        <v>1026</v>
      </c>
      <c r="D310" s="1" t="s">
        <v>1027</v>
      </c>
      <c r="E310" s="2">
        <v>5.7005537626E11</v>
      </c>
      <c r="F310" s="1" t="s">
        <v>170</v>
      </c>
      <c r="G310" s="1" t="s">
        <v>12</v>
      </c>
      <c r="H310" s="3" t="s">
        <v>826</v>
      </c>
      <c r="I310" s="1"/>
    </row>
    <row r="311" ht="15.75" customHeight="1">
      <c r="A311" s="2">
        <v>315.0</v>
      </c>
      <c r="B311" s="1" t="s">
        <v>1028</v>
      </c>
      <c r="C311" s="1" t="s">
        <v>1029</v>
      </c>
      <c r="D311" s="1" t="s">
        <v>1030</v>
      </c>
      <c r="E311" s="2">
        <v>5.70055376263E11</v>
      </c>
      <c r="F311" s="1" t="s">
        <v>1031</v>
      </c>
      <c r="G311" s="1" t="s">
        <v>12</v>
      </c>
      <c r="H311" s="3" t="s">
        <v>826</v>
      </c>
      <c r="I311" s="1"/>
    </row>
    <row r="312" ht="15.75" customHeight="1">
      <c r="A312" s="2">
        <v>316.0</v>
      </c>
      <c r="B312" s="1" t="s">
        <v>45</v>
      </c>
      <c r="C312" s="1" t="s">
        <v>962</v>
      </c>
      <c r="D312" s="1" t="s">
        <v>990</v>
      </c>
      <c r="E312" s="2">
        <v>5.70055376265E11</v>
      </c>
      <c r="F312" s="1" t="s">
        <v>1032</v>
      </c>
      <c r="G312" s="1" t="s">
        <v>12</v>
      </c>
      <c r="H312" s="3" t="s">
        <v>826</v>
      </c>
      <c r="I312" s="1"/>
    </row>
    <row r="313" ht="15.75" customHeight="1">
      <c r="A313" s="2">
        <v>317.0</v>
      </c>
      <c r="B313" s="1" t="s">
        <v>1033</v>
      </c>
      <c r="C313" s="1" t="s">
        <v>1034</v>
      </c>
      <c r="D313" s="1" t="s">
        <v>1035</v>
      </c>
      <c r="E313" s="2">
        <v>5.70055376267E11</v>
      </c>
      <c r="F313" s="1" t="s">
        <v>964</v>
      </c>
      <c r="G313" s="1" t="s">
        <v>25</v>
      </c>
      <c r="H313" s="3" t="s">
        <v>826</v>
      </c>
      <c r="I313" s="1"/>
    </row>
    <row r="314" ht="15.75" customHeight="1">
      <c r="A314" s="2">
        <v>318.0</v>
      </c>
      <c r="B314" s="1" t="s">
        <v>1036</v>
      </c>
      <c r="C314" s="1" t="s">
        <v>87</v>
      </c>
      <c r="D314" s="1" t="s">
        <v>1037</v>
      </c>
      <c r="E314" s="2">
        <v>5.70055376268E11</v>
      </c>
      <c r="F314" s="1" t="s">
        <v>1038</v>
      </c>
      <c r="G314" s="1" t="s">
        <v>20</v>
      </c>
      <c r="H314" s="3" t="s">
        <v>826</v>
      </c>
      <c r="I314" s="1"/>
    </row>
    <row r="315" ht="15.75" customHeight="1">
      <c r="A315" s="2">
        <v>319.0</v>
      </c>
      <c r="B315" s="1" t="s">
        <v>977</v>
      </c>
      <c r="C315" s="1" t="s">
        <v>425</v>
      </c>
      <c r="D315" s="1" t="s">
        <v>1039</v>
      </c>
      <c r="E315" s="2">
        <v>5.70055376269E11</v>
      </c>
      <c r="F315" s="1" t="s">
        <v>1001</v>
      </c>
      <c r="G315" s="1" t="s">
        <v>25</v>
      </c>
      <c r="H315" s="3" t="s">
        <v>826</v>
      </c>
      <c r="I315" s="1"/>
    </row>
    <row r="316" ht="15.75" customHeight="1">
      <c r="A316" s="2">
        <v>320.0</v>
      </c>
      <c r="B316" s="1" t="s">
        <v>1040</v>
      </c>
      <c r="C316" s="1" t="s">
        <v>1041</v>
      </c>
      <c r="D316" s="1" t="s">
        <v>1042</v>
      </c>
      <c r="E316" s="2">
        <v>5.7005537627E11</v>
      </c>
      <c r="F316" s="1" t="s">
        <v>1043</v>
      </c>
      <c r="G316" s="1" t="s">
        <v>70</v>
      </c>
      <c r="H316" s="3" t="s">
        <v>826</v>
      </c>
      <c r="I316" s="1"/>
    </row>
    <row r="317" ht="15.75" customHeight="1">
      <c r="A317" s="2">
        <v>321.0</v>
      </c>
      <c r="B317" s="1" t="s">
        <v>952</v>
      </c>
      <c r="C317" s="1" t="s">
        <v>1044</v>
      </c>
      <c r="D317" s="1" t="s">
        <v>1045</v>
      </c>
      <c r="E317" s="2">
        <v>5.70055376271E11</v>
      </c>
      <c r="F317" s="1" t="s">
        <v>613</v>
      </c>
      <c r="G317" s="1" t="s">
        <v>70</v>
      </c>
      <c r="H317" s="3" t="s">
        <v>826</v>
      </c>
      <c r="I317" s="1"/>
    </row>
    <row r="318" ht="15.75" customHeight="1">
      <c r="A318" s="2">
        <v>323.0</v>
      </c>
      <c r="B318" s="1" t="s">
        <v>1046</v>
      </c>
      <c r="C318" s="1" t="s">
        <v>1047</v>
      </c>
      <c r="D318" s="1" t="s">
        <v>1048</v>
      </c>
      <c r="E318" s="2">
        <v>5.70055376273E11</v>
      </c>
      <c r="F318" s="1" t="s">
        <v>435</v>
      </c>
      <c r="G318" s="1" t="s">
        <v>25</v>
      </c>
      <c r="H318" s="3" t="s">
        <v>826</v>
      </c>
      <c r="I318" s="1"/>
    </row>
    <row r="319" ht="15.75" customHeight="1">
      <c r="A319" s="2">
        <v>324.0</v>
      </c>
      <c r="B319" s="1" t="s">
        <v>1049</v>
      </c>
      <c r="C319" s="1" t="s">
        <v>1050</v>
      </c>
      <c r="D319" s="1" t="s">
        <v>1051</v>
      </c>
      <c r="E319" s="2">
        <v>5.70055376274E11</v>
      </c>
      <c r="F319" s="1" t="s">
        <v>1052</v>
      </c>
      <c r="G319" s="1" t="s">
        <v>12</v>
      </c>
      <c r="H319" s="3" t="s">
        <v>826</v>
      </c>
      <c r="I319" s="1"/>
    </row>
    <row r="320" ht="15.75" customHeight="1">
      <c r="A320" s="2">
        <v>325.0</v>
      </c>
      <c r="B320" s="1" t="s">
        <v>1053</v>
      </c>
      <c r="C320" s="1" t="s">
        <v>1054</v>
      </c>
      <c r="D320" s="1" t="s">
        <v>1055</v>
      </c>
      <c r="E320" s="2">
        <v>5.70055376285E11</v>
      </c>
      <c r="F320" s="1" t="s">
        <v>1056</v>
      </c>
      <c r="G320" s="1" t="s">
        <v>12</v>
      </c>
      <c r="H320" s="3" t="s">
        <v>826</v>
      </c>
      <c r="I320" s="1"/>
    </row>
    <row r="321" ht="15.75" customHeight="1">
      <c r="A321" s="2">
        <v>326.0</v>
      </c>
      <c r="B321" s="1" t="s">
        <v>1057</v>
      </c>
      <c r="C321" s="1" t="s">
        <v>1041</v>
      </c>
      <c r="D321" s="1" t="s">
        <v>1058</v>
      </c>
      <c r="E321" s="2">
        <v>5.7005537629E11</v>
      </c>
      <c r="F321" s="1" t="s">
        <v>1059</v>
      </c>
      <c r="G321" s="1" t="s">
        <v>25</v>
      </c>
      <c r="H321" s="3" t="s">
        <v>826</v>
      </c>
      <c r="I321" s="1"/>
    </row>
    <row r="322" ht="15.75" customHeight="1">
      <c r="A322" s="2">
        <v>327.0</v>
      </c>
      <c r="B322" s="1" t="s">
        <v>944</v>
      </c>
      <c r="C322" s="1" t="s">
        <v>640</v>
      </c>
      <c r="D322" s="1" t="s">
        <v>1060</v>
      </c>
      <c r="E322" s="2">
        <v>5.70055376291E11</v>
      </c>
      <c r="F322" s="1" t="s">
        <v>991</v>
      </c>
      <c r="G322" s="1" t="s">
        <v>70</v>
      </c>
      <c r="H322" s="3" t="s">
        <v>826</v>
      </c>
      <c r="I322" s="1"/>
    </row>
    <row r="323" ht="15.75" customHeight="1">
      <c r="A323" s="2">
        <v>328.0</v>
      </c>
      <c r="B323" s="1" t="s">
        <v>1061</v>
      </c>
      <c r="C323" s="1" t="s">
        <v>1062</v>
      </c>
      <c r="D323" s="1" t="s">
        <v>1048</v>
      </c>
      <c r="E323" s="2">
        <v>5.70055376292E11</v>
      </c>
      <c r="F323" s="1" t="s">
        <v>1063</v>
      </c>
      <c r="G323" s="1" t="s">
        <v>25</v>
      </c>
      <c r="H323" s="3" t="s">
        <v>826</v>
      </c>
      <c r="I323" s="1"/>
    </row>
    <row r="324" ht="15.75" customHeight="1">
      <c r="A324" s="2">
        <v>329.0</v>
      </c>
      <c r="B324" s="1" t="s">
        <v>989</v>
      </c>
      <c r="C324" s="1" t="s">
        <v>414</v>
      </c>
      <c r="D324" s="1" t="s">
        <v>1064</v>
      </c>
      <c r="E324" s="2">
        <v>5.70055376295E11</v>
      </c>
      <c r="F324" s="1" t="s">
        <v>1043</v>
      </c>
      <c r="G324" s="1" t="s">
        <v>12</v>
      </c>
      <c r="H324" s="3" t="s">
        <v>826</v>
      </c>
      <c r="I324" s="1"/>
    </row>
    <row r="325" ht="15.75" customHeight="1">
      <c r="A325" s="2">
        <v>330.0</v>
      </c>
      <c r="B325" s="1" t="s">
        <v>1065</v>
      </c>
      <c r="C325" s="1" t="s">
        <v>1066</v>
      </c>
      <c r="D325" s="1" t="s">
        <v>203</v>
      </c>
      <c r="E325" s="2">
        <v>5.70055376298E11</v>
      </c>
      <c r="F325" s="1" t="s">
        <v>1067</v>
      </c>
      <c r="G325" s="1" t="s">
        <v>70</v>
      </c>
      <c r="H325" s="3" t="s">
        <v>826</v>
      </c>
      <c r="I325" s="1"/>
    </row>
    <row r="326" ht="15.75" customHeight="1">
      <c r="A326" s="2">
        <v>331.0</v>
      </c>
      <c r="B326" s="1" t="s">
        <v>957</v>
      </c>
      <c r="C326" s="1" t="s">
        <v>1068</v>
      </c>
      <c r="D326" s="1" t="s">
        <v>1069</v>
      </c>
      <c r="E326" s="2">
        <v>5.700553763E11</v>
      </c>
      <c r="F326" s="1" t="s">
        <v>1005</v>
      </c>
      <c r="G326" s="1" t="s">
        <v>12</v>
      </c>
      <c r="H326" s="3" t="s">
        <v>826</v>
      </c>
      <c r="I326" s="1"/>
    </row>
    <row r="327" ht="15.75" customHeight="1">
      <c r="A327" s="2">
        <v>332.0</v>
      </c>
      <c r="B327" s="1" t="s">
        <v>1070</v>
      </c>
      <c r="C327" s="1" t="s">
        <v>1071</v>
      </c>
      <c r="D327" s="1" t="s">
        <v>1072</v>
      </c>
      <c r="E327" s="2">
        <v>5.70055376302E11</v>
      </c>
      <c r="F327" s="1" t="s">
        <v>914</v>
      </c>
      <c r="G327" s="1" t="s">
        <v>25</v>
      </c>
      <c r="H327" s="3" t="s">
        <v>826</v>
      </c>
      <c r="I327" s="1"/>
    </row>
    <row r="328" ht="15.75" customHeight="1">
      <c r="A328" s="2">
        <v>333.0</v>
      </c>
      <c r="B328" s="1" t="s">
        <v>957</v>
      </c>
      <c r="C328" s="1" t="s">
        <v>1073</v>
      </c>
      <c r="D328" s="1" t="s">
        <v>1045</v>
      </c>
      <c r="E328" s="2">
        <v>5.70055376316E11</v>
      </c>
      <c r="F328" s="1" t="s">
        <v>1074</v>
      </c>
      <c r="G328" s="1" t="s">
        <v>12</v>
      </c>
      <c r="H328" s="3" t="s">
        <v>826</v>
      </c>
      <c r="I328" s="1"/>
    </row>
    <row r="329" ht="15.75" customHeight="1">
      <c r="A329" s="2">
        <v>334.0</v>
      </c>
      <c r="B329" s="1" t="s">
        <v>45</v>
      </c>
      <c r="C329" s="1" t="s">
        <v>1075</v>
      </c>
      <c r="D329" s="1" t="s">
        <v>103</v>
      </c>
      <c r="E329" s="2">
        <v>5.7005537632E11</v>
      </c>
      <c r="F329" s="1" t="s">
        <v>914</v>
      </c>
      <c r="G329" s="1" t="s">
        <v>70</v>
      </c>
      <c r="H329" s="3" t="s">
        <v>826</v>
      </c>
      <c r="I329" s="1"/>
    </row>
    <row r="330" ht="15.75" customHeight="1">
      <c r="A330" s="2">
        <v>335.0</v>
      </c>
      <c r="B330" s="1" t="s">
        <v>1076</v>
      </c>
      <c r="C330" s="1" t="s">
        <v>1071</v>
      </c>
      <c r="D330" s="1" t="s">
        <v>1077</v>
      </c>
      <c r="E330" s="2">
        <v>5.70055376328E11</v>
      </c>
      <c r="F330" s="1" t="s">
        <v>1078</v>
      </c>
      <c r="G330" s="1" t="s">
        <v>12</v>
      </c>
      <c r="H330" s="3" t="s">
        <v>826</v>
      </c>
      <c r="I330" s="1"/>
    </row>
    <row r="331" ht="15.75" customHeight="1">
      <c r="A331" s="2">
        <v>336.0</v>
      </c>
      <c r="B331" s="1" t="s">
        <v>1079</v>
      </c>
      <c r="C331" s="1" t="s">
        <v>1071</v>
      </c>
      <c r="D331" s="1" t="s">
        <v>1077</v>
      </c>
      <c r="E331" s="2">
        <v>5.70055376329E11</v>
      </c>
      <c r="F331" s="1" t="s">
        <v>1080</v>
      </c>
      <c r="G331" s="1" t="s">
        <v>12</v>
      </c>
      <c r="H331" s="3" t="s">
        <v>826</v>
      </c>
      <c r="I331" s="1"/>
    </row>
    <row r="332" ht="15.75" customHeight="1">
      <c r="A332" s="2">
        <v>337.0</v>
      </c>
      <c r="B332" s="1" t="s">
        <v>1081</v>
      </c>
      <c r="C332" s="1" t="s">
        <v>1082</v>
      </c>
      <c r="D332" s="1" t="s">
        <v>1083</v>
      </c>
      <c r="E332" s="2">
        <v>5.7005537633E10</v>
      </c>
      <c r="F332" s="1" t="s">
        <v>1084</v>
      </c>
      <c r="G332" s="1" t="s">
        <v>25</v>
      </c>
      <c r="H332" s="3" t="s">
        <v>826</v>
      </c>
      <c r="I332" s="1"/>
    </row>
    <row r="333" ht="15.75" customHeight="1">
      <c r="A333" s="2">
        <v>338.0</v>
      </c>
      <c r="B333" s="1" t="s">
        <v>1085</v>
      </c>
      <c r="C333" s="1" t="s">
        <v>1086</v>
      </c>
      <c r="D333" s="1" t="s">
        <v>1087</v>
      </c>
      <c r="E333" s="2">
        <v>5.70055376335E11</v>
      </c>
      <c r="F333" s="1" t="s">
        <v>1088</v>
      </c>
      <c r="G333" s="1" t="s">
        <v>12</v>
      </c>
      <c r="H333" s="3" t="s">
        <v>826</v>
      </c>
      <c r="I333" s="1"/>
    </row>
    <row r="334" ht="15.75" customHeight="1">
      <c r="A334" s="2">
        <v>339.0</v>
      </c>
      <c r="B334" s="1" t="s">
        <v>1089</v>
      </c>
      <c r="C334" s="1" t="s">
        <v>1090</v>
      </c>
      <c r="D334" s="1" t="s">
        <v>1091</v>
      </c>
      <c r="E334" s="2">
        <v>5.70055376339E11</v>
      </c>
      <c r="F334" s="1" t="s">
        <v>971</v>
      </c>
      <c r="G334" s="1" t="s">
        <v>25</v>
      </c>
      <c r="H334" s="3" t="s">
        <v>826</v>
      </c>
      <c r="I334" s="1"/>
    </row>
    <row r="335" ht="15.75" customHeight="1">
      <c r="A335" s="2">
        <v>340.0</v>
      </c>
      <c r="B335" s="1" t="s">
        <v>1092</v>
      </c>
      <c r="C335" s="1" t="s">
        <v>1090</v>
      </c>
      <c r="D335" s="1" t="s">
        <v>1091</v>
      </c>
      <c r="E335" s="2">
        <v>5.7005537634E11</v>
      </c>
      <c r="F335" s="1" t="s">
        <v>1093</v>
      </c>
      <c r="G335" s="1" t="s">
        <v>12</v>
      </c>
      <c r="H335" s="3" t="s">
        <v>826</v>
      </c>
      <c r="I335" s="1"/>
    </row>
    <row r="336" ht="15.75" customHeight="1">
      <c r="A336" s="2">
        <v>341.0</v>
      </c>
      <c r="B336" s="1" t="s">
        <v>1094</v>
      </c>
      <c r="C336" s="1" t="s">
        <v>1086</v>
      </c>
      <c r="D336" s="1" t="s">
        <v>1087</v>
      </c>
      <c r="E336" s="2">
        <v>5.70055376342E11</v>
      </c>
      <c r="F336" s="1" t="s">
        <v>889</v>
      </c>
      <c r="G336" s="1" t="s">
        <v>20</v>
      </c>
      <c r="H336" s="3" t="s">
        <v>826</v>
      </c>
      <c r="I336" s="1"/>
    </row>
    <row r="337" ht="15.75" customHeight="1">
      <c r="A337" s="2">
        <v>342.0</v>
      </c>
      <c r="B337" s="1" t="s">
        <v>880</v>
      </c>
      <c r="C337" s="1" t="s">
        <v>1095</v>
      </c>
      <c r="D337" s="1" t="s">
        <v>1096</v>
      </c>
      <c r="E337" s="2">
        <v>5.7005537635E11</v>
      </c>
      <c r="F337" s="1" t="s">
        <v>1097</v>
      </c>
      <c r="G337" s="1" t="s">
        <v>25</v>
      </c>
      <c r="H337" s="3" t="s">
        <v>826</v>
      </c>
      <c r="I337" s="1"/>
    </row>
    <row r="338" ht="15.75" customHeight="1">
      <c r="A338" s="2">
        <v>343.0</v>
      </c>
      <c r="B338" s="1" t="s">
        <v>1098</v>
      </c>
      <c r="C338" s="1" t="s">
        <v>1099</v>
      </c>
      <c r="D338" s="1" t="s">
        <v>1100</v>
      </c>
      <c r="E338" s="2">
        <v>5.70055376354E11</v>
      </c>
      <c r="F338" s="1" t="s">
        <v>1101</v>
      </c>
      <c r="G338" s="1" t="s">
        <v>70</v>
      </c>
      <c r="H338" s="3" t="s">
        <v>826</v>
      </c>
      <c r="I338" s="1"/>
    </row>
    <row r="339" ht="15.75" customHeight="1">
      <c r="A339" s="2">
        <v>344.0</v>
      </c>
      <c r="B339" s="1" t="s">
        <v>1102</v>
      </c>
      <c r="C339" s="1" t="s">
        <v>1103</v>
      </c>
      <c r="D339" s="1" t="s">
        <v>1104</v>
      </c>
      <c r="E339" s="2">
        <v>5.70055376356E11</v>
      </c>
      <c r="F339" s="1" t="s">
        <v>1105</v>
      </c>
      <c r="G339" s="1" t="s">
        <v>12</v>
      </c>
      <c r="H339" s="3" t="s">
        <v>826</v>
      </c>
      <c r="I339" s="1"/>
    </row>
    <row r="340" ht="15.75" customHeight="1">
      <c r="A340" s="2">
        <v>345.0</v>
      </c>
      <c r="B340" s="1" t="s">
        <v>1106</v>
      </c>
      <c r="C340" s="1" t="s">
        <v>1107</v>
      </c>
      <c r="D340" s="1" t="s">
        <v>1108</v>
      </c>
      <c r="E340" s="2">
        <v>5.70055376358E11</v>
      </c>
      <c r="F340" s="1" t="s">
        <v>1019</v>
      </c>
      <c r="G340" s="1" t="s">
        <v>70</v>
      </c>
      <c r="H340" s="3" t="s">
        <v>826</v>
      </c>
      <c r="I340" s="1"/>
    </row>
    <row r="341" ht="15.75" customHeight="1">
      <c r="A341" s="2">
        <v>346.0</v>
      </c>
      <c r="B341" s="1" t="s">
        <v>1109</v>
      </c>
      <c r="C341" s="1" t="s">
        <v>1110</v>
      </c>
      <c r="D341" s="1" t="s">
        <v>967</v>
      </c>
      <c r="E341" s="2">
        <v>5.7005537636E11</v>
      </c>
      <c r="F341" s="1" t="s">
        <v>1031</v>
      </c>
      <c r="G341" s="1" t="s">
        <v>25</v>
      </c>
      <c r="H341" s="3" t="s">
        <v>826</v>
      </c>
      <c r="I341" s="1"/>
    </row>
    <row r="342" ht="15.75" customHeight="1">
      <c r="A342" s="2">
        <v>347.0</v>
      </c>
      <c r="B342" s="1" t="s">
        <v>1111</v>
      </c>
      <c r="C342" s="1" t="s">
        <v>1112</v>
      </c>
      <c r="D342" s="1" t="s">
        <v>1113</v>
      </c>
      <c r="E342" s="2">
        <v>5.70055376361E11</v>
      </c>
      <c r="F342" s="1" t="s">
        <v>1114</v>
      </c>
      <c r="G342" s="1" t="s">
        <v>12</v>
      </c>
      <c r="H342" s="3" t="s">
        <v>826</v>
      </c>
      <c r="I342" s="1"/>
    </row>
    <row r="343" ht="15.75" customHeight="1">
      <c r="A343" s="2">
        <v>348.0</v>
      </c>
      <c r="B343" s="1" t="s">
        <v>1115</v>
      </c>
      <c r="C343" s="1" t="s">
        <v>216</v>
      </c>
      <c r="D343" s="1" t="s">
        <v>1116</v>
      </c>
      <c r="E343" s="2">
        <v>5.70055376362E11</v>
      </c>
      <c r="F343" s="1" t="s">
        <v>1117</v>
      </c>
      <c r="G343" s="1" t="s">
        <v>12</v>
      </c>
      <c r="H343" s="3" t="s">
        <v>826</v>
      </c>
      <c r="I343" s="1"/>
    </row>
    <row r="344" ht="15.75" customHeight="1">
      <c r="A344" s="2">
        <v>349.0</v>
      </c>
      <c r="B344" s="1" t="s">
        <v>1118</v>
      </c>
      <c r="C344" s="1" t="s">
        <v>1068</v>
      </c>
      <c r="D344" s="1" t="s">
        <v>1119</v>
      </c>
      <c r="E344" s="2">
        <v>5.70055376363E11</v>
      </c>
      <c r="F344" s="1" t="s">
        <v>1120</v>
      </c>
      <c r="G344" s="1" t="s">
        <v>12</v>
      </c>
      <c r="H344" s="3" t="s">
        <v>826</v>
      </c>
      <c r="I344" s="1"/>
    </row>
    <row r="345" ht="15.75" customHeight="1">
      <c r="A345" s="2">
        <v>350.0</v>
      </c>
      <c r="B345" s="1" t="s">
        <v>1068</v>
      </c>
      <c r="C345" s="1" t="s">
        <v>1121</v>
      </c>
      <c r="D345" s="1" t="s">
        <v>1122</v>
      </c>
      <c r="E345" s="2">
        <v>5.70055376365E11</v>
      </c>
      <c r="F345" s="1" t="s">
        <v>1123</v>
      </c>
      <c r="G345" s="1" t="s">
        <v>25</v>
      </c>
      <c r="H345" s="3" t="s">
        <v>826</v>
      </c>
      <c r="I345" s="1"/>
    </row>
    <row r="346" ht="15.75" customHeight="1">
      <c r="A346" s="2">
        <v>351.0</v>
      </c>
      <c r="B346" s="1" t="s">
        <v>1124</v>
      </c>
      <c r="C346" s="1" t="s">
        <v>1125</v>
      </c>
      <c r="D346" s="1" t="s">
        <v>1087</v>
      </c>
      <c r="E346" s="2">
        <v>5.70055376366E11</v>
      </c>
      <c r="F346" s="1" t="s">
        <v>1126</v>
      </c>
      <c r="G346" s="1" t="s">
        <v>12</v>
      </c>
      <c r="H346" s="3" t="s">
        <v>826</v>
      </c>
      <c r="I346" s="1"/>
    </row>
    <row r="347" ht="15.75" customHeight="1">
      <c r="A347" s="2">
        <v>352.0</v>
      </c>
      <c r="B347" s="1" t="s">
        <v>1127</v>
      </c>
      <c r="C347" s="1" t="s">
        <v>1128</v>
      </c>
      <c r="D347" s="1" t="s">
        <v>1129</v>
      </c>
      <c r="E347" s="2">
        <v>5.70055376367E11</v>
      </c>
      <c r="F347" s="1" t="s">
        <v>1130</v>
      </c>
      <c r="G347" s="1" t="s">
        <v>25</v>
      </c>
      <c r="H347" s="3" t="s">
        <v>826</v>
      </c>
      <c r="I347" s="1"/>
    </row>
    <row r="348" ht="15.75" customHeight="1">
      <c r="A348" s="2">
        <v>353.0</v>
      </c>
      <c r="B348" s="1" t="s">
        <v>1131</v>
      </c>
      <c r="C348" s="1" t="s">
        <v>1132</v>
      </c>
      <c r="D348" s="1" t="s">
        <v>1133</v>
      </c>
      <c r="E348" s="2">
        <v>5.70055376368E11</v>
      </c>
      <c r="F348" s="1" t="s">
        <v>1134</v>
      </c>
      <c r="G348" s="1" t="s">
        <v>70</v>
      </c>
      <c r="H348" s="3" t="s">
        <v>826</v>
      </c>
      <c r="I348" s="1"/>
    </row>
    <row r="349" ht="15.75" customHeight="1">
      <c r="A349" s="2">
        <v>354.0</v>
      </c>
      <c r="B349" s="1" t="s">
        <v>1135</v>
      </c>
      <c r="C349" s="1" t="s">
        <v>965</v>
      </c>
      <c r="D349" s="1" t="s">
        <v>1136</v>
      </c>
      <c r="E349" s="2">
        <v>5.7005537637E11</v>
      </c>
      <c r="F349" s="1" t="s">
        <v>1032</v>
      </c>
      <c r="G349" s="1" t="s">
        <v>12</v>
      </c>
      <c r="H349" s="3" t="s">
        <v>826</v>
      </c>
      <c r="I349" s="1"/>
    </row>
    <row r="350" ht="15.75" customHeight="1">
      <c r="A350" s="2">
        <v>355.0</v>
      </c>
      <c r="B350" s="1" t="s">
        <v>1137</v>
      </c>
      <c r="C350" s="1" t="s">
        <v>1138</v>
      </c>
      <c r="D350" s="1" t="s">
        <v>1091</v>
      </c>
      <c r="E350" s="2">
        <v>5.70055376371E11</v>
      </c>
      <c r="F350" s="1" t="s">
        <v>1080</v>
      </c>
      <c r="G350" s="1" t="s">
        <v>12</v>
      </c>
      <c r="H350" s="3" t="s">
        <v>826</v>
      </c>
      <c r="I350" s="1"/>
    </row>
    <row r="351" ht="15.75" customHeight="1">
      <c r="A351" s="2">
        <v>356.0</v>
      </c>
      <c r="B351" s="1" t="s">
        <v>1139</v>
      </c>
      <c r="C351" s="1" t="s">
        <v>1090</v>
      </c>
      <c r="D351" s="1" t="s">
        <v>1091</v>
      </c>
      <c r="E351" s="2">
        <v>5.70055376372E11</v>
      </c>
      <c r="F351" s="1" t="s">
        <v>1140</v>
      </c>
      <c r="G351" s="1" t="s">
        <v>12</v>
      </c>
      <c r="H351" s="3" t="s">
        <v>826</v>
      </c>
      <c r="I351" s="1"/>
    </row>
    <row r="352" ht="15.75" customHeight="1">
      <c r="A352" s="2">
        <v>357.0</v>
      </c>
      <c r="B352" s="1" t="s">
        <v>1141</v>
      </c>
      <c r="C352" s="1" t="s">
        <v>134</v>
      </c>
      <c r="D352" s="1" t="s">
        <v>1048</v>
      </c>
      <c r="E352" s="2">
        <v>5.70055376373E11</v>
      </c>
      <c r="F352" s="1" t="s">
        <v>1078</v>
      </c>
      <c r="G352" s="1" t="s">
        <v>12</v>
      </c>
      <c r="H352" s="3" t="s">
        <v>826</v>
      </c>
      <c r="I352" s="1"/>
    </row>
    <row r="353" ht="15.75" customHeight="1">
      <c r="A353" s="2">
        <v>358.0</v>
      </c>
      <c r="B353" s="1" t="s">
        <v>965</v>
      </c>
      <c r="C353" s="1" t="s">
        <v>1142</v>
      </c>
      <c r="D353" s="1" t="s">
        <v>1143</v>
      </c>
      <c r="E353" s="2">
        <v>5.70055376375E11</v>
      </c>
      <c r="F353" s="1" t="s">
        <v>1144</v>
      </c>
      <c r="G353" s="1" t="s">
        <v>12</v>
      </c>
      <c r="H353" s="3" t="s">
        <v>826</v>
      </c>
      <c r="I353" s="1"/>
    </row>
    <row r="354" ht="15.75" customHeight="1">
      <c r="A354" s="2">
        <v>359.0</v>
      </c>
      <c r="B354" s="1" t="s">
        <v>1145</v>
      </c>
      <c r="C354" s="1" t="s">
        <v>1146</v>
      </c>
      <c r="D354" s="1" t="s">
        <v>1108</v>
      </c>
      <c r="E354" s="2">
        <v>5.70055376377E11</v>
      </c>
      <c r="F354" s="1" t="s">
        <v>642</v>
      </c>
      <c r="G354" s="1" t="s">
        <v>12</v>
      </c>
      <c r="H354" s="3" t="s">
        <v>826</v>
      </c>
      <c r="I354" s="1"/>
    </row>
    <row r="355" ht="15.75" customHeight="1">
      <c r="A355" s="2">
        <v>360.0</v>
      </c>
      <c r="B355" s="1" t="s">
        <v>969</v>
      </c>
      <c r="C355" s="1" t="s">
        <v>1147</v>
      </c>
      <c r="D355" s="1" t="s">
        <v>1148</v>
      </c>
      <c r="E355" s="2">
        <v>5.70055376378E11</v>
      </c>
      <c r="F355" s="1" t="s">
        <v>1149</v>
      </c>
      <c r="G355" s="1" t="s">
        <v>12</v>
      </c>
      <c r="H355" s="3" t="s">
        <v>826</v>
      </c>
      <c r="I355" s="1"/>
    </row>
    <row r="356" ht="15.75" customHeight="1">
      <c r="A356" s="2">
        <v>361.0</v>
      </c>
      <c r="B356" s="1" t="s">
        <v>1150</v>
      </c>
      <c r="C356" s="1" t="s">
        <v>1151</v>
      </c>
      <c r="D356" s="1" t="s">
        <v>1027</v>
      </c>
      <c r="E356" s="2">
        <v>5.70055376379E11</v>
      </c>
      <c r="F356" s="1" t="s">
        <v>1152</v>
      </c>
      <c r="G356" s="1" t="s">
        <v>12</v>
      </c>
      <c r="H356" s="3" t="s">
        <v>826</v>
      </c>
      <c r="I356" s="1"/>
    </row>
    <row r="357" ht="15.75" customHeight="1">
      <c r="A357" s="2">
        <v>362.0</v>
      </c>
      <c r="B357" s="1" t="s">
        <v>1153</v>
      </c>
      <c r="C357" s="1" t="s">
        <v>1154</v>
      </c>
      <c r="D357" s="1" t="s">
        <v>85</v>
      </c>
      <c r="E357" s="2">
        <v>5.7005537638E11</v>
      </c>
      <c r="F357" s="1" t="s">
        <v>1155</v>
      </c>
      <c r="G357" s="1" t="s">
        <v>12</v>
      </c>
      <c r="H357" s="3" t="s">
        <v>826</v>
      </c>
      <c r="I357" s="1"/>
    </row>
    <row r="358" ht="15.75" customHeight="1">
      <c r="A358" s="2">
        <v>363.0</v>
      </c>
      <c r="B358" s="1" t="s">
        <v>1156</v>
      </c>
      <c r="C358" s="1" t="s">
        <v>1157</v>
      </c>
      <c r="D358" s="1" t="s">
        <v>1158</v>
      </c>
      <c r="E358" s="2">
        <v>5.70055376381E11</v>
      </c>
      <c r="F358" s="1" t="s">
        <v>1159</v>
      </c>
      <c r="G358" s="1" t="s">
        <v>12</v>
      </c>
      <c r="H358" s="3" t="s">
        <v>826</v>
      </c>
      <c r="I358" s="1"/>
    </row>
    <row r="359" ht="15.75" customHeight="1">
      <c r="A359" s="2">
        <v>364.0</v>
      </c>
      <c r="B359" s="1" t="s">
        <v>1160</v>
      </c>
      <c r="C359" s="1" t="s">
        <v>1007</v>
      </c>
      <c r="D359" s="1" t="s">
        <v>1008</v>
      </c>
      <c r="E359" s="2">
        <v>5.70055376384E11</v>
      </c>
      <c r="F359" s="1" t="s">
        <v>1161</v>
      </c>
      <c r="G359" s="1" t="s">
        <v>12</v>
      </c>
      <c r="H359" s="3" t="s">
        <v>826</v>
      </c>
      <c r="I359" s="1"/>
    </row>
    <row r="360" ht="15.75" customHeight="1">
      <c r="A360" s="2">
        <v>365.0</v>
      </c>
      <c r="B360" s="1" t="s">
        <v>1162</v>
      </c>
      <c r="C360" s="1" t="s">
        <v>1163</v>
      </c>
      <c r="D360" s="1" t="s">
        <v>1164</v>
      </c>
      <c r="E360" s="2">
        <v>5.70055376385E11</v>
      </c>
      <c r="F360" s="1" t="s">
        <v>1165</v>
      </c>
      <c r="G360" s="1" t="s">
        <v>12</v>
      </c>
      <c r="H360" s="3" t="s">
        <v>826</v>
      </c>
      <c r="I360" s="1"/>
    </row>
    <row r="361" ht="15.75" customHeight="1">
      <c r="A361" s="2">
        <v>366.0</v>
      </c>
      <c r="B361" s="1" t="s">
        <v>933</v>
      </c>
      <c r="C361" s="1" t="s">
        <v>1086</v>
      </c>
      <c r="D361" s="1" t="s">
        <v>1087</v>
      </c>
      <c r="E361" s="2">
        <v>5.70055376386E11</v>
      </c>
      <c r="F361" s="1" t="s">
        <v>964</v>
      </c>
      <c r="G361" s="1" t="s">
        <v>12</v>
      </c>
      <c r="H361" s="3" t="s">
        <v>826</v>
      </c>
      <c r="I361" s="1"/>
    </row>
    <row r="362" ht="15.75" customHeight="1">
      <c r="A362" s="2">
        <v>367.0</v>
      </c>
      <c r="B362" s="1" t="s">
        <v>1166</v>
      </c>
      <c r="C362" s="1" t="s">
        <v>993</v>
      </c>
      <c r="D362" s="1" t="s">
        <v>1167</v>
      </c>
      <c r="E362" s="2">
        <v>5.70055376391E11</v>
      </c>
      <c r="F362" s="1" t="s">
        <v>1168</v>
      </c>
      <c r="G362" s="1" t="s">
        <v>12</v>
      </c>
      <c r="H362" s="3" t="s">
        <v>826</v>
      </c>
      <c r="I362" s="1"/>
    </row>
    <row r="363" ht="15.75" customHeight="1">
      <c r="A363" s="2">
        <v>368.0</v>
      </c>
      <c r="B363" s="1" t="s">
        <v>1169</v>
      </c>
      <c r="C363" s="1" t="s">
        <v>1170</v>
      </c>
      <c r="D363" s="1" t="s">
        <v>1171</v>
      </c>
      <c r="E363" s="2">
        <v>5.70055376393E11</v>
      </c>
      <c r="F363" s="1" t="s">
        <v>1172</v>
      </c>
      <c r="G363" s="1" t="s">
        <v>120</v>
      </c>
      <c r="H363" s="3" t="s">
        <v>826</v>
      </c>
      <c r="I363" s="1"/>
    </row>
    <row r="364" ht="15.75" customHeight="1">
      <c r="A364" s="2">
        <v>369.0</v>
      </c>
      <c r="B364" s="1" t="s">
        <v>1173</v>
      </c>
      <c r="C364" s="1" t="s">
        <v>1174</v>
      </c>
      <c r="D364" s="1" t="s">
        <v>1175</v>
      </c>
      <c r="E364" s="2">
        <v>5.70055376397E11</v>
      </c>
      <c r="F364" s="1" t="s">
        <v>1176</v>
      </c>
      <c r="G364" s="1" t="s">
        <v>25</v>
      </c>
      <c r="H364" s="3" t="s">
        <v>826</v>
      </c>
      <c r="I364" s="1"/>
    </row>
    <row r="365" ht="15.75" customHeight="1">
      <c r="A365" s="2">
        <v>370.0</v>
      </c>
      <c r="B365" s="1" t="s">
        <v>1177</v>
      </c>
      <c r="C365" s="1" t="s">
        <v>1132</v>
      </c>
      <c r="D365" s="1" t="s">
        <v>1133</v>
      </c>
      <c r="E365" s="2">
        <v>5.70055376399E11</v>
      </c>
      <c r="F365" s="1" t="s">
        <v>968</v>
      </c>
      <c r="G365" s="1" t="s">
        <v>12</v>
      </c>
      <c r="H365" s="3" t="s">
        <v>826</v>
      </c>
      <c r="I365" s="1"/>
    </row>
    <row r="366" ht="15.75" customHeight="1">
      <c r="A366" s="2">
        <v>371.0</v>
      </c>
      <c r="B366" s="1" t="s">
        <v>1178</v>
      </c>
      <c r="C366" s="1" t="s">
        <v>1062</v>
      </c>
      <c r="D366" s="1" t="s">
        <v>1048</v>
      </c>
      <c r="E366" s="2">
        <v>5.700553764E11</v>
      </c>
      <c r="F366" s="1" t="s">
        <v>1032</v>
      </c>
      <c r="G366" s="1" t="s">
        <v>25</v>
      </c>
      <c r="H366" s="3" t="s">
        <v>826</v>
      </c>
      <c r="I366" s="1"/>
    </row>
    <row r="367" ht="15.75" customHeight="1">
      <c r="A367" s="2">
        <v>372.0</v>
      </c>
      <c r="B367" s="1" t="s">
        <v>194</v>
      </c>
      <c r="C367" s="1" t="s">
        <v>1179</v>
      </c>
      <c r="D367" s="1" t="s">
        <v>1180</v>
      </c>
      <c r="E367" s="2">
        <v>5.70055376401E11</v>
      </c>
      <c r="F367" s="1" t="s">
        <v>1181</v>
      </c>
      <c r="G367" s="1" t="s">
        <v>95</v>
      </c>
      <c r="H367" s="3" t="s">
        <v>826</v>
      </c>
      <c r="I367" s="1"/>
    </row>
    <row r="368" ht="15.75" customHeight="1">
      <c r="A368" s="2">
        <v>373.0</v>
      </c>
      <c r="B368" s="1" t="s">
        <v>1182</v>
      </c>
      <c r="C368" s="1" t="s">
        <v>1183</v>
      </c>
      <c r="D368" s="1" t="s">
        <v>1184</v>
      </c>
      <c r="E368" s="2">
        <v>5.7005537641E11</v>
      </c>
      <c r="F368" s="1" t="s">
        <v>1185</v>
      </c>
      <c r="G368" s="1" t="s">
        <v>70</v>
      </c>
      <c r="H368" s="3" t="s">
        <v>826</v>
      </c>
      <c r="I368" s="1"/>
    </row>
    <row r="369" ht="15.75" customHeight="1">
      <c r="A369" s="2">
        <v>374.0</v>
      </c>
      <c r="B369" s="1" t="s">
        <v>1186</v>
      </c>
      <c r="C369" s="1" t="s">
        <v>1187</v>
      </c>
      <c r="D369" s="1" t="s">
        <v>1188</v>
      </c>
      <c r="E369" s="2">
        <v>5.70055376412E11</v>
      </c>
      <c r="F369" s="1" t="s">
        <v>1189</v>
      </c>
      <c r="G369" s="1" t="s">
        <v>70</v>
      </c>
      <c r="H369" s="3" t="s">
        <v>826</v>
      </c>
      <c r="I369" s="1"/>
    </row>
    <row r="370" ht="15.75" customHeight="1">
      <c r="A370" s="2">
        <v>375.0</v>
      </c>
      <c r="B370" s="1" t="s">
        <v>1190</v>
      </c>
      <c r="C370" s="1" t="s">
        <v>1191</v>
      </c>
      <c r="D370" s="1" t="s">
        <v>1192</v>
      </c>
      <c r="E370" s="2">
        <v>5.70055376419E11</v>
      </c>
      <c r="F370" s="1" t="s">
        <v>1193</v>
      </c>
      <c r="G370" s="1" t="s">
        <v>25</v>
      </c>
      <c r="H370" s="3" t="s">
        <v>826</v>
      </c>
      <c r="I370" s="1"/>
    </row>
    <row r="371" ht="15.75" customHeight="1">
      <c r="A371" s="2">
        <v>377.0</v>
      </c>
      <c r="B371" s="1" t="s">
        <v>1194</v>
      </c>
      <c r="C371" s="1" t="s">
        <v>1195</v>
      </c>
      <c r="D371" s="1" t="s">
        <v>1196</v>
      </c>
      <c r="E371" s="2">
        <v>5.70055376428E11</v>
      </c>
      <c r="F371" s="1" t="s">
        <v>1197</v>
      </c>
      <c r="G371" s="1" t="s">
        <v>25</v>
      </c>
      <c r="H371" s="3" t="s">
        <v>826</v>
      </c>
      <c r="I371" s="1"/>
    </row>
    <row r="372" ht="15.75" customHeight="1">
      <c r="A372" s="2">
        <v>378.0</v>
      </c>
      <c r="B372" s="1" t="s">
        <v>1198</v>
      </c>
      <c r="C372" s="1" t="s">
        <v>1199</v>
      </c>
      <c r="D372" s="1" t="s">
        <v>1200</v>
      </c>
      <c r="E372" s="2">
        <v>5.70055376435E11</v>
      </c>
      <c r="F372" s="1" t="s">
        <v>1201</v>
      </c>
      <c r="G372" s="1" t="s">
        <v>12</v>
      </c>
      <c r="H372" s="3" t="s">
        <v>826</v>
      </c>
      <c r="I372" s="1"/>
    </row>
    <row r="373" ht="15.75" customHeight="1">
      <c r="A373" s="2">
        <v>379.0</v>
      </c>
      <c r="B373" s="1" t="s">
        <v>1202</v>
      </c>
      <c r="C373" s="1" t="s">
        <v>1203</v>
      </c>
      <c r="D373" s="1" t="s">
        <v>1204</v>
      </c>
      <c r="E373" s="2">
        <v>5.70055376436E11</v>
      </c>
      <c r="F373" s="1" t="s">
        <v>1205</v>
      </c>
      <c r="G373" s="1" t="s">
        <v>70</v>
      </c>
      <c r="H373" s="3" t="s">
        <v>826</v>
      </c>
      <c r="I373" s="1"/>
    </row>
    <row r="374" ht="15.75" customHeight="1">
      <c r="A374" s="2">
        <v>380.0</v>
      </c>
      <c r="B374" s="1" t="s">
        <v>1206</v>
      </c>
      <c r="C374" s="1" t="s">
        <v>1207</v>
      </c>
      <c r="D374" s="1" t="s">
        <v>1208</v>
      </c>
      <c r="E374" s="2">
        <v>5.70055376437E11</v>
      </c>
      <c r="F374" s="1" t="s">
        <v>1209</v>
      </c>
      <c r="G374" s="1" t="s">
        <v>70</v>
      </c>
      <c r="H374" s="3" t="s">
        <v>826</v>
      </c>
      <c r="I374" s="1"/>
    </row>
    <row r="375" ht="15.75" customHeight="1">
      <c r="A375" s="2">
        <v>381.0</v>
      </c>
      <c r="B375" s="1" t="s">
        <v>87</v>
      </c>
      <c r="C375" s="1" t="s">
        <v>1210</v>
      </c>
      <c r="D375" s="1" t="s">
        <v>1211</v>
      </c>
      <c r="E375" s="2">
        <v>5.70055376458E11</v>
      </c>
      <c r="F375" s="1" t="s">
        <v>1212</v>
      </c>
      <c r="G375" s="1" t="s">
        <v>12</v>
      </c>
      <c r="H375" s="3" t="s">
        <v>826</v>
      </c>
      <c r="I375" s="1"/>
    </row>
    <row r="376" ht="15.75" customHeight="1">
      <c r="A376" s="2">
        <v>382.0</v>
      </c>
      <c r="B376" s="1" t="s">
        <v>1213</v>
      </c>
      <c r="C376" s="1" t="s">
        <v>1214</v>
      </c>
      <c r="D376" s="1" t="s">
        <v>1215</v>
      </c>
      <c r="E376" s="2">
        <v>5.70055376463E11</v>
      </c>
      <c r="F376" s="1" t="s">
        <v>1216</v>
      </c>
      <c r="G376" s="1" t="s">
        <v>25</v>
      </c>
      <c r="H376" s="3" t="s">
        <v>826</v>
      </c>
      <c r="I376" s="1"/>
    </row>
    <row r="377" ht="15.75" customHeight="1">
      <c r="A377" s="2">
        <v>383.0</v>
      </c>
      <c r="B377" s="1" t="s">
        <v>1217</v>
      </c>
      <c r="C377" s="1" t="s">
        <v>1218</v>
      </c>
      <c r="D377" s="1" t="s">
        <v>1219</v>
      </c>
      <c r="E377" s="2">
        <v>5.70055376465E11</v>
      </c>
      <c r="F377" s="1" t="s">
        <v>1220</v>
      </c>
      <c r="G377" s="1" t="s">
        <v>12</v>
      </c>
      <c r="H377" s="3" t="s">
        <v>826</v>
      </c>
      <c r="I377" s="1"/>
    </row>
    <row r="378" ht="15.75" customHeight="1">
      <c r="A378" s="2">
        <v>384.0</v>
      </c>
      <c r="B378" s="1" t="s">
        <v>1221</v>
      </c>
      <c r="C378" s="1" t="s">
        <v>1222</v>
      </c>
      <c r="D378" s="1" t="s">
        <v>1223</v>
      </c>
      <c r="E378" s="2">
        <v>5.7005537647E11</v>
      </c>
      <c r="F378" s="1" t="s">
        <v>1224</v>
      </c>
      <c r="G378" s="1" t="s">
        <v>247</v>
      </c>
      <c r="H378" s="3" t="s">
        <v>826</v>
      </c>
      <c r="I378" s="1"/>
    </row>
    <row r="379" ht="15.75" customHeight="1">
      <c r="A379" s="2">
        <v>385.0</v>
      </c>
      <c r="B379" s="1" t="s">
        <v>1225</v>
      </c>
      <c r="C379" s="1" t="s">
        <v>1226</v>
      </c>
      <c r="D379" s="1" t="s">
        <v>1227</v>
      </c>
      <c r="E379" s="2">
        <v>5.70055376471E11</v>
      </c>
      <c r="F379" s="1" t="s">
        <v>1228</v>
      </c>
      <c r="G379" s="1" t="s">
        <v>247</v>
      </c>
      <c r="H379" s="3" t="s">
        <v>826</v>
      </c>
      <c r="I379" s="1"/>
    </row>
    <row r="380" ht="15.75" customHeight="1">
      <c r="A380" s="2">
        <v>386.0</v>
      </c>
      <c r="B380" s="1" t="s">
        <v>1229</v>
      </c>
      <c r="C380" s="1" t="s">
        <v>1230</v>
      </c>
      <c r="D380" s="1" t="s">
        <v>1231</v>
      </c>
      <c r="E380" s="2">
        <v>5.70055376473E11</v>
      </c>
      <c r="F380" s="1" t="s">
        <v>1232</v>
      </c>
      <c r="G380" s="1" t="s">
        <v>25</v>
      </c>
      <c r="H380" s="3" t="s">
        <v>826</v>
      </c>
      <c r="I380" s="1"/>
    </row>
    <row r="381" ht="15.75" customHeight="1">
      <c r="A381" s="2">
        <v>387.0</v>
      </c>
      <c r="B381" s="1" t="s">
        <v>1233</v>
      </c>
      <c r="C381" s="1" t="s">
        <v>1234</v>
      </c>
      <c r="D381" s="1" t="s">
        <v>1235</v>
      </c>
      <c r="E381" s="2">
        <v>5.70055376479E11</v>
      </c>
      <c r="F381" s="1" t="s">
        <v>1236</v>
      </c>
      <c r="G381" s="1" t="s">
        <v>25</v>
      </c>
      <c r="H381" s="3" t="s">
        <v>826</v>
      </c>
      <c r="I381" s="1"/>
    </row>
    <row r="382" ht="15.75" customHeight="1">
      <c r="A382" s="2">
        <v>388.0</v>
      </c>
      <c r="B382" s="1" t="s">
        <v>1237</v>
      </c>
      <c r="C382" s="1" t="s">
        <v>1238</v>
      </c>
      <c r="D382" s="1" t="s">
        <v>1215</v>
      </c>
      <c r="E382" s="2">
        <v>5.7005537648E11</v>
      </c>
      <c r="F382" s="1" t="s">
        <v>1239</v>
      </c>
      <c r="G382" s="1" t="s">
        <v>25</v>
      </c>
      <c r="H382" s="3" t="s">
        <v>826</v>
      </c>
      <c r="I382" s="1"/>
    </row>
    <row r="383" ht="15.75" customHeight="1">
      <c r="A383" s="2">
        <v>389.0</v>
      </c>
      <c r="B383" s="1" t="s">
        <v>129</v>
      </c>
      <c r="C383" s="1" t="s">
        <v>1240</v>
      </c>
      <c r="D383" s="1" t="s">
        <v>1241</v>
      </c>
      <c r="E383" s="2">
        <v>5.70055376485E11</v>
      </c>
      <c r="F383" s="1" t="s">
        <v>1242</v>
      </c>
      <c r="G383" s="1" t="s">
        <v>25</v>
      </c>
      <c r="H383" s="3" t="s">
        <v>826</v>
      </c>
      <c r="I383" s="1"/>
    </row>
    <row r="384" ht="15.75" customHeight="1">
      <c r="A384" s="2">
        <v>390.0</v>
      </c>
      <c r="B384" s="1" t="s">
        <v>1230</v>
      </c>
      <c r="C384" s="1" t="s">
        <v>1243</v>
      </c>
      <c r="D384" s="1" t="s">
        <v>1244</v>
      </c>
      <c r="E384" s="2">
        <v>5.70055376486E11</v>
      </c>
      <c r="F384" s="1" t="s">
        <v>1245</v>
      </c>
      <c r="G384" s="1" t="s">
        <v>12</v>
      </c>
      <c r="H384" s="3" t="s">
        <v>826</v>
      </c>
      <c r="I384" s="1"/>
    </row>
    <row r="385" ht="15.75" customHeight="1">
      <c r="A385" s="2">
        <v>391.0</v>
      </c>
      <c r="B385" s="1" t="s">
        <v>1246</v>
      </c>
      <c r="C385" s="1" t="s">
        <v>1247</v>
      </c>
      <c r="D385" s="1" t="s">
        <v>1248</v>
      </c>
      <c r="E385" s="2">
        <v>5.70055376491E11</v>
      </c>
      <c r="F385" s="1" t="s">
        <v>590</v>
      </c>
      <c r="G385" s="1" t="s">
        <v>12</v>
      </c>
      <c r="H385" s="3" t="s">
        <v>826</v>
      </c>
      <c r="I385" s="1"/>
    </row>
    <row r="386" ht="15.75" customHeight="1">
      <c r="A386" s="2">
        <v>392.0</v>
      </c>
      <c r="B386" s="1" t="s">
        <v>1249</v>
      </c>
      <c r="C386" s="1" t="s">
        <v>1250</v>
      </c>
      <c r="D386" s="1" t="s">
        <v>1251</v>
      </c>
      <c r="E386" s="2">
        <v>5.70055376493E11</v>
      </c>
      <c r="F386" s="1" t="s">
        <v>1252</v>
      </c>
      <c r="G386" s="1" t="s">
        <v>12</v>
      </c>
      <c r="H386" s="3" t="s">
        <v>826</v>
      </c>
      <c r="I386" s="1"/>
    </row>
    <row r="387" ht="15.75" customHeight="1">
      <c r="A387" s="2">
        <v>393.0</v>
      </c>
      <c r="B387" s="1" t="s">
        <v>1253</v>
      </c>
      <c r="C387" s="1" t="s">
        <v>1150</v>
      </c>
      <c r="D387" s="1" t="s">
        <v>1254</v>
      </c>
      <c r="E387" s="2">
        <v>5.70055376495E11</v>
      </c>
      <c r="F387" s="1" t="s">
        <v>341</v>
      </c>
      <c r="G387" s="1" t="s">
        <v>12</v>
      </c>
      <c r="H387" s="3" t="s">
        <v>826</v>
      </c>
      <c r="I387" s="1"/>
    </row>
    <row r="388" ht="15.75" customHeight="1">
      <c r="A388" s="2">
        <v>394.0</v>
      </c>
      <c r="B388" s="1" t="s">
        <v>129</v>
      </c>
      <c r="C388" s="1" t="s">
        <v>1255</v>
      </c>
      <c r="D388" s="1" t="s">
        <v>1256</v>
      </c>
      <c r="E388" s="2">
        <v>5.70055376499E11</v>
      </c>
      <c r="F388" s="1" t="s">
        <v>964</v>
      </c>
      <c r="G388" s="1" t="s">
        <v>120</v>
      </c>
      <c r="H388" s="3" t="s">
        <v>826</v>
      </c>
      <c r="I388" s="1"/>
    </row>
    <row r="389" ht="15.75" customHeight="1">
      <c r="A389" s="2">
        <v>395.0</v>
      </c>
      <c r="B389" s="1" t="s">
        <v>1257</v>
      </c>
      <c r="C389" s="1" t="s">
        <v>138</v>
      </c>
      <c r="D389" s="1" t="s">
        <v>1258</v>
      </c>
      <c r="E389" s="2">
        <v>5.700553765E11</v>
      </c>
      <c r="F389" s="1" t="s">
        <v>1259</v>
      </c>
      <c r="G389" s="1" t="s">
        <v>12</v>
      </c>
      <c r="H389" s="3" t="s">
        <v>826</v>
      </c>
      <c r="I389" s="1"/>
    </row>
    <row r="390" ht="15.75" customHeight="1">
      <c r="A390" s="2">
        <v>396.0</v>
      </c>
      <c r="B390" s="1" t="s">
        <v>1260</v>
      </c>
      <c r="C390" s="1" t="s">
        <v>1222</v>
      </c>
      <c r="D390" s="1" t="s">
        <v>1261</v>
      </c>
      <c r="E390" s="2">
        <v>5.70055376503E11</v>
      </c>
      <c r="F390" s="1" t="s">
        <v>1262</v>
      </c>
      <c r="G390" s="1" t="s">
        <v>247</v>
      </c>
      <c r="H390" s="3" t="s">
        <v>826</v>
      </c>
      <c r="I390" s="1"/>
    </row>
    <row r="391" ht="15.75" customHeight="1">
      <c r="A391" s="2">
        <v>397.0</v>
      </c>
      <c r="B391" s="1" t="s">
        <v>1263</v>
      </c>
      <c r="C391" s="1" t="s">
        <v>1264</v>
      </c>
      <c r="D391" s="1" t="s">
        <v>1265</v>
      </c>
      <c r="E391" s="2">
        <v>5.70055376505E11</v>
      </c>
      <c r="F391" s="1" t="s">
        <v>1266</v>
      </c>
      <c r="G391" s="1" t="s">
        <v>12</v>
      </c>
      <c r="H391" s="3" t="s">
        <v>826</v>
      </c>
      <c r="I391" s="1"/>
    </row>
    <row r="392" ht="15.75" customHeight="1">
      <c r="A392" s="2">
        <v>398.0</v>
      </c>
      <c r="B392" s="1" t="s">
        <v>1267</v>
      </c>
      <c r="C392" s="1" t="s">
        <v>195</v>
      </c>
      <c r="D392" s="1" t="s">
        <v>1268</v>
      </c>
      <c r="E392" s="2">
        <v>5.70055376506E11</v>
      </c>
      <c r="F392" s="1" t="s">
        <v>1269</v>
      </c>
      <c r="G392" s="1" t="s">
        <v>25</v>
      </c>
      <c r="H392" s="3" t="s">
        <v>826</v>
      </c>
      <c r="I392" s="1"/>
    </row>
    <row r="393" ht="15.75" customHeight="1">
      <c r="A393" s="2">
        <v>399.0</v>
      </c>
      <c r="B393" s="1" t="s">
        <v>1270</v>
      </c>
      <c r="C393" s="1" t="s">
        <v>1218</v>
      </c>
      <c r="D393" s="1" t="s">
        <v>1271</v>
      </c>
      <c r="E393" s="2">
        <v>5.70055376507E11</v>
      </c>
      <c r="F393" s="1" t="s">
        <v>1272</v>
      </c>
      <c r="G393" s="1" t="s">
        <v>12</v>
      </c>
      <c r="H393" s="3" t="s">
        <v>826</v>
      </c>
      <c r="I393" s="1"/>
    </row>
    <row r="394" ht="15.75" customHeight="1">
      <c r="A394" s="2">
        <v>400.0</v>
      </c>
      <c r="B394" s="1" t="s">
        <v>160</v>
      </c>
      <c r="C394" s="1" t="s">
        <v>1218</v>
      </c>
      <c r="D394" s="1" t="s">
        <v>1271</v>
      </c>
      <c r="E394" s="2">
        <v>5.70055376508E11</v>
      </c>
      <c r="F394" s="1" t="s">
        <v>1273</v>
      </c>
      <c r="G394" s="1" t="s">
        <v>12</v>
      </c>
      <c r="H394" s="3" t="s">
        <v>826</v>
      </c>
      <c r="I394" s="1"/>
    </row>
    <row r="395" ht="15.75" customHeight="1">
      <c r="A395" s="2">
        <v>401.0</v>
      </c>
      <c r="B395" s="1" t="s">
        <v>1274</v>
      </c>
      <c r="C395" s="1" t="s">
        <v>1207</v>
      </c>
      <c r="D395" s="1" t="s">
        <v>1208</v>
      </c>
      <c r="E395" s="2">
        <v>5.70055376509E11</v>
      </c>
      <c r="F395" s="1" t="s">
        <v>1275</v>
      </c>
      <c r="G395" s="1" t="s">
        <v>70</v>
      </c>
      <c r="H395" s="3" t="s">
        <v>826</v>
      </c>
      <c r="I395" s="1"/>
    </row>
    <row r="396" ht="15.75" customHeight="1">
      <c r="A396" s="2">
        <v>402.0</v>
      </c>
      <c r="B396" s="1" t="s">
        <v>1276</v>
      </c>
      <c r="C396" s="1" t="s">
        <v>1277</v>
      </c>
      <c r="D396" s="1" t="s">
        <v>50</v>
      </c>
      <c r="E396" s="2">
        <v>5.7005537651E11</v>
      </c>
      <c r="F396" s="1" t="s">
        <v>1278</v>
      </c>
      <c r="G396" s="1" t="s">
        <v>95</v>
      </c>
      <c r="H396" s="3" t="s">
        <v>826</v>
      </c>
      <c r="I396" s="1"/>
    </row>
    <row r="397" ht="15.75" customHeight="1">
      <c r="A397" s="2">
        <v>403.0</v>
      </c>
      <c r="B397" s="1" t="s">
        <v>1279</v>
      </c>
      <c r="C397" s="1" t="s">
        <v>140</v>
      </c>
      <c r="D397" s="1" t="s">
        <v>1280</v>
      </c>
      <c r="E397" s="2">
        <v>5.70055376511E11</v>
      </c>
      <c r="F397" s="1" t="s">
        <v>1281</v>
      </c>
      <c r="G397" s="1" t="s">
        <v>12</v>
      </c>
      <c r="H397" s="3" t="s">
        <v>826</v>
      </c>
      <c r="I397" s="1"/>
    </row>
    <row r="398" ht="15.75" customHeight="1">
      <c r="A398" s="2">
        <v>404.0</v>
      </c>
      <c r="B398" s="1" t="s">
        <v>839</v>
      </c>
      <c r="C398" s="1" t="s">
        <v>206</v>
      </c>
      <c r="D398" s="1" t="s">
        <v>176</v>
      </c>
      <c r="E398" s="2">
        <v>5.70055376512E11</v>
      </c>
      <c r="F398" s="1" t="s">
        <v>47</v>
      </c>
      <c r="G398" s="1" t="s">
        <v>12</v>
      </c>
      <c r="H398" s="3" t="s">
        <v>826</v>
      </c>
      <c r="I398" s="1"/>
    </row>
    <row r="399" ht="15.75" customHeight="1">
      <c r="A399" s="2">
        <v>405.0</v>
      </c>
      <c r="B399" s="1" t="s">
        <v>1282</v>
      </c>
      <c r="C399" s="1" t="s">
        <v>1283</v>
      </c>
      <c r="D399" s="1" t="s">
        <v>1284</v>
      </c>
      <c r="E399" s="2">
        <v>5.70055376514E11</v>
      </c>
      <c r="F399" s="1" t="s">
        <v>1285</v>
      </c>
      <c r="G399" s="1" t="s">
        <v>70</v>
      </c>
      <c r="H399" s="3" t="s">
        <v>826</v>
      </c>
      <c r="I399" s="1"/>
    </row>
    <row r="400" ht="15.75" customHeight="1">
      <c r="A400" s="2">
        <v>406.0</v>
      </c>
      <c r="B400" s="1" t="s">
        <v>1286</v>
      </c>
      <c r="C400" s="1" t="s">
        <v>1287</v>
      </c>
      <c r="D400" s="1" t="s">
        <v>1288</v>
      </c>
      <c r="E400" s="2">
        <v>5.70055376517E11</v>
      </c>
      <c r="F400" s="1" t="s">
        <v>1289</v>
      </c>
      <c r="G400" s="1" t="s">
        <v>70</v>
      </c>
      <c r="H400" s="3" t="s">
        <v>826</v>
      </c>
      <c r="I400" s="1"/>
    </row>
    <row r="401" ht="15.75" customHeight="1">
      <c r="A401" s="2">
        <v>407.0</v>
      </c>
      <c r="B401" s="1" t="s">
        <v>1290</v>
      </c>
      <c r="C401" s="1" t="s">
        <v>1291</v>
      </c>
      <c r="D401" s="1" t="s">
        <v>1292</v>
      </c>
      <c r="E401" s="2">
        <v>5.70055376518E11</v>
      </c>
      <c r="F401" s="1" t="s">
        <v>1293</v>
      </c>
      <c r="G401" s="1" t="s">
        <v>12</v>
      </c>
      <c r="H401" s="3" t="s">
        <v>826</v>
      </c>
      <c r="I401" s="1"/>
    </row>
    <row r="402" ht="15.75" customHeight="1">
      <c r="A402" s="2">
        <v>408.0</v>
      </c>
      <c r="B402" s="1" t="s">
        <v>1294</v>
      </c>
      <c r="C402" s="1" t="s">
        <v>1290</v>
      </c>
      <c r="D402" s="1" t="s">
        <v>203</v>
      </c>
      <c r="E402" s="2">
        <v>5.7005537652E11</v>
      </c>
      <c r="F402" s="1" t="s">
        <v>281</v>
      </c>
      <c r="G402" s="1" t="s">
        <v>12</v>
      </c>
      <c r="H402" s="3" t="s">
        <v>826</v>
      </c>
      <c r="I402" s="1"/>
    </row>
    <row r="403" ht="15.75" customHeight="1">
      <c r="A403" s="2">
        <v>409.0</v>
      </c>
      <c r="B403" s="1" t="s">
        <v>911</v>
      </c>
      <c r="C403" s="1" t="s">
        <v>1295</v>
      </c>
      <c r="D403" s="1" t="s">
        <v>46</v>
      </c>
      <c r="E403" s="2">
        <v>5.70055376521E11</v>
      </c>
      <c r="F403" s="1" t="s">
        <v>1296</v>
      </c>
      <c r="G403" s="1" t="s">
        <v>12</v>
      </c>
      <c r="H403" s="3" t="s">
        <v>826</v>
      </c>
      <c r="I403" s="1"/>
    </row>
    <row r="404" ht="15.75" customHeight="1">
      <c r="A404" s="2">
        <v>410.0</v>
      </c>
      <c r="B404" s="1" t="s">
        <v>1297</v>
      </c>
      <c r="C404" s="1" t="s">
        <v>1298</v>
      </c>
      <c r="D404" s="1" t="s">
        <v>1299</v>
      </c>
      <c r="E404" s="2">
        <v>5.70055376522E11</v>
      </c>
      <c r="F404" s="1" t="s">
        <v>1300</v>
      </c>
      <c r="G404" s="1" t="s">
        <v>12</v>
      </c>
      <c r="H404" s="3" t="s">
        <v>826</v>
      </c>
      <c r="I404" s="1"/>
    </row>
    <row r="405" ht="15.75" customHeight="1">
      <c r="A405" s="2">
        <v>411.0</v>
      </c>
      <c r="B405" s="1" t="s">
        <v>1301</v>
      </c>
      <c r="C405" s="1" t="s">
        <v>1302</v>
      </c>
      <c r="D405" s="1" t="s">
        <v>1303</v>
      </c>
      <c r="E405" s="2">
        <v>5.70055376523E11</v>
      </c>
      <c r="F405" s="1" t="s">
        <v>1304</v>
      </c>
      <c r="G405" s="1" t="s">
        <v>12</v>
      </c>
      <c r="H405" s="3" t="s">
        <v>826</v>
      </c>
      <c r="I405" s="1"/>
    </row>
    <row r="406" ht="15.75" customHeight="1">
      <c r="A406" s="2">
        <v>412.0</v>
      </c>
      <c r="B406" s="1" t="s">
        <v>1305</v>
      </c>
      <c r="C406" s="1" t="s">
        <v>1306</v>
      </c>
      <c r="D406" s="1" t="s">
        <v>1307</v>
      </c>
      <c r="E406" s="2">
        <v>5.70055376524E11</v>
      </c>
      <c r="F406" s="1" t="s">
        <v>1308</v>
      </c>
      <c r="G406" s="1" t="s">
        <v>12</v>
      </c>
      <c r="H406" s="3" t="s">
        <v>826</v>
      </c>
      <c r="I406" s="1"/>
    </row>
    <row r="407" ht="15.75" customHeight="1">
      <c r="A407" s="2">
        <v>413.0</v>
      </c>
      <c r="B407" s="1" t="s">
        <v>1309</v>
      </c>
      <c r="C407" s="1" t="s">
        <v>1099</v>
      </c>
      <c r="D407" s="1" t="s">
        <v>1310</v>
      </c>
      <c r="E407" s="2">
        <v>5.70055376525E11</v>
      </c>
      <c r="F407" s="1" t="s">
        <v>1311</v>
      </c>
      <c r="G407" s="1" t="s">
        <v>12</v>
      </c>
      <c r="H407" s="3" t="s">
        <v>826</v>
      </c>
      <c r="I407" s="1"/>
    </row>
    <row r="408" ht="15.75" customHeight="1">
      <c r="A408" s="2">
        <v>414.0</v>
      </c>
      <c r="B408" s="1" t="s">
        <v>1312</v>
      </c>
      <c r="C408" s="1" t="s">
        <v>17</v>
      </c>
      <c r="D408" s="1" t="s">
        <v>64</v>
      </c>
      <c r="E408" s="2">
        <v>5.70055376552E11</v>
      </c>
      <c r="F408" s="1" t="s">
        <v>1313</v>
      </c>
      <c r="G408" s="1" t="s">
        <v>25</v>
      </c>
      <c r="H408" s="3" t="s">
        <v>826</v>
      </c>
      <c r="I408" s="1"/>
    </row>
    <row r="409" ht="15.75" customHeight="1">
      <c r="A409" s="2">
        <v>415.0</v>
      </c>
      <c r="B409" s="1" t="s">
        <v>1314</v>
      </c>
      <c r="C409" s="1" t="s">
        <v>827</v>
      </c>
      <c r="D409" s="1" t="s">
        <v>1315</v>
      </c>
      <c r="E409" s="2">
        <v>5.70055376553E11</v>
      </c>
      <c r="F409" s="1" t="s">
        <v>1316</v>
      </c>
      <c r="G409" s="1" t="s">
        <v>12</v>
      </c>
      <c r="H409" s="3" t="s">
        <v>826</v>
      </c>
      <c r="I409" s="1"/>
    </row>
    <row r="410" ht="15.75" customHeight="1">
      <c r="A410" s="2">
        <v>416.0</v>
      </c>
      <c r="B410" s="1" t="s">
        <v>1317</v>
      </c>
      <c r="C410" s="1" t="s">
        <v>1318</v>
      </c>
      <c r="D410" s="1" t="s">
        <v>1319</v>
      </c>
      <c r="E410" s="2">
        <v>5.70055376555E11</v>
      </c>
      <c r="F410" s="1" t="s">
        <v>1320</v>
      </c>
      <c r="G410" s="1" t="s">
        <v>70</v>
      </c>
      <c r="H410" s="3" t="s">
        <v>826</v>
      </c>
      <c r="I410" s="1"/>
    </row>
    <row r="411" ht="15.75" customHeight="1">
      <c r="A411" s="2">
        <v>417.0</v>
      </c>
      <c r="B411" s="1" t="s">
        <v>1321</v>
      </c>
      <c r="C411" s="1" t="s">
        <v>122</v>
      </c>
      <c r="D411" s="1" t="s">
        <v>123</v>
      </c>
      <c r="E411" s="2">
        <v>5.70055376557E11</v>
      </c>
      <c r="F411" s="1" t="s">
        <v>1322</v>
      </c>
      <c r="G411" s="1" t="s">
        <v>20</v>
      </c>
      <c r="H411" s="3" t="s">
        <v>826</v>
      </c>
      <c r="I411" s="1"/>
    </row>
    <row r="412" ht="15.75" customHeight="1">
      <c r="A412" s="2">
        <v>418.0</v>
      </c>
      <c r="B412" s="1" t="s">
        <v>99</v>
      </c>
      <c r="C412" s="1" t="s">
        <v>1323</v>
      </c>
      <c r="D412" s="1" t="s">
        <v>870</v>
      </c>
      <c r="E412" s="2">
        <v>5.70055376558E11</v>
      </c>
      <c r="F412" s="1" t="s">
        <v>1228</v>
      </c>
      <c r="G412" s="1" t="s">
        <v>12</v>
      </c>
      <c r="H412" s="3" t="s">
        <v>826</v>
      </c>
      <c r="I412" s="1"/>
    </row>
    <row r="413" ht="15.75" customHeight="1">
      <c r="A413" s="2">
        <v>419.0</v>
      </c>
      <c r="B413" s="1" t="s">
        <v>1324</v>
      </c>
      <c r="C413" s="1" t="s">
        <v>1325</v>
      </c>
      <c r="D413" s="1" t="s">
        <v>1326</v>
      </c>
      <c r="E413" s="2">
        <v>5.7005537656E11</v>
      </c>
      <c r="F413" s="1" t="s">
        <v>1327</v>
      </c>
      <c r="G413" s="1" t="s">
        <v>12</v>
      </c>
      <c r="H413" s="3" t="s">
        <v>826</v>
      </c>
      <c r="I413" s="1"/>
    </row>
    <row r="414" ht="15.75" customHeight="1">
      <c r="A414" s="2">
        <v>420.0</v>
      </c>
      <c r="B414" s="1" t="s">
        <v>1328</v>
      </c>
      <c r="C414" s="1" t="s">
        <v>1329</v>
      </c>
      <c r="D414" s="1" t="s">
        <v>1330</v>
      </c>
      <c r="E414" s="2">
        <v>5.70055376562E11</v>
      </c>
      <c r="F414" s="1" t="s">
        <v>1331</v>
      </c>
      <c r="G414" s="1" t="s">
        <v>12</v>
      </c>
      <c r="H414" s="3" t="s">
        <v>826</v>
      </c>
      <c r="I414" s="1"/>
    </row>
    <row r="415" ht="15.75" customHeight="1">
      <c r="A415" s="2">
        <v>421.0</v>
      </c>
      <c r="B415" s="1" t="s">
        <v>1332</v>
      </c>
      <c r="C415" s="1" t="s">
        <v>1333</v>
      </c>
      <c r="D415" s="1" t="s">
        <v>1334</v>
      </c>
      <c r="E415" s="2">
        <v>5.70055376564E11</v>
      </c>
      <c r="F415" s="1" t="s">
        <v>1335</v>
      </c>
      <c r="G415" s="1" t="s">
        <v>12</v>
      </c>
      <c r="H415" s="3" t="s">
        <v>826</v>
      </c>
      <c r="I415" s="1"/>
    </row>
    <row r="416" ht="15.75" customHeight="1">
      <c r="A416" s="2">
        <v>422.0</v>
      </c>
      <c r="B416" s="1" t="s">
        <v>1336</v>
      </c>
      <c r="C416" s="1" t="s">
        <v>1337</v>
      </c>
      <c r="D416" s="1" t="s">
        <v>1338</v>
      </c>
      <c r="E416" s="2">
        <v>5.70055376566E11</v>
      </c>
      <c r="F416" s="1" t="s">
        <v>1339</v>
      </c>
      <c r="G416" s="1" t="s">
        <v>247</v>
      </c>
      <c r="H416" s="3" t="s">
        <v>826</v>
      </c>
      <c r="I416" s="1"/>
    </row>
    <row r="417" ht="15.75" customHeight="1">
      <c r="A417" s="2">
        <v>423.0</v>
      </c>
      <c r="B417" s="1" t="s">
        <v>191</v>
      </c>
      <c r="C417" s="1" t="s">
        <v>1340</v>
      </c>
      <c r="D417" s="1" t="s">
        <v>851</v>
      </c>
      <c r="E417" s="2">
        <v>5.70055376568E11</v>
      </c>
      <c r="F417" s="1" t="s">
        <v>1341</v>
      </c>
      <c r="G417" s="1" t="s">
        <v>12</v>
      </c>
      <c r="H417" s="3" t="s">
        <v>826</v>
      </c>
      <c r="I417" s="1"/>
    </row>
    <row r="418" ht="15.75" customHeight="1">
      <c r="A418" s="2">
        <v>424.0</v>
      </c>
      <c r="B418" s="1" t="s">
        <v>1342</v>
      </c>
      <c r="C418" s="1" t="s">
        <v>1240</v>
      </c>
      <c r="D418" s="1" t="s">
        <v>1343</v>
      </c>
      <c r="E418" s="2">
        <v>5.70055376569E11</v>
      </c>
      <c r="F418" s="1" t="s">
        <v>1344</v>
      </c>
      <c r="G418" s="1" t="s">
        <v>12</v>
      </c>
      <c r="H418" s="3" t="s">
        <v>826</v>
      </c>
      <c r="I418" s="1"/>
    </row>
    <row r="419" ht="15.75" customHeight="1">
      <c r="A419" s="2">
        <v>425.0</v>
      </c>
      <c r="B419" s="1" t="s">
        <v>1345</v>
      </c>
      <c r="C419" s="1" t="s">
        <v>1346</v>
      </c>
      <c r="D419" s="1" t="s">
        <v>874</v>
      </c>
      <c r="E419" s="2">
        <v>5.7005537657E11</v>
      </c>
      <c r="F419" s="1" t="s">
        <v>1347</v>
      </c>
      <c r="G419" s="1" t="s">
        <v>441</v>
      </c>
      <c r="H419" s="3" t="s">
        <v>826</v>
      </c>
      <c r="I419" s="1"/>
    </row>
    <row r="420" ht="15.75" customHeight="1">
      <c r="A420" s="2">
        <v>426.0</v>
      </c>
      <c r="B420" s="1" t="s">
        <v>1348</v>
      </c>
      <c r="C420" s="1" t="s">
        <v>1349</v>
      </c>
      <c r="D420" s="1" t="s">
        <v>1350</v>
      </c>
      <c r="E420" s="2">
        <v>5.70055376571E11</v>
      </c>
      <c r="F420" s="1" t="s">
        <v>1351</v>
      </c>
      <c r="G420" s="1" t="s">
        <v>12</v>
      </c>
      <c r="H420" s="3" t="s">
        <v>826</v>
      </c>
      <c r="I420" s="1"/>
    </row>
    <row r="421" ht="15.75" customHeight="1">
      <c r="A421" s="2">
        <v>427.0</v>
      </c>
      <c r="B421" s="1" t="s">
        <v>113</v>
      </c>
      <c r="C421" s="1" t="s">
        <v>1352</v>
      </c>
      <c r="D421" s="1" t="s">
        <v>1353</v>
      </c>
      <c r="E421" s="2">
        <v>5.70055376572E11</v>
      </c>
      <c r="F421" s="1" t="s">
        <v>1354</v>
      </c>
      <c r="G421" s="1" t="s">
        <v>70</v>
      </c>
      <c r="H421" s="3" t="s">
        <v>826</v>
      </c>
      <c r="I421" s="1"/>
    </row>
    <row r="422" ht="15.75" customHeight="1">
      <c r="A422" s="2">
        <v>428.0</v>
      </c>
      <c r="B422" s="1" t="s">
        <v>1301</v>
      </c>
      <c r="C422" s="1" t="s">
        <v>1355</v>
      </c>
      <c r="D422" s="1" t="s">
        <v>1356</v>
      </c>
      <c r="E422" s="2">
        <v>5.70055376574E11</v>
      </c>
      <c r="F422" s="1" t="s">
        <v>1357</v>
      </c>
      <c r="G422" s="1" t="s">
        <v>12</v>
      </c>
      <c r="H422" s="3" t="s">
        <v>826</v>
      </c>
      <c r="I422" s="1"/>
    </row>
    <row r="423" ht="15.75" customHeight="1">
      <c r="A423" s="2">
        <v>429.0</v>
      </c>
      <c r="B423" s="1" t="s">
        <v>129</v>
      </c>
      <c r="C423" s="1" t="s">
        <v>347</v>
      </c>
      <c r="D423" s="1" t="s">
        <v>1358</v>
      </c>
      <c r="E423" s="2">
        <v>5.70055376577E11</v>
      </c>
      <c r="F423" s="1" t="s">
        <v>1359</v>
      </c>
      <c r="G423" s="1" t="s">
        <v>25</v>
      </c>
      <c r="H423" s="3" t="s">
        <v>826</v>
      </c>
      <c r="I423" s="1"/>
    </row>
    <row r="424" ht="15.75" customHeight="1">
      <c r="A424" s="2">
        <v>430.0</v>
      </c>
      <c r="B424" s="1" t="s">
        <v>1360</v>
      </c>
      <c r="C424" s="1" t="s">
        <v>381</v>
      </c>
      <c r="D424" s="1" t="s">
        <v>1361</v>
      </c>
      <c r="E424" s="2">
        <v>5.70055376578E11</v>
      </c>
      <c r="F424" s="1" t="s">
        <v>810</v>
      </c>
      <c r="G424" s="1" t="s">
        <v>20</v>
      </c>
      <c r="H424" s="3" t="s">
        <v>826</v>
      </c>
      <c r="I424" s="1"/>
    </row>
    <row r="425" ht="15.75" customHeight="1">
      <c r="A425" s="2">
        <v>431.0</v>
      </c>
      <c r="B425" s="1" t="s">
        <v>880</v>
      </c>
      <c r="C425" s="1" t="s">
        <v>1362</v>
      </c>
      <c r="D425" s="1" t="s">
        <v>1248</v>
      </c>
      <c r="E425" s="2">
        <v>5.70055376579E11</v>
      </c>
      <c r="F425" s="1" t="s">
        <v>1363</v>
      </c>
      <c r="G425" s="1" t="s">
        <v>25</v>
      </c>
      <c r="H425" s="3" t="s">
        <v>826</v>
      </c>
      <c r="I425" s="1"/>
    </row>
    <row r="426" ht="15.75" customHeight="1">
      <c r="A426" s="2">
        <v>432.0</v>
      </c>
      <c r="B426" s="1" t="s">
        <v>129</v>
      </c>
      <c r="C426" s="1" t="s">
        <v>952</v>
      </c>
      <c r="D426" s="1" t="s">
        <v>1364</v>
      </c>
      <c r="E426" s="2">
        <v>5.7005537658E11</v>
      </c>
      <c r="F426" s="1" t="s">
        <v>1365</v>
      </c>
      <c r="G426" s="1" t="s">
        <v>20</v>
      </c>
      <c r="H426" s="3" t="s">
        <v>826</v>
      </c>
      <c r="I426" s="1"/>
    </row>
    <row r="427" ht="15.75" customHeight="1">
      <c r="A427" s="2">
        <v>433.0</v>
      </c>
      <c r="B427" s="1" t="s">
        <v>1366</v>
      </c>
      <c r="C427" s="1" t="s">
        <v>836</v>
      </c>
      <c r="D427" s="1" t="s">
        <v>1367</v>
      </c>
      <c r="E427" s="2">
        <v>5.70055376581E11</v>
      </c>
      <c r="F427" s="1" t="s">
        <v>1368</v>
      </c>
      <c r="G427" s="1" t="s">
        <v>12</v>
      </c>
      <c r="H427" s="3" t="s">
        <v>826</v>
      </c>
      <c r="I427" s="1"/>
    </row>
    <row r="428" ht="15.75" customHeight="1">
      <c r="A428" s="2">
        <v>434.0</v>
      </c>
      <c r="B428" s="1" t="s">
        <v>1369</v>
      </c>
      <c r="C428" s="1" t="s">
        <v>1370</v>
      </c>
      <c r="D428" s="1" t="s">
        <v>180</v>
      </c>
      <c r="E428" s="2">
        <v>5.70055376582E11</v>
      </c>
      <c r="F428" s="1" t="s">
        <v>1371</v>
      </c>
      <c r="G428" s="1" t="s">
        <v>12</v>
      </c>
      <c r="H428" s="3" t="s">
        <v>826</v>
      </c>
      <c r="I428" s="1"/>
    </row>
    <row r="429" ht="15.75" customHeight="1">
      <c r="A429" s="2">
        <v>435.0</v>
      </c>
      <c r="B429" s="1" t="s">
        <v>919</v>
      </c>
      <c r="C429" s="1" t="s">
        <v>1372</v>
      </c>
      <c r="D429" s="1" t="s">
        <v>1373</v>
      </c>
      <c r="E429" s="2">
        <v>5.70055376583E11</v>
      </c>
      <c r="F429" s="1" t="s">
        <v>1374</v>
      </c>
      <c r="G429" s="1" t="s">
        <v>12</v>
      </c>
      <c r="H429" s="3" t="s">
        <v>826</v>
      </c>
      <c r="I429" s="1"/>
    </row>
    <row r="430" ht="15.75" customHeight="1">
      <c r="A430" s="2">
        <v>436.0</v>
      </c>
      <c r="B430" s="1" t="s">
        <v>1375</v>
      </c>
      <c r="C430" s="1" t="s">
        <v>1376</v>
      </c>
      <c r="D430" s="1" t="s">
        <v>1377</v>
      </c>
      <c r="E430" s="2">
        <v>5.70055376609E11</v>
      </c>
      <c r="F430" s="1" t="s">
        <v>1378</v>
      </c>
      <c r="G430" s="1" t="s">
        <v>12</v>
      </c>
      <c r="H430" s="3" t="s">
        <v>826</v>
      </c>
      <c r="I430" s="1"/>
    </row>
    <row r="431" ht="15.75" customHeight="1">
      <c r="A431" s="2">
        <v>437.0</v>
      </c>
      <c r="B431" s="1" t="s">
        <v>1379</v>
      </c>
      <c r="C431" s="1" t="s">
        <v>1380</v>
      </c>
      <c r="D431" s="1" t="s">
        <v>1381</v>
      </c>
      <c r="E431" s="2">
        <v>5.7005537661E11</v>
      </c>
      <c r="F431" s="1" t="s">
        <v>1382</v>
      </c>
      <c r="G431" s="1" t="s">
        <v>12</v>
      </c>
      <c r="H431" s="3" t="s">
        <v>826</v>
      </c>
      <c r="I431" s="1"/>
    </row>
    <row r="432" ht="15.75" customHeight="1">
      <c r="A432" s="2">
        <v>438.0</v>
      </c>
      <c r="B432" s="1" t="s">
        <v>1383</v>
      </c>
      <c r="C432" s="1" t="s">
        <v>1384</v>
      </c>
      <c r="D432" s="1" t="s">
        <v>1385</v>
      </c>
      <c r="E432" s="2">
        <v>5.70055376611E11</v>
      </c>
      <c r="F432" s="1" t="s">
        <v>1386</v>
      </c>
      <c r="G432" s="1" t="s">
        <v>70</v>
      </c>
      <c r="H432" s="3" t="s">
        <v>826</v>
      </c>
      <c r="I432" s="1"/>
    </row>
    <row r="433" ht="15.75" customHeight="1">
      <c r="A433" s="2">
        <v>439.0</v>
      </c>
      <c r="B433" s="1" t="s">
        <v>1387</v>
      </c>
      <c r="C433" s="1" t="s">
        <v>96</v>
      </c>
      <c r="D433" s="1" t="s">
        <v>1388</v>
      </c>
      <c r="E433" s="2">
        <v>5.70055376612E11</v>
      </c>
      <c r="F433" s="1" t="s">
        <v>1389</v>
      </c>
      <c r="G433" s="1" t="s">
        <v>12</v>
      </c>
      <c r="H433" s="3" t="s">
        <v>826</v>
      </c>
      <c r="I433" s="1"/>
    </row>
    <row r="434" ht="15.75" customHeight="1">
      <c r="A434" s="2">
        <v>440.0</v>
      </c>
      <c r="B434" s="1" t="s">
        <v>1390</v>
      </c>
      <c r="C434" s="1" t="s">
        <v>1384</v>
      </c>
      <c r="D434" s="1" t="s">
        <v>1385</v>
      </c>
      <c r="E434" s="2">
        <v>5.70055376613E11</v>
      </c>
      <c r="F434" s="1" t="s">
        <v>1391</v>
      </c>
      <c r="G434" s="1" t="s">
        <v>25</v>
      </c>
      <c r="H434" s="3" t="s">
        <v>826</v>
      </c>
      <c r="I434" s="1"/>
    </row>
    <row r="435" ht="15.75" customHeight="1">
      <c r="A435" s="2">
        <v>441.0</v>
      </c>
      <c r="B435" s="1" t="s">
        <v>34</v>
      </c>
      <c r="C435" s="1"/>
      <c r="D435" s="1"/>
      <c r="E435" s="1"/>
      <c r="F435" s="1"/>
      <c r="G435" s="1"/>
      <c r="H435" s="1"/>
      <c r="I435" s="1"/>
    </row>
    <row r="436" ht="15.75" customHeight="1">
      <c r="A436" s="2">
        <v>442.0</v>
      </c>
      <c r="B436" s="1" t="s">
        <v>66</v>
      </c>
      <c r="C436" s="1" t="s">
        <v>1392</v>
      </c>
      <c r="D436" s="1" t="s">
        <v>1385</v>
      </c>
      <c r="E436" s="2">
        <v>5.70055376616E11</v>
      </c>
      <c r="F436" s="1" t="s">
        <v>1393</v>
      </c>
      <c r="G436" s="1" t="s">
        <v>25</v>
      </c>
      <c r="H436" s="3" t="s">
        <v>826</v>
      </c>
      <c r="I436" s="1"/>
    </row>
    <row r="437" ht="15.75" customHeight="1">
      <c r="A437" s="2">
        <v>443.0</v>
      </c>
      <c r="B437" s="1" t="s">
        <v>1394</v>
      </c>
      <c r="C437" s="1" t="s">
        <v>1384</v>
      </c>
      <c r="D437" s="1" t="s">
        <v>1385</v>
      </c>
      <c r="E437" s="2">
        <v>5.70055376618E11</v>
      </c>
      <c r="F437" s="1" t="s">
        <v>1395</v>
      </c>
      <c r="G437" s="1" t="s">
        <v>12</v>
      </c>
      <c r="H437" s="3" t="s">
        <v>826</v>
      </c>
      <c r="I437" s="1"/>
    </row>
    <row r="438" ht="15.75" customHeight="1">
      <c r="A438" s="2">
        <v>444.0</v>
      </c>
      <c r="B438" s="1" t="s">
        <v>1396</v>
      </c>
      <c r="C438" s="1" t="s">
        <v>1397</v>
      </c>
      <c r="D438" s="1" t="s">
        <v>1256</v>
      </c>
      <c r="E438" s="2">
        <v>5.70055376619E11</v>
      </c>
      <c r="F438" s="1" t="s">
        <v>1189</v>
      </c>
      <c r="G438" s="1" t="s">
        <v>12</v>
      </c>
      <c r="H438" s="3" t="s">
        <v>826</v>
      </c>
      <c r="I438" s="1"/>
    </row>
    <row r="439" ht="15.75" customHeight="1">
      <c r="A439" s="2">
        <v>445.0</v>
      </c>
      <c r="B439" s="1" t="s">
        <v>1398</v>
      </c>
      <c r="C439" s="1" t="s">
        <v>1399</v>
      </c>
      <c r="D439" s="1" t="s">
        <v>1400</v>
      </c>
      <c r="E439" s="2">
        <v>5.70055376622E11</v>
      </c>
      <c r="F439" s="1" t="s">
        <v>98</v>
      </c>
      <c r="G439" s="1" t="s">
        <v>12</v>
      </c>
      <c r="H439" s="3" t="s">
        <v>826</v>
      </c>
      <c r="I439" s="1"/>
    </row>
    <row r="440" ht="15.75" customHeight="1">
      <c r="A440" s="2">
        <v>446.0</v>
      </c>
      <c r="B440" s="1" t="s">
        <v>839</v>
      </c>
      <c r="C440" s="1" t="s">
        <v>1401</v>
      </c>
      <c r="D440" s="1" t="s">
        <v>1402</v>
      </c>
      <c r="E440" s="2">
        <v>5.70055376625E11</v>
      </c>
      <c r="F440" s="1" t="s">
        <v>1403</v>
      </c>
      <c r="G440" s="1" t="s">
        <v>12</v>
      </c>
      <c r="H440" s="3" t="s">
        <v>826</v>
      </c>
      <c r="I440" s="1"/>
    </row>
    <row r="441" ht="15.75" customHeight="1">
      <c r="A441" s="2">
        <v>447.0</v>
      </c>
      <c r="B441" s="1" t="s">
        <v>1404</v>
      </c>
      <c r="C441" s="1" t="s">
        <v>1348</v>
      </c>
      <c r="D441" s="1" t="s">
        <v>1405</v>
      </c>
      <c r="E441" s="2">
        <v>5.70055376627E11</v>
      </c>
      <c r="F441" s="1" t="s">
        <v>1406</v>
      </c>
      <c r="G441" s="1" t="s">
        <v>12</v>
      </c>
      <c r="H441" s="3" t="s">
        <v>826</v>
      </c>
      <c r="I441" s="1"/>
    </row>
    <row r="442" ht="15.75" customHeight="1">
      <c r="A442" s="2">
        <v>448.0</v>
      </c>
      <c r="B442" s="1" t="s">
        <v>34</v>
      </c>
      <c r="C442" s="1"/>
      <c r="D442" s="1"/>
      <c r="E442" s="1"/>
      <c r="F442" s="1"/>
      <c r="G442" s="1"/>
      <c r="H442" s="1"/>
      <c r="I442" s="1"/>
    </row>
    <row r="443" ht="15.75" customHeight="1">
      <c r="A443" s="2">
        <v>449.0</v>
      </c>
      <c r="B443" s="1" t="s">
        <v>1407</v>
      </c>
      <c r="C443" s="1" t="s">
        <v>1408</v>
      </c>
      <c r="D443" s="1" t="s">
        <v>1409</v>
      </c>
      <c r="E443" s="2">
        <v>5.70055376631E11</v>
      </c>
      <c r="F443" s="1" t="s">
        <v>1410</v>
      </c>
      <c r="G443" s="1" t="s">
        <v>25</v>
      </c>
      <c r="H443" s="3" t="s">
        <v>826</v>
      </c>
      <c r="I443" s="1"/>
    </row>
    <row r="444" ht="15.75" customHeight="1">
      <c r="A444" s="2">
        <v>450.0</v>
      </c>
      <c r="B444" s="1" t="s">
        <v>27</v>
      </c>
      <c r="C444" s="1" t="s">
        <v>1034</v>
      </c>
      <c r="D444" s="1" t="s">
        <v>1411</v>
      </c>
      <c r="E444" s="2">
        <v>5.70055376632E11</v>
      </c>
      <c r="F444" s="1" t="s">
        <v>65</v>
      </c>
      <c r="G444" s="1" t="s">
        <v>12</v>
      </c>
      <c r="H444" s="3" t="s">
        <v>826</v>
      </c>
      <c r="I444" s="1"/>
    </row>
    <row r="445" ht="15.75" customHeight="1">
      <c r="A445" s="2">
        <v>451.0</v>
      </c>
      <c r="B445" s="1" t="s">
        <v>240</v>
      </c>
      <c r="C445" s="1" t="s">
        <v>1412</v>
      </c>
      <c r="D445" s="1" t="s">
        <v>60</v>
      </c>
      <c r="E445" s="2">
        <v>5.70055376633E11</v>
      </c>
      <c r="F445" s="1" t="s">
        <v>1413</v>
      </c>
      <c r="G445" s="1" t="s">
        <v>12</v>
      </c>
      <c r="H445" s="3" t="s">
        <v>826</v>
      </c>
      <c r="I445" s="1"/>
    </row>
    <row r="446" ht="15.75" customHeight="1">
      <c r="A446" s="2">
        <v>452.0</v>
      </c>
      <c r="B446" s="1" t="s">
        <v>911</v>
      </c>
      <c r="C446" s="1" t="s">
        <v>1376</v>
      </c>
      <c r="D446" s="1" t="s">
        <v>1377</v>
      </c>
      <c r="E446" s="2">
        <v>5.70055376636E11</v>
      </c>
      <c r="F446" s="1" t="s">
        <v>1414</v>
      </c>
      <c r="G446" s="1" t="s">
        <v>25</v>
      </c>
      <c r="H446" s="3" t="s">
        <v>826</v>
      </c>
      <c r="I446" s="1"/>
    </row>
    <row r="447" ht="15.75" customHeight="1">
      <c r="A447" s="2">
        <v>453.0</v>
      </c>
      <c r="B447" s="1" t="s">
        <v>1257</v>
      </c>
      <c r="C447" s="1" t="s">
        <v>1210</v>
      </c>
      <c r="D447" s="1" t="s">
        <v>1211</v>
      </c>
      <c r="E447" s="2">
        <v>5.70055376639E11</v>
      </c>
      <c r="F447" s="1" t="s">
        <v>1415</v>
      </c>
      <c r="G447" s="1" t="s">
        <v>25</v>
      </c>
      <c r="H447" s="3" t="s">
        <v>826</v>
      </c>
      <c r="I447" s="1"/>
    </row>
    <row r="448" ht="15.75" customHeight="1">
      <c r="A448" s="2">
        <v>454.0</v>
      </c>
      <c r="B448" s="1" t="s">
        <v>1416</v>
      </c>
      <c r="C448" s="1" t="s">
        <v>1384</v>
      </c>
      <c r="D448" s="1" t="s">
        <v>1361</v>
      </c>
      <c r="E448" s="2">
        <v>5.7005537664E11</v>
      </c>
      <c r="F448" s="1" t="s">
        <v>1417</v>
      </c>
      <c r="G448" s="1" t="s">
        <v>12</v>
      </c>
      <c r="H448" s="3" t="s">
        <v>826</v>
      </c>
      <c r="I448" s="1"/>
    </row>
    <row r="449" ht="15.75" customHeight="1">
      <c r="A449" s="2">
        <v>455.0</v>
      </c>
      <c r="B449" s="1" t="s">
        <v>1418</v>
      </c>
      <c r="C449" s="1" t="s">
        <v>1419</v>
      </c>
      <c r="D449" s="1" t="s">
        <v>950</v>
      </c>
      <c r="E449" s="2">
        <v>5.70055376641E11</v>
      </c>
      <c r="F449" s="1" t="s">
        <v>1420</v>
      </c>
      <c r="G449" s="1" t="s">
        <v>25</v>
      </c>
      <c r="H449" s="3" t="s">
        <v>826</v>
      </c>
      <c r="I449" s="1"/>
    </row>
    <row r="450" ht="15.75" customHeight="1">
      <c r="A450" s="2">
        <v>456.0</v>
      </c>
      <c r="B450" s="1" t="s">
        <v>1421</v>
      </c>
      <c r="C450" s="1" t="s">
        <v>1422</v>
      </c>
      <c r="D450" s="1" t="s">
        <v>1303</v>
      </c>
      <c r="E450" s="2">
        <v>5.70055376644E11</v>
      </c>
      <c r="F450" s="1" t="s">
        <v>1423</v>
      </c>
      <c r="G450" s="1" t="s">
        <v>12</v>
      </c>
      <c r="H450" s="3" t="s">
        <v>826</v>
      </c>
      <c r="I450" s="1"/>
    </row>
    <row r="451" ht="15.75" customHeight="1">
      <c r="A451" s="2">
        <v>457.0</v>
      </c>
      <c r="B451" s="1" t="s">
        <v>1424</v>
      </c>
      <c r="C451" s="1" t="s">
        <v>1412</v>
      </c>
      <c r="D451" s="1" t="s">
        <v>60</v>
      </c>
      <c r="E451" s="2">
        <v>5.70055376645E11</v>
      </c>
      <c r="F451" s="1" t="s">
        <v>1425</v>
      </c>
      <c r="G451" s="1" t="s">
        <v>12</v>
      </c>
      <c r="H451" s="3" t="s">
        <v>826</v>
      </c>
      <c r="I451" s="1"/>
    </row>
    <row r="452" ht="15.75" customHeight="1">
      <c r="A452" s="2">
        <v>458.0</v>
      </c>
      <c r="B452" s="1" t="s">
        <v>1426</v>
      </c>
      <c r="C452" s="1" t="s">
        <v>1392</v>
      </c>
      <c r="D452" s="1" t="s">
        <v>1427</v>
      </c>
      <c r="E452" s="2">
        <v>5.70055376647E11</v>
      </c>
      <c r="F452" s="1" t="s">
        <v>163</v>
      </c>
      <c r="G452" s="1" t="s">
        <v>12</v>
      </c>
      <c r="H452" s="3" t="s">
        <v>826</v>
      </c>
      <c r="I452" s="1"/>
    </row>
    <row r="453" ht="15.75" customHeight="1">
      <c r="A453" s="2">
        <v>459.0</v>
      </c>
      <c r="B453" s="1" t="s">
        <v>1428</v>
      </c>
      <c r="C453" s="1" t="s">
        <v>8</v>
      </c>
      <c r="D453" s="1" t="s">
        <v>107</v>
      </c>
      <c r="E453" s="2">
        <v>5.70055376649E11</v>
      </c>
      <c r="F453" s="1" t="s">
        <v>1429</v>
      </c>
      <c r="G453" s="1" t="s">
        <v>12</v>
      </c>
      <c r="H453" s="3" t="s">
        <v>826</v>
      </c>
      <c r="I453" s="1"/>
    </row>
    <row r="454" ht="15.75" customHeight="1">
      <c r="A454" s="2">
        <v>460.0</v>
      </c>
      <c r="B454" s="1" t="s">
        <v>1430</v>
      </c>
      <c r="C454" s="1" t="s">
        <v>229</v>
      </c>
      <c r="D454" s="1" t="s">
        <v>1431</v>
      </c>
      <c r="E454" s="2">
        <v>5.70055376652E11</v>
      </c>
      <c r="F454" s="1" t="s">
        <v>1432</v>
      </c>
      <c r="G454" s="1" t="s">
        <v>25</v>
      </c>
      <c r="H454" s="3" t="s">
        <v>826</v>
      </c>
      <c r="I454" s="1"/>
    </row>
    <row r="455" ht="15.75" customHeight="1">
      <c r="A455" s="2">
        <v>461.0</v>
      </c>
      <c r="B455" s="1" t="s">
        <v>1295</v>
      </c>
      <c r="C455" s="1" t="s">
        <v>1433</v>
      </c>
      <c r="D455" s="1" t="s">
        <v>1208</v>
      </c>
      <c r="E455" s="2">
        <v>5.70055376656E11</v>
      </c>
      <c r="F455" s="1" t="s">
        <v>1434</v>
      </c>
      <c r="G455" s="1" t="s">
        <v>70</v>
      </c>
      <c r="H455" s="3" t="s">
        <v>826</v>
      </c>
      <c r="I455" s="1"/>
    </row>
    <row r="456" ht="15.75" customHeight="1">
      <c r="A456" s="2">
        <v>462.0</v>
      </c>
      <c r="B456" s="1" t="s">
        <v>1435</v>
      </c>
      <c r="C456" s="1" t="s">
        <v>528</v>
      </c>
      <c r="D456" s="1" t="s">
        <v>1196</v>
      </c>
      <c r="E456" s="2">
        <v>5.70055376658E11</v>
      </c>
      <c r="F456" s="1" t="s">
        <v>1436</v>
      </c>
      <c r="G456" s="1" t="s">
        <v>12</v>
      </c>
      <c r="H456" s="3" t="s">
        <v>826</v>
      </c>
      <c r="I456" s="1"/>
    </row>
    <row r="457" ht="15.75" customHeight="1">
      <c r="A457" s="2">
        <v>463.0</v>
      </c>
      <c r="B457" s="1" t="s">
        <v>1437</v>
      </c>
      <c r="C457" s="1" t="s">
        <v>1240</v>
      </c>
      <c r="D457" s="1" t="s">
        <v>1438</v>
      </c>
      <c r="E457" s="2">
        <v>5.70055376659E11</v>
      </c>
      <c r="F457" s="1" t="s">
        <v>1439</v>
      </c>
      <c r="G457" s="1" t="s">
        <v>12</v>
      </c>
      <c r="H457" s="3" t="s">
        <v>826</v>
      </c>
      <c r="I457" s="1"/>
    </row>
    <row r="458" ht="15.75" customHeight="1">
      <c r="A458" s="2">
        <v>464.0</v>
      </c>
      <c r="B458" s="1" t="s">
        <v>1440</v>
      </c>
      <c r="C458" s="1" t="s">
        <v>1234</v>
      </c>
      <c r="D458" s="1" t="s">
        <v>1441</v>
      </c>
      <c r="E458" s="2">
        <v>5.70055376661E11</v>
      </c>
      <c r="F458" s="1" t="s">
        <v>1442</v>
      </c>
      <c r="G458" s="1" t="s">
        <v>25</v>
      </c>
      <c r="H458" s="3" t="s">
        <v>826</v>
      </c>
      <c r="I458" s="1"/>
    </row>
    <row r="459" ht="15.75" customHeight="1">
      <c r="A459" s="2">
        <v>465.0</v>
      </c>
      <c r="B459" s="1" t="s">
        <v>1443</v>
      </c>
      <c r="C459" s="1" t="s">
        <v>1444</v>
      </c>
      <c r="D459" s="1" t="s">
        <v>863</v>
      </c>
      <c r="E459" s="2">
        <v>5.70055376662E11</v>
      </c>
      <c r="F459" s="1" t="s">
        <v>262</v>
      </c>
      <c r="G459" s="1" t="s">
        <v>12</v>
      </c>
      <c r="H459" s="3" t="s">
        <v>826</v>
      </c>
      <c r="I459" s="1"/>
    </row>
    <row r="460" ht="15.75" customHeight="1">
      <c r="A460" s="2">
        <v>466.0</v>
      </c>
      <c r="B460" s="1" t="s">
        <v>21</v>
      </c>
      <c r="C460" s="1" t="s">
        <v>1445</v>
      </c>
      <c r="D460" s="1" t="s">
        <v>931</v>
      </c>
      <c r="E460" s="2">
        <v>5.70055376663E11</v>
      </c>
      <c r="F460" s="1" t="s">
        <v>1446</v>
      </c>
      <c r="G460" s="1" t="s">
        <v>12</v>
      </c>
      <c r="H460" s="3" t="s">
        <v>826</v>
      </c>
      <c r="I460" s="1"/>
    </row>
    <row r="461" ht="15.75" customHeight="1">
      <c r="A461" s="2">
        <v>467.0</v>
      </c>
      <c r="B461" s="1" t="s">
        <v>1447</v>
      </c>
      <c r="C461" s="1" t="s">
        <v>1448</v>
      </c>
      <c r="D461" s="1" t="s">
        <v>943</v>
      </c>
      <c r="E461" s="2">
        <v>5.70055376664E11</v>
      </c>
      <c r="F461" s="1" t="s">
        <v>1449</v>
      </c>
      <c r="G461" s="1" t="s">
        <v>12</v>
      </c>
      <c r="H461" s="3" t="s">
        <v>826</v>
      </c>
      <c r="I461" s="1"/>
    </row>
    <row r="462" ht="15.75" customHeight="1">
      <c r="A462" s="2">
        <v>468.0</v>
      </c>
      <c r="B462" s="1" t="s">
        <v>129</v>
      </c>
      <c r="C462" s="1" t="s">
        <v>1450</v>
      </c>
      <c r="D462" s="1" t="s">
        <v>1299</v>
      </c>
      <c r="E462" s="2">
        <v>5.70055376665E11</v>
      </c>
      <c r="F462" s="1" t="s">
        <v>1451</v>
      </c>
      <c r="G462" s="1" t="s">
        <v>996</v>
      </c>
      <c r="H462" s="3" t="s">
        <v>826</v>
      </c>
      <c r="I462" s="1"/>
    </row>
    <row r="463" ht="15.75" customHeight="1">
      <c r="A463" s="2">
        <v>469.0</v>
      </c>
      <c r="B463" s="1" t="s">
        <v>1452</v>
      </c>
      <c r="C463" s="1" t="s">
        <v>1453</v>
      </c>
      <c r="D463" s="1" t="s">
        <v>1133</v>
      </c>
      <c r="E463" s="2">
        <v>5.70055376667E11</v>
      </c>
      <c r="F463" s="1" t="s">
        <v>420</v>
      </c>
      <c r="G463" s="1" t="s">
        <v>70</v>
      </c>
      <c r="H463" s="3" t="s">
        <v>826</v>
      </c>
      <c r="I463" s="1"/>
    </row>
    <row r="464" ht="15.75" customHeight="1">
      <c r="A464" s="2">
        <v>470.0</v>
      </c>
      <c r="B464" s="1" t="s">
        <v>839</v>
      </c>
      <c r="C464" s="1" t="s">
        <v>1355</v>
      </c>
      <c r="D464" s="1" t="s">
        <v>89</v>
      </c>
      <c r="E464" s="2">
        <v>5.70055376668E11</v>
      </c>
      <c r="F464" s="1" t="s">
        <v>1454</v>
      </c>
      <c r="G464" s="1" t="s">
        <v>12</v>
      </c>
      <c r="H464" s="3" t="s">
        <v>826</v>
      </c>
      <c r="I464" s="1"/>
    </row>
    <row r="465" ht="15.75" customHeight="1">
      <c r="A465" s="2">
        <v>471.0</v>
      </c>
      <c r="B465" s="1" t="s">
        <v>1226</v>
      </c>
      <c r="C465" s="1" t="s">
        <v>1455</v>
      </c>
      <c r="D465" s="1" t="s">
        <v>1456</v>
      </c>
      <c r="E465" s="2">
        <v>5.70055376706E11</v>
      </c>
      <c r="F465" s="1" t="s">
        <v>1457</v>
      </c>
      <c r="G465" s="1" t="s">
        <v>25</v>
      </c>
      <c r="H465" s="3" t="s">
        <v>826</v>
      </c>
      <c r="I465" s="1"/>
    </row>
    <row r="466" ht="15.75" customHeight="1">
      <c r="A466" s="2">
        <v>472.0</v>
      </c>
      <c r="B466" s="1" t="s">
        <v>1458</v>
      </c>
      <c r="C466" s="1" t="s">
        <v>1384</v>
      </c>
      <c r="D466" s="1" t="s">
        <v>1385</v>
      </c>
      <c r="E466" s="2">
        <v>5.70055376707E11</v>
      </c>
      <c r="F466" s="1" t="s">
        <v>1459</v>
      </c>
      <c r="G466" s="1" t="s">
        <v>70</v>
      </c>
      <c r="H466" s="3" t="s">
        <v>826</v>
      </c>
      <c r="I466" s="1"/>
    </row>
    <row r="467" ht="15.75" customHeight="1">
      <c r="A467" s="2">
        <v>473.0</v>
      </c>
      <c r="B467" s="1" t="s">
        <v>1460</v>
      </c>
      <c r="C467" s="1" t="s">
        <v>1461</v>
      </c>
      <c r="D467" s="1" t="s">
        <v>1462</v>
      </c>
      <c r="E467" s="2">
        <v>5.70055376708E11</v>
      </c>
      <c r="F467" s="1" t="s">
        <v>1463</v>
      </c>
      <c r="G467" s="1" t="s">
        <v>12</v>
      </c>
      <c r="H467" s="3" t="s">
        <v>826</v>
      </c>
      <c r="I467" s="1"/>
    </row>
    <row r="468" ht="15.75" customHeight="1">
      <c r="A468" s="2">
        <v>474.0</v>
      </c>
      <c r="B468" s="1" t="s">
        <v>189</v>
      </c>
      <c r="C468" s="1" t="s">
        <v>1380</v>
      </c>
      <c r="D468" s="1" t="s">
        <v>909</v>
      </c>
      <c r="E468" s="2">
        <v>5.7005537671E11</v>
      </c>
      <c r="F468" s="1" t="s">
        <v>1464</v>
      </c>
      <c r="G468" s="1" t="s">
        <v>12</v>
      </c>
      <c r="H468" s="3" t="s">
        <v>826</v>
      </c>
      <c r="I468" s="1"/>
    </row>
    <row r="469" ht="15.75" customHeight="1">
      <c r="A469" s="2">
        <v>475.0</v>
      </c>
      <c r="B469" s="1" t="s">
        <v>1465</v>
      </c>
      <c r="C469" s="1" t="s">
        <v>1466</v>
      </c>
      <c r="D469" s="1" t="s">
        <v>1467</v>
      </c>
      <c r="E469" s="2">
        <v>5.70055376711E11</v>
      </c>
      <c r="F469" s="1" t="s">
        <v>1468</v>
      </c>
      <c r="G469" s="1" t="s">
        <v>12</v>
      </c>
      <c r="H469" s="3" t="s">
        <v>826</v>
      </c>
      <c r="I469" s="1"/>
    </row>
    <row r="470" ht="15.75" customHeight="1">
      <c r="A470" s="2">
        <v>476.0</v>
      </c>
      <c r="B470" s="1" t="s">
        <v>1469</v>
      </c>
      <c r="C470" s="1" t="s">
        <v>923</v>
      </c>
      <c r="D470" s="1" t="s">
        <v>1470</v>
      </c>
      <c r="E470" s="2">
        <v>5.70055376713E11</v>
      </c>
      <c r="F470" s="1" t="s">
        <v>1471</v>
      </c>
      <c r="G470" s="1" t="s">
        <v>70</v>
      </c>
      <c r="H470" s="3" t="s">
        <v>826</v>
      </c>
      <c r="I470" s="1"/>
    </row>
    <row r="471" ht="15.75" customHeight="1">
      <c r="A471" s="2">
        <v>477.0</v>
      </c>
      <c r="B471" s="1" t="s">
        <v>1472</v>
      </c>
      <c r="C471" s="1" t="s">
        <v>1473</v>
      </c>
      <c r="D471" s="1" t="s">
        <v>1474</v>
      </c>
      <c r="E471" s="2">
        <v>5.70055376714E11</v>
      </c>
      <c r="F471" s="1" t="s">
        <v>1475</v>
      </c>
      <c r="G471" s="1" t="s">
        <v>12</v>
      </c>
      <c r="H471" s="3" t="s">
        <v>826</v>
      </c>
      <c r="I471" s="1"/>
    </row>
    <row r="472" ht="15.75" customHeight="1">
      <c r="A472" s="2">
        <v>478.0</v>
      </c>
      <c r="B472" s="1" t="s">
        <v>1476</v>
      </c>
      <c r="C472" s="1" t="s">
        <v>1380</v>
      </c>
      <c r="D472" s="1" t="s">
        <v>1381</v>
      </c>
      <c r="E472" s="2">
        <v>5.70055376715E11</v>
      </c>
      <c r="F472" s="1" t="s">
        <v>1477</v>
      </c>
      <c r="G472" s="1" t="s">
        <v>12</v>
      </c>
      <c r="H472" s="3" t="s">
        <v>826</v>
      </c>
      <c r="I472" s="1"/>
    </row>
    <row r="473" ht="15.75" customHeight="1">
      <c r="A473" s="2">
        <v>479.0</v>
      </c>
      <c r="B473" s="1" t="s">
        <v>1324</v>
      </c>
      <c r="C473" s="1" t="s">
        <v>1478</v>
      </c>
      <c r="D473" s="1" t="s">
        <v>1479</v>
      </c>
      <c r="E473" s="2">
        <v>5.70055376716E11</v>
      </c>
      <c r="F473" s="1" t="s">
        <v>1480</v>
      </c>
      <c r="G473" s="1" t="s">
        <v>12</v>
      </c>
      <c r="H473" s="3" t="s">
        <v>826</v>
      </c>
      <c r="I473" s="1"/>
    </row>
    <row r="474" ht="15.75" customHeight="1">
      <c r="A474" s="2">
        <v>480.0</v>
      </c>
      <c r="B474" s="1" t="s">
        <v>1324</v>
      </c>
      <c r="C474" s="1" t="s">
        <v>1481</v>
      </c>
      <c r="D474" s="1" t="s">
        <v>1482</v>
      </c>
      <c r="E474" s="2">
        <v>5.70055376718E11</v>
      </c>
      <c r="F474" s="1" t="s">
        <v>1483</v>
      </c>
      <c r="G474" s="1" t="s">
        <v>70</v>
      </c>
      <c r="H474" s="3" t="s">
        <v>826</v>
      </c>
      <c r="I474" s="1"/>
    </row>
    <row r="475" ht="15.75" customHeight="1">
      <c r="A475" s="2">
        <v>481.0</v>
      </c>
      <c r="B475" s="1" t="s">
        <v>989</v>
      </c>
      <c r="C475" s="1" t="s">
        <v>885</v>
      </c>
      <c r="D475" s="1" t="s">
        <v>1484</v>
      </c>
      <c r="E475" s="2">
        <v>5.70055376722E11</v>
      </c>
      <c r="F475" s="1" t="s">
        <v>1485</v>
      </c>
      <c r="G475" s="1" t="s">
        <v>12</v>
      </c>
      <c r="H475" s="3" t="s">
        <v>826</v>
      </c>
      <c r="I475" s="1"/>
    </row>
    <row r="476" ht="15.75" customHeight="1">
      <c r="A476" s="2">
        <v>482.0</v>
      </c>
      <c r="B476" s="1" t="s">
        <v>83</v>
      </c>
      <c r="C476" s="1" t="s">
        <v>1465</v>
      </c>
      <c r="D476" s="1" t="s">
        <v>203</v>
      </c>
      <c r="E476" s="2">
        <v>5.70055376724E11</v>
      </c>
      <c r="F476" s="1" t="s">
        <v>1486</v>
      </c>
      <c r="G476" s="1" t="s">
        <v>12</v>
      </c>
      <c r="H476" s="3" t="s">
        <v>826</v>
      </c>
      <c r="I476" s="1"/>
    </row>
    <row r="477" ht="15.75" customHeight="1">
      <c r="A477" s="2">
        <v>483.0</v>
      </c>
      <c r="B477" s="1" t="s">
        <v>1487</v>
      </c>
      <c r="C477" s="1" t="s">
        <v>1488</v>
      </c>
      <c r="D477" s="1" t="s">
        <v>1489</v>
      </c>
      <c r="E477" s="2">
        <v>5.70055376726E11</v>
      </c>
      <c r="F477" s="1" t="s">
        <v>1490</v>
      </c>
      <c r="G477" s="1" t="s">
        <v>12</v>
      </c>
      <c r="H477" s="3" t="s">
        <v>826</v>
      </c>
      <c r="I477" s="1"/>
    </row>
    <row r="478" ht="15.75" customHeight="1">
      <c r="A478" s="2">
        <v>484.0</v>
      </c>
      <c r="B478" s="1" t="s">
        <v>1491</v>
      </c>
      <c r="C478" s="1" t="s">
        <v>1492</v>
      </c>
      <c r="D478" s="1" t="s">
        <v>1493</v>
      </c>
      <c r="E478" s="2">
        <v>5.70055376727E11</v>
      </c>
      <c r="F478" s="1" t="s">
        <v>1494</v>
      </c>
      <c r="G478" s="1" t="s">
        <v>70</v>
      </c>
      <c r="H478" s="3" t="s">
        <v>826</v>
      </c>
      <c r="I478" s="1"/>
    </row>
    <row r="479" ht="15.75" customHeight="1">
      <c r="A479" s="2">
        <v>485.0</v>
      </c>
      <c r="B479" s="1" t="s">
        <v>1495</v>
      </c>
      <c r="C479" s="1" t="s">
        <v>1496</v>
      </c>
      <c r="D479" s="1" t="s">
        <v>1497</v>
      </c>
      <c r="E479" s="2">
        <v>5.70055376729E11</v>
      </c>
      <c r="F479" s="1" t="s">
        <v>1498</v>
      </c>
      <c r="G479" s="1" t="s">
        <v>12</v>
      </c>
      <c r="H479" s="3" t="s">
        <v>826</v>
      </c>
      <c r="I479" s="1"/>
    </row>
    <row r="480" ht="15.75" customHeight="1">
      <c r="A480" s="2">
        <v>486.0</v>
      </c>
      <c r="B480" s="1" t="s">
        <v>91</v>
      </c>
      <c r="C480" s="1" t="s">
        <v>1499</v>
      </c>
      <c r="D480" s="1" t="s">
        <v>1467</v>
      </c>
      <c r="E480" s="2">
        <v>5.7005537673E11</v>
      </c>
      <c r="F480" s="1" t="s">
        <v>1500</v>
      </c>
      <c r="G480" s="1" t="s">
        <v>12</v>
      </c>
      <c r="H480" s="3" t="s">
        <v>826</v>
      </c>
      <c r="I480" s="1"/>
    </row>
    <row r="481" ht="15.75" customHeight="1">
      <c r="A481" s="2">
        <v>487.0</v>
      </c>
      <c r="B481" s="1" t="s">
        <v>1488</v>
      </c>
      <c r="C481" s="1" t="s">
        <v>1499</v>
      </c>
      <c r="D481" s="1" t="s">
        <v>1467</v>
      </c>
      <c r="E481" s="2">
        <v>5.70055376731E11</v>
      </c>
      <c r="F481" s="1" t="s">
        <v>1501</v>
      </c>
      <c r="G481" s="1" t="s">
        <v>12</v>
      </c>
      <c r="H481" s="3" t="s">
        <v>826</v>
      </c>
      <c r="I481" s="1"/>
    </row>
    <row r="482" ht="15.75" customHeight="1">
      <c r="A482" s="2">
        <v>488.0</v>
      </c>
      <c r="B482" s="1" t="s">
        <v>1502</v>
      </c>
      <c r="C482" s="1" t="s">
        <v>1003</v>
      </c>
      <c r="D482" s="1" t="s">
        <v>1503</v>
      </c>
      <c r="E482" s="2">
        <v>5.70055376732E11</v>
      </c>
      <c r="F482" s="1" t="s">
        <v>1504</v>
      </c>
      <c r="G482" s="1" t="s">
        <v>12</v>
      </c>
      <c r="H482" s="3" t="s">
        <v>826</v>
      </c>
      <c r="I482" s="1"/>
    </row>
    <row r="483" ht="15.75" customHeight="1">
      <c r="A483" s="2">
        <v>489.0</v>
      </c>
      <c r="B483" s="1" t="s">
        <v>1505</v>
      </c>
      <c r="C483" s="1" t="s">
        <v>1499</v>
      </c>
      <c r="D483" s="1" t="s">
        <v>1506</v>
      </c>
      <c r="E483" s="2">
        <v>5.70055376733E11</v>
      </c>
      <c r="F483" s="1" t="s">
        <v>1507</v>
      </c>
      <c r="G483" s="1" t="s">
        <v>12</v>
      </c>
      <c r="H483" s="3" t="s">
        <v>826</v>
      </c>
      <c r="I483" s="1"/>
    </row>
    <row r="484" ht="15.75" customHeight="1">
      <c r="A484" s="2">
        <v>490.0</v>
      </c>
      <c r="B484" s="1" t="s">
        <v>1508</v>
      </c>
      <c r="C484" s="1" t="s">
        <v>1509</v>
      </c>
      <c r="D484" s="1" t="s">
        <v>1503</v>
      </c>
      <c r="E484" s="2">
        <v>5.70055376734E11</v>
      </c>
      <c r="F484" s="1" t="s">
        <v>284</v>
      </c>
      <c r="G484" s="1" t="s">
        <v>12</v>
      </c>
      <c r="H484" s="3" t="s">
        <v>826</v>
      </c>
      <c r="I484" s="1"/>
    </row>
    <row r="485" ht="15.75" customHeight="1">
      <c r="A485" s="2">
        <v>491.0</v>
      </c>
      <c r="B485" s="1" t="s">
        <v>1510</v>
      </c>
      <c r="C485" s="1" t="s">
        <v>1511</v>
      </c>
      <c r="D485" s="1" t="s">
        <v>73</v>
      </c>
      <c r="E485" s="2">
        <v>5.70055376741E11</v>
      </c>
      <c r="F485" s="1" t="s">
        <v>1512</v>
      </c>
      <c r="G485" s="1" t="s">
        <v>70</v>
      </c>
      <c r="H485" s="3" t="s">
        <v>826</v>
      </c>
      <c r="I485" s="1"/>
    </row>
    <row r="486" ht="15.75" customHeight="1">
      <c r="A486" s="2">
        <v>492.0</v>
      </c>
      <c r="B486" s="1" t="s">
        <v>1513</v>
      </c>
      <c r="C486" s="1" t="s">
        <v>1492</v>
      </c>
      <c r="D486" s="1" t="s">
        <v>1493</v>
      </c>
      <c r="E486" s="2">
        <v>5.70055376744E11</v>
      </c>
      <c r="F486" s="1" t="s">
        <v>1514</v>
      </c>
      <c r="G486" s="1" t="s">
        <v>70</v>
      </c>
      <c r="H486" s="3" t="s">
        <v>826</v>
      </c>
      <c r="I486" s="1"/>
    </row>
    <row r="487" ht="15.75" customHeight="1">
      <c r="A487" s="2">
        <v>493.0</v>
      </c>
      <c r="B487" s="1" t="s">
        <v>1515</v>
      </c>
      <c r="C487" s="1" t="s">
        <v>1398</v>
      </c>
      <c r="D487" s="1" t="s">
        <v>1516</v>
      </c>
      <c r="E487" s="2">
        <v>5.70055376746E11</v>
      </c>
      <c r="F487" s="1" t="s">
        <v>1517</v>
      </c>
      <c r="G487" s="1" t="s">
        <v>1518</v>
      </c>
      <c r="H487" s="3" t="s">
        <v>826</v>
      </c>
      <c r="I487" s="1"/>
    </row>
    <row r="488" ht="15.75" customHeight="1">
      <c r="A488" s="2">
        <v>494.0</v>
      </c>
      <c r="B488" s="1" t="s">
        <v>1519</v>
      </c>
      <c r="C488" s="1" t="s">
        <v>1520</v>
      </c>
      <c r="D488" s="1" t="s">
        <v>193</v>
      </c>
      <c r="E488" s="2">
        <v>5.70055376748E11</v>
      </c>
      <c r="F488" s="1" t="s">
        <v>1521</v>
      </c>
      <c r="G488" s="1" t="s">
        <v>70</v>
      </c>
      <c r="H488" s="3" t="s">
        <v>826</v>
      </c>
      <c r="I488" s="1"/>
    </row>
    <row r="489" ht="15.75" customHeight="1">
      <c r="A489" s="2">
        <v>495.0</v>
      </c>
      <c r="B489" s="1" t="s">
        <v>1522</v>
      </c>
      <c r="C489" s="1" t="s">
        <v>922</v>
      </c>
      <c r="D489" s="1" t="s">
        <v>1523</v>
      </c>
      <c r="E489" s="2">
        <v>5.7005537675E11</v>
      </c>
      <c r="F489" s="1" t="s">
        <v>1524</v>
      </c>
      <c r="G489" s="1" t="s">
        <v>12</v>
      </c>
      <c r="H489" s="3" t="s">
        <v>826</v>
      </c>
      <c r="I489" s="1"/>
    </row>
    <row r="490" ht="15.75" customHeight="1">
      <c r="A490" s="2">
        <v>496.0</v>
      </c>
      <c r="B490" s="1" t="s">
        <v>1525</v>
      </c>
      <c r="C490" s="1" t="s">
        <v>1526</v>
      </c>
      <c r="D490" s="1" t="s">
        <v>881</v>
      </c>
      <c r="E490" s="2">
        <v>5.70055376751E11</v>
      </c>
      <c r="F490" s="1" t="s">
        <v>1527</v>
      </c>
      <c r="G490" s="1" t="s">
        <v>12</v>
      </c>
      <c r="H490" s="3" t="s">
        <v>826</v>
      </c>
      <c r="I490" s="1"/>
    </row>
    <row r="491" ht="15.75" customHeight="1">
      <c r="A491" s="2">
        <v>497.0</v>
      </c>
      <c r="B491" s="1" t="s">
        <v>1528</v>
      </c>
      <c r="C491" s="1" t="s">
        <v>1526</v>
      </c>
      <c r="D491" s="1" t="s">
        <v>881</v>
      </c>
      <c r="E491" s="2">
        <v>5.70055376752E11</v>
      </c>
      <c r="F491" s="1" t="s">
        <v>1529</v>
      </c>
      <c r="G491" s="1" t="s">
        <v>12</v>
      </c>
      <c r="H491" s="3" t="s">
        <v>826</v>
      </c>
      <c r="I491" s="1"/>
    </row>
    <row r="492" ht="15.75" customHeight="1">
      <c r="A492" s="2">
        <v>498.0</v>
      </c>
      <c r="B492" s="1" t="s">
        <v>240</v>
      </c>
      <c r="C492" s="1" t="s">
        <v>1530</v>
      </c>
      <c r="D492" s="1" t="s">
        <v>1531</v>
      </c>
      <c r="E492" s="2">
        <v>5.70055376754E11</v>
      </c>
      <c r="F492" s="1" t="s">
        <v>1532</v>
      </c>
      <c r="G492" s="1" t="s">
        <v>12</v>
      </c>
      <c r="H492" s="3" t="s">
        <v>826</v>
      </c>
      <c r="I492" s="1"/>
    </row>
    <row r="493" ht="15.75" customHeight="1">
      <c r="A493" s="2">
        <v>499.0</v>
      </c>
      <c r="B493" s="1" t="s">
        <v>1533</v>
      </c>
      <c r="C493" s="1" t="s">
        <v>1534</v>
      </c>
      <c r="D493" s="1" t="s">
        <v>943</v>
      </c>
      <c r="E493" s="2">
        <v>5.70055376757E11</v>
      </c>
      <c r="F493" s="1" t="s">
        <v>1535</v>
      </c>
      <c r="G493" s="1" t="s">
        <v>12</v>
      </c>
      <c r="H493" s="3" t="s">
        <v>826</v>
      </c>
      <c r="I493" s="1"/>
    </row>
    <row r="494" ht="15.75" customHeight="1">
      <c r="A494" s="2">
        <v>500.0</v>
      </c>
      <c r="B494" s="1" t="s">
        <v>1536</v>
      </c>
      <c r="C494" s="1" t="s">
        <v>856</v>
      </c>
      <c r="D494" s="1" t="s">
        <v>857</v>
      </c>
      <c r="E494" s="2">
        <v>5.70055376759E11</v>
      </c>
      <c r="F494" s="1" t="s">
        <v>1537</v>
      </c>
      <c r="G494" s="1" t="s">
        <v>12</v>
      </c>
      <c r="H494" s="3" t="s">
        <v>826</v>
      </c>
      <c r="I494" s="1"/>
    </row>
    <row r="495" ht="15.75" customHeight="1">
      <c r="A495" s="2">
        <v>501.0</v>
      </c>
      <c r="B495" s="1" t="s">
        <v>34</v>
      </c>
      <c r="C495" s="1"/>
      <c r="D495" s="1"/>
      <c r="E495" s="1"/>
      <c r="F495" s="1"/>
      <c r="G495" s="1"/>
      <c r="H495" s="1"/>
      <c r="I495" s="1"/>
    </row>
    <row r="496" ht="15.75" customHeight="1">
      <c r="A496" s="2">
        <v>502.0</v>
      </c>
      <c r="B496" s="1" t="s">
        <v>1538</v>
      </c>
      <c r="C496" s="1" t="s">
        <v>1526</v>
      </c>
      <c r="D496" s="1" t="s">
        <v>881</v>
      </c>
      <c r="E496" s="2">
        <v>5.70055376761E11</v>
      </c>
      <c r="F496" s="1" t="s">
        <v>1539</v>
      </c>
      <c r="G496" s="1" t="s">
        <v>12</v>
      </c>
      <c r="H496" s="3" t="s">
        <v>826</v>
      </c>
      <c r="I496" s="1"/>
    </row>
    <row r="497" ht="15.75" customHeight="1">
      <c r="A497" s="2">
        <v>503.0</v>
      </c>
      <c r="B497" s="1" t="s">
        <v>229</v>
      </c>
      <c r="C497" s="1" t="s">
        <v>1540</v>
      </c>
      <c r="D497" s="1" t="s">
        <v>1541</v>
      </c>
      <c r="E497" s="2">
        <v>5.70055376763E11</v>
      </c>
      <c r="F497" s="1" t="s">
        <v>1542</v>
      </c>
      <c r="G497" s="1" t="s">
        <v>120</v>
      </c>
      <c r="H497" s="3" t="s">
        <v>826</v>
      </c>
      <c r="I497" s="1"/>
    </row>
    <row r="498" ht="15.75" customHeight="1">
      <c r="A498" s="2">
        <v>504.0</v>
      </c>
      <c r="B498" s="1" t="s">
        <v>240</v>
      </c>
      <c r="C498" s="1" t="s">
        <v>1540</v>
      </c>
      <c r="D498" s="1" t="s">
        <v>1541</v>
      </c>
      <c r="E498" s="2">
        <v>5.70055376764E11</v>
      </c>
      <c r="F498" s="1" t="s">
        <v>1543</v>
      </c>
      <c r="G498" s="1" t="s">
        <v>12</v>
      </c>
      <c r="H498" s="3" t="s">
        <v>826</v>
      </c>
      <c r="I498" s="1"/>
    </row>
    <row r="499" ht="15.75" customHeight="1">
      <c r="A499" s="2">
        <v>505.0</v>
      </c>
      <c r="B499" s="1" t="s">
        <v>1544</v>
      </c>
      <c r="C499" s="1" t="s">
        <v>1545</v>
      </c>
      <c r="D499" s="1" t="s">
        <v>1482</v>
      </c>
      <c r="E499" s="2">
        <v>5.70055376765E11</v>
      </c>
      <c r="F499" s="1" t="s">
        <v>1546</v>
      </c>
      <c r="G499" s="1" t="s">
        <v>70</v>
      </c>
      <c r="H499" s="3" t="s">
        <v>826</v>
      </c>
      <c r="I499" s="1"/>
    </row>
    <row r="500" ht="15.75" customHeight="1">
      <c r="A500" s="2">
        <v>506.0</v>
      </c>
      <c r="B500" s="1" t="s">
        <v>96</v>
      </c>
      <c r="C500" s="1" t="s">
        <v>869</v>
      </c>
      <c r="D500" s="1" t="s">
        <v>1547</v>
      </c>
      <c r="E500" s="2">
        <v>5.70055376766E11</v>
      </c>
      <c r="F500" s="1" t="s">
        <v>1548</v>
      </c>
      <c r="G500" s="1" t="s">
        <v>12</v>
      </c>
      <c r="H500" s="3" t="s">
        <v>826</v>
      </c>
      <c r="I500" s="1"/>
    </row>
    <row r="501" ht="15.75" customHeight="1">
      <c r="A501" s="2">
        <v>507.0</v>
      </c>
      <c r="B501" s="1" t="s">
        <v>1549</v>
      </c>
      <c r="C501" s="1" t="s">
        <v>1550</v>
      </c>
      <c r="D501" s="1" t="s">
        <v>851</v>
      </c>
      <c r="E501" s="2">
        <v>5.70055376767E11</v>
      </c>
      <c r="F501" s="1" t="s">
        <v>1551</v>
      </c>
      <c r="G501" s="1" t="s">
        <v>12</v>
      </c>
      <c r="H501" s="3" t="s">
        <v>826</v>
      </c>
      <c r="I501" s="1"/>
    </row>
    <row r="502" ht="15.75" customHeight="1">
      <c r="A502" s="2">
        <v>508.0</v>
      </c>
      <c r="B502" s="1" t="s">
        <v>1552</v>
      </c>
      <c r="C502" s="1" t="s">
        <v>1553</v>
      </c>
      <c r="D502" s="1" t="s">
        <v>1554</v>
      </c>
      <c r="E502" s="2">
        <v>5.70055376768E11</v>
      </c>
      <c r="F502" s="1" t="s">
        <v>1555</v>
      </c>
      <c r="G502" s="1" t="s">
        <v>12</v>
      </c>
      <c r="H502" s="3" t="s">
        <v>826</v>
      </c>
      <c r="I502" s="1"/>
    </row>
    <row r="503" ht="15.75" customHeight="1">
      <c r="A503" s="2">
        <v>509.0</v>
      </c>
      <c r="B503" s="1" t="s">
        <v>940</v>
      </c>
      <c r="C503" s="1" t="s">
        <v>1556</v>
      </c>
      <c r="D503" s="1" t="s">
        <v>1557</v>
      </c>
      <c r="E503" s="2">
        <v>5.70055376773E11</v>
      </c>
      <c r="F503" s="1" t="s">
        <v>1558</v>
      </c>
      <c r="G503" s="1" t="s">
        <v>12</v>
      </c>
      <c r="H503" s="3" t="s">
        <v>826</v>
      </c>
      <c r="I503" s="1"/>
    </row>
    <row r="504" ht="15.75" customHeight="1">
      <c r="A504" s="2">
        <v>510.0</v>
      </c>
      <c r="B504" s="1" t="s">
        <v>1559</v>
      </c>
      <c r="C504" s="1" t="s">
        <v>1472</v>
      </c>
      <c r="D504" s="1" t="s">
        <v>1560</v>
      </c>
      <c r="E504" s="2">
        <v>5.70055376774E11</v>
      </c>
      <c r="F504" s="1" t="s">
        <v>1561</v>
      </c>
      <c r="G504" s="1" t="s">
        <v>12</v>
      </c>
      <c r="H504" s="3" t="s">
        <v>826</v>
      </c>
      <c r="I504" s="1"/>
    </row>
    <row r="505" ht="15.75" customHeight="1">
      <c r="A505" s="2">
        <v>511.0</v>
      </c>
      <c r="B505" s="1" t="s">
        <v>1562</v>
      </c>
      <c r="C505" s="1" t="s">
        <v>1472</v>
      </c>
      <c r="D505" s="1" t="s">
        <v>1560</v>
      </c>
      <c r="E505" s="2">
        <v>5.70055376775E11</v>
      </c>
      <c r="F505" s="1" t="s">
        <v>1563</v>
      </c>
      <c r="G505" s="1" t="s">
        <v>12</v>
      </c>
      <c r="H505" s="3" t="s">
        <v>826</v>
      </c>
      <c r="I505" s="1"/>
    </row>
    <row r="506" ht="15.75" customHeight="1">
      <c r="A506" s="2">
        <v>512.0</v>
      </c>
      <c r="B506" s="1" t="s">
        <v>892</v>
      </c>
      <c r="C506" s="1" t="s">
        <v>1564</v>
      </c>
      <c r="D506" s="1" t="s">
        <v>881</v>
      </c>
      <c r="E506" s="2">
        <v>5.70055376777E11</v>
      </c>
      <c r="F506" s="1" t="s">
        <v>1565</v>
      </c>
      <c r="G506" s="1" t="s">
        <v>12</v>
      </c>
      <c r="H506" s="3" t="s">
        <v>826</v>
      </c>
      <c r="I506" s="1"/>
    </row>
    <row r="507" ht="15.75" customHeight="1">
      <c r="A507" s="2">
        <v>513.0</v>
      </c>
      <c r="B507" s="1" t="s">
        <v>1566</v>
      </c>
      <c r="C507" s="1" t="s">
        <v>1567</v>
      </c>
      <c r="D507" s="1" t="s">
        <v>1568</v>
      </c>
      <c r="E507" s="2">
        <v>5.70055376778E11</v>
      </c>
      <c r="F507" s="1" t="s">
        <v>1569</v>
      </c>
      <c r="G507" s="1" t="s">
        <v>12</v>
      </c>
      <c r="H507" s="3" t="s">
        <v>826</v>
      </c>
      <c r="I507" s="1"/>
    </row>
    <row r="508" ht="15.75" customHeight="1">
      <c r="A508" s="2">
        <v>514.0</v>
      </c>
      <c r="B508" s="1" t="s">
        <v>1398</v>
      </c>
      <c r="C508" s="1" t="s">
        <v>1570</v>
      </c>
      <c r="D508" s="1" t="s">
        <v>1571</v>
      </c>
      <c r="E508" s="2">
        <v>5.70055376781E11</v>
      </c>
      <c r="F508" s="1" t="s">
        <v>955</v>
      </c>
      <c r="G508" s="1" t="s">
        <v>12</v>
      </c>
      <c r="H508" s="3" t="s">
        <v>826</v>
      </c>
      <c r="I508" s="1"/>
    </row>
    <row r="509" ht="15.75" customHeight="1">
      <c r="A509" s="2">
        <v>515.0</v>
      </c>
      <c r="B509" s="1" t="s">
        <v>99</v>
      </c>
      <c r="C509" s="1" t="s">
        <v>1572</v>
      </c>
      <c r="D509" s="1" t="s">
        <v>1573</v>
      </c>
      <c r="E509" s="2">
        <v>5.70055376782E11</v>
      </c>
      <c r="F509" s="1" t="s">
        <v>1574</v>
      </c>
      <c r="G509" s="1" t="s">
        <v>12</v>
      </c>
      <c r="H509" s="3" t="s">
        <v>826</v>
      </c>
      <c r="I509" s="1"/>
    </row>
    <row r="510" ht="15.75" customHeight="1">
      <c r="A510" s="2">
        <v>516.0</v>
      </c>
      <c r="B510" s="1" t="s">
        <v>1575</v>
      </c>
      <c r="C510" s="1" t="s">
        <v>1576</v>
      </c>
      <c r="D510" s="1" t="s">
        <v>89</v>
      </c>
      <c r="E510" s="2">
        <v>5.70055376785E11</v>
      </c>
      <c r="F510" s="1" t="s">
        <v>1577</v>
      </c>
      <c r="G510" s="1" t="s">
        <v>70</v>
      </c>
      <c r="H510" s="3" t="s">
        <v>826</v>
      </c>
      <c r="I510" s="1"/>
    </row>
    <row r="511" ht="15.75" customHeight="1">
      <c r="A511" s="2">
        <v>517.0</v>
      </c>
      <c r="B511" s="1" t="s">
        <v>1578</v>
      </c>
      <c r="C511" s="1" t="s">
        <v>1579</v>
      </c>
      <c r="D511" s="1" t="s">
        <v>931</v>
      </c>
      <c r="E511" s="2">
        <v>5.70055376786E11</v>
      </c>
      <c r="F511" s="1" t="s">
        <v>1580</v>
      </c>
      <c r="G511" s="1" t="s">
        <v>12</v>
      </c>
      <c r="H511" s="3" t="s">
        <v>826</v>
      </c>
      <c r="I511" s="1"/>
    </row>
    <row r="512" ht="15.75" customHeight="1">
      <c r="A512" s="2">
        <v>518.0</v>
      </c>
      <c r="B512" s="1" t="s">
        <v>194</v>
      </c>
      <c r="C512" s="1" t="s">
        <v>846</v>
      </c>
      <c r="D512" s="1" t="s">
        <v>847</v>
      </c>
      <c r="E512" s="2">
        <v>5.70055376797E11</v>
      </c>
      <c r="F512" s="1" t="s">
        <v>1581</v>
      </c>
      <c r="G512" s="1" t="s">
        <v>12</v>
      </c>
      <c r="H512" s="3" t="s">
        <v>826</v>
      </c>
      <c r="I512" s="1"/>
    </row>
    <row r="513" ht="15.75" customHeight="1">
      <c r="A513" s="2">
        <v>519.0</v>
      </c>
      <c r="B513" s="1" t="s">
        <v>1582</v>
      </c>
      <c r="C513" s="1" t="s">
        <v>846</v>
      </c>
      <c r="D513" s="1" t="s">
        <v>847</v>
      </c>
      <c r="E513" s="2">
        <v>5.70055376801E11</v>
      </c>
      <c r="F513" s="1" t="s">
        <v>1583</v>
      </c>
      <c r="G513" s="1" t="s">
        <v>12</v>
      </c>
      <c r="H513" s="3" t="s">
        <v>826</v>
      </c>
      <c r="I513" s="1"/>
    </row>
    <row r="514" ht="15.75" customHeight="1">
      <c r="A514" s="2">
        <v>520.0</v>
      </c>
      <c r="B514" s="1" t="s">
        <v>1584</v>
      </c>
      <c r="C514" s="1" t="s">
        <v>1585</v>
      </c>
      <c r="D514" s="1" t="s">
        <v>73</v>
      </c>
      <c r="E514" s="2">
        <v>5.70055376804E11</v>
      </c>
      <c r="F514" s="1" t="s">
        <v>1586</v>
      </c>
      <c r="G514" s="1" t="s">
        <v>12</v>
      </c>
      <c r="H514" s="3" t="s">
        <v>826</v>
      </c>
      <c r="I514" s="1"/>
    </row>
    <row r="515" ht="15.75" customHeight="1">
      <c r="A515" s="2">
        <v>521.0</v>
      </c>
      <c r="B515" s="1" t="s">
        <v>1587</v>
      </c>
      <c r="C515" s="1" t="s">
        <v>1337</v>
      </c>
      <c r="D515" s="1" t="s">
        <v>1588</v>
      </c>
      <c r="E515" s="2">
        <v>5.70055376808E11</v>
      </c>
      <c r="F515" s="1" t="s">
        <v>1589</v>
      </c>
      <c r="G515" s="1" t="s">
        <v>70</v>
      </c>
      <c r="H515" s="3" t="s">
        <v>826</v>
      </c>
      <c r="I515" s="1"/>
    </row>
    <row r="516" ht="15.75" customHeight="1">
      <c r="A516" s="2">
        <v>522.0</v>
      </c>
      <c r="B516" s="1" t="s">
        <v>1590</v>
      </c>
      <c r="C516" s="1" t="s">
        <v>1591</v>
      </c>
      <c r="D516" s="1" t="s">
        <v>1592</v>
      </c>
      <c r="E516" s="2">
        <v>5.70055376813E11</v>
      </c>
      <c r="F516" s="1" t="s">
        <v>1120</v>
      </c>
      <c r="G516" s="1" t="s">
        <v>25</v>
      </c>
      <c r="H516" s="3" t="s">
        <v>826</v>
      </c>
      <c r="I516" s="1"/>
    </row>
    <row r="517" ht="15.75" customHeight="1">
      <c r="A517" s="2">
        <v>523.0</v>
      </c>
      <c r="B517" s="1" t="s">
        <v>27</v>
      </c>
      <c r="C517" s="1" t="s">
        <v>1593</v>
      </c>
      <c r="D517" s="1" t="s">
        <v>1129</v>
      </c>
      <c r="E517" s="2">
        <v>5.70055376815E11</v>
      </c>
      <c r="F517" s="1" t="s">
        <v>1594</v>
      </c>
      <c r="G517" s="1" t="s">
        <v>12</v>
      </c>
      <c r="H517" s="3" t="s">
        <v>826</v>
      </c>
      <c r="I517" s="1"/>
    </row>
    <row r="518" ht="15.75" customHeight="1">
      <c r="A518" s="2">
        <v>524.0</v>
      </c>
      <c r="B518" s="1" t="s">
        <v>229</v>
      </c>
      <c r="C518" s="1" t="s">
        <v>1595</v>
      </c>
      <c r="D518" s="1" t="s">
        <v>1596</v>
      </c>
      <c r="E518" s="2">
        <v>5.70055376818E11</v>
      </c>
      <c r="F518" s="1" t="s">
        <v>1597</v>
      </c>
      <c r="G518" s="1" t="s">
        <v>12</v>
      </c>
      <c r="H518" s="3" t="s">
        <v>826</v>
      </c>
      <c r="I518" s="1"/>
    </row>
    <row r="519" ht="15.75" customHeight="1">
      <c r="A519" s="2">
        <v>525.0</v>
      </c>
      <c r="B519" s="1" t="s">
        <v>1598</v>
      </c>
      <c r="C519" s="1" t="s">
        <v>1599</v>
      </c>
      <c r="D519" s="1" t="s">
        <v>1600</v>
      </c>
      <c r="E519" s="2">
        <v>5.70055376819E11</v>
      </c>
      <c r="F519" s="1" t="s">
        <v>1601</v>
      </c>
      <c r="G519" s="1" t="s">
        <v>12</v>
      </c>
      <c r="H519" s="3" t="s">
        <v>826</v>
      </c>
      <c r="I519" s="1"/>
    </row>
    <row r="520" ht="15.75" customHeight="1">
      <c r="A520" s="2">
        <v>526.0</v>
      </c>
      <c r="B520" s="1" t="s">
        <v>1602</v>
      </c>
      <c r="C520" s="1" t="s">
        <v>1603</v>
      </c>
      <c r="D520" s="1" t="s">
        <v>1299</v>
      </c>
      <c r="E520" s="2">
        <v>5.70055376821E11</v>
      </c>
      <c r="F520" s="1" t="s">
        <v>1604</v>
      </c>
      <c r="G520" s="1" t="s">
        <v>12</v>
      </c>
      <c r="H520" s="3" t="s">
        <v>826</v>
      </c>
      <c r="I520" s="1"/>
    </row>
    <row r="521" ht="15.75" customHeight="1">
      <c r="A521" s="2">
        <v>527.0</v>
      </c>
      <c r="B521" s="1" t="s">
        <v>129</v>
      </c>
      <c r="C521" s="1" t="s">
        <v>293</v>
      </c>
      <c r="D521" s="1" t="s">
        <v>1605</v>
      </c>
      <c r="E521" s="2">
        <v>5.70055376825E11</v>
      </c>
      <c r="F521" s="1" t="s">
        <v>1606</v>
      </c>
      <c r="G521" s="1" t="s">
        <v>12</v>
      </c>
      <c r="H521" s="3" t="s">
        <v>826</v>
      </c>
      <c r="I521" s="1"/>
    </row>
    <row r="522" ht="15.75" customHeight="1">
      <c r="A522" s="2">
        <v>528.0</v>
      </c>
      <c r="B522" s="1" t="s">
        <v>1607</v>
      </c>
      <c r="C522" s="1" t="s">
        <v>1608</v>
      </c>
      <c r="D522" s="1" t="s">
        <v>1609</v>
      </c>
      <c r="E522" s="2">
        <v>5.70055376834E11</v>
      </c>
      <c r="F522" s="1" t="s">
        <v>1610</v>
      </c>
      <c r="G522" s="1" t="s">
        <v>95</v>
      </c>
      <c r="H522" s="3" t="s">
        <v>826</v>
      </c>
      <c r="I522" s="1"/>
    </row>
    <row r="523" ht="15.75" customHeight="1">
      <c r="A523" s="2">
        <v>529.0</v>
      </c>
      <c r="B523" s="1" t="s">
        <v>1611</v>
      </c>
      <c r="C523" s="1" t="s">
        <v>1612</v>
      </c>
      <c r="D523" s="1" t="s">
        <v>1613</v>
      </c>
      <c r="E523" s="2">
        <v>5.70055376835E11</v>
      </c>
      <c r="F523" s="1" t="s">
        <v>1614</v>
      </c>
      <c r="G523" s="1" t="s">
        <v>247</v>
      </c>
      <c r="H523" s="3" t="s">
        <v>826</v>
      </c>
      <c r="I523" s="1"/>
    </row>
    <row r="524" ht="15.75" customHeight="1">
      <c r="A524" s="2">
        <v>530.0</v>
      </c>
      <c r="B524" s="1" t="s">
        <v>1615</v>
      </c>
      <c r="C524" s="1" t="s">
        <v>1612</v>
      </c>
      <c r="D524" s="1" t="s">
        <v>1609</v>
      </c>
      <c r="E524" s="2">
        <v>5.70055376836E11</v>
      </c>
      <c r="F524" s="1" t="s">
        <v>1616</v>
      </c>
      <c r="G524" s="1" t="s">
        <v>996</v>
      </c>
      <c r="H524" s="3" t="s">
        <v>826</v>
      </c>
      <c r="I524" s="1"/>
    </row>
    <row r="525" ht="15.75" customHeight="1">
      <c r="A525" s="2">
        <v>531.0</v>
      </c>
      <c r="B525" s="1" t="s">
        <v>1617</v>
      </c>
      <c r="C525" s="1" t="s">
        <v>1618</v>
      </c>
      <c r="D525" s="1" t="s">
        <v>1619</v>
      </c>
      <c r="E525" s="2">
        <v>5.70055376838E11</v>
      </c>
      <c r="F525" s="1" t="s">
        <v>1620</v>
      </c>
      <c r="G525" s="1" t="s">
        <v>12</v>
      </c>
      <c r="H525" s="3" t="s">
        <v>826</v>
      </c>
      <c r="I525" s="1"/>
    </row>
    <row r="526" ht="15.75" customHeight="1">
      <c r="A526" s="2">
        <v>532.0</v>
      </c>
      <c r="B526" s="1" t="s">
        <v>1621</v>
      </c>
      <c r="C526" s="1" t="s">
        <v>1622</v>
      </c>
      <c r="D526" s="1" t="s">
        <v>1623</v>
      </c>
      <c r="E526" s="2">
        <v>5.7005537684E11</v>
      </c>
      <c r="F526" s="1" t="s">
        <v>1624</v>
      </c>
      <c r="G526" s="1" t="s">
        <v>12</v>
      </c>
      <c r="H526" s="3" t="s">
        <v>826</v>
      </c>
      <c r="I526" s="1"/>
    </row>
    <row r="527" ht="15.75" customHeight="1">
      <c r="A527" s="2">
        <v>533.0</v>
      </c>
      <c r="B527" s="1" t="s">
        <v>1625</v>
      </c>
      <c r="C527" s="1" t="s">
        <v>1618</v>
      </c>
      <c r="D527" s="1" t="s">
        <v>1626</v>
      </c>
      <c r="E527" s="2">
        <v>5.70055376841E11</v>
      </c>
      <c r="F527" s="1" t="s">
        <v>1627</v>
      </c>
      <c r="G527" s="1" t="s">
        <v>70</v>
      </c>
      <c r="H527" s="3" t="s">
        <v>826</v>
      </c>
      <c r="I527" s="1"/>
    </row>
    <row r="528" ht="15.75" customHeight="1">
      <c r="A528" s="2">
        <v>534.0</v>
      </c>
      <c r="B528" s="1" t="s">
        <v>1628</v>
      </c>
      <c r="C528" s="1" t="s">
        <v>1629</v>
      </c>
      <c r="D528" s="1" t="s">
        <v>1630</v>
      </c>
      <c r="E528" s="2">
        <v>5.70055376844E11</v>
      </c>
      <c r="F528" s="1" t="s">
        <v>128</v>
      </c>
      <c r="G528" s="1" t="s">
        <v>12</v>
      </c>
      <c r="H528" s="3" t="s">
        <v>826</v>
      </c>
      <c r="I528" s="1"/>
    </row>
    <row r="529" ht="15.75" customHeight="1">
      <c r="A529" s="2">
        <v>535.0</v>
      </c>
      <c r="B529" s="1" t="s">
        <v>1631</v>
      </c>
      <c r="C529" s="1" t="s">
        <v>1632</v>
      </c>
      <c r="D529" s="1" t="s">
        <v>1633</v>
      </c>
      <c r="E529" s="2">
        <v>5.70055376846E11</v>
      </c>
      <c r="F529" s="1" t="s">
        <v>1634</v>
      </c>
      <c r="G529" s="1" t="s">
        <v>70</v>
      </c>
      <c r="H529" s="3" t="s">
        <v>826</v>
      </c>
      <c r="I529" s="1"/>
    </row>
    <row r="530" ht="15.75" customHeight="1">
      <c r="A530" s="2">
        <v>536.0</v>
      </c>
      <c r="B530" s="1" t="s">
        <v>91</v>
      </c>
      <c r="C530" s="1" t="s">
        <v>1635</v>
      </c>
      <c r="D530" s="1" t="s">
        <v>1636</v>
      </c>
      <c r="E530" s="2">
        <v>5.70055376847E11</v>
      </c>
      <c r="F530" s="1" t="s">
        <v>1637</v>
      </c>
      <c r="G530" s="1" t="s">
        <v>12</v>
      </c>
      <c r="H530" s="3" t="s">
        <v>826</v>
      </c>
      <c r="I530" s="1"/>
    </row>
    <row r="531" ht="15.75" customHeight="1">
      <c r="A531" s="2">
        <v>537.0</v>
      </c>
      <c r="B531" s="1" t="s">
        <v>1638</v>
      </c>
      <c r="C531" s="1" t="s">
        <v>1306</v>
      </c>
      <c r="D531" s="1" t="s">
        <v>1639</v>
      </c>
      <c r="E531" s="2">
        <v>5.70055376848E11</v>
      </c>
      <c r="F531" s="1" t="s">
        <v>1640</v>
      </c>
      <c r="G531" s="1" t="s">
        <v>70</v>
      </c>
      <c r="H531" s="3" t="s">
        <v>826</v>
      </c>
      <c r="I531" s="1"/>
    </row>
    <row r="532" ht="15.75" customHeight="1">
      <c r="A532" s="2">
        <v>538.0</v>
      </c>
      <c r="B532" s="1" t="s">
        <v>1641</v>
      </c>
      <c r="C532" s="1" t="s">
        <v>1642</v>
      </c>
      <c r="D532" s="1" t="s">
        <v>1643</v>
      </c>
      <c r="E532" s="2">
        <v>5.70055376853E11</v>
      </c>
      <c r="F532" s="1" t="s">
        <v>341</v>
      </c>
      <c r="G532" s="1" t="s">
        <v>25</v>
      </c>
      <c r="H532" s="3" t="s">
        <v>826</v>
      </c>
      <c r="I532" s="1"/>
    </row>
    <row r="533" ht="15.75" customHeight="1">
      <c r="A533" s="2">
        <v>539.0</v>
      </c>
      <c r="B533" s="1" t="s">
        <v>859</v>
      </c>
      <c r="C533" s="1" t="s">
        <v>993</v>
      </c>
      <c r="D533" s="1" t="s">
        <v>1058</v>
      </c>
      <c r="E533" s="2">
        <v>5.70055376856E11</v>
      </c>
      <c r="F533" s="1" t="s">
        <v>1152</v>
      </c>
      <c r="G533" s="1" t="s">
        <v>12</v>
      </c>
      <c r="H533" s="3" t="s">
        <v>826</v>
      </c>
      <c r="I533" s="1"/>
    </row>
    <row r="534" ht="15.75" customHeight="1">
      <c r="A534" s="2">
        <v>540.0</v>
      </c>
      <c r="B534" s="1" t="s">
        <v>1644</v>
      </c>
      <c r="C534" s="1" t="s">
        <v>1645</v>
      </c>
      <c r="D534" s="1" t="s">
        <v>1364</v>
      </c>
      <c r="E534" s="2">
        <v>5.70055376861E11</v>
      </c>
      <c r="F534" s="1" t="s">
        <v>1646</v>
      </c>
      <c r="G534" s="1" t="s">
        <v>247</v>
      </c>
      <c r="H534" s="3" t="s">
        <v>826</v>
      </c>
      <c r="I534" s="1"/>
    </row>
    <row r="535" ht="15.75" customHeight="1">
      <c r="A535" s="2">
        <v>541.0</v>
      </c>
      <c r="B535" s="1" t="s">
        <v>1647</v>
      </c>
      <c r="C535" s="1" t="s">
        <v>1648</v>
      </c>
      <c r="D535" s="1" t="s">
        <v>1649</v>
      </c>
      <c r="E535" s="2">
        <v>5.70055376862E11</v>
      </c>
      <c r="F535" s="1" t="s">
        <v>1001</v>
      </c>
      <c r="G535" s="1" t="s">
        <v>70</v>
      </c>
      <c r="H535" s="3" t="s">
        <v>826</v>
      </c>
      <c r="I535" s="1"/>
    </row>
    <row r="536" ht="15.75" customHeight="1">
      <c r="A536" s="2">
        <v>542.0</v>
      </c>
      <c r="B536" s="1" t="s">
        <v>1173</v>
      </c>
      <c r="C536" s="1" t="s">
        <v>1650</v>
      </c>
      <c r="D536" s="1" t="s">
        <v>1651</v>
      </c>
      <c r="E536" s="2">
        <v>5.70055376863E11</v>
      </c>
      <c r="F536" s="1" t="s">
        <v>1038</v>
      </c>
      <c r="G536" s="1" t="s">
        <v>25</v>
      </c>
      <c r="H536" s="3" t="s">
        <v>826</v>
      </c>
      <c r="I536" s="1"/>
    </row>
    <row r="537" ht="15.75" customHeight="1">
      <c r="A537" s="2">
        <v>543.0</v>
      </c>
      <c r="B537" s="1" t="s">
        <v>1652</v>
      </c>
      <c r="C537" s="1" t="s">
        <v>1653</v>
      </c>
      <c r="D537" s="1" t="s">
        <v>1654</v>
      </c>
      <c r="E537" s="2">
        <v>5.70055376864E11</v>
      </c>
      <c r="F537" s="1" t="s">
        <v>1655</v>
      </c>
      <c r="G537" s="1" t="s">
        <v>70</v>
      </c>
      <c r="H537" s="3" t="s">
        <v>826</v>
      </c>
      <c r="I537" s="1"/>
    </row>
    <row r="538" ht="15.75" customHeight="1">
      <c r="A538" s="2">
        <v>544.0</v>
      </c>
      <c r="B538" s="1" t="s">
        <v>1656</v>
      </c>
      <c r="C538" s="1" t="s">
        <v>1657</v>
      </c>
      <c r="D538" s="1" t="s">
        <v>1658</v>
      </c>
      <c r="E538" s="2">
        <v>5.70055376865E11</v>
      </c>
      <c r="F538" s="1" t="s">
        <v>1659</v>
      </c>
      <c r="G538" s="1" t="s">
        <v>25</v>
      </c>
      <c r="H538" s="3" t="s">
        <v>826</v>
      </c>
      <c r="I538" s="1"/>
    </row>
    <row r="539" ht="15.75" customHeight="1">
      <c r="A539" s="2">
        <v>545.0</v>
      </c>
      <c r="B539" s="1" t="s">
        <v>1660</v>
      </c>
      <c r="C539" s="1" t="s">
        <v>1661</v>
      </c>
      <c r="D539" s="1" t="s">
        <v>1662</v>
      </c>
      <c r="E539" s="2">
        <v>5.70055376868E11</v>
      </c>
      <c r="F539" s="1" t="s">
        <v>1038</v>
      </c>
      <c r="G539" s="1" t="s">
        <v>12</v>
      </c>
      <c r="H539" s="3" t="s">
        <v>826</v>
      </c>
      <c r="I539" s="1"/>
    </row>
    <row r="540" ht="15.75" customHeight="1">
      <c r="A540" s="2">
        <v>546.0</v>
      </c>
      <c r="B540" s="1" t="s">
        <v>1661</v>
      </c>
      <c r="C540" s="1" t="s">
        <v>1663</v>
      </c>
      <c r="D540" s="1" t="s">
        <v>1664</v>
      </c>
      <c r="E540" s="2">
        <v>5.70055376871E11</v>
      </c>
      <c r="F540" s="1" t="s">
        <v>1043</v>
      </c>
      <c r="G540" s="1" t="s">
        <v>12</v>
      </c>
      <c r="H540" s="3" t="s">
        <v>826</v>
      </c>
      <c r="I540" s="1"/>
    </row>
    <row r="541" ht="15.75" customHeight="1">
      <c r="A541" s="2">
        <v>547.0</v>
      </c>
      <c r="B541" s="1" t="s">
        <v>832</v>
      </c>
      <c r="C541" s="1" t="s">
        <v>1090</v>
      </c>
      <c r="D541" s="1" t="s">
        <v>1662</v>
      </c>
      <c r="E541" s="2">
        <v>5.70055376872E11</v>
      </c>
      <c r="F541" s="1" t="s">
        <v>1001</v>
      </c>
      <c r="G541" s="1" t="s">
        <v>12</v>
      </c>
      <c r="H541" s="3" t="s">
        <v>826</v>
      </c>
      <c r="I541" s="1"/>
    </row>
    <row r="542" ht="15.75" customHeight="1">
      <c r="A542" s="2">
        <v>548.0</v>
      </c>
      <c r="B542" s="1" t="s">
        <v>1665</v>
      </c>
      <c r="C542" s="1" t="s">
        <v>1666</v>
      </c>
      <c r="D542" s="1" t="s">
        <v>1058</v>
      </c>
      <c r="E542" s="2">
        <v>5.70055376874E11</v>
      </c>
      <c r="F542" s="1" t="s">
        <v>1120</v>
      </c>
      <c r="G542" s="1" t="s">
        <v>25</v>
      </c>
      <c r="H542" s="3" t="s">
        <v>826</v>
      </c>
      <c r="I542" s="1"/>
    </row>
    <row r="543" ht="15.75" customHeight="1">
      <c r="A543" s="2">
        <v>549.0</v>
      </c>
      <c r="B543" s="1" t="s">
        <v>1257</v>
      </c>
      <c r="C543" s="1" t="s">
        <v>1667</v>
      </c>
      <c r="D543" s="1" t="s">
        <v>1012</v>
      </c>
      <c r="E543" s="2">
        <v>5.70055376875E11</v>
      </c>
      <c r="F543" s="1" t="s">
        <v>420</v>
      </c>
      <c r="G543" s="1" t="s">
        <v>12</v>
      </c>
      <c r="H543" s="3" t="s">
        <v>826</v>
      </c>
      <c r="I543" s="1"/>
    </row>
    <row r="544" ht="15.75" customHeight="1">
      <c r="A544" s="2">
        <v>550.0</v>
      </c>
      <c r="B544" s="1" t="s">
        <v>1668</v>
      </c>
      <c r="C544" s="1" t="s">
        <v>1669</v>
      </c>
      <c r="D544" s="1" t="s">
        <v>1012</v>
      </c>
      <c r="E544" s="2">
        <v>5.70055376876E11</v>
      </c>
      <c r="F544" s="1" t="s">
        <v>1659</v>
      </c>
      <c r="G544" s="1" t="s">
        <v>12</v>
      </c>
      <c r="H544" s="3" t="s">
        <v>826</v>
      </c>
      <c r="I544" s="1"/>
    </row>
    <row r="545" ht="15.75" customHeight="1">
      <c r="A545" s="2">
        <v>551.0</v>
      </c>
      <c r="B545" s="1" t="s">
        <v>34</v>
      </c>
      <c r="C545" s="1"/>
      <c r="D545" s="1"/>
      <c r="E545" s="1"/>
      <c r="F545" s="1"/>
      <c r="G545" s="1"/>
      <c r="H545" s="1"/>
      <c r="I545" s="1"/>
    </row>
    <row r="546" ht="15.75" customHeight="1">
      <c r="A546" s="2">
        <v>552.0</v>
      </c>
      <c r="B546" s="1" t="s">
        <v>1670</v>
      </c>
      <c r="C546" s="1" t="s">
        <v>1671</v>
      </c>
      <c r="D546" s="1" t="s">
        <v>1672</v>
      </c>
      <c r="E546" s="2">
        <v>5.70055376878E11</v>
      </c>
      <c r="F546" s="1" t="s">
        <v>1097</v>
      </c>
      <c r="G546" s="1" t="s">
        <v>12</v>
      </c>
      <c r="H546" s="3" t="s">
        <v>826</v>
      </c>
      <c r="I546" s="1"/>
    </row>
    <row r="547" ht="15.75" customHeight="1">
      <c r="A547" s="2">
        <v>553.0</v>
      </c>
      <c r="B547" s="1" t="s">
        <v>1673</v>
      </c>
      <c r="C547" s="1" t="s">
        <v>1162</v>
      </c>
      <c r="D547" s="1" t="s">
        <v>1674</v>
      </c>
      <c r="E547" s="2">
        <v>5.70055376879E11</v>
      </c>
      <c r="F547" s="1" t="s">
        <v>889</v>
      </c>
      <c r="G547" s="1" t="s">
        <v>12</v>
      </c>
      <c r="H547" s="3" t="s">
        <v>826</v>
      </c>
      <c r="I547" s="1"/>
    </row>
    <row r="548" ht="15.75" customHeight="1">
      <c r="A548" s="2">
        <v>554.0</v>
      </c>
      <c r="B548" s="1" t="s">
        <v>861</v>
      </c>
      <c r="C548" s="1" t="s">
        <v>1675</v>
      </c>
      <c r="D548" s="1" t="s">
        <v>103</v>
      </c>
      <c r="E548" s="2">
        <v>5.70055376881E11</v>
      </c>
      <c r="F548" s="1" t="s">
        <v>910</v>
      </c>
      <c r="G548" s="1" t="s">
        <v>12</v>
      </c>
      <c r="H548" s="3" t="s">
        <v>826</v>
      </c>
      <c r="I548" s="1"/>
    </row>
    <row r="549" ht="15.75" customHeight="1">
      <c r="A549" s="2">
        <v>555.0</v>
      </c>
      <c r="B549" s="1" t="s">
        <v>1396</v>
      </c>
      <c r="C549" s="1" t="s">
        <v>1661</v>
      </c>
      <c r="D549" s="1" t="s">
        <v>1662</v>
      </c>
      <c r="E549" s="2">
        <v>5.70055376882E11</v>
      </c>
      <c r="F549" s="1" t="s">
        <v>968</v>
      </c>
      <c r="G549" s="1" t="s">
        <v>25</v>
      </c>
      <c r="H549" s="3" t="s">
        <v>826</v>
      </c>
      <c r="I549" s="1"/>
    </row>
    <row r="550" ht="15.75" customHeight="1">
      <c r="A550" s="2">
        <v>556.0</v>
      </c>
      <c r="B550" s="1" t="s">
        <v>1676</v>
      </c>
      <c r="C550" s="1" t="s">
        <v>1677</v>
      </c>
      <c r="D550" s="1" t="s">
        <v>1678</v>
      </c>
      <c r="E550" s="2">
        <v>5.70055376883E11</v>
      </c>
      <c r="F550" s="1" t="s">
        <v>1140</v>
      </c>
      <c r="G550" s="1" t="s">
        <v>25</v>
      </c>
      <c r="H550" s="3" t="s">
        <v>826</v>
      </c>
      <c r="I550" s="1"/>
    </row>
    <row r="551" ht="15.75" customHeight="1">
      <c r="A551" s="2">
        <v>557.0</v>
      </c>
      <c r="B551" s="1" t="s">
        <v>1679</v>
      </c>
      <c r="C551" s="1" t="s">
        <v>1016</v>
      </c>
      <c r="D551" s="1" t="s">
        <v>1164</v>
      </c>
      <c r="E551" s="2">
        <v>5.70055376886E11</v>
      </c>
      <c r="F551" s="1" t="s">
        <v>968</v>
      </c>
      <c r="G551" s="1" t="s">
        <v>25</v>
      </c>
      <c r="H551" s="3" t="s">
        <v>826</v>
      </c>
      <c r="I551" s="1"/>
    </row>
    <row r="552" ht="15.75" customHeight="1">
      <c r="A552" s="2">
        <v>558.0</v>
      </c>
      <c r="B552" s="1" t="s">
        <v>1680</v>
      </c>
      <c r="C552" s="1" t="s">
        <v>966</v>
      </c>
      <c r="D552" s="1" t="s">
        <v>1681</v>
      </c>
      <c r="E552" s="2">
        <v>5.70055376887E11</v>
      </c>
      <c r="F552" s="1" t="s">
        <v>889</v>
      </c>
      <c r="G552" s="1" t="s">
        <v>25</v>
      </c>
      <c r="H552" s="3" t="s">
        <v>826</v>
      </c>
      <c r="I552" s="1"/>
    </row>
    <row r="553" ht="15.75" customHeight="1">
      <c r="A553" s="2">
        <v>559.0</v>
      </c>
      <c r="B553" s="1" t="s">
        <v>1682</v>
      </c>
      <c r="C553" s="1" t="s">
        <v>321</v>
      </c>
      <c r="D553" s="1" t="s">
        <v>1683</v>
      </c>
      <c r="E553" s="2">
        <v>5.70055376891E11</v>
      </c>
      <c r="F553" s="1" t="s">
        <v>1684</v>
      </c>
      <c r="G553" s="1" t="s">
        <v>25</v>
      </c>
      <c r="H553" s="3" t="s">
        <v>826</v>
      </c>
      <c r="I553" s="1"/>
    </row>
    <row r="554" ht="15.75" customHeight="1">
      <c r="A554" s="2">
        <v>560.0</v>
      </c>
      <c r="B554" s="1" t="s">
        <v>240</v>
      </c>
      <c r="C554" s="1" t="s">
        <v>1685</v>
      </c>
      <c r="D554" s="1" t="s">
        <v>1686</v>
      </c>
      <c r="E554" s="2">
        <v>5.70055376892E11</v>
      </c>
      <c r="F554" s="1" t="s">
        <v>1687</v>
      </c>
      <c r="G554" s="1" t="s">
        <v>25</v>
      </c>
      <c r="H554" s="3" t="s">
        <v>826</v>
      </c>
      <c r="I554" s="1"/>
    </row>
    <row r="555" ht="15.75" customHeight="1">
      <c r="A555" s="2">
        <v>561.0</v>
      </c>
      <c r="B555" s="1" t="s">
        <v>1688</v>
      </c>
      <c r="C555" s="1" t="s">
        <v>1689</v>
      </c>
      <c r="D555" s="1" t="s">
        <v>1690</v>
      </c>
      <c r="E555" s="2">
        <v>5.70055376893E11</v>
      </c>
      <c r="F555" s="1" t="s">
        <v>1691</v>
      </c>
      <c r="G555" s="1" t="s">
        <v>12</v>
      </c>
      <c r="H555" s="3" t="s">
        <v>826</v>
      </c>
      <c r="I555" s="1"/>
    </row>
    <row r="556" ht="15.75" customHeight="1">
      <c r="A556" s="2">
        <v>562.0</v>
      </c>
      <c r="B556" s="1" t="s">
        <v>1692</v>
      </c>
      <c r="C556" s="1" t="s">
        <v>1693</v>
      </c>
      <c r="D556" s="1" t="s">
        <v>1694</v>
      </c>
      <c r="E556" s="2">
        <v>5.70055376894E11</v>
      </c>
      <c r="F556" s="1" t="s">
        <v>1695</v>
      </c>
      <c r="G556" s="1" t="s">
        <v>12</v>
      </c>
      <c r="H556" s="3" t="s">
        <v>826</v>
      </c>
      <c r="I556" s="1"/>
    </row>
    <row r="557" ht="15.75" customHeight="1">
      <c r="A557" s="2">
        <v>563.0</v>
      </c>
      <c r="B557" s="1" t="s">
        <v>1696</v>
      </c>
      <c r="C557" s="1" t="s">
        <v>1697</v>
      </c>
      <c r="D557" s="1" t="s">
        <v>193</v>
      </c>
      <c r="E557" s="2">
        <v>5.70055376895E11</v>
      </c>
      <c r="F557" s="1" t="s">
        <v>1698</v>
      </c>
      <c r="G557" s="1" t="s">
        <v>70</v>
      </c>
      <c r="H557" s="3" t="s">
        <v>826</v>
      </c>
      <c r="I557" s="1"/>
    </row>
    <row r="558" ht="15.75" customHeight="1">
      <c r="A558" s="2">
        <v>564.0</v>
      </c>
      <c r="B558" s="1" t="s">
        <v>1699</v>
      </c>
      <c r="C558" s="1" t="s">
        <v>174</v>
      </c>
      <c r="D558" s="1" t="s">
        <v>1700</v>
      </c>
      <c r="E558" s="2">
        <v>5.70055376896E11</v>
      </c>
      <c r="F558" s="1" t="s">
        <v>1701</v>
      </c>
      <c r="G558" s="1" t="s">
        <v>12</v>
      </c>
      <c r="H558" s="3" t="s">
        <v>826</v>
      </c>
      <c r="I558" s="1"/>
    </row>
    <row r="559" ht="15.75" customHeight="1">
      <c r="A559" s="2">
        <v>565.0</v>
      </c>
      <c r="B559" s="1" t="s">
        <v>1702</v>
      </c>
      <c r="C559" s="1" t="s">
        <v>1703</v>
      </c>
      <c r="D559" s="1" t="s">
        <v>1704</v>
      </c>
      <c r="E559" s="2">
        <v>5.70055376897E11</v>
      </c>
      <c r="F559" s="1" t="s">
        <v>1561</v>
      </c>
      <c r="G559" s="1" t="s">
        <v>12</v>
      </c>
      <c r="H559" s="3" t="s">
        <v>826</v>
      </c>
      <c r="I559" s="1"/>
    </row>
    <row r="560" ht="15.75" customHeight="1">
      <c r="A560" s="2">
        <v>566.0</v>
      </c>
      <c r="B560" s="1" t="s">
        <v>1705</v>
      </c>
      <c r="C560" s="1" t="s">
        <v>1706</v>
      </c>
      <c r="D560" s="1" t="s">
        <v>1707</v>
      </c>
      <c r="E560" s="2">
        <v>5.70055376898E11</v>
      </c>
      <c r="F560" s="1" t="s">
        <v>1708</v>
      </c>
      <c r="G560" s="1" t="s">
        <v>12</v>
      </c>
      <c r="H560" s="3" t="s">
        <v>826</v>
      </c>
      <c r="I560" s="1"/>
    </row>
    <row r="561" ht="15.75" customHeight="1">
      <c r="A561" s="2">
        <v>567.0</v>
      </c>
      <c r="B561" s="1" t="s">
        <v>1491</v>
      </c>
      <c r="C561" s="1" t="s">
        <v>1238</v>
      </c>
      <c r="D561" s="1" t="s">
        <v>1709</v>
      </c>
      <c r="E561" s="2">
        <v>5.700553769091E12</v>
      </c>
      <c r="F561" s="1" t="s">
        <v>1710</v>
      </c>
      <c r="G561" s="1" t="s">
        <v>70</v>
      </c>
      <c r="H561" s="3" t="s">
        <v>826</v>
      </c>
      <c r="I561" s="1"/>
    </row>
    <row r="562" ht="15.75" customHeight="1">
      <c r="A562" s="2">
        <v>568.0</v>
      </c>
      <c r="B562" s="1" t="s">
        <v>1711</v>
      </c>
      <c r="C562" s="1" t="s">
        <v>1195</v>
      </c>
      <c r="D562" s="1" t="s">
        <v>37</v>
      </c>
      <c r="E562" s="2">
        <v>5.70055376902E11</v>
      </c>
      <c r="F562" s="1" t="s">
        <v>1712</v>
      </c>
      <c r="G562" s="1" t="s">
        <v>12</v>
      </c>
      <c r="H562" s="3" t="s">
        <v>826</v>
      </c>
      <c r="I562" s="1"/>
    </row>
    <row r="563" ht="15.75" customHeight="1">
      <c r="A563" s="2">
        <v>569.0</v>
      </c>
      <c r="B563" s="1" t="s">
        <v>155</v>
      </c>
      <c r="C563" s="1" t="s">
        <v>1199</v>
      </c>
      <c r="D563" s="1" t="s">
        <v>1713</v>
      </c>
      <c r="E563" s="2">
        <v>5.70055376903E11</v>
      </c>
      <c r="F563" s="1" t="s">
        <v>1684</v>
      </c>
      <c r="G563" s="1" t="s">
        <v>12</v>
      </c>
      <c r="H563" s="3" t="s">
        <v>826</v>
      </c>
      <c r="I563" s="1"/>
    </row>
    <row r="564" ht="15.75" customHeight="1">
      <c r="A564" s="2">
        <v>570.0</v>
      </c>
      <c r="B564" s="1" t="s">
        <v>1199</v>
      </c>
      <c r="C564" s="1" t="s">
        <v>1714</v>
      </c>
      <c r="D564" s="1" t="s">
        <v>1715</v>
      </c>
      <c r="E564" s="2">
        <v>5.70055376904E11</v>
      </c>
      <c r="F564" s="1" t="s">
        <v>1716</v>
      </c>
      <c r="G564" s="1" t="s">
        <v>120</v>
      </c>
      <c r="H564" s="3" t="s">
        <v>826</v>
      </c>
      <c r="I564" s="1"/>
    </row>
    <row r="565" ht="15.75" customHeight="1">
      <c r="A565" s="2">
        <v>571.0</v>
      </c>
      <c r="B565" s="1" t="s">
        <v>1717</v>
      </c>
      <c r="C565" s="1" t="s">
        <v>1222</v>
      </c>
      <c r="D565" s="1" t="s">
        <v>1718</v>
      </c>
      <c r="E565" s="2">
        <v>5.70055376905E11</v>
      </c>
      <c r="F565" s="1" t="s">
        <v>1719</v>
      </c>
      <c r="G565" s="1" t="s">
        <v>996</v>
      </c>
      <c r="H565" s="3" t="s">
        <v>826</v>
      </c>
      <c r="I565" s="1"/>
    </row>
    <row r="566" ht="15.75" customHeight="1">
      <c r="A566" s="2">
        <v>572.0</v>
      </c>
      <c r="B566" s="1" t="s">
        <v>992</v>
      </c>
      <c r="C566" s="1" t="s">
        <v>1720</v>
      </c>
      <c r="D566" s="1" t="s">
        <v>1683</v>
      </c>
      <c r="E566" s="2">
        <v>5.70055376906E11</v>
      </c>
      <c r="F566" s="1" t="s">
        <v>1721</v>
      </c>
      <c r="G566" s="1" t="s">
        <v>12</v>
      </c>
      <c r="H566" s="3" t="s">
        <v>826</v>
      </c>
      <c r="I566" s="1"/>
    </row>
    <row r="567" ht="15.75" customHeight="1">
      <c r="A567" s="2">
        <v>573.0</v>
      </c>
      <c r="B567" s="1" t="s">
        <v>1722</v>
      </c>
      <c r="C567" s="1" t="s">
        <v>934</v>
      </c>
      <c r="D567" s="1" t="s">
        <v>1723</v>
      </c>
      <c r="E567" s="2">
        <v>5.70055376908E11</v>
      </c>
      <c r="F567" s="1" t="s">
        <v>666</v>
      </c>
      <c r="G567" s="1" t="s">
        <v>25</v>
      </c>
      <c r="H567" s="3" t="s">
        <v>826</v>
      </c>
      <c r="I567" s="1"/>
    </row>
    <row r="568" ht="15.75" customHeight="1">
      <c r="A568" s="2">
        <v>574.0</v>
      </c>
      <c r="B568" s="1" t="s">
        <v>1724</v>
      </c>
      <c r="C568" s="1" t="s">
        <v>374</v>
      </c>
      <c r="D568" s="1" t="s">
        <v>970</v>
      </c>
      <c r="E568" s="2">
        <v>5.70055376914E11</v>
      </c>
      <c r="F568" s="1" t="s">
        <v>1725</v>
      </c>
      <c r="G568" s="1" t="s">
        <v>70</v>
      </c>
      <c r="H568" s="3" t="s">
        <v>826</v>
      </c>
      <c r="I568" s="1"/>
    </row>
    <row r="569" ht="15.75" customHeight="1">
      <c r="A569" s="2">
        <v>575.0</v>
      </c>
      <c r="B569" s="1" t="s">
        <v>1726</v>
      </c>
      <c r="C569" s="1" t="s">
        <v>1727</v>
      </c>
      <c r="D569" s="1" t="s">
        <v>1728</v>
      </c>
      <c r="E569" s="2">
        <v>5.70055376915E11</v>
      </c>
      <c r="F569" s="1" t="s">
        <v>1454</v>
      </c>
      <c r="G569" s="1" t="s">
        <v>12</v>
      </c>
      <c r="H569" s="3" t="s">
        <v>826</v>
      </c>
      <c r="I569" s="1"/>
    </row>
    <row r="570" ht="15.75" customHeight="1">
      <c r="A570" s="2">
        <v>576.0</v>
      </c>
      <c r="B570" s="1" t="s">
        <v>1729</v>
      </c>
      <c r="C570" s="1" t="s">
        <v>953</v>
      </c>
      <c r="D570" s="1" t="s">
        <v>954</v>
      </c>
      <c r="E570" s="2">
        <v>5.70055376917E11</v>
      </c>
      <c r="F570" s="1" t="s">
        <v>385</v>
      </c>
      <c r="G570" s="1" t="s">
        <v>12</v>
      </c>
      <c r="H570" s="3" t="s">
        <v>826</v>
      </c>
      <c r="I570" s="1"/>
    </row>
    <row r="571" ht="15.75" customHeight="1">
      <c r="A571" s="2">
        <v>577.0</v>
      </c>
      <c r="B571" s="1" t="s">
        <v>1730</v>
      </c>
      <c r="C571" s="1" t="s">
        <v>1731</v>
      </c>
      <c r="D571" s="1" t="s">
        <v>1732</v>
      </c>
      <c r="E571" s="2">
        <v>5.70055376919E11</v>
      </c>
      <c r="F571" s="1" t="s">
        <v>1733</v>
      </c>
      <c r="G571" s="1" t="s">
        <v>12</v>
      </c>
      <c r="H571" s="3" t="s">
        <v>826</v>
      </c>
      <c r="I571" s="1"/>
    </row>
    <row r="572" ht="15.75" customHeight="1">
      <c r="A572" s="2">
        <v>578.0</v>
      </c>
      <c r="B572" s="1" t="s">
        <v>1734</v>
      </c>
      <c r="C572" s="1" t="s">
        <v>1735</v>
      </c>
      <c r="D572" s="1" t="s">
        <v>970</v>
      </c>
      <c r="E572" s="2">
        <v>5.70055376922E11</v>
      </c>
      <c r="F572" s="1" t="s">
        <v>1736</v>
      </c>
      <c r="G572" s="1" t="s">
        <v>95</v>
      </c>
      <c r="H572" s="3" t="s">
        <v>826</v>
      </c>
      <c r="I572" s="1"/>
    </row>
    <row r="573" ht="15.75" customHeight="1">
      <c r="A573" s="2">
        <v>579.0</v>
      </c>
      <c r="B573" s="1" t="s">
        <v>880</v>
      </c>
      <c r="C573" s="1" t="s">
        <v>1737</v>
      </c>
      <c r="D573" s="1" t="s">
        <v>1738</v>
      </c>
      <c r="E573" s="2">
        <v>5.70055376924E11</v>
      </c>
      <c r="F573" s="1" t="s">
        <v>1739</v>
      </c>
      <c r="G573" s="1" t="s">
        <v>25</v>
      </c>
      <c r="H573" s="3" t="s">
        <v>826</v>
      </c>
      <c r="I573" s="1"/>
    </row>
    <row r="574" ht="15.75" customHeight="1">
      <c r="A574" s="2">
        <v>580.0</v>
      </c>
      <c r="B574" s="1" t="s">
        <v>1740</v>
      </c>
      <c r="C574" s="1" t="s">
        <v>1741</v>
      </c>
      <c r="D574" s="1" t="s">
        <v>1742</v>
      </c>
      <c r="E574" s="2">
        <v>5.70055376925E11</v>
      </c>
      <c r="F574" s="1" t="s">
        <v>1743</v>
      </c>
      <c r="G574" s="1" t="s">
        <v>25</v>
      </c>
      <c r="H574" s="3" t="s">
        <v>826</v>
      </c>
      <c r="I574" s="1"/>
    </row>
    <row r="575" ht="15.75" customHeight="1">
      <c r="A575" s="2">
        <v>581.0</v>
      </c>
      <c r="B575" s="1" t="s">
        <v>1741</v>
      </c>
      <c r="C575" s="1" t="s">
        <v>1744</v>
      </c>
      <c r="D575" s="1" t="s">
        <v>1745</v>
      </c>
      <c r="E575" s="2">
        <v>5.70055376926E11</v>
      </c>
      <c r="F575" s="1" t="s">
        <v>1746</v>
      </c>
      <c r="G575" s="1" t="s">
        <v>12</v>
      </c>
      <c r="H575" s="3" t="s">
        <v>826</v>
      </c>
      <c r="I575" s="1"/>
    </row>
    <row r="576" ht="15.75" customHeight="1">
      <c r="A576" s="2">
        <v>582.0</v>
      </c>
      <c r="B576" s="1" t="s">
        <v>1747</v>
      </c>
      <c r="C576" s="1" t="s">
        <v>1727</v>
      </c>
      <c r="D576" s="1" t="s">
        <v>1748</v>
      </c>
      <c r="E576" s="2">
        <v>5.70055376927E11</v>
      </c>
      <c r="F576" s="1" t="s">
        <v>1749</v>
      </c>
      <c r="G576" s="1" t="s">
        <v>12</v>
      </c>
      <c r="H576" s="3" t="s">
        <v>826</v>
      </c>
      <c r="I576" s="1"/>
    </row>
    <row r="577" ht="15.75" customHeight="1">
      <c r="A577" s="2">
        <v>583.0</v>
      </c>
      <c r="B577" s="1" t="s">
        <v>1750</v>
      </c>
      <c r="C577" s="1" t="s">
        <v>1199</v>
      </c>
      <c r="D577" s="1" t="s">
        <v>881</v>
      </c>
      <c r="E577" s="2">
        <v>5.70055376928E11</v>
      </c>
      <c r="F577" s="1" t="s">
        <v>1751</v>
      </c>
      <c r="G577" s="1" t="s">
        <v>25</v>
      </c>
      <c r="H577" s="3" t="s">
        <v>826</v>
      </c>
      <c r="I577" s="1"/>
    </row>
    <row r="578" ht="15.75" customHeight="1">
      <c r="A578" s="2">
        <v>584.0</v>
      </c>
      <c r="B578" s="1" t="s">
        <v>1752</v>
      </c>
      <c r="C578" s="1" t="s">
        <v>183</v>
      </c>
      <c r="D578" s="1" t="s">
        <v>1753</v>
      </c>
      <c r="E578" s="2">
        <v>5.70055376929E11</v>
      </c>
      <c r="F578" s="1" t="s">
        <v>1754</v>
      </c>
      <c r="G578" s="1" t="s">
        <v>12</v>
      </c>
      <c r="H578" s="3" t="s">
        <v>826</v>
      </c>
      <c r="I578" s="1"/>
    </row>
    <row r="579" ht="15.75" customHeight="1">
      <c r="A579" s="2">
        <v>585.0</v>
      </c>
      <c r="B579" s="1" t="s">
        <v>1755</v>
      </c>
      <c r="C579" s="1" t="s">
        <v>1301</v>
      </c>
      <c r="D579" s="1" t="s">
        <v>1756</v>
      </c>
      <c r="E579" s="2">
        <v>5.7005537693E11</v>
      </c>
      <c r="F579" s="1" t="s">
        <v>1757</v>
      </c>
      <c r="G579" s="1" t="s">
        <v>25</v>
      </c>
      <c r="H579" s="3" t="s">
        <v>826</v>
      </c>
      <c r="I579" s="1"/>
    </row>
    <row r="580" ht="15.75" customHeight="1">
      <c r="A580" s="2">
        <v>586.0</v>
      </c>
      <c r="B580" s="1" t="s">
        <v>229</v>
      </c>
      <c r="C580" s="1" t="s">
        <v>1758</v>
      </c>
      <c r="D580" s="1" t="s">
        <v>881</v>
      </c>
      <c r="E580" s="2">
        <v>5.70055376932E11</v>
      </c>
      <c r="F580" s="1" t="s">
        <v>1759</v>
      </c>
      <c r="G580" s="1" t="s">
        <v>12</v>
      </c>
      <c r="H580" s="3" t="s">
        <v>826</v>
      </c>
      <c r="I580" s="1"/>
    </row>
    <row r="581" ht="15.75" customHeight="1">
      <c r="A581" s="2">
        <v>587.0</v>
      </c>
      <c r="B581" s="1" t="s">
        <v>1760</v>
      </c>
      <c r="C581" s="1" t="s">
        <v>1761</v>
      </c>
      <c r="D581" s="1" t="s">
        <v>881</v>
      </c>
      <c r="E581" s="2">
        <v>5.70055376933E11</v>
      </c>
      <c r="F581" s="1" t="s">
        <v>1762</v>
      </c>
      <c r="G581" s="1" t="s">
        <v>25</v>
      </c>
      <c r="H581" s="3" t="s">
        <v>826</v>
      </c>
      <c r="I581" s="1"/>
    </row>
    <row r="582" ht="15.75" customHeight="1">
      <c r="A582" s="2">
        <v>588.0</v>
      </c>
      <c r="B582" s="1" t="s">
        <v>1763</v>
      </c>
      <c r="C582" s="1" t="s">
        <v>138</v>
      </c>
      <c r="D582" s="1" t="s">
        <v>64</v>
      </c>
      <c r="E582" s="2">
        <v>5.70055376934E11</v>
      </c>
      <c r="F582" s="1" t="s">
        <v>1764</v>
      </c>
      <c r="G582" s="1" t="s">
        <v>12</v>
      </c>
      <c r="H582" s="3" t="s">
        <v>826</v>
      </c>
      <c r="I582" s="1"/>
    </row>
    <row r="583" ht="15.75" customHeight="1">
      <c r="A583" s="2">
        <v>589.0</v>
      </c>
      <c r="B583" s="1" t="s">
        <v>1765</v>
      </c>
      <c r="C583" s="1" t="s">
        <v>1766</v>
      </c>
      <c r="D583" s="1" t="s">
        <v>1767</v>
      </c>
      <c r="E583" s="2">
        <v>5.70055376936E11</v>
      </c>
      <c r="F583" s="1" t="s">
        <v>1768</v>
      </c>
      <c r="G583" s="1" t="s">
        <v>12</v>
      </c>
      <c r="H583" s="3" t="s">
        <v>826</v>
      </c>
      <c r="I583" s="1"/>
    </row>
    <row r="584" ht="15.75" customHeight="1">
      <c r="A584" s="2">
        <v>590.0</v>
      </c>
      <c r="B584" s="1" t="s">
        <v>1769</v>
      </c>
      <c r="C584" s="1" t="s">
        <v>1770</v>
      </c>
      <c r="D584" s="1" t="s">
        <v>1771</v>
      </c>
      <c r="E584" s="2">
        <v>5.70055376937E11</v>
      </c>
      <c r="F584" s="1" t="s">
        <v>353</v>
      </c>
      <c r="G584" s="1" t="s">
        <v>12</v>
      </c>
      <c r="H584" s="3" t="s">
        <v>826</v>
      </c>
      <c r="I584" s="1"/>
    </row>
    <row r="585" ht="15.75" customHeight="1">
      <c r="A585" s="2">
        <v>591.0</v>
      </c>
      <c r="B585" s="1" t="s">
        <v>215</v>
      </c>
      <c r="C585" s="1" t="s">
        <v>944</v>
      </c>
      <c r="D585" s="1" t="s">
        <v>37</v>
      </c>
      <c r="E585" s="2">
        <v>5.70055376938E11</v>
      </c>
      <c r="F585" s="1" t="s">
        <v>1772</v>
      </c>
      <c r="G585" s="1" t="s">
        <v>12</v>
      </c>
      <c r="H585" s="3" t="s">
        <v>826</v>
      </c>
      <c r="I585" s="1"/>
    </row>
    <row r="586" ht="15.75" customHeight="1">
      <c r="A586" s="2">
        <v>592.0</v>
      </c>
      <c r="B586" s="1" t="s">
        <v>839</v>
      </c>
      <c r="C586" s="1" t="s">
        <v>183</v>
      </c>
      <c r="D586" s="1" t="s">
        <v>1753</v>
      </c>
      <c r="E586" s="2">
        <v>5.70055376939E11</v>
      </c>
      <c r="F586" s="1" t="s">
        <v>1773</v>
      </c>
      <c r="G586" s="1" t="s">
        <v>12</v>
      </c>
      <c r="H586" s="3" t="s">
        <v>826</v>
      </c>
      <c r="I586" s="1"/>
    </row>
    <row r="587" ht="15.75" customHeight="1">
      <c r="A587" s="2">
        <v>593.0</v>
      </c>
      <c r="B587" s="1" t="s">
        <v>1774</v>
      </c>
      <c r="C587" s="1" t="s">
        <v>1775</v>
      </c>
      <c r="D587" s="1" t="s">
        <v>1776</v>
      </c>
      <c r="E587" s="2">
        <v>5.70055376941E11</v>
      </c>
      <c r="F587" s="1" t="s">
        <v>1777</v>
      </c>
      <c r="G587" s="1" t="s">
        <v>12</v>
      </c>
      <c r="H587" s="3" t="s">
        <v>826</v>
      </c>
      <c r="I587" s="1"/>
    </row>
    <row r="588" ht="15.75" customHeight="1">
      <c r="A588" s="2">
        <v>594.0</v>
      </c>
      <c r="B588" s="1" t="s">
        <v>1297</v>
      </c>
      <c r="C588" s="1" t="s">
        <v>843</v>
      </c>
      <c r="D588" s="1" t="s">
        <v>203</v>
      </c>
      <c r="E588" s="2">
        <v>5.70055376943E11</v>
      </c>
      <c r="F588" s="1" t="s">
        <v>188</v>
      </c>
      <c r="G588" s="1" t="s">
        <v>12</v>
      </c>
      <c r="H588" s="3" t="s">
        <v>826</v>
      </c>
      <c r="I588" s="1"/>
    </row>
    <row r="589" ht="15.75" customHeight="1">
      <c r="A589" s="2">
        <v>595.0</v>
      </c>
      <c r="B589" s="1" t="s">
        <v>1437</v>
      </c>
      <c r="C589" s="1" t="s">
        <v>1778</v>
      </c>
      <c r="D589" s="1" t="s">
        <v>1779</v>
      </c>
      <c r="E589" s="2">
        <v>5.70055376944E11</v>
      </c>
      <c r="F589" s="1" t="s">
        <v>1780</v>
      </c>
      <c r="G589" s="1" t="s">
        <v>12</v>
      </c>
      <c r="H589" s="3" t="s">
        <v>826</v>
      </c>
      <c r="I589" s="1"/>
    </row>
    <row r="590" ht="15.75" customHeight="1">
      <c r="A590" s="2">
        <v>596.0</v>
      </c>
      <c r="B590" s="1" t="s">
        <v>1426</v>
      </c>
      <c r="C590" s="1" t="s">
        <v>211</v>
      </c>
      <c r="D590" s="1" t="s">
        <v>1781</v>
      </c>
      <c r="E590" s="2">
        <v>5.70055376945E11</v>
      </c>
      <c r="F590" s="1" t="s">
        <v>1782</v>
      </c>
      <c r="G590" s="1" t="s">
        <v>70</v>
      </c>
      <c r="H590" s="3" t="s">
        <v>826</v>
      </c>
      <c r="I590" s="1"/>
    </row>
    <row r="591" ht="15.75" customHeight="1">
      <c r="A591" s="2">
        <v>597.0</v>
      </c>
      <c r="B591" s="1" t="s">
        <v>1783</v>
      </c>
      <c r="C591" s="1" t="s">
        <v>1784</v>
      </c>
      <c r="D591" s="1" t="s">
        <v>123</v>
      </c>
      <c r="E591" s="2">
        <v>5.70055376947E11</v>
      </c>
      <c r="F591" s="1" t="s">
        <v>1785</v>
      </c>
      <c r="G591" s="1" t="s">
        <v>20</v>
      </c>
      <c r="H591" s="3" t="s">
        <v>826</v>
      </c>
      <c r="I591" s="1"/>
    </row>
    <row r="592" ht="15.75" customHeight="1">
      <c r="A592" s="2">
        <v>598.0</v>
      </c>
      <c r="B592" s="1" t="s">
        <v>1652</v>
      </c>
      <c r="C592" s="1" t="s">
        <v>1786</v>
      </c>
      <c r="D592" s="1" t="s">
        <v>1787</v>
      </c>
      <c r="E592" s="2">
        <v>5.70055376948E11</v>
      </c>
      <c r="F592" s="1" t="s">
        <v>1788</v>
      </c>
      <c r="G592" s="1" t="s">
        <v>12</v>
      </c>
      <c r="H592" s="3" t="s">
        <v>826</v>
      </c>
      <c r="I592" s="1"/>
    </row>
    <row r="593" ht="15.75" customHeight="1">
      <c r="A593" s="2">
        <v>599.0</v>
      </c>
      <c r="B593" s="1" t="s">
        <v>1789</v>
      </c>
      <c r="C593" s="1" t="s">
        <v>1092</v>
      </c>
      <c r="D593" s="1" t="s">
        <v>1315</v>
      </c>
      <c r="E593" s="2">
        <v>5.7005537695E11</v>
      </c>
      <c r="F593" s="1" t="s">
        <v>1790</v>
      </c>
      <c r="G593" s="1" t="s">
        <v>12</v>
      </c>
      <c r="H593" s="3" t="s">
        <v>826</v>
      </c>
      <c r="I593" s="1"/>
    </row>
    <row r="594" ht="15.75" customHeight="1">
      <c r="A594" s="2">
        <v>600.0</v>
      </c>
      <c r="B594" s="1" t="s">
        <v>1791</v>
      </c>
      <c r="C594" s="1" t="s">
        <v>1792</v>
      </c>
      <c r="D594" s="1" t="s">
        <v>1793</v>
      </c>
      <c r="E594" s="2">
        <v>5.70055376951E11</v>
      </c>
      <c r="F594" s="1" t="s">
        <v>1043</v>
      </c>
      <c r="G594" s="1" t="s">
        <v>12</v>
      </c>
      <c r="H594" s="3" t="s">
        <v>826</v>
      </c>
      <c r="I594" s="1"/>
    </row>
    <row r="595" ht="15.75" customHeight="1">
      <c r="A595" s="6">
        <v>601.0</v>
      </c>
      <c r="B595" s="1" t="s">
        <v>1794</v>
      </c>
      <c r="C595" s="1" t="s">
        <v>1795</v>
      </c>
      <c r="D595" s="1" t="s">
        <v>1796</v>
      </c>
      <c r="E595" s="2">
        <v>5.70055376953E11</v>
      </c>
      <c r="F595" s="1" t="s">
        <v>889</v>
      </c>
      <c r="G595" s="1" t="s">
        <v>25</v>
      </c>
      <c r="H595" s="3" t="s">
        <v>826</v>
      </c>
      <c r="I595" s="1"/>
    </row>
    <row r="596" ht="15.75" customHeight="1">
      <c r="A596" s="2">
        <v>602.0</v>
      </c>
      <c r="B596" s="1" t="s">
        <v>1644</v>
      </c>
      <c r="C596" s="1" t="s">
        <v>1222</v>
      </c>
      <c r="D596" s="1" t="s">
        <v>1718</v>
      </c>
      <c r="E596" s="2">
        <v>5.70055376956E11</v>
      </c>
      <c r="F596" s="1" t="s">
        <v>1797</v>
      </c>
      <c r="G596" s="1" t="s">
        <v>247</v>
      </c>
      <c r="H596" s="3" t="s">
        <v>826</v>
      </c>
      <c r="I596" s="1"/>
    </row>
    <row r="597" ht="15.75" customHeight="1">
      <c r="A597" s="2">
        <v>603.0</v>
      </c>
      <c r="B597" s="1" t="s">
        <v>215</v>
      </c>
      <c r="C597" s="1" t="s">
        <v>1798</v>
      </c>
      <c r="D597" s="1" t="s">
        <v>1799</v>
      </c>
      <c r="E597" s="2">
        <v>5.70055376958E11</v>
      </c>
      <c r="F597" s="1" t="s">
        <v>1308</v>
      </c>
      <c r="G597" s="1" t="s">
        <v>25</v>
      </c>
      <c r="H597" s="3" t="s">
        <v>826</v>
      </c>
      <c r="I597" s="1"/>
    </row>
    <row r="598" ht="15.75" customHeight="1">
      <c r="A598" s="2">
        <v>604.0</v>
      </c>
      <c r="B598" s="1" t="s">
        <v>39</v>
      </c>
      <c r="C598" s="1" t="s">
        <v>1066</v>
      </c>
      <c r="D598" s="1" t="s">
        <v>203</v>
      </c>
      <c r="E598" s="2">
        <v>5.70055376959E11</v>
      </c>
      <c r="F598" s="1" t="s">
        <v>1800</v>
      </c>
      <c r="G598" s="1" t="s">
        <v>25</v>
      </c>
      <c r="H598" s="3" t="s">
        <v>826</v>
      </c>
      <c r="I598" s="1"/>
    </row>
    <row r="599" ht="15.75" customHeight="1">
      <c r="A599" s="2">
        <v>605.0</v>
      </c>
      <c r="B599" s="1" t="s">
        <v>1801</v>
      </c>
      <c r="C599" s="1" t="s">
        <v>1645</v>
      </c>
      <c r="D599" s="1" t="s">
        <v>1364</v>
      </c>
      <c r="E599" s="2">
        <v>5.7005537696E11</v>
      </c>
      <c r="F599" s="1" t="s">
        <v>1802</v>
      </c>
      <c r="G599" s="1" t="s">
        <v>95</v>
      </c>
      <c r="H599" s="3" t="s">
        <v>826</v>
      </c>
      <c r="I599" s="1"/>
    </row>
    <row r="600" ht="15.75" customHeight="1">
      <c r="A600" s="2">
        <v>606.0</v>
      </c>
      <c r="B600" s="1" t="s">
        <v>1297</v>
      </c>
      <c r="C600" s="1" t="s">
        <v>1199</v>
      </c>
      <c r="D600" s="1" t="s">
        <v>1803</v>
      </c>
      <c r="E600" s="2">
        <v>5.70055376962E11</v>
      </c>
      <c r="F600" s="1" t="s">
        <v>1391</v>
      </c>
      <c r="G600" s="1" t="s">
        <v>25</v>
      </c>
      <c r="H600" s="3" t="s">
        <v>826</v>
      </c>
      <c r="I600" s="1"/>
    </row>
    <row r="601" ht="15.75" customHeight="1">
      <c r="A601" s="2">
        <v>607.0</v>
      </c>
      <c r="B601" s="1" t="s">
        <v>1804</v>
      </c>
      <c r="C601" s="1" t="s">
        <v>1805</v>
      </c>
      <c r="D601" s="1" t="s">
        <v>1806</v>
      </c>
      <c r="E601" s="2">
        <v>5.70055376963E11</v>
      </c>
      <c r="F601" s="1" t="s">
        <v>1807</v>
      </c>
      <c r="G601" s="1" t="s">
        <v>25</v>
      </c>
      <c r="H601" s="3" t="s">
        <v>826</v>
      </c>
      <c r="I601" s="1"/>
    </row>
    <row r="602" ht="15.75" customHeight="1">
      <c r="A602" s="2">
        <v>608.0</v>
      </c>
      <c r="B602" s="1" t="s">
        <v>1297</v>
      </c>
      <c r="C602" s="1" t="s">
        <v>1808</v>
      </c>
      <c r="D602" s="1" t="s">
        <v>1809</v>
      </c>
      <c r="E602" s="2">
        <v>5.70055376964E11</v>
      </c>
      <c r="F602" s="1" t="s">
        <v>1810</v>
      </c>
      <c r="G602" s="1" t="s">
        <v>70</v>
      </c>
      <c r="H602" s="3" t="s">
        <v>826</v>
      </c>
      <c r="I602" s="1"/>
    </row>
    <row r="603" ht="15.75" customHeight="1">
      <c r="A603" s="2">
        <v>609.0</v>
      </c>
      <c r="B603" s="1" t="s">
        <v>1811</v>
      </c>
      <c r="C603" s="1" t="s">
        <v>1812</v>
      </c>
      <c r="D603" s="1" t="s">
        <v>1427</v>
      </c>
      <c r="E603" s="2">
        <v>5.70055376965E11</v>
      </c>
      <c r="F603" s="1" t="s">
        <v>1813</v>
      </c>
      <c r="G603" s="1" t="s">
        <v>25</v>
      </c>
      <c r="H603" s="3" t="s">
        <v>826</v>
      </c>
      <c r="I603" s="1"/>
    </row>
    <row r="604" ht="15.75" customHeight="1">
      <c r="A604" s="2">
        <v>610.0</v>
      </c>
      <c r="B604" s="1" t="s">
        <v>1814</v>
      </c>
      <c r="C604" s="1" t="s">
        <v>1815</v>
      </c>
      <c r="D604" s="1" t="s">
        <v>1816</v>
      </c>
      <c r="E604" s="2">
        <v>5.70055376967E11</v>
      </c>
      <c r="F604" s="1" t="s">
        <v>1817</v>
      </c>
      <c r="G604" s="1" t="s">
        <v>20</v>
      </c>
      <c r="H604" s="3" t="s">
        <v>826</v>
      </c>
      <c r="I604" s="1"/>
    </row>
    <row r="605" ht="15.75" customHeight="1">
      <c r="A605" s="2">
        <v>611.0</v>
      </c>
      <c r="B605" s="1" t="s">
        <v>1396</v>
      </c>
      <c r="C605" s="1" t="s">
        <v>1818</v>
      </c>
      <c r="D605" s="1" t="s">
        <v>1819</v>
      </c>
      <c r="E605" s="2">
        <v>5.70055376972E11</v>
      </c>
      <c r="F605" s="1" t="s">
        <v>1820</v>
      </c>
      <c r="G605" s="1" t="s">
        <v>12</v>
      </c>
      <c r="H605" s="3" t="s">
        <v>826</v>
      </c>
      <c r="I605" s="1"/>
    </row>
    <row r="606" ht="15.75" customHeight="1">
      <c r="A606" s="2">
        <v>612.0</v>
      </c>
      <c r="B606" s="1" t="s">
        <v>1821</v>
      </c>
      <c r="C606" s="1" t="s">
        <v>1822</v>
      </c>
      <c r="D606" s="1" t="s">
        <v>123</v>
      </c>
      <c r="E606" s="2">
        <v>5.70055376983E11</v>
      </c>
      <c r="F606" s="1" t="s">
        <v>1823</v>
      </c>
      <c r="G606" s="1" t="s">
        <v>12</v>
      </c>
      <c r="H606" s="3" t="s">
        <v>826</v>
      </c>
      <c r="I606" s="1"/>
    </row>
    <row r="607" ht="15.75" customHeight="1">
      <c r="A607" s="2">
        <v>613.0</v>
      </c>
      <c r="B607" s="1" t="s">
        <v>39</v>
      </c>
      <c r="C607" s="1" t="s">
        <v>1146</v>
      </c>
      <c r="D607" s="1" t="s">
        <v>1824</v>
      </c>
      <c r="E607" s="2">
        <v>5.7005537699E11</v>
      </c>
      <c r="F607" s="1" t="s">
        <v>1825</v>
      </c>
      <c r="G607" s="1" t="s">
        <v>70</v>
      </c>
      <c r="H607" s="3" t="s">
        <v>826</v>
      </c>
      <c r="I607" s="1"/>
    </row>
    <row r="608" ht="15.75" customHeight="1">
      <c r="A608" s="2">
        <v>614.0</v>
      </c>
      <c r="B608" s="1" t="s">
        <v>1826</v>
      </c>
      <c r="C608" s="1" t="s">
        <v>1827</v>
      </c>
      <c r="D608" s="1" t="s">
        <v>1828</v>
      </c>
      <c r="E608" s="2">
        <v>5.70055377001E11</v>
      </c>
      <c r="F608" s="1" t="s">
        <v>1829</v>
      </c>
      <c r="G608" s="1" t="s">
        <v>12</v>
      </c>
      <c r="H608" s="3" t="s">
        <v>826</v>
      </c>
      <c r="I608" s="1"/>
    </row>
    <row r="609" ht="15.75" customHeight="1">
      <c r="A609" s="2">
        <v>615.0</v>
      </c>
      <c r="B609" s="1" t="s">
        <v>1830</v>
      </c>
      <c r="C609" s="1" t="s">
        <v>1831</v>
      </c>
      <c r="D609" s="1" t="s">
        <v>1832</v>
      </c>
      <c r="E609" s="2">
        <v>5.70055377004E11</v>
      </c>
      <c r="F609" s="1" t="s">
        <v>1833</v>
      </c>
      <c r="G609" s="1" t="s">
        <v>12</v>
      </c>
      <c r="H609" s="3" t="s">
        <v>826</v>
      </c>
      <c r="I609" s="1"/>
    </row>
    <row r="610" ht="15.75" customHeight="1">
      <c r="A610" s="2">
        <v>616.0</v>
      </c>
      <c r="B610" s="1" t="s">
        <v>1834</v>
      </c>
      <c r="C610" s="1" t="s">
        <v>1835</v>
      </c>
      <c r="D610" s="1" t="s">
        <v>1836</v>
      </c>
      <c r="E610" s="2">
        <v>5.7005537701E11</v>
      </c>
      <c r="F610" s="1" t="s">
        <v>1393</v>
      </c>
      <c r="G610" s="1" t="s">
        <v>12</v>
      </c>
      <c r="H610" s="3" t="s">
        <v>826</v>
      </c>
      <c r="I610" s="1"/>
    </row>
    <row r="611" ht="15.75" customHeight="1">
      <c r="A611" s="2">
        <v>617.0</v>
      </c>
      <c r="B611" s="1" t="s">
        <v>1837</v>
      </c>
      <c r="C611" s="1" t="s">
        <v>1838</v>
      </c>
      <c r="D611" s="1" t="s">
        <v>1299</v>
      </c>
      <c r="E611" s="2">
        <v>5.7005537702E11</v>
      </c>
      <c r="F611" s="1" t="s">
        <v>1839</v>
      </c>
      <c r="G611" s="1" t="s">
        <v>12</v>
      </c>
      <c r="H611" s="3" t="s">
        <v>826</v>
      </c>
      <c r="I611" s="1"/>
    </row>
    <row r="612" ht="15.75" customHeight="1">
      <c r="A612" s="2">
        <v>618.0</v>
      </c>
      <c r="B612" s="1" t="s">
        <v>1840</v>
      </c>
      <c r="C612" s="1" t="s">
        <v>172</v>
      </c>
      <c r="D612" s="1" t="s">
        <v>146</v>
      </c>
      <c r="E612" s="2">
        <v>5.70055377022E11</v>
      </c>
      <c r="F612" s="1" t="s">
        <v>1841</v>
      </c>
      <c r="G612" s="1" t="s">
        <v>12</v>
      </c>
      <c r="H612" s="3" t="s">
        <v>826</v>
      </c>
      <c r="I612" s="1"/>
    </row>
    <row r="613" ht="15.75" customHeight="1">
      <c r="A613" s="2">
        <v>619.0</v>
      </c>
      <c r="B613" s="1" t="s">
        <v>1842</v>
      </c>
      <c r="C613" s="1" t="s">
        <v>1843</v>
      </c>
      <c r="D613" s="1" t="s">
        <v>1844</v>
      </c>
      <c r="E613" s="2">
        <v>5.70055377024E11</v>
      </c>
      <c r="F613" s="1" t="s">
        <v>1845</v>
      </c>
      <c r="G613" s="1" t="s">
        <v>12</v>
      </c>
      <c r="H613" s="3" t="s">
        <v>826</v>
      </c>
      <c r="I613" s="1"/>
    </row>
    <row r="614" ht="15.75" customHeight="1">
      <c r="A614" s="2">
        <v>620.0</v>
      </c>
      <c r="B614" s="1" t="s">
        <v>1846</v>
      </c>
      <c r="C614" s="1" t="s">
        <v>179</v>
      </c>
      <c r="D614" s="1" t="s">
        <v>180</v>
      </c>
      <c r="E614" s="2">
        <v>5.70055377025E11</v>
      </c>
      <c r="F614" s="1" t="s">
        <v>1847</v>
      </c>
      <c r="G614" s="1" t="s">
        <v>12</v>
      </c>
      <c r="H614" s="3" t="s">
        <v>826</v>
      </c>
      <c r="I614" s="1"/>
    </row>
    <row r="615" ht="15.75" customHeight="1">
      <c r="A615" s="2">
        <v>621.0</v>
      </c>
      <c r="B615" s="1" t="s">
        <v>1848</v>
      </c>
      <c r="C615" s="1" t="s">
        <v>1849</v>
      </c>
      <c r="D615" s="1" t="s">
        <v>1850</v>
      </c>
      <c r="E615" s="2">
        <v>5.70055377027E11</v>
      </c>
      <c r="F615" s="1" t="s">
        <v>1285</v>
      </c>
      <c r="G615" s="1" t="s">
        <v>12</v>
      </c>
      <c r="H615" s="3" t="s">
        <v>826</v>
      </c>
      <c r="I615" s="1"/>
    </row>
    <row r="616" ht="15.75" customHeight="1">
      <c r="A616" s="2">
        <v>622.0</v>
      </c>
      <c r="B616" s="1" t="s">
        <v>1851</v>
      </c>
      <c r="C616" s="1" t="s">
        <v>1852</v>
      </c>
      <c r="D616" s="1" t="s">
        <v>1832</v>
      </c>
      <c r="E616" s="2">
        <v>5.70055377033E11</v>
      </c>
      <c r="F616" s="1" t="s">
        <v>1853</v>
      </c>
      <c r="G616" s="1" t="s">
        <v>12</v>
      </c>
      <c r="H616" s="3" t="s">
        <v>826</v>
      </c>
      <c r="I616" s="1"/>
    </row>
    <row r="617" ht="15.75" customHeight="1">
      <c r="A617" s="2">
        <v>623.0</v>
      </c>
      <c r="B617" s="1" t="s">
        <v>1854</v>
      </c>
      <c r="C617" s="1" t="s">
        <v>1855</v>
      </c>
      <c r="D617" s="1" t="s">
        <v>234</v>
      </c>
      <c r="E617" s="2">
        <v>5.70055377038E11</v>
      </c>
      <c r="F617" s="1" t="s">
        <v>1856</v>
      </c>
      <c r="G617" s="1" t="s">
        <v>12</v>
      </c>
      <c r="H617" s="3" t="s">
        <v>826</v>
      </c>
      <c r="I617" s="1"/>
    </row>
    <row r="618" ht="15.75" customHeight="1">
      <c r="A618" s="2">
        <v>624.0</v>
      </c>
      <c r="B618" s="1" t="s">
        <v>1857</v>
      </c>
      <c r="C618" s="1" t="s">
        <v>1858</v>
      </c>
      <c r="D618" s="1" t="s">
        <v>234</v>
      </c>
      <c r="E618" s="2">
        <v>5.70055377041E11</v>
      </c>
      <c r="F618" s="1" t="s">
        <v>1859</v>
      </c>
      <c r="G618" s="1" t="s">
        <v>12</v>
      </c>
      <c r="H618" s="3" t="s">
        <v>826</v>
      </c>
      <c r="I618" s="1"/>
    </row>
    <row r="619" ht="15.75" customHeight="1">
      <c r="A619" s="2">
        <v>625.0</v>
      </c>
      <c r="B619" s="1" t="s">
        <v>1860</v>
      </c>
      <c r="C619" s="1" t="s">
        <v>321</v>
      </c>
      <c r="D619" s="1" t="s">
        <v>1861</v>
      </c>
      <c r="E619" s="2">
        <v>5.70055377043E11</v>
      </c>
      <c r="F619" s="1" t="s">
        <v>1862</v>
      </c>
      <c r="G619" s="1" t="s">
        <v>70</v>
      </c>
      <c r="H619" s="3" t="s">
        <v>826</v>
      </c>
      <c r="I619" s="1"/>
    </row>
    <row r="620" ht="15.75" customHeight="1">
      <c r="A620" s="2">
        <v>626.0</v>
      </c>
      <c r="B620" s="1" t="s">
        <v>229</v>
      </c>
      <c r="C620" s="1" t="s">
        <v>1863</v>
      </c>
      <c r="D620" s="1" t="s">
        <v>1864</v>
      </c>
      <c r="E620" s="2">
        <v>5.70055377044E11</v>
      </c>
      <c r="F620" s="1" t="s">
        <v>1865</v>
      </c>
      <c r="G620" s="1" t="s">
        <v>70</v>
      </c>
      <c r="H620" s="3" t="s">
        <v>826</v>
      </c>
      <c r="I620" s="1"/>
    </row>
    <row r="621" ht="15.75" customHeight="1">
      <c r="A621" s="2">
        <v>627.0</v>
      </c>
      <c r="B621" s="1" t="s">
        <v>1866</v>
      </c>
      <c r="C621" s="1" t="s">
        <v>1863</v>
      </c>
      <c r="D621" s="1" t="s">
        <v>1864</v>
      </c>
      <c r="E621" s="2">
        <v>5.70055377045E11</v>
      </c>
      <c r="F621" s="1" t="s">
        <v>1867</v>
      </c>
      <c r="G621" s="1" t="s">
        <v>70</v>
      </c>
      <c r="H621" s="3" t="s">
        <v>826</v>
      </c>
      <c r="I621" s="1"/>
    </row>
    <row r="622" ht="15.75" customHeight="1">
      <c r="A622" s="2">
        <v>628.0</v>
      </c>
      <c r="B622" s="1" t="s">
        <v>1868</v>
      </c>
      <c r="C622" s="1" t="s">
        <v>1869</v>
      </c>
      <c r="D622" s="1" t="s">
        <v>1870</v>
      </c>
      <c r="E622" s="2">
        <v>5.70055377047E11</v>
      </c>
      <c r="F622" s="1" t="s">
        <v>1871</v>
      </c>
      <c r="G622" s="1" t="s">
        <v>12</v>
      </c>
      <c r="H622" s="3" t="s">
        <v>826</v>
      </c>
      <c r="I622" s="1"/>
    </row>
    <row r="623" ht="15.75" customHeight="1">
      <c r="A623" s="2">
        <v>629.0</v>
      </c>
      <c r="B623" s="1" t="s">
        <v>1872</v>
      </c>
      <c r="C623" s="1" t="s">
        <v>1873</v>
      </c>
      <c r="D623" s="1" t="s">
        <v>165</v>
      </c>
      <c r="E623" s="2">
        <v>5.70055377048E11</v>
      </c>
      <c r="F623" s="1" t="s">
        <v>1874</v>
      </c>
      <c r="G623" s="1" t="s">
        <v>12</v>
      </c>
      <c r="H623" s="3" t="s">
        <v>826</v>
      </c>
      <c r="I623" s="1"/>
    </row>
    <row r="624" ht="15.75" customHeight="1">
      <c r="A624" s="2">
        <v>630.0</v>
      </c>
      <c r="B624" s="1" t="s">
        <v>1384</v>
      </c>
      <c r="C624" s="1" t="s">
        <v>1875</v>
      </c>
      <c r="D624" s="1" t="s">
        <v>1876</v>
      </c>
      <c r="E624" s="2">
        <v>5.70055377051E11</v>
      </c>
      <c r="F624" s="1" t="s">
        <v>1877</v>
      </c>
      <c r="G624" s="1" t="s">
        <v>12</v>
      </c>
      <c r="H624" s="3" t="s">
        <v>826</v>
      </c>
      <c r="I624" s="1"/>
    </row>
    <row r="625" ht="15.75" customHeight="1">
      <c r="A625" s="2">
        <v>631.0</v>
      </c>
      <c r="B625" s="1" t="s">
        <v>34</v>
      </c>
      <c r="C625" s="1"/>
      <c r="D625" s="1"/>
      <c r="E625" s="1"/>
      <c r="F625" s="1"/>
      <c r="G625" s="1"/>
      <c r="H625" s="1"/>
      <c r="I625" s="1"/>
    </row>
    <row r="626" ht="15.75" customHeight="1">
      <c r="A626" s="2">
        <v>632.0</v>
      </c>
      <c r="B626" s="1" t="s">
        <v>121</v>
      </c>
      <c r="C626" s="1" t="s">
        <v>1384</v>
      </c>
      <c r="D626" s="1" t="s">
        <v>1850</v>
      </c>
      <c r="E626" s="2">
        <v>5.70055377063E11</v>
      </c>
      <c r="F626" s="1" t="s">
        <v>1878</v>
      </c>
      <c r="G626" s="1" t="s">
        <v>247</v>
      </c>
      <c r="H626" s="3" t="s">
        <v>826</v>
      </c>
      <c r="I626" s="1"/>
    </row>
    <row r="627" ht="15.75" customHeight="1">
      <c r="A627" s="2">
        <v>633.0</v>
      </c>
      <c r="B627" s="1" t="s">
        <v>1879</v>
      </c>
      <c r="C627" s="1" t="s">
        <v>172</v>
      </c>
      <c r="D627" s="1" t="s">
        <v>146</v>
      </c>
      <c r="E627" s="2">
        <v>5.70055377064E11</v>
      </c>
      <c r="F627" s="1" t="s">
        <v>1880</v>
      </c>
      <c r="G627" s="1" t="s">
        <v>12</v>
      </c>
      <c r="H627" s="3" t="s">
        <v>826</v>
      </c>
      <c r="I627" s="1"/>
    </row>
    <row r="628" ht="15.75" customHeight="1">
      <c r="A628" s="2">
        <v>634.0</v>
      </c>
      <c r="B628" s="1" t="s">
        <v>1881</v>
      </c>
      <c r="C628" s="1" t="s">
        <v>1210</v>
      </c>
      <c r="D628" s="1" t="s">
        <v>1211</v>
      </c>
      <c r="E628" s="2">
        <v>5.70055377066E11</v>
      </c>
      <c r="F628" s="1" t="s">
        <v>1882</v>
      </c>
      <c r="G628" s="1" t="s">
        <v>12</v>
      </c>
      <c r="H628" s="3" t="s">
        <v>826</v>
      </c>
      <c r="I628" s="1"/>
    </row>
    <row r="629" ht="15.75" customHeight="1">
      <c r="A629" s="2">
        <v>635.0</v>
      </c>
      <c r="B629" s="1" t="s">
        <v>1883</v>
      </c>
      <c r="C629" s="1" t="s">
        <v>1884</v>
      </c>
      <c r="D629" s="1" t="s">
        <v>1885</v>
      </c>
      <c r="E629" s="2">
        <v>5.70055377067E11</v>
      </c>
      <c r="F629" s="1" t="s">
        <v>1886</v>
      </c>
      <c r="G629" s="1" t="s">
        <v>12</v>
      </c>
      <c r="H629" s="3" t="s">
        <v>826</v>
      </c>
      <c r="I629" s="1"/>
    </row>
    <row r="630" ht="15.75" customHeight="1">
      <c r="A630" s="2">
        <v>636.0</v>
      </c>
      <c r="B630" s="1" t="s">
        <v>1887</v>
      </c>
      <c r="C630" s="1" t="s">
        <v>1888</v>
      </c>
      <c r="D630" s="1" t="s">
        <v>169</v>
      </c>
      <c r="E630" s="2">
        <v>5.70055377069E11</v>
      </c>
      <c r="F630" s="1" t="s">
        <v>1889</v>
      </c>
      <c r="G630" s="1" t="s">
        <v>12</v>
      </c>
      <c r="H630" s="3" t="s">
        <v>826</v>
      </c>
      <c r="I630" s="1"/>
    </row>
    <row r="631" ht="15.75" customHeight="1">
      <c r="A631" s="2">
        <v>637.0</v>
      </c>
      <c r="B631" s="1" t="s">
        <v>1398</v>
      </c>
      <c r="C631" s="1" t="s">
        <v>1883</v>
      </c>
      <c r="D631" s="1" t="s">
        <v>1816</v>
      </c>
      <c r="E631" s="2">
        <v>5.70055377071E11</v>
      </c>
      <c r="F631" s="1" t="s">
        <v>1890</v>
      </c>
      <c r="G631" s="1" t="s">
        <v>12</v>
      </c>
      <c r="H631" s="3" t="s">
        <v>826</v>
      </c>
      <c r="I631" s="1"/>
    </row>
    <row r="632" ht="15.75" customHeight="1">
      <c r="A632" s="2">
        <v>638.0</v>
      </c>
      <c r="B632" s="1" t="s">
        <v>1028</v>
      </c>
      <c r="C632" s="1" t="s">
        <v>1835</v>
      </c>
      <c r="D632" s="1" t="s">
        <v>1891</v>
      </c>
      <c r="E632" s="2">
        <v>5.70055377072E11</v>
      </c>
      <c r="F632" s="1" t="s">
        <v>1892</v>
      </c>
      <c r="G632" s="1" t="s">
        <v>12</v>
      </c>
      <c r="H632" s="3" t="s">
        <v>826</v>
      </c>
      <c r="I632" s="1"/>
    </row>
    <row r="633" ht="15.75" customHeight="1">
      <c r="A633" s="2">
        <v>639.0</v>
      </c>
      <c r="B633" s="1" t="s">
        <v>240</v>
      </c>
      <c r="C633" s="1" t="s">
        <v>88</v>
      </c>
      <c r="D633" s="1" t="s">
        <v>73</v>
      </c>
      <c r="E633" s="2">
        <v>5.70055377073E11</v>
      </c>
      <c r="F633" s="1" t="s">
        <v>1893</v>
      </c>
      <c r="G633" s="1" t="s">
        <v>12</v>
      </c>
      <c r="H633" s="3" t="s">
        <v>826</v>
      </c>
      <c r="I633" s="1"/>
    </row>
    <row r="634" ht="15.75" customHeight="1">
      <c r="A634" s="2">
        <v>640.0</v>
      </c>
      <c r="B634" s="1" t="s">
        <v>1894</v>
      </c>
      <c r="C634" s="1" t="s">
        <v>1895</v>
      </c>
      <c r="D634" s="1" t="s">
        <v>1896</v>
      </c>
      <c r="E634" s="2">
        <v>5.70055377074E11</v>
      </c>
      <c r="F634" s="1" t="s">
        <v>1468</v>
      </c>
      <c r="G634" s="1" t="s">
        <v>12</v>
      </c>
      <c r="H634" s="3" t="s">
        <v>826</v>
      </c>
      <c r="I634" s="1"/>
    </row>
    <row r="635" ht="15.75" customHeight="1">
      <c r="A635" s="2">
        <v>641.0</v>
      </c>
      <c r="B635" s="1" t="s">
        <v>8</v>
      </c>
      <c r="C635" s="1" t="s">
        <v>140</v>
      </c>
      <c r="D635" s="1" t="s">
        <v>1771</v>
      </c>
      <c r="E635" s="2">
        <v>5.70055377075E11</v>
      </c>
      <c r="F635" s="1" t="s">
        <v>1897</v>
      </c>
      <c r="G635" s="1" t="s">
        <v>12</v>
      </c>
      <c r="H635" s="3" t="s">
        <v>826</v>
      </c>
      <c r="I635" s="1"/>
    </row>
    <row r="636" ht="15.75" customHeight="1">
      <c r="A636" s="2">
        <v>642.0</v>
      </c>
      <c r="B636" s="1" t="s">
        <v>1898</v>
      </c>
      <c r="C636" s="1" t="s">
        <v>88</v>
      </c>
      <c r="D636" s="1" t="s">
        <v>73</v>
      </c>
      <c r="E636" s="2">
        <v>5.70055377076E11</v>
      </c>
      <c r="F636" s="1" t="s">
        <v>47</v>
      </c>
      <c r="G636" s="1" t="s">
        <v>12</v>
      </c>
      <c r="H636" s="3" t="s">
        <v>826</v>
      </c>
      <c r="I636" s="1"/>
    </row>
    <row r="637" ht="15.75" customHeight="1">
      <c r="A637" s="2">
        <v>643.0</v>
      </c>
      <c r="B637" s="1" t="s">
        <v>1899</v>
      </c>
      <c r="C637" s="1" t="s">
        <v>1842</v>
      </c>
      <c r="D637" s="1" t="s">
        <v>1850</v>
      </c>
      <c r="E637" s="2">
        <v>5.70055377077E11</v>
      </c>
      <c r="F637" s="1" t="s">
        <v>1900</v>
      </c>
      <c r="G637" s="1" t="s">
        <v>12</v>
      </c>
      <c r="H637" s="3" t="s">
        <v>826</v>
      </c>
      <c r="I637" s="1"/>
    </row>
    <row r="638" ht="15.75" customHeight="1">
      <c r="A638" s="2">
        <v>644.0</v>
      </c>
      <c r="B638" s="1" t="s">
        <v>1901</v>
      </c>
      <c r="C638" s="1" t="s">
        <v>1902</v>
      </c>
      <c r="D638" s="1" t="s">
        <v>127</v>
      </c>
      <c r="E638" s="2">
        <v>5.70055377078E11</v>
      </c>
      <c r="F638" s="1" t="s">
        <v>1903</v>
      </c>
      <c r="G638" s="1" t="s">
        <v>12</v>
      </c>
      <c r="H638" s="3" t="s">
        <v>826</v>
      </c>
      <c r="I638" s="1"/>
    </row>
    <row r="639" ht="15.75" customHeight="1">
      <c r="A639" s="2">
        <v>645.0</v>
      </c>
      <c r="B639" s="1" t="s">
        <v>1904</v>
      </c>
      <c r="C639" s="1" t="s">
        <v>1852</v>
      </c>
      <c r="D639" s="1" t="s">
        <v>1832</v>
      </c>
      <c r="E639" s="2">
        <v>5.70055377079E11</v>
      </c>
      <c r="F639" s="1" t="s">
        <v>1871</v>
      </c>
      <c r="G639" s="1" t="s">
        <v>12</v>
      </c>
      <c r="H639" s="3" t="s">
        <v>826</v>
      </c>
      <c r="I639" s="1"/>
    </row>
    <row r="640" ht="15.75" customHeight="1">
      <c r="A640" s="2">
        <v>646.0</v>
      </c>
      <c r="B640" s="1" t="s">
        <v>1905</v>
      </c>
      <c r="C640" s="1" t="s">
        <v>1906</v>
      </c>
      <c r="D640" s="1" t="s">
        <v>1211</v>
      </c>
      <c r="E640" s="2">
        <v>5.7005537708E11</v>
      </c>
      <c r="F640" s="1" t="s">
        <v>1907</v>
      </c>
      <c r="G640" s="1" t="s">
        <v>12</v>
      </c>
      <c r="H640" s="3" t="s">
        <v>826</v>
      </c>
      <c r="I640" s="1"/>
    </row>
    <row r="641" ht="15.75" customHeight="1">
      <c r="A641" s="2">
        <v>647.0</v>
      </c>
      <c r="B641" s="1" t="s">
        <v>1826</v>
      </c>
      <c r="C641" s="1" t="s">
        <v>1908</v>
      </c>
      <c r="D641" s="1" t="s">
        <v>1909</v>
      </c>
      <c r="E641" s="2">
        <v>5.70055377081E11</v>
      </c>
      <c r="F641" s="1" t="s">
        <v>1910</v>
      </c>
      <c r="G641" s="1" t="s">
        <v>70</v>
      </c>
      <c r="H641" s="3" t="s">
        <v>826</v>
      </c>
      <c r="I641" s="1"/>
    </row>
    <row r="642" ht="15.75" customHeight="1">
      <c r="A642" s="2">
        <v>648.0</v>
      </c>
      <c r="B642" s="1" t="s">
        <v>1911</v>
      </c>
      <c r="C642" s="1" t="s">
        <v>1908</v>
      </c>
      <c r="D642" s="1" t="s">
        <v>1912</v>
      </c>
      <c r="E642" s="2">
        <v>5.70055377084E11</v>
      </c>
      <c r="F642" s="1" t="s">
        <v>1913</v>
      </c>
      <c r="G642" s="1" t="s">
        <v>12</v>
      </c>
      <c r="H642" s="3" t="s">
        <v>826</v>
      </c>
      <c r="I642" s="1"/>
    </row>
    <row r="643" ht="15.75" customHeight="1">
      <c r="A643" s="2">
        <v>649.0</v>
      </c>
      <c r="B643" s="1" t="s">
        <v>989</v>
      </c>
      <c r="C643" s="1" t="s">
        <v>952</v>
      </c>
      <c r="D643" s="1" t="s">
        <v>1914</v>
      </c>
      <c r="E643" s="2">
        <v>5.70055377085E11</v>
      </c>
      <c r="F643" s="1" t="s">
        <v>1915</v>
      </c>
      <c r="G643" s="1" t="s">
        <v>12</v>
      </c>
      <c r="H643" s="3" t="s">
        <v>826</v>
      </c>
      <c r="I643" s="1"/>
    </row>
    <row r="644" ht="15.75" customHeight="1">
      <c r="A644" s="2">
        <v>650.0</v>
      </c>
      <c r="B644" s="1" t="s">
        <v>155</v>
      </c>
      <c r="C644" s="1" t="s">
        <v>952</v>
      </c>
      <c r="D644" s="1" t="s">
        <v>1914</v>
      </c>
      <c r="E644" s="2">
        <v>5.70055377086E11</v>
      </c>
      <c r="F644" s="1" t="s">
        <v>1916</v>
      </c>
      <c r="G644" s="1" t="s">
        <v>12</v>
      </c>
      <c r="H644" s="3" t="s">
        <v>826</v>
      </c>
      <c r="I644" s="1"/>
    </row>
    <row r="645" ht="15.75" customHeight="1">
      <c r="A645" s="2">
        <v>651.0</v>
      </c>
      <c r="B645" s="1" t="s">
        <v>1312</v>
      </c>
      <c r="C645" s="1" t="s">
        <v>1917</v>
      </c>
      <c r="D645" s="1" t="s">
        <v>1918</v>
      </c>
      <c r="E645" s="2">
        <v>5.70055377088E11</v>
      </c>
      <c r="F645" s="1" t="s">
        <v>1919</v>
      </c>
      <c r="G645" s="1" t="s">
        <v>12</v>
      </c>
      <c r="H645" s="3" t="s">
        <v>826</v>
      </c>
      <c r="I645" s="1"/>
    </row>
    <row r="646" ht="15.75" customHeight="1">
      <c r="A646" s="2">
        <v>652.0</v>
      </c>
      <c r="B646" s="1" t="s">
        <v>1452</v>
      </c>
      <c r="C646" s="1" t="s">
        <v>1295</v>
      </c>
      <c r="D646" s="1" t="s">
        <v>46</v>
      </c>
      <c r="E646" s="2">
        <v>5.7005537709E11</v>
      </c>
      <c r="F646" s="1" t="s">
        <v>1920</v>
      </c>
      <c r="G646" s="1" t="s">
        <v>12</v>
      </c>
      <c r="H646" s="3" t="s">
        <v>826</v>
      </c>
      <c r="I646" s="1"/>
    </row>
    <row r="647" ht="15.75" customHeight="1">
      <c r="A647" s="2">
        <v>653.0</v>
      </c>
      <c r="B647" s="1" t="s">
        <v>1213</v>
      </c>
      <c r="C647" s="1" t="s">
        <v>1838</v>
      </c>
      <c r="D647" s="1" t="s">
        <v>1921</v>
      </c>
      <c r="E647" s="2">
        <v>5.70055377092E11</v>
      </c>
      <c r="F647" s="1" t="s">
        <v>776</v>
      </c>
      <c r="G647" s="1" t="s">
        <v>12</v>
      </c>
      <c r="H647" s="3" t="s">
        <v>826</v>
      </c>
      <c r="I647" s="1"/>
    </row>
    <row r="648" ht="15.75" customHeight="1">
      <c r="A648" s="2">
        <v>654.0</v>
      </c>
      <c r="B648" s="1" t="s">
        <v>894</v>
      </c>
      <c r="C648" s="1" t="s">
        <v>1826</v>
      </c>
      <c r="D648" s="1" t="s">
        <v>1922</v>
      </c>
      <c r="E648" s="2">
        <v>5.70055377095E11</v>
      </c>
      <c r="F648" s="1" t="s">
        <v>1923</v>
      </c>
      <c r="G648" s="1" t="s">
        <v>12</v>
      </c>
      <c r="H648" s="3" t="s">
        <v>826</v>
      </c>
      <c r="I648" s="1"/>
    </row>
    <row r="649" ht="15.75" customHeight="1">
      <c r="A649" s="2">
        <v>655.0</v>
      </c>
      <c r="B649" s="1" t="s">
        <v>835</v>
      </c>
      <c r="C649" s="1" t="s">
        <v>1924</v>
      </c>
      <c r="D649" s="1" t="s">
        <v>1377</v>
      </c>
      <c r="E649" s="2">
        <v>5.70055377096E11</v>
      </c>
      <c r="F649" s="1" t="s">
        <v>1925</v>
      </c>
      <c r="G649" s="1" t="s">
        <v>12</v>
      </c>
      <c r="H649" s="3" t="s">
        <v>826</v>
      </c>
      <c r="I649" s="1"/>
    </row>
    <row r="650" ht="15.75" customHeight="1">
      <c r="A650" s="2">
        <v>656.0</v>
      </c>
      <c r="B650" s="1" t="s">
        <v>99</v>
      </c>
      <c r="C650" s="1" t="s">
        <v>1926</v>
      </c>
      <c r="D650" s="1" t="s">
        <v>1850</v>
      </c>
      <c r="E650" s="2">
        <v>5.70055377097E11</v>
      </c>
      <c r="F650" s="1" t="s">
        <v>1927</v>
      </c>
      <c r="G650" s="1" t="s">
        <v>12</v>
      </c>
      <c r="H650" s="3" t="s">
        <v>826</v>
      </c>
      <c r="I650" s="1"/>
    </row>
    <row r="651" ht="15.75" customHeight="1">
      <c r="A651" s="2">
        <v>657.0</v>
      </c>
      <c r="B651" s="1" t="s">
        <v>1928</v>
      </c>
      <c r="C651" s="1" t="s">
        <v>1929</v>
      </c>
      <c r="D651" s="1" t="s">
        <v>1930</v>
      </c>
      <c r="E651" s="2">
        <v>5.700553771E11</v>
      </c>
      <c r="F651" s="1" t="s">
        <v>1931</v>
      </c>
      <c r="G651" s="1" t="s">
        <v>12</v>
      </c>
      <c r="H651" s="3" t="s">
        <v>826</v>
      </c>
      <c r="I651" s="1"/>
    </row>
    <row r="652" ht="15.75" customHeight="1">
      <c r="A652" s="2">
        <v>658.0</v>
      </c>
      <c r="B652" s="1" t="s">
        <v>21</v>
      </c>
      <c r="C652" s="1" t="s">
        <v>1932</v>
      </c>
      <c r="D652" s="1" t="s">
        <v>1933</v>
      </c>
      <c r="E652" s="2">
        <v>5.70055377103E11</v>
      </c>
      <c r="F652" s="1" t="s">
        <v>971</v>
      </c>
      <c r="G652" s="1" t="s">
        <v>25</v>
      </c>
      <c r="H652" s="3" t="s">
        <v>826</v>
      </c>
      <c r="I652" s="1"/>
    </row>
    <row r="653" ht="15.75" customHeight="1">
      <c r="A653" s="2">
        <v>659.0</v>
      </c>
      <c r="B653" s="1" t="s">
        <v>1934</v>
      </c>
      <c r="C653" s="1" t="s">
        <v>1935</v>
      </c>
      <c r="D653" s="1" t="s">
        <v>1936</v>
      </c>
      <c r="E653" s="2">
        <v>5.70055377104E11</v>
      </c>
      <c r="F653" s="1" t="s">
        <v>1937</v>
      </c>
      <c r="G653" s="1" t="s">
        <v>25</v>
      </c>
      <c r="H653" s="3" t="s">
        <v>826</v>
      </c>
      <c r="I653" s="1"/>
    </row>
    <row r="654" ht="15.75" customHeight="1">
      <c r="A654" s="2">
        <v>660.0</v>
      </c>
      <c r="B654" s="1" t="s">
        <v>1552</v>
      </c>
      <c r="C654" s="1" t="s">
        <v>1938</v>
      </c>
      <c r="D654" s="1" t="s">
        <v>1939</v>
      </c>
      <c r="E654" s="2">
        <v>5.70055377107E11</v>
      </c>
      <c r="F654" s="1" t="s">
        <v>1940</v>
      </c>
      <c r="G654" s="1" t="s">
        <v>70</v>
      </c>
      <c r="H654" s="3" t="s">
        <v>826</v>
      </c>
      <c r="I654" s="1"/>
    </row>
    <row r="655" ht="15.75" customHeight="1">
      <c r="A655" s="2">
        <v>661.0</v>
      </c>
      <c r="B655" s="1" t="s">
        <v>1941</v>
      </c>
      <c r="C655" s="1" t="s">
        <v>1603</v>
      </c>
      <c r="D655" s="1" t="s">
        <v>1942</v>
      </c>
      <c r="E655" s="2">
        <v>5.70055377108E11</v>
      </c>
      <c r="F655" s="1" t="s">
        <v>1943</v>
      </c>
      <c r="G655" s="1" t="s">
        <v>120</v>
      </c>
      <c r="H655" s="3" t="s">
        <v>826</v>
      </c>
      <c r="I655" s="1"/>
    </row>
    <row r="656" ht="15.75" customHeight="1">
      <c r="A656" s="2">
        <v>662.0</v>
      </c>
      <c r="B656" s="1" t="s">
        <v>1944</v>
      </c>
      <c r="C656" s="1" t="s">
        <v>983</v>
      </c>
      <c r="D656" s="1" t="s">
        <v>1945</v>
      </c>
      <c r="E656" s="2">
        <v>5.70055377109E11</v>
      </c>
      <c r="F656" s="1" t="s">
        <v>1946</v>
      </c>
      <c r="G656" s="1" t="s">
        <v>247</v>
      </c>
      <c r="H656" s="3" t="s">
        <v>826</v>
      </c>
      <c r="I656" s="1"/>
    </row>
    <row r="657" ht="15.75" customHeight="1">
      <c r="A657" s="2">
        <v>663.0</v>
      </c>
      <c r="B657" s="1" t="s">
        <v>1947</v>
      </c>
      <c r="C657" s="1" t="s">
        <v>1948</v>
      </c>
      <c r="D657" s="1" t="s">
        <v>1949</v>
      </c>
      <c r="E657" s="2">
        <v>5.70055377111E11</v>
      </c>
      <c r="F657" s="1" t="s">
        <v>1950</v>
      </c>
      <c r="G657" s="1" t="s">
        <v>20</v>
      </c>
      <c r="H657" s="3" t="s">
        <v>826</v>
      </c>
      <c r="I657" s="1"/>
    </row>
    <row r="658" ht="15.75" customHeight="1">
      <c r="A658" s="2">
        <v>664.0</v>
      </c>
      <c r="B658" s="1" t="s">
        <v>1932</v>
      </c>
      <c r="C658" s="1" t="s">
        <v>425</v>
      </c>
      <c r="D658" s="1" t="s">
        <v>1292</v>
      </c>
      <c r="E658" s="2">
        <v>5.70055377112E11</v>
      </c>
      <c r="F658" s="1" t="s">
        <v>1951</v>
      </c>
      <c r="G658" s="1" t="s">
        <v>25</v>
      </c>
      <c r="H658" s="3" t="s">
        <v>826</v>
      </c>
      <c r="I658" s="1"/>
    </row>
    <row r="659" ht="15.75" customHeight="1">
      <c r="A659" s="2">
        <v>665.0</v>
      </c>
      <c r="B659" s="1" t="s">
        <v>1952</v>
      </c>
      <c r="C659" s="1" t="s">
        <v>1132</v>
      </c>
      <c r="D659" s="1" t="s">
        <v>1133</v>
      </c>
      <c r="E659" s="2">
        <v>5.70055377114E11</v>
      </c>
      <c r="F659" s="1" t="s">
        <v>1953</v>
      </c>
      <c r="G659" s="1" t="s">
        <v>120</v>
      </c>
      <c r="H659" s="3" t="s">
        <v>826</v>
      </c>
      <c r="I659" s="1"/>
    </row>
    <row r="660" ht="15.75" customHeight="1">
      <c r="A660" s="2">
        <v>666.0</v>
      </c>
      <c r="B660" s="1" t="s">
        <v>1954</v>
      </c>
      <c r="C660" s="1" t="s">
        <v>1955</v>
      </c>
      <c r="D660" s="1" t="s">
        <v>73</v>
      </c>
      <c r="E660" s="2">
        <v>5.70055377116E11</v>
      </c>
      <c r="F660" s="1" t="s">
        <v>1956</v>
      </c>
      <c r="G660" s="1" t="s">
        <v>120</v>
      </c>
      <c r="H660" s="3" t="s">
        <v>826</v>
      </c>
      <c r="I660" s="1"/>
    </row>
    <row r="661" ht="15.75" customHeight="1">
      <c r="A661" s="2">
        <v>667.0</v>
      </c>
      <c r="B661" s="1" t="s">
        <v>1957</v>
      </c>
      <c r="C661" s="1" t="s">
        <v>1958</v>
      </c>
      <c r="D661" s="1" t="s">
        <v>1959</v>
      </c>
      <c r="E661" s="2">
        <v>5.70055377118E11</v>
      </c>
      <c r="F661" s="1" t="s">
        <v>638</v>
      </c>
      <c r="G661" s="1" t="s">
        <v>25</v>
      </c>
      <c r="H661" s="3" t="s">
        <v>826</v>
      </c>
      <c r="I661" s="1"/>
    </row>
    <row r="662" ht="15.75" customHeight="1">
      <c r="A662" s="2">
        <v>668.0</v>
      </c>
      <c r="B662" s="1" t="s">
        <v>1960</v>
      </c>
      <c r="C662" s="1" t="s">
        <v>17</v>
      </c>
      <c r="D662" s="1" t="s">
        <v>64</v>
      </c>
      <c r="E662" s="2">
        <v>5.70055377119E11</v>
      </c>
      <c r="F662" s="1" t="s">
        <v>625</v>
      </c>
      <c r="G662" s="1" t="s">
        <v>25</v>
      </c>
      <c r="H662" s="3" t="s">
        <v>826</v>
      </c>
      <c r="I662" s="1"/>
    </row>
    <row r="663" ht="15.75" customHeight="1">
      <c r="A663" s="2">
        <v>669.0</v>
      </c>
      <c r="B663" s="1" t="s">
        <v>1961</v>
      </c>
      <c r="C663" s="1" t="s">
        <v>1962</v>
      </c>
      <c r="D663" s="1" t="s">
        <v>1963</v>
      </c>
      <c r="E663" s="2">
        <v>5.7005537712E11</v>
      </c>
      <c r="F663" s="1" t="s">
        <v>1964</v>
      </c>
      <c r="G663" s="1" t="s">
        <v>25</v>
      </c>
      <c r="H663" s="3" t="s">
        <v>826</v>
      </c>
      <c r="I663" s="1"/>
    </row>
    <row r="664" ht="15.75" customHeight="1">
      <c r="A664" s="2">
        <v>670.0</v>
      </c>
      <c r="B664" s="1" t="s">
        <v>1965</v>
      </c>
      <c r="C664" s="1" t="s">
        <v>1416</v>
      </c>
      <c r="D664" s="1" t="s">
        <v>1087</v>
      </c>
      <c r="E664" s="2">
        <v>5.70055377121E11</v>
      </c>
      <c r="F664" s="1" t="s">
        <v>1966</v>
      </c>
      <c r="G664" s="1" t="s">
        <v>12</v>
      </c>
      <c r="H664" s="3" t="s">
        <v>826</v>
      </c>
      <c r="I664" s="1"/>
    </row>
    <row r="665" ht="15.75" customHeight="1">
      <c r="A665" s="2">
        <v>671.0</v>
      </c>
      <c r="B665" s="1" t="s">
        <v>1967</v>
      </c>
      <c r="C665" s="1" t="s">
        <v>1132</v>
      </c>
      <c r="D665" s="1" t="s">
        <v>1133</v>
      </c>
      <c r="E665" s="2">
        <v>5.70055377122E11</v>
      </c>
      <c r="F665" s="1" t="s">
        <v>170</v>
      </c>
      <c r="G665" s="1" t="s">
        <v>70</v>
      </c>
      <c r="H665" s="3" t="s">
        <v>826</v>
      </c>
      <c r="I665" s="1"/>
    </row>
    <row r="666" ht="15.75" customHeight="1">
      <c r="A666" s="2">
        <v>672.0</v>
      </c>
      <c r="B666" s="1" t="s">
        <v>1968</v>
      </c>
      <c r="C666" s="1" t="s">
        <v>17</v>
      </c>
      <c r="D666" s="1" t="s">
        <v>1969</v>
      </c>
      <c r="E666" s="2">
        <v>5.7005537713E11</v>
      </c>
      <c r="F666" s="1" t="s">
        <v>1970</v>
      </c>
      <c r="G666" s="1" t="s">
        <v>25</v>
      </c>
      <c r="H666" s="3" t="s">
        <v>826</v>
      </c>
      <c r="I666" s="1"/>
    </row>
    <row r="667" ht="15.75" customHeight="1">
      <c r="A667" s="2">
        <v>673.0</v>
      </c>
      <c r="B667" s="1" t="s">
        <v>1971</v>
      </c>
      <c r="C667" s="1" t="s">
        <v>381</v>
      </c>
      <c r="D667" s="1" t="s">
        <v>1972</v>
      </c>
      <c r="E667" s="2">
        <v>5.70055377131E11</v>
      </c>
      <c r="F667" s="1" t="s">
        <v>1973</v>
      </c>
      <c r="G667" s="1" t="s">
        <v>70</v>
      </c>
      <c r="H667" s="3" t="s">
        <v>826</v>
      </c>
      <c r="I667" s="1"/>
    </row>
    <row r="668" ht="15.75" customHeight="1">
      <c r="A668" s="2">
        <v>674.0</v>
      </c>
      <c r="B668" s="1" t="s">
        <v>8</v>
      </c>
      <c r="C668" s="1" t="s">
        <v>632</v>
      </c>
      <c r="D668" s="1" t="s">
        <v>1158</v>
      </c>
      <c r="E668" s="2">
        <v>5.70055377132E11</v>
      </c>
      <c r="F668" s="1" t="s">
        <v>1974</v>
      </c>
      <c r="G668" s="1" t="s">
        <v>12</v>
      </c>
      <c r="H668" s="3" t="s">
        <v>826</v>
      </c>
      <c r="I668" s="1"/>
    </row>
    <row r="669" ht="15.75" customHeight="1">
      <c r="A669" s="2">
        <v>675.0</v>
      </c>
      <c r="B669" s="1" t="s">
        <v>1975</v>
      </c>
      <c r="C669" s="1" t="s">
        <v>1526</v>
      </c>
      <c r="D669" s="1" t="s">
        <v>64</v>
      </c>
      <c r="E669" s="2">
        <v>5.70055377133E11</v>
      </c>
      <c r="F669" s="1" t="s">
        <v>617</v>
      </c>
      <c r="G669" s="1" t="s">
        <v>25</v>
      </c>
      <c r="H669" s="3" t="s">
        <v>826</v>
      </c>
      <c r="I669" s="1"/>
    </row>
    <row r="670" ht="15.75" customHeight="1">
      <c r="A670" s="2">
        <v>676.0</v>
      </c>
      <c r="B670" s="1" t="s">
        <v>1976</v>
      </c>
      <c r="C670" s="1" t="s">
        <v>1645</v>
      </c>
      <c r="D670" s="1" t="s">
        <v>1364</v>
      </c>
      <c r="E670" s="2">
        <v>5.70055377134E11</v>
      </c>
      <c r="F670" s="1" t="s">
        <v>1977</v>
      </c>
      <c r="G670" s="1" t="s">
        <v>25</v>
      </c>
      <c r="H670" s="3" t="s">
        <v>826</v>
      </c>
      <c r="I670" s="1"/>
    </row>
    <row r="671" ht="15.75" customHeight="1">
      <c r="A671" s="2">
        <v>677.0</v>
      </c>
      <c r="B671" s="1" t="s">
        <v>1978</v>
      </c>
      <c r="C671" s="1" t="s">
        <v>1034</v>
      </c>
      <c r="D671" s="1" t="s">
        <v>1979</v>
      </c>
      <c r="E671" s="2">
        <v>5.70055377135E11</v>
      </c>
      <c r="F671" s="1" t="s">
        <v>1980</v>
      </c>
      <c r="G671" s="1" t="s">
        <v>25</v>
      </c>
      <c r="H671" s="3" t="s">
        <v>826</v>
      </c>
      <c r="I671" s="1"/>
    </row>
    <row r="672" ht="15.75" customHeight="1">
      <c r="A672" s="2">
        <v>678.0</v>
      </c>
      <c r="B672" s="1" t="s">
        <v>1981</v>
      </c>
      <c r="C672" s="1" t="s">
        <v>1982</v>
      </c>
      <c r="D672" s="1" t="s">
        <v>1983</v>
      </c>
      <c r="E672" s="2">
        <v>5.70055377137E11</v>
      </c>
      <c r="F672" s="1" t="s">
        <v>1984</v>
      </c>
      <c r="G672" s="1" t="s">
        <v>25</v>
      </c>
      <c r="H672" s="3" t="s">
        <v>826</v>
      </c>
      <c r="I672" s="1"/>
    </row>
    <row r="673" ht="15.75" customHeight="1">
      <c r="A673" s="2">
        <v>679.0</v>
      </c>
      <c r="B673" s="1" t="s">
        <v>1985</v>
      </c>
      <c r="C673" s="1" t="s">
        <v>1986</v>
      </c>
      <c r="D673" s="1" t="s">
        <v>1364</v>
      </c>
      <c r="E673" s="2">
        <v>5.70055377138E11</v>
      </c>
      <c r="F673" s="1" t="s">
        <v>1950</v>
      </c>
      <c r="G673" s="1" t="s">
        <v>25</v>
      </c>
      <c r="H673" s="3" t="s">
        <v>826</v>
      </c>
      <c r="I673" s="1"/>
    </row>
    <row r="674" ht="15.75" customHeight="1">
      <c r="A674" s="2">
        <v>680.0</v>
      </c>
      <c r="B674" s="1" t="s">
        <v>1987</v>
      </c>
      <c r="C674" s="1" t="s">
        <v>1988</v>
      </c>
      <c r="D674" s="1" t="s">
        <v>1989</v>
      </c>
      <c r="E674" s="2">
        <v>5.70055377141E11</v>
      </c>
      <c r="F674" s="1" t="s">
        <v>625</v>
      </c>
      <c r="G674" s="1" t="s">
        <v>12</v>
      </c>
      <c r="H674" s="3" t="s">
        <v>826</v>
      </c>
      <c r="I674" s="1"/>
    </row>
    <row r="675" ht="15.75" customHeight="1">
      <c r="A675" s="2">
        <v>681.0</v>
      </c>
      <c r="B675" s="1" t="s">
        <v>1990</v>
      </c>
      <c r="C675" s="1" t="s">
        <v>1988</v>
      </c>
      <c r="D675" s="1" t="s">
        <v>1989</v>
      </c>
      <c r="E675" s="2">
        <v>5.70055377142E11</v>
      </c>
      <c r="F675" s="1" t="s">
        <v>1991</v>
      </c>
      <c r="G675" s="1" t="s">
        <v>12</v>
      </c>
      <c r="H675" s="3" t="s">
        <v>826</v>
      </c>
      <c r="I675" s="1"/>
    </row>
    <row r="676" ht="15.75" customHeight="1">
      <c r="A676" s="2">
        <v>682.0</v>
      </c>
      <c r="B676" s="1" t="s">
        <v>1366</v>
      </c>
      <c r="C676" s="1" t="s">
        <v>1992</v>
      </c>
      <c r="D676" s="1" t="s">
        <v>1993</v>
      </c>
      <c r="E676" s="2">
        <v>5.70055377144E11</v>
      </c>
      <c r="F676" s="1" t="s">
        <v>1994</v>
      </c>
      <c r="G676" s="1" t="s">
        <v>20</v>
      </c>
      <c r="H676" s="3" t="s">
        <v>826</v>
      </c>
      <c r="I676" s="1"/>
    </row>
    <row r="677" ht="15.75" customHeight="1">
      <c r="A677" s="2">
        <v>683.0</v>
      </c>
      <c r="B677" s="1" t="s">
        <v>1995</v>
      </c>
      <c r="C677" s="1" t="s">
        <v>1996</v>
      </c>
      <c r="D677" s="1" t="s">
        <v>1997</v>
      </c>
      <c r="E677" s="2">
        <v>5.70055377145E11</v>
      </c>
      <c r="F677" s="1" t="s">
        <v>420</v>
      </c>
      <c r="G677" s="1" t="s">
        <v>12</v>
      </c>
      <c r="H677" s="3" t="s">
        <v>826</v>
      </c>
      <c r="I677" s="1"/>
    </row>
    <row r="678" ht="15.75" customHeight="1">
      <c r="A678" s="2">
        <v>684.0</v>
      </c>
      <c r="B678" s="1" t="s">
        <v>965</v>
      </c>
      <c r="C678" s="1" t="s">
        <v>1998</v>
      </c>
      <c r="D678" s="1" t="s">
        <v>1999</v>
      </c>
      <c r="E678" s="2">
        <v>5.70055377146E11</v>
      </c>
      <c r="F678" s="1" t="s">
        <v>2000</v>
      </c>
      <c r="G678" s="1" t="s">
        <v>12</v>
      </c>
      <c r="H678" s="3" t="s">
        <v>826</v>
      </c>
      <c r="I678" s="1"/>
    </row>
    <row r="679" ht="15.75" customHeight="1">
      <c r="A679" s="2">
        <v>685.0</v>
      </c>
      <c r="B679" s="1" t="s">
        <v>2001</v>
      </c>
      <c r="C679" s="1" t="s">
        <v>973</v>
      </c>
      <c r="D679" s="1" t="s">
        <v>2002</v>
      </c>
      <c r="E679" s="2">
        <v>5.70055377147E11</v>
      </c>
      <c r="F679" s="1" t="s">
        <v>2003</v>
      </c>
      <c r="G679" s="1" t="s">
        <v>120</v>
      </c>
      <c r="H679" s="3" t="s">
        <v>826</v>
      </c>
      <c r="I679" s="1"/>
    </row>
    <row r="680" ht="15.75" customHeight="1">
      <c r="A680" s="2">
        <v>686.0</v>
      </c>
      <c r="B680" s="1" t="s">
        <v>944</v>
      </c>
      <c r="C680" s="1" t="s">
        <v>2004</v>
      </c>
      <c r="D680" s="1" t="s">
        <v>2005</v>
      </c>
      <c r="E680" s="2">
        <v>5.70055377149E11</v>
      </c>
      <c r="F680" s="1" t="s">
        <v>2006</v>
      </c>
      <c r="G680" s="1" t="s">
        <v>120</v>
      </c>
      <c r="H680" s="3" t="s">
        <v>826</v>
      </c>
      <c r="I680" s="1"/>
    </row>
    <row r="681" ht="15.75" customHeight="1">
      <c r="A681" s="2">
        <v>687.0</v>
      </c>
      <c r="B681" s="1" t="s">
        <v>2007</v>
      </c>
      <c r="C681" s="1" t="s">
        <v>2008</v>
      </c>
      <c r="D681" s="1" t="s">
        <v>64</v>
      </c>
      <c r="E681" s="2">
        <v>5.70055377156E11</v>
      </c>
      <c r="F681" s="1" t="s">
        <v>1991</v>
      </c>
      <c r="G681" s="1" t="s">
        <v>12</v>
      </c>
      <c r="H681" s="3" t="s">
        <v>826</v>
      </c>
      <c r="I681" s="1"/>
    </row>
    <row r="682" ht="15.75" customHeight="1">
      <c r="A682" s="2">
        <v>688.0</v>
      </c>
      <c r="B682" s="1" t="s">
        <v>1007</v>
      </c>
      <c r="C682" s="1" t="s">
        <v>632</v>
      </c>
      <c r="D682" s="1" t="s">
        <v>2009</v>
      </c>
      <c r="E682" s="2">
        <v>5.70055377159E11</v>
      </c>
      <c r="F682" s="1" t="s">
        <v>2010</v>
      </c>
      <c r="G682" s="1" t="s">
        <v>12</v>
      </c>
      <c r="H682" s="3" t="s">
        <v>826</v>
      </c>
      <c r="I682" s="1"/>
    </row>
    <row r="683" ht="15.75" customHeight="1">
      <c r="A683" s="2">
        <v>689.0</v>
      </c>
      <c r="B683" s="1" t="s">
        <v>2011</v>
      </c>
      <c r="C683" s="1" t="s">
        <v>632</v>
      </c>
      <c r="D683" s="1" t="s">
        <v>2009</v>
      </c>
      <c r="E683" s="2">
        <v>5.70055377161E11</v>
      </c>
      <c r="F683" s="1" t="s">
        <v>650</v>
      </c>
      <c r="G683" s="1" t="s">
        <v>12</v>
      </c>
      <c r="H683" s="3" t="s">
        <v>826</v>
      </c>
      <c r="I683" s="1"/>
    </row>
    <row r="684" ht="15.75" customHeight="1">
      <c r="A684" s="2">
        <v>690.0</v>
      </c>
      <c r="B684" s="1" t="s">
        <v>1028</v>
      </c>
      <c r="C684" s="1" t="s">
        <v>1142</v>
      </c>
      <c r="D684" s="1" t="s">
        <v>2012</v>
      </c>
      <c r="E684" s="2">
        <v>5.70055377168E11</v>
      </c>
      <c r="F684" s="1" t="s">
        <v>650</v>
      </c>
      <c r="G684" s="1" t="s">
        <v>25</v>
      </c>
      <c r="H684" s="3" t="s">
        <v>826</v>
      </c>
      <c r="I684" s="1"/>
    </row>
    <row r="685" ht="15.75" customHeight="1">
      <c r="A685" s="2">
        <v>691.0</v>
      </c>
      <c r="B685" s="1" t="s">
        <v>2013</v>
      </c>
      <c r="C685" s="1" t="s">
        <v>1040</v>
      </c>
      <c r="D685" s="1" t="s">
        <v>2014</v>
      </c>
      <c r="E685" s="2">
        <v>5.70055377169E11</v>
      </c>
      <c r="F685" s="1" t="s">
        <v>1105</v>
      </c>
      <c r="G685" s="1" t="s">
        <v>70</v>
      </c>
      <c r="H685" s="3" t="s">
        <v>826</v>
      </c>
      <c r="I685" s="1"/>
    </row>
    <row r="686" ht="15.75" customHeight="1">
      <c r="A686" s="2">
        <v>692.0</v>
      </c>
      <c r="B686" s="1" t="s">
        <v>2015</v>
      </c>
      <c r="C686" s="1" t="s">
        <v>952</v>
      </c>
      <c r="D686" s="1" t="s">
        <v>1164</v>
      </c>
      <c r="E686" s="2">
        <v>5.70055377171E11</v>
      </c>
      <c r="F686" s="1" t="s">
        <v>2016</v>
      </c>
      <c r="G686" s="1" t="s">
        <v>996</v>
      </c>
      <c r="H686" s="3" t="s">
        <v>826</v>
      </c>
      <c r="I686" s="1"/>
    </row>
    <row r="687" ht="15.75" customHeight="1">
      <c r="A687" s="2">
        <v>694.0</v>
      </c>
      <c r="B687" s="1" t="s">
        <v>2017</v>
      </c>
      <c r="C687" s="1" t="s">
        <v>2018</v>
      </c>
      <c r="D687" s="1" t="s">
        <v>1164</v>
      </c>
      <c r="E687" s="2">
        <v>5.70055377173E11</v>
      </c>
      <c r="F687" s="1" t="s">
        <v>2019</v>
      </c>
      <c r="G687" s="1" t="s">
        <v>12</v>
      </c>
      <c r="H687" s="3" t="s">
        <v>826</v>
      </c>
      <c r="I687" s="1"/>
    </row>
    <row r="688" ht="15.75" customHeight="1">
      <c r="A688" s="2">
        <v>695.0</v>
      </c>
      <c r="B688" s="1" t="s">
        <v>911</v>
      </c>
      <c r="C688" s="1" t="s">
        <v>2020</v>
      </c>
      <c r="D688" s="1" t="s">
        <v>2021</v>
      </c>
      <c r="E688" s="2">
        <v>5.70055377176E11</v>
      </c>
      <c r="F688" s="1" t="s">
        <v>2022</v>
      </c>
      <c r="G688" s="1" t="s">
        <v>70</v>
      </c>
      <c r="H688" s="3" t="s">
        <v>826</v>
      </c>
      <c r="I688" s="1"/>
    </row>
    <row r="689" ht="15.75" customHeight="1">
      <c r="A689" s="2">
        <v>696.0</v>
      </c>
      <c r="B689" s="1" t="s">
        <v>2023</v>
      </c>
      <c r="C689" s="1" t="s">
        <v>1791</v>
      </c>
      <c r="D689" s="1" t="s">
        <v>2024</v>
      </c>
      <c r="E689" s="2">
        <v>5.70055377185E11</v>
      </c>
      <c r="F689" s="1" t="s">
        <v>1032</v>
      </c>
      <c r="G689" s="1" t="s">
        <v>12</v>
      </c>
      <c r="H689" s="3" t="s">
        <v>826</v>
      </c>
      <c r="I689" s="1"/>
    </row>
    <row r="690" ht="15.75" customHeight="1">
      <c r="A690" s="2">
        <v>697.0</v>
      </c>
      <c r="B690" s="1" t="s">
        <v>2025</v>
      </c>
      <c r="C690" s="1" t="s">
        <v>1146</v>
      </c>
      <c r="D690" s="1" t="s">
        <v>1108</v>
      </c>
      <c r="E690" s="2">
        <v>5.70055377188E11</v>
      </c>
      <c r="F690" s="1" t="s">
        <v>1152</v>
      </c>
      <c r="G690" s="1" t="s">
        <v>70</v>
      </c>
      <c r="H690" s="3" t="s">
        <v>826</v>
      </c>
      <c r="I690" s="1"/>
    </row>
    <row r="691" ht="15.75" customHeight="1">
      <c r="A691" s="2">
        <v>698.0</v>
      </c>
      <c r="B691" s="1" t="s">
        <v>2026</v>
      </c>
      <c r="C691" s="1" t="s">
        <v>1075</v>
      </c>
      <c r="D691" s="1" t="s">
        <v>103</v>
      </c>
      <c r="E691" s="2">
        <v>5.70055377192E11</v>
      </c>
      <c r="F691" s="1" t="s">
        <v>1005</v>
      </c>
      <c r="G691" s="1" t="s">
        <v>12</v>
      </c>
      <c r="H691" s="3" t="s">
        <v>826</v>
      </c>
      <c r="I691" s="1"/>
    </row>
    <row r="692" ht="15.75" customHeight="1">
      <c r="A692" s="2">
        <v>699.0</v>
      </c>
      <c r="B692" s="1" t="s">
        <v>2027</v>
      </c>
      <c r="C692" s="1" t="s">
        <v>1792</v>
      </c>
      <c r="D692" s="1" t="s">
        <v>2028</v>
      </c>
      <c r="E692" s="2">
        <v>5.70055377195E11</v>
      </c>
      <c r="F692" s="1" t="s">
        <v>2029</v>
      </c>
      <c r="G692" s="1" t="s">
        <v>12</v>
      </c>
      <c r="H692" s="3" t="s">
        <v>826</v>
      </c>
      <c r="I692" s="1"/>
    </row>
    <row r="693" ht="15.75" customHeight="1">
      <c r="A693" s="2">
        <v>700.0</v>
      </c>
      <c r="B693" s="1" t="s">
        <v>2030</v>
      </c>
      <c r="C693" s="1" t="s">
        <v>2031</v>
      </c>
      <c r="D693" s="1" t="s">
        <v>2032</v>
      </c>
      <c r="E693" s="2">
        <v>5.70055377199E11</v>
      </c>
      <c r="F693" s="1" t="s">
        <v>2033</v>
      </c>
      <c r="G693" s="1" t="s">
        <v>25</v>
      </c>
      <c r="H693" s="3" t="s">
        <v>826</v>
      </c>
      <c r="I693" s="1"/>
    </row>
    <row r="694" ht="15.75" customHeight="1">
      <c r="A694" s="2">
        <v>701.0</v>
      </c>
      <c r="B694" s="1" t="s">
        <v>105</v>
      </c>
      <c r="C694" s="1" t="s">
        <v>2034</v>
      </c>
      <c r="D694" s="1" t="s">
        <v>123</v>
      </c>
      <c r="E694" s="2">
        <v>5.70055377861E11</v>
      </c>
      <c r="F694" s="1" t="s">
        <v>2035</v>
      </c>
      <c r="G694" s="1" t="s">
        <v>12</v>
      </c>
      <c r="H694" s="3" t="s">
        <v>826</v>
      </c>
      <c r="I694" s="1"/>
    </row>
    <row r="695" ht="15.75" customHeight="1">
      <c r="A695" s="2">
        <v>702.0</v>
      </c>
      <c r="B695" s="1" t="s">
        <v>2036</v>
      </c>
      <c r="C695" s="1" t="s">
        <v>983</v>
      </c>
      <c r="D695" s="1" t="s">
        <v>984</v>
      </c>
      <c r="E695" s="2">
        <v>5.70055377865E11</v>
      </c>
      <c r="F695" s="1" t="s">
        <v>270</v>
      </c>
      <c r="G695" s="1" t="s">
        <v>12</v>
      </c>
      <c r="H695" s="3" t="s">
        <v>826</v>
      </c>
      <c r="I695" s="1"/>
    </row>
    <row r="696" ht="15.75" customHeight="1">
      <c r="A696" s="2">
        <v>703.0</v>
      </c>
      <c r="B696" s="1" t="s">
        <v>989</v>
      </c>
      <c r="C696" s="1" t="s">
        <v>1661</v>
      </c>
      <c r="D696" s="1" t="s">
        <v>1781</v>
      </c>
      <c r="E696" s="2">
        <v>5.70055377866E11</v>
      </c>
      <c r="F696" s="1" t="s">
        <v>1001</v>
      </c>
      <c r="G696" s="1" t="s">
        <v>12</v>
      </c>
      <c r="H696" s="3" t="s">
        <v>826</v>
      </c>
      <c r="I696" s="1"/>
    </row>
    <row r="697" ht="15.75" customHeight="1">
      <c r="A697" s="2">
        <v>704.0</v>
      </c>
      <c r="B697" s="1" t="s">
        <v>839</v>
      </c>
      <c r="C697" s="1" t="s">
        <v>1603</v>
      </c>
      <c r="D697" s="1" t="s">
        <v>1959</v>
      </c>
      <c r="E697" s="2">
        <v>5.70055377867E11</v>
      </c>
      <c r="F697" s="1" t="s">
        <v>2037</v>
      </c>
      <c r="G697" s="1" t="s">
        <v>25</v>
      </c>
      <c r="H697" s="3" t="s">
        <v>826</v>
      </c>
      <c r="I697" s="1"/>
    </row>
    <row r="698" ht="15.75" customHeight="1">
      <c r="A698" s="2">
        <v>705.0</v>
      </c>
      <c r="B698" s="1" t="s">
        <v>2038</v>
      </c>
      <c r="C698" s="1" t="s">
        <v>2039</v>
      </c>
      <c r="D698" s="1" t="s">
        <v>1972</v>
      </c>
      <c r="E698" s="2">
        <v>5.70055377868E11</v>
      </c>
      <c r="F698" s="1" t="s">
        <v>270</v>
      </c>
      <c r="G698" s="1" t="s">
        <v>70</v>
      </c>
      <c r="H698" s="3" t="s">
        <v>826</v>
      </c>
      <c r="I698" s="1"/>
    </row>
    <row r="699" ht="15.75" customHeight="1">
      <c r="A699" s="2">
        <v>706.0</v>
      </c>
      <c r="B699" s="1" t="s">
        <v>2040</v>
      </c>
      <c r="C699" s="1" t="s">
        <v>983</v>
      </c>
      <c r="D699" s="1" t="s">
        <v>987</v>
      </c>
      <c r="E699" s="2">
        <v>5.70055377869E11</v>
      </c>
      <c r="F699" s="1" t="s">
        <v>2041</v>
      </c>
      <c r="G699" s="1" t="s">
        <v>70</v>
      </c>
      <c r="H699" s="3" t="s">
        <v>826</v>
      </c>
      <c r="I699" s="1"/>
    </row>
    <row r="700" ht="15.75" customHeight="1">
      <c r="A700" s="2">
        <v>707.0</v>
      </c>
      <c r="B700" s="1" t="s">
        <v>2042</v>
      </c>
      <c r="C700" s="1" t="s">
        <v>194</v>
      </c>
      <c r="D700" s="1" t="s">
        <v>2043</v>
      </c>
      <c r="E700" s="2">
        <v>5.70055377871E11</v>
      </c>
      <c r="F700" s="1" t="s">
        <v>181</v>
      </c>
      <c r="G700" s="1" t="s">
        <v>95</v>
      </c>
      <c r="H700" s="3" t="s">
        <v>826</v>
      </c>
      <c r="I700" s="1"/>
    </row>
    <row r="701" ht="15.75" customHeight="1">
      <c r="A701" s="2">
        <v>708.0</v>
      </c>
      <c r="B701" s="1" t="s">
        <v>99</v>
      </c>
      <c r="C701" s="1" t="s">
        <v>1340</v>
      </c>
      <c r="D701" s="1" t="s">
        <v>2044</v>
      </c>
      <c r="E701" s="2">
        <v>5.70055377874E11</v>
      </c>
      <c r="F701" s="1" t="s">
        <v>2045</v>
      </c>
      <c r="G701" s="1" t="s">
        <v>25</v>
      </c>
      <c r="H701" s="3" t="s">
        <v>826</v>
      </c>
      <c r="I701" s="1"/>
    </row>
    <row r="702" ht="15.75" customHeight="1">
      <c r="A702" s="2">
        <v>709.0</v>
      </c>
      <c r="B702" s="1" t="s">
        <v>2046</v>
      </c>
      <c r="C702" s="1" t="s">
        <v>2047</v>
      </c>
      <c r="D702" s="1" t="s">
        <v>2048</v>
      </c>
      <c r="E702" s="2">
        <v>5.70055377875E11</v>
      </c>
      <c r="F702" s="1" t="s">
        <v>2049</v>
      </c>
      <c r="G702" s="1" t="s">
        <v>12</v>
      </c>
      <c r="H702" s="3" t="s">
        <v>826</v>
      </c>
      <c r="I702" s="1"/>
    </row>
    <row r="703" ht="15.75" customHeight="1">
      <c r="A703" s="2">
        <v>710.0</v>
      </c>
      <c r="B703" s="1" t="s">
        <v>2050</v>
      </c>
      <c r="C703" s="1" t="s">
        <v>2051</v>
      </c>
      <c r="D703" s="1" t="s">
        <v>2052</v>
      </c>
      <c r="E703" s="2">
        <v>5.70055378647E11</v>
      </c>
      <c r="F703" s="1" t="s">
        <v>2053</v>
      </c>
      <c r="G703" s="1" t="s">
        <v>70</v>
      </c>
      <c r="H703" s="3" t="s">
        <v>2054</v>
      </c>
      <c r="I703" s="1"/>
    </row>
    <row r="704" ht="15.75" customHeight="1">
      <c r="A704" s="2">
        <v>711.0</v>
      </c>
      <c r="B704" s="1" t="s">
        <v>194</v>
      </c>
      <c r="C704" s="1" t="s">
        <v>2055</v>
      </c>
      <c r="D704" s="1" t="s">
        <v>851</v>
      </c>
      <c r="E704" s="2">
        <v>5.70055378784E11</v>
      </c>
      <c r="F704" s="1" t="s">
        <v>2056</v>
      </c>
      <c r="G704" s="1" t="s">
        <v>12</v>
      </c>
      <c r="H704" s="3" t="s">
        <v>2057</v>
      </c>
      <c r="I704" s="1"/>
    </row>
    <row r="705" ht="15.75" customHeight="1">
      <c r="A705" s="2">
        <v>712.0</v>
      </c>
      <c r="B705" s="1" t="s">
        <v>2058</v>
      </c>
      <c r="C705" s="1" t="s">
        <v>2027</v>
      </c>
      <c r="D705" s="1" t="s">
        <v>851</v>
      </c>
      <c r="E705" s="2">
        <v>5.70055544697E11</v>
      </c>
      <c r="F705" s="1" t="s">
        <v>2059</v>
      </c>
      <c r="G705" s="1" t="s">
        <v>12</v>
      </c>
      <c r="H705" s="3" t="s">
        <v>2060</v>
      </c>
      <c r="I705" s="1"/>
    </row>
    <row r="706" ht="15.75" customHeight="1">
      <c r="A706" s="2">
        <v>713.0</v>
      </c>
      <c r="B706" s="1" t="s">
        <v>2061</v>
      </c>
      <c r="C706" s="1" t="s">
        <v>2062</v>
      </c>
      <c r="D706" s="1" t="s">
        <v>2063</v>
      </c>
      <c r="E706" s="2">
        <v>5.70055544999E11</v>
      </c>
      <c r="F706" s="1" t="s">
        <v>1043</v>
      </c>
      <c r="G706" s="1" t="s">
        <v>70</v>
      </c>
      <c r="H706" s="3" t="s">
        <v>826</v>
      </c>
      <c r="I706" s="1"/>
    </row>
    <row r="707" ht="15.75" customHeight="1">
      <c r="A707" s="2">
        <v>714.0</v>
      </c>
      <c r="B707" s="1" t="s">
        <v>129</v>
      </c>
      <c r="C707" s="1" t="s">
        <v>171</v>
      </c>
      <c r="D707" s="1" t="s">
        <v>123</v>
      </c>
      <c r="E707" s="2">
        <v>5.700550000006E12</v>
      </c>
      <c r="F707" s="1" t="s">
        <v>2064</v>
      </c>
      <c r="G707" s="1" t="s">
        <v>12</v>
      </c>
      <c r="H707" s="3" t="s">
        <v>826</v>
      </c>
      <c r="I707" s="1"/>
    </row>
    <row r="708" ht="15.75" customHeight="1">
      <c r="A708" s="2">
        <v>715.0</v>
      </c>
      <c r="B708" s="1" t="s">
        <v>2065</v>
      </c>
      <c r="C708" s="1" t="s">
        <v>1775</v>
      </c>
      <c r="D708" s="1" t="s">
        <v>81</v>
      </c>
      <c r="E708" s="2">
        <v>5.70055000008E11</v>
      </c>
      <c r="F708" s="1" t="s">
        <v>2066</v>
      </c>
      <c r="G708" s="1" t="s">
        <v>12</v>
      </c>
      <c r="H708" s="3" t="s">
        <v>826</v>
      </c>
      <c r="I708" s="1"/>
    </row>
    <row r="709" ht="15.75" customHeight="1">
      <c r="A709" s="2">
        <v>716.0</v>
      </c>
      <c r="B709" s="1" t="s">
        <v>1995</v>
      </c>
      <c r="C709" s="1" t="s">
        <v>2067</v>
      </c>
      <c r="D709" s="1" t="s">
        <v>123</v>
      </c>
      <c r="E709" s="2">
        <v>5.70055000009E11</v>
      </c>
      <c r="F709" s="1" t="s">
        <v>1339</v>
      </c>
      <c r="G709" s="1" t="s">
        <v>12</v>
      </c>
      <c r="H709" s="3" t="s">
        <v>826</v>
      </c>
      <c r="I709" s="1"/>
    </row>
    <row r="710" ht="15.75" customHeight="1">
      <c r="A710" s="2">
        <v>717.0</v>
      </c>
      <c r="B710" s="1" t="s">
        <v>2068</v>
      </c>
      <c r="C710" s="1" t="s">
        <v>2069</v>
      </c>
      <c r="D710" s="1" t="s">
        <v>2070</v>
      </c>
      <c r="E710" s="2">
        <v>5.70055000014E11</v>
      </c>
      <c r="F710" s="1" t="s">
        <v>2071</v>
      </c>
      <c r="G710" s="1" t="s">
        <v>247</v>
      </c>
      <c r="H710" s="3" t="s">
        <v>826</v>
      </c>
      <c r="I710" s="1"/>
    </row>
    <row r="711" ht="15.75" customHeight="1">
      <c r="A711" s="2">
        <v>718.0</v>
      </c>
      <c r="B711" s="1" t="s">
        <v>2072</v>
      </c>
      <c r="C711" s="1" t="s">
        <v>2073</v>
      </c>
      <c r="D711" s="1" t="s">
        <v>2074</v>
      </c>
      <c r="E711" s="2">
        <v>5.70055000023E11</v>
      </c>
      <c r="F711" s="1" t="s">
        <v>2075</v>
      </c>
      <c r="G711" s="1" t="s">
        <v>12</v>
      </c>
      <c r="H711" s="3" t="s">
        <v>826</v>
      </c>
      <c r="I711" s="1"/>
    </row>
    <row r="712" ht="15.75" customHeight="1">
      <c r="A712" s="2">
        <v>719.0</v>
      </c>
      <c r="B712" s="1" t="s">
        <v>2076</v>
      </c>
      <c r="C712" s="1" t="s">
        <v>2077</v>
      </c>
      <c r="D712" s="1" t="s">
        <v>847</v>
      </c>
      <c r="E712" s="2">
        <v>5.70055000024E11</v>
      </c>
      <c r="F712" s="1" t="s">
        <v>2078</v>
      </c>
      <c r="G712" s="1" t="s">
        <v>12</v>
      </c>
      <c r="H712" s="3" t="s">
        <v>826</v>
      </c>
      <c r="I712" s="1"/>
    </row>
    <row r="713" ht="15.75" customHeight="1">
      <c r="A713" s="2">
        <v>720.0</v>
      </c>
      <c r="B713" s="1" t="s">
        <v>129</v>
      </c>
      <c r="C713" s="1" t="s">
        <v>1348</v>
      </c>
      <c r="D713" s="1" t="s">
        <v>2079</v>
      </c>
      <c r="E713" s="2">
        <v>5.70055000025E11</v>
      </c>
      <c r="F713" s="1" t="s">
        <v>2080</v>
      </c>
      <c r="G713" s="1" t="s">
        <v>12</v>
      </c>
      <c r="H713" s="3" t="s">
        <v>826</v>
      </c>
      <c r="I713" s="1"/>
    </row>
    <row r="714" ht="15.75" customHeight="1">
      <c r="A714" s="2">
        <v>721.0</v>
      </c>
      <c r="B714" s="1" t="s">
        <v>39</v>
      </c>
      <c r="C714" s="1" t="s">
        <v>2081</v>
      </c>
      <c r="D714" s="1" t="s">
        <v>2082</v>
      </c>
      <c r="E714" s="2">
        <v>5.70055000026E11</v>
      </c>
      <c r="F714" s="1" t="s">
        <v>2083</v>
      </c>
      <c r="G714" s="1" t="s">
        <v>996</v>
      </c>
      <c r="H714" s="3" t="s">
        <v>826</v>
      </c>
      <c r="I714" s="1"/>
    </row>
    <row r="715" ht="15.75" customHeight="1">
      <c r="A715" s="2">
        <v>722.0</v>
      </c>
      <c r="B715" s="1" t="s">
        <v>2018</v>
      </c>
      <c r="C715" s="1" t="s">
        <v>2084</v>
      </c>
      <c r="D715" s="1" t="s">
        <v>169</v>
      </c>
      <c r="E715" s="2">
        <v>5.70055000027E11</v>
      </c>
      <c r="F715" s="1" t="s">
        <v>2085</v>
      </c>
      <c r="G715" s="1" t="s">
        <v>12</v>
      </c>
      <c r="H715" s="3" t="s">
        <v>826</v>
      </c>
      <c r="I715" s="1"/>
    </row>
    <row r="716" ht="15.75" customHeight="1">
      <c r="A716" s="2">
        <v>723.0</v>
      </c>
      <c r="B716" s="1" t="s">
        <v>236</v>
      </c>
      <c r="C716" s="1" t="s">
        <v>1668</v>
      </c>
      <c r="D716" s="1" t="s">
        <v>931</v>
      </c>
      <c r="E716" s="2">
        <v>5.70055000028E11</v>
      </c>
      <c r="F716" s="1" t="s">
        <v>630</v>
      </c>
      <c r="G716" s="1" t="s">
        <v>12</v>
      </c>
      <c r="H716" s="3" t="s">
        <v>826</v>
      </c>
      <c r="I716" s="1"/>
    </row>
    <row r="717" ht="15.75" customHeight="1">
      <c r="A717" s="2">
        <v>724.0</v>
      </c>
      <c r="B717" s="1" t="s">
        <v>160</v>
      </c>
      <c r="C717" s="1" t="s">
        <v>2086</v>
      </c>
      <c r="D717" s="1" t="s">
        <v>2087</v>
      </c>
      <c r="E717" s="2">
        <v>5.70055000029E11</v>
      </c>
      <c r="F717" s="1" t="s">
        <v>2088</v>
      </c>
      <c r="G717" s="1" t="s">
        <v>12</v>
      </c>
      <c r="H717" s="3" t="s">
        <v>826</v>
      </c>
      <c r="I717" s="1"/>
    </row>
    <row r="718" ht="15.75" customHeight="1">
      <c r="A718" s="2">
        <v>725.0</v>
      </c>
      <c r="B718" s="1" t="s">
        <v>240</v>
      </c>
      <c r="C718" s="1" t="s">
        <v>1146</v>
      </c>
      <c r="D718" s="1" t="s">
        <v>220</v>
      </c>
      <c r="E718" s="2">
        <v>5.7005500003E11</v>
      </c>
      <c r="F718" s="1" t="s">
        <v>2089</v>
      </c>
      <c r="G718" s="1" t="s">
        <v>70</v>
      </c>
      <c r="H718" s="3" t="s">
        <v>826</v>
      </c>
      <c r="I718" s="1"/>
    </row>
    <row r="719" ht="15.75" customHeight="1">
      <c r="A719" s="2">
        <v>726.0</v>
      </c>
      <c r="B719" s="1" t="s">
        <v>1947</v>
      </c>
      <c r="C719" s="1" t="s">
        <v>952</v>
      </c>
      <c r="D719" s="1" t="s">
        <v>1541</v>
      </c>
      <c r="E719" s="2">
        <v>5.70055000031E11</v>
      </c>
      <c r="F719" s="1" t="s">
        <v>2090</v>
      </c>
      <c r="G719" s="1" t="s">
        <v>12</v>
      </c>
      <c r="H719" s="3" t="s">
        <v>826</v>
      </c>
      <c r="I719" s="1"/>
    </row>
    <row r="720" ht="15.75" customHeight="1">
      <c r="A720" s="2">
        <v>727.0</v>
      </c>
      <c r="B720" s="1" t="s">
        <v>2091</v>
      </c>
      <c r="C720" s="1" t="s">
        <v>2092</v>
      </c>
      <c r="D720" s="1" t="s">
        <v>77</v>
      </c>
      <c r="E720" s="2">
        <v>5.70055000032E11</v>
      </c>
      <c r="F720" s="1" t="s">
        <v>2093</v>
      </c>
      <c r="G720" s="1" t="s">
        <v>12</v>
      </c>
      <c r="H720" s="3" t="s">
        <v>826</v>
      </c>
      <c r="I720" s="1"/>
    </row>
    <row r="721" ht="15.75" customHeight="1">
      <c r="A721" s="2">
        <v>728.0</v>
      </c>
      <c r="B721" s="1" t="s">
        <v>2094</v>
      </c>
      <c r="C721" s="1" t="s">
        <v>194</v>
      </c>
      <c r="D721" s="1" t="s">
        <v>2095</v>
      </c>
      <c r="E721" s="2">
        <v>5.70055000033E11</v>
      </c>
      <c r="F721" s="1" t="s">
        <v>2096</v>
      </c>
      <c r="G721" s="1" t="s">
        <v>247</v>
      </c>
      <c r="H721" s="3" t="s">
        <v>826</v>
      </c>
      <c r="I721" s="1"/>
    </row>
    <row r="722" ht="15.75" customHeight="1">
      <c r="A722" s="2">
        <v>729.0</v>
      </c>
      <c r="B722" s="1" t="s">
        <v>2097</v>
      </c>
      <c r="C722" s="1" t="s">
        <v>1808</v>
      </c>
      <c r="D722" s="1" t="s">
        <v>2098</v>
      </c>
      <c r="E722" s="2">
        <v>5.70055000034E11</v>
      </c>
      <c r="F722" s="1" t="s">
        <v>2099</v>
      </c>
      <c r="G722" s="1" t="s">
        <v>12</v>
      </c>
      <c r="H722" s="3" t="s">
        <v>826</v>
      </c>
      <c r="I722" s="1"/>
    </row>
    <row r="723" ht="15.75" customHeight="1">
      <c r="A723" s="2">
        <v>730.0</v>
      </c>
      <c r="B723" s="1" t="s">
        <v>160</v>
      </c>
      <c r="C723" s="1" t="s">
        <v>1786</v>
      </c>
      <c r="D723" s="1" t="s">
        <v>2100</v>
      </c>
      <c r="E723" s="2">
        <v>5.70055000035E11</v>
      </c>
      <c r="F723" s="1" t="s">
        <v>2101</v>
      </c>
      <c r="G723" s="1" t="s">
        <v>247</v>
      </c>
      <c r="H723" s="3" t="s">
        <v>826</v>
      </c>
      <c r="I723" s="1"/>
    </row>
    <row r="724" ht="15.75" customHeight="1">
      <c r="A724" s="2">
        <v>731.0</v>
      </c>
      <c r="B724" s="1" t="s">
        <v>2102</v>
      </c>
      <c r="C724" s="1" t="s">
        <v>2103</v>
      </c>
      <c r="D724" s="1" t="s">
        <v>28</v>
      </c>
      <c r="E724" s="2">
        <v>5.70055000036E11</v>
      </c>
      <c r="F724" s="1" t="s">
        <v>2104</v>
      </c>
      <c r="G724" s="1" t="s">
        <v>12</v>
      </c>
      <c r="H724" s="3" t="s">
        <v>826</v>
      </c>
      <c r="I724" s="1"/>
    </row>
    <row r="725" ht="15.75" customHeight="1">
      <c r="A725" s="2">
        <v>732.0</v>
      </c>
      <c r="B725" s="1" t="s">
        <v>2105</v>
      </c>
      <c r="C725" s="1" t="s">
        <v>1370</v>
      </c>
      <c r="D725" s="1" t="s">
        <v>1636</v>
      </c>
      <c r="E725" s="2">
        <v>5.70055000037E11</v>
      </c>
      <c r="F725" s="1" t="s">
        <v>2106</v>
      </c>
      <c r="G725" s="1" t="s">
        <v>12</v>
      </c>
      <c r="H725" s="3" t="s">
        <v>826</v>
      </c>
      <c r="I725" s="1"/>
    </row>
    <row r="726" ht="15.75" customHeight="1">
      <c r="A726" s="2">
        <v>733.0</v>
      </c>
      <c r="B726" s="1" t="s">
        <v>861</v>
      </c>
      <c r="C726" s="1" t="s">
        <v>2107</v>
      </c>
      <c r="D726" s="1" t="s">
        <v>1516</v>
      </c>
      <c r="E726" s="2">
        <v>5.70055000038E11</v>
      </c>
      <c r="F726" s="1" t="s">
        <v>810</v>
      </c>
      <c r="G726" s="1" t="s">
        <v>70</v>
      </c>
      <c r="H726" s="3" t="s">
        <v>826</v>
      </c>
      <c r="I726" s="1"/>
    </row>
    <row r="727" ht="15.75" customHeight="1">
      <c r="A727" s="2">
        <v>734.0</v>
      </c>
      <c r="B727" s="1" t="s">
        <v>2108</v>
      </c>
      <c r="C727" s="1" t="s">
        <v>2109</v>
      </c>
      <c r="D727" s="1" t="s">
        <v>2110</v>
      </c>
      <c r="E727" s="2">
        <v>5.70055000039E11</v>
      </c>
      <c r="F727" s="1" t="s">
        <v>2111</v>
      </c>
      <c r="G727" s="1" t="s">
        <v>70</v>
      </c>
      <c r="H727" s="3" t="s">
        <v>826</v>
      </c>
      <c r="I727" s="1"/>
    </row>
    <row r="728" ht="15.75" customHeight="1">
      <c r="A728" s="2">
        <v>735.0</v>
      </c>
      <c r="B728" s="1" t="s">
        <v>1098</v>
      </c>
      <c r="C728" s="1" t="s">
        <v>106</v>
      </c>
      <c r="D728" s="1" t="s">
        <v>1482</v>
      </c>
      <c r="E728" s="2">
        <v>5.70055000041E11</v>
      </c>
      <c r="F728" s="1" t="s">
        <v>2112</v>
      </c>
      <c r="G728" s="1" t="s">
        <v>70</v>
      </c>
      <c r="H728" s="3" t="s">
        <v>826</v>
      </c>
      <c r="I728" s="1"/>
    </row>
    <row r="729" ht="15.75" customHeight="1">
      <c r="A729" s="2">
        <v>736.0</v>
      </c>
      <c r="B729" s="1" t="s">
        <v>2113</v>
      </c>
      <c r="C729" s="1" t="s">
        <v>2114</v>
      </c>
      <c r="D729" s="1" t="s">
        <v>2115</v>
      </c>
      <c r="E729" s="2">
        <v>5.70055000042E11</v>
      </c>
      <c r="F729" s="1" t="s">
        <v>2116</v>
      </c>
      <c r="G729" s="1" t="s">
        <v>70</v>
      </c>
      <c r="H729" s="3" t="s">
        <v>826</v>
      </c>
      <c r="I729" s="1"/>
    </row>
    <row r="730" ht="15.75" customHeight="1">
      <c r="A730" s="2">
        <v>737.0</v>
      </c>
      <c r="B730" s="1" t="s">
        <v>91</v>
      </c>
      <c r="C730" s="1" t="s">
        <v>944</v>
      </c>
      <c r="D730" s="1" t="s">
        <v>2117</v>
      </c>
      <c r="E730" s="2">
        <v>5.70055000043E11</v>
      </c>
      <c r="F730" s="1" t="s">
        <v>2118</v>
      </c>
      <c r="G730" s="1" t="s">
        <v>247</v>
      </c>
      <c r="H730" s="3" t="s">
        <v>826</v>
      </c>
      <c r="I730" s="1"/>
    </row>
    <row r="731" ht="15.75" customHeight="1">
      <c r="A731" s="2">
        <v>738.0</v>
      </c>
      <c r="B731" s="1" t="s">
        <v>2067</v>
      </c>
      <c r="C731" s="1" t="s">
        <v>2119</v>
      </c>
      <c r="D731" s="1" t="s">
        <v>2120</v>
      </c>
      <c r="E731" s="2">
        <v>5.70055000044E11</v>
      </c>
      <c r="F731" s="1" t="s">
        <v>2121</v>
      </c>
      <c r="G731" s="1" t="s">
        <v>12</v>
      </c>
      <c r="H731" s="3" t="s">
        <v>826</v>
      </c>
      <c r="I731" s="1"/>
    </row>
    <row r="732" ht="15.75" customHeight="1">
      <c r="A732" s="2">
        <v>739.0</v>
      </c>
      <c r="B732" s="1" t="s">
        <v>2122</v>
      </c>
      <c r="C732" s="1" t="s">
        <v>2123</v>
      </c>
      <c r="D732" s="1" t="s">
        <v>2124</v>
      </c>
      <c r="E732" s="2">
        <v>5.70055000045E11</v>
      </c>
      <c r="F732" s="1" t="s">
        <v>2125</v>
      </c>
      <c r="G732" s="1" t="s">
        <v>70</v>
      </c>
      <c r="H732" s="3" t="s">
        <v>826</v>
      </c>
      <c r="I732" s="1"/>
    </row>
    <row r="733" ht="15.75" customHeight="1">
      <c r="A733" s="2">
        <v>740.0</v>
      </c>
      <c r="B733" s="1" t="s">
        <v>1533</v>
      </c>
      <c r="C733" s="1" t="s">
        <v>2126</v>
      </c>
      <c r="D733" s="1" t="s">
        <v>946</v>
      </c>
      <c r="E733" s="2">
        <v>5.70055000046E11</v>
      </c>
      <c r="F733" s="1" t="s">
        <v>2127</v>
      </c>
      <c r="G733" s="1" t="s">
        <v>12</v>
      </c>
      <c r="H733" s="3" t="s">
        <v>826</v>
      </c>
      <c r="I733" s="1"/>
    </row>
    <row r="734" ht="15.75" customHeight="1">
      <c r="A734" s="2">
        <v>741.0</v>
      </c>
      <c r="B734" s="1" t="s">
        <v>1426</v>
      </c>
      <c r="C734" s="1" t="s">
        <v>1419</v>
      </c>
      <c r="D734" s="1" t="s">
        <v>2128</v>
      </c>
      <c r="E734" s="2">
        <v>5.70055000047E11</v>
      </c>
      <c r="F734" s="1" t="s">
        <v>2129</v>
      </c>
      <c r="G734" s="1" t="s">
        <v>247</v>
      </c>
      <c r="H734" s="3" t="s">
        <v>826</v>
      </c>
      <c r="I734" s="1"/>
    </row>
    <row r="735" ht="15.75" customHeight="1">
      <c r="A735" s="2">
        <v>742.0</v>
      </c>
      <c r="B735" s="1" t="s">
        <v>2130</v>
      </c>
      <c r="C735" s="1" t="s">
        <v>2131</v>
      </c>
      <c r="D735" s="1" t="s">
        <v>2132</v>
      </c>
      <c r="E735" s="2">
        <v>5.70055000048E11</v>
      </c>
      <c r="F735" s="1" t="s">
        <v>2133</v>
      </c>
      <c r="G735" s="1" t="s">
        <v>12</v>
      </c>
      <c r="H735" s="3" t="s">
        <v>826</v>
      </c>
      <c r="I735" s="1"/>
    </row>
    <row r="736" ht="15.75" customHeight="1">
      <c r="A736" s="2">
        <v>743.0</v>
      </c>
      <c r="B736" s="1" t="s">
        <v>1967</v>
      </c>
      <c r="C736" s="1" t="s">
        <v>2134</v>
      </c>
      <c r="D736" s="1" t="s">
        <v>2135</v>
      </c>
      <c r="E736" s="2">
        <v>5.70055000049E11</v>
      </c>
      <c r="F736" s="1" t="s">
        <v>2136</v>
      </c>
      <c r="G736" s="1" t="s">
        <v>70</v>
      </c>
      <c r="H736" s="3" t="s">
        <v>826</v>
      </c>
      <c r="I736" s="1"/>
    </row>
    <row r="737" ht="15.75" customHeight="1">
      <c r="A737" s="2">
        <v>744.0</v>
      </c>
      <c r="B737" s="1" t="s">
        <v>1668</v>
      </c>
      <c r="C737" s="1" t="s">
        <v>17</v>
      </c>
      <c r="D737" s="1" t="s">
        <v>2137</v>
      </c>
      <c r="E737" s="2">
        <v>5.70055000051E11</v>
      </c>
      <c r="F737" s="1" t="s">
        <v>2138</v>
      </c>
      <c r="G737" s="1" t="s">
        <v>25</v>
      </c>
      <c r="H737" s="3" t="s">
        <v>826</v>
      </c>
      <c r="I737" s="1"/>
    </row>
    <row r="738" ht="15.75" customHeight="1">
      <c r="A738" s="2">
        <v>745.0</v>
      </c>
      <c r="B738" s="1" t="s">
        <v>1644</v>
      </c>
      <c r="C738" s="1" t="s">
        <v>2139</v>
      </c>
      <c r="D738" s="1" t="s">
        <v>2140</v>
      </c>
      <c r="E738" s="2">
        <v>5.70055000056E11</v>
      </c>
      <c r="F738" s="1" t="s">
        <v>2141</v>
      </c>
      <c r="G738" s="1" t="s">
        <v>247</v>
      </c>
      <c r="H738" s="3" t="s">
        <v>826</v>
      </c>
      <c r="I738" s="1"/>
    </row>
    <row r="739" ht="15.75" customHeight="1">
      <c r="A739" s="2">
        <v>746.0</v>
      </c>
      <c r="B739" s="1" t="s">
        <v>2142</v>
      </c>
      <c r="C739" s="1" t="s">
        <v>2143</v>
      </c>
      <c r="D739" s="1" t="s">
        <v>881</v>
      </c>
      <c r="E739" s="2">
        <v>5.70055000057E11</v>
      </c>
      <c r="F739" s="1" t="s">
        <v>2144</v>
      </c>
      <c r="G739" s="1" t="s">
        <v>247</v>
      </c>
      <c r="H739" s="3" t="s">
        <v>826</v>
      </c>
      <c r="I739" s="1"/>
    </row>
    <row r="740" ht="15.75" customHeight="1">
      <c r="A740" s="2">
        <v>747.0</v>
      </c>
      <c r="B740" s="1" t="s">
        <v>1002</v>
      </c>
      <c r="C740" s="1" t="s">
        <v>957</v>
      </c>
      <c r="D740" s="1" t="s">
        <v>203</v>
      </c>
      <c r="E740" s="2">
        <v>5.7005500006E11</v>
      </c>
      <c r="F740" s="1" t="s">
        <v>2145</v>
      </c>
      <c r="G740" s="1" t="s">
        <v>20</v>
      </c>
      <c r="H740" s="3" t="s">
        <v>826</v>
      </c>
      <c r="I740" s="1"/>
    </row>
    <row r="741" ht="15.75" customHeight="1">
      <c r="A741" s="2">
        <v>748.0</v>
      </c>
      <c r="B741" s="1" t="s">
        <v>2146</v>
      </c>
      <c r="C741" s="1" t="s">
        <v>2147</v>
      </c>
      <c r="D741" s="1" t="s">
        <v>2148</v>
      </c>
      <c r="E741" s="2">
        <v>5.70055000064E11</v>
      </c>
      <c r="F741" s="1" t="s">
        <v>2149</v>
      </c>
      <c r="G741" s="1" t="s">
        <v>12</v>
      </c>
      <c r="H741" s="3" t="s">
        <v>826</v>
      </c>
      <c r="I741" s="1"/>
    </row>
    <row r="742" ht="15.75" customHeight="1">
      <c r="A742" s="2">
        <v>749.0</v>
      </c>
      <c r="B742" s="1" t="s">
        <v>2150</v>
      </c>
      <c r="C742" s="1" t="s">
        <v>27</v>
      </c>
      <c r="D742" s="1" t="s">
        <v>28</v>
      </c>
      <c r="E742" s="2">
        <v>5.7005500008E11</v>
      </c>
      <c r="F742" s="1" t="s">
        <v>2151</v>
      </c>
      <c r="G742" s="1" t="s">
        <v>12</v>
      </c>
      <c r="H742" s="3" t="s">
        <v>826</v>
      </c>
      <c r="I742" s="1"/>
    </row>
    <row r="743" ht="15.75" customHeight="1">
      <c r="A743" s="2">
        <v>750.0</v>
      </c>
      <c r="B743" s="1" t="s">
        <v>1076</v>
      </c>
      <c r="C743" s="1" t="s">
        <v>880</v>
      </c>
      <c r="D743" s="1" t="s">
        <v>2152</v>
      </c>
      <c r="E743" s="2">
        <v>5.70055000099E11</v>
      </c>
      <c r="F743" s="1" t="s">
        <v>2153</v>
      </c>
      <c r="G743" s="1" t="s">
        <v>12</v>
      </c>
      <c r="H743" s="3" t="s">
        <v>826</v>
      </c>
      <c r="I743" s="1"/>
    </row>
    <row r="744" ht="15.75" customHeight="1">
      <c r="A744" s="2">
        <v>751.0</v>
      </c>
      <c r="B744" s="1" t="s">
        <v>2154</v>
      </c>
      <c r="C744" s="1" t="s">
        <v>1727</v>
      </c>
      <c r="D744" s="1" t="s">
        <v>987</v>
      </c>
      <c r="E744" s="2">
        <v>5.700550001E11</v>
      </c>
      <c r="F744" s="1" t="s">
        <v>2155</v>
      </c>
      <c r="G744" s="1" t="s">
        <v>120</v>
      </c>
      <c r="H744" s="3" t="s">
        <v>826</v>
      </c>
      <c r="I744" s="1"/>
    </row>
    <row r="745" ht="15.75" customHeight="1">
      <c r="A745" s="2">
        <v>752.0</v>
      </c>
      <c r="B745" s="1" t="s">
        <v>160</v>
      </c>
      <c r="C745" s="1" t="s">
        <v>986</v>
      </c>
      <c r="D745" s="1" t="s">
        <v>2156</v>
      </c>
      <c r="E745" s="2">
        <v>5.70055000101E11</v>
      </c>
      <c r="F745" s="1" t="s">
        <v>2157</v>
      </c>
      <c r="G745" s="1" t="s">
        <v>120</v>
      </c>
      <c r="H745" s="3" t="s">
        <v>826</v>
      </c>
      <c r="I745" s="1"/>
    </row>
    <row r="746" ht="15.75" customHeight="1">
      <c r="A746" s="2">
        <v>753.0</v>
      </c>
      <c r="B746" s="1" t="s">
        <v>1846</v>
      </c>
      <c r="C746" s="1" t="s">
        <v>2158</v>
      </c>
      <c r="D746" s="1" t="s">
        <v>2159</v>
      </c>
      <c r="E746" s="2">
        <v>5.70055000104E11</v>
      </c>
      <c r="F746" s="1" t="s">
        <v>2160</v>
      </c>
      <c r="G746" s="1" t="s">
        <v>12</v>
      </c>
      <c r="H746" s="3" t="s">
        <v>826</v>
      </c>
      <c r="I746" s="1"/>
    </row>
    <row r="747" ht="15.75" customHeight="1">
      <c r="A747" s="2">
        <v>754.0</v>
      </c>
      <c r="B747" s="1" t="s">
        <v>160</v>
      </c>
      <c r="C747" s="1" t="s">
        <v>129</v>
      </c>
      <c r="D747" s="1" t="s">
        <v>1816</v>
      </c>
      <c r="E747" s="2">
        <v>5.70055000105E11</v>
      </c>
      <c r="F747" s="1" t="s">
        <v>2161</v>
      </c>
      <c r="G747" s="1" t="s">
        <v>2162</v>
      </c>
      <c r="H747" s="3" t="s">
        <v>826</v>
      </c>
      <c r="I747" s="1"/>
    </row>
    <row r="748" ht="15.75" customHeight="1">
      <c r="A748" s="2">
        <v>755.0</v>
      </c>
      <c r="B748" s="1" t="s">
        <v>911</v>
      </c>
      <c r="C748" s="1" t="s">
        <v>1770</v>
      </c>
      <c r="D748" s="1" t="s">
        <v>2163</v>
      </c>
      <c r="E748" s="2">
        <v>5.70055000107E11</v>
      </c>
      <c r="F748" s="1" t="s">
        <v>2164</v>
      </c>
      <c r="G748" s="1" t="s">
        <v>12</v>
      </c>
      <c r="H748" s="3" t="s">
        <v>826</v>
      </c>
      <c r="I748" s="1"/>
    </row>
    <row r="749" ht="15.75" customHeight="1">
      <c r="A749" s="2">
        <v>756.0</v>
      </c>
      <c r="B749" s="1" t="s">
        <v>2165</v>
      </c>
      <c r="C749" s="1" t="s">
        <v>1312</v>
      </c>
      <c r="D749" s="1" t="s">
        <v>2166</v>
      </c>
      <c r="E749" s="2">
        <v>5.7005500011E11</v>
      </c>
      <c r="F749" s="1" t="s">
        <v>2167</v>
      </c>
      <c r="G749" s="1" t="s">
        <v>12</v>
      </c>
      <c r="H749" s="3" t="s">
        <v>826</v>
      </c>
      <c r="I749" s="1"/>
    </row>
    <row r="750" ht="15.75" customHeight="1">
      <c r="A750" s="2">
        <v>757.0</v>
      </c>
      <c r="B750" s="1" t="s">
        <v>2168</v>
      </c>
      <c r="C750" s="1" t="s">
        <v>1081</v>
      </c>
      <c r="D750" s="1" t="s">
        <v>2169</v>
      </c>
      <c r="E750" s="2">
        <v>5.70055000112E11</v>
      </c>
      <c r="F750" s="1" t="s">
        <v>2170</v>
      </c>
      <c r="G750" s="1" t="s">
        <v>12</v>
      </c>
      <c r="H750" s="3" t="s">
        <v>826</v>
      </c>
      <c r="I750" s="1"/>
    </row>
    <row r="751" ht="15.75" customHeight="1">
      <c r="A751" s="2">
        <v>758.0</v>
      </c>
      <c r="B751" s="1" t="s">
        <v>1312</v>
      </c>
      <c r="C751" s="1" t="s">
        <v>8</v>
      </c>
      <c r="D751" s="1" t="s">
        <v>2171</v>
      </c>
      <c r="E751" s="2">
        <v>5.70055000114E11</v>
      </c>
      <c r="F751" s="1" t="s">
        <v>2172</v>
      </c>
      <c r="G751" s="1" t="s">
        <v>12</v>
      </c>
      <c r="H751" s="3" t="s">
        <v>826</v>
      </c>
      <c r="I751" s="1"/>
    </row>
    <row r="752" ht="15.75" customHeight="1">
      <c r="A752" s="2">
        <v>759.0</v>
      </c>
      <c r="B752" s="1" t="s">
        <v>2173</v>
      </c>
      <c r="C752" s="1" t="s">
        <v>2174</v>
      </c>
      <c r="D752" s="1" t="s">
        <v>2175</v>
      </c>
      <c r="E752" s="2">
        <v>5.70055000118E11</v>
      </c>
      <c r="F752" s="1" t="s">
        <v>2176</v>
      </c>
      <c r="G752" s="1" t="s">
        <v>120</v>
      </c>
      <c r="H752" s="3" t="s">
        <v>826</v>
      </c>
      <c r="I752" s="1"/>
    </row>
    <row r="753" ht="15.75" customHeight="1">
      <c r="A753" s="2">
        <v>760.0</v>
      </c>
      <c r="B753" s="1" t="s">
        <v>2177</v>
      </c>
      <c r="C753" s="1" t="s">
        <v>2178</v>
      </c>
      <c r="D753" s="1" t="s">
        <v>2179</v>
      </c>
      <c r="E753" s="2">
        <v>5.70055000119E11</v>
      </c>
      <c r="F753" s="1" t="s">
        <v>2180</v>
      </c>
      <c r="G753" s="1" t="s">
        <v>12</v>
      </c>
      <c r="H753" s="3" t="s">
        <v>826</v>
      </c>
      <c r="I753" s="1"/>
    </row>
    <row r="754" ht="15.75" customHeight="1">
      <c r="A754" s="2">
        <v>761.0</v>
      </c>
      <c r="B754" s="1" t="s">
        <v>1995</v>
      </c>
      <c r="C754" s="1" t="s">
        <v>993</v>
      </c>
      <c r="D754" s="1" t="s">
        <v>2181</v>
      </c>
      <c r="E754" s="2">
        <v>5.70055000122E11</v>
      </c>
      <c r="F754" s="1" t="s">
        <v>2182</v>
      </c>
      <c r="G754" s="1" t="s">
        <v>120</v>
      </c>
      <c r="H754" s="3" t="s">
        <v>826</v>
      </c>
      <c r="I754" s="1"/>
    </row>
    <row r="755" ht="15.75" customHeight="1">
      <c r="A755" s="2">
        <v>762.0</v>
      </c>
      <c r="B755" s="1" t="s">
        <v>2183</v>
      </c>
      <c r="C755" s="1" t="s">
        <v>2184</v>
      </c>
      <c r="D755" s="1" t="s">
        <v>2185</v>
      </c>
      <c r="E755" s="2">
        <v>5.70055000123E11</v>
      </c>
      <c r="F755" s="1" t="s">
        <v>2186</v>
      </c>
      <c r="G755" s="1" t="s">
        <v>12</v>
      </c>
      <c r="H755" s="3" t="s">
        <v>826</v>
      </c>
      <c r="I755" s="1"/>
    </row>
    <row r="756" ht="15.75" customHeight="1">
      <c r="A756" s="2">
        <v>763.0</v>
      </c>
      <c r="B756" s="1" t="s">
        <v>240</v>
      </c>
      <c r="C756" s="1" t="s">
        <v>219</v>
      </c>
      <c r="D756" s="1" t="s">
        <v>2187</v>
      </c>
      <c r="E756" s="2">
        <v>5.70055000124E11</v>
      </c>
      <c r="F756" s="1" t="s">
        <v>2188</v>
      </c>
      <c r="G756" s="1" t="s">
        <v>120</v>
      </c>
      <c r="H756" s="3" t="s">
        <v>826</v>
      </c>
      <c r="I756" s="1"/>
    </row>
    <row r="757" ht="15.75" customHeight="1">
      <c r="A757" s="2">
        <v>764.0</v>
      </c>
      <c r="B757" s="1" t="s">
        <v>2189</v>
      </c>
      <c r="C757" s="1" t="s">
        <v>2190</v>
      </c>
      <c r="D757" s="1" t="s">
        <v>2191</v>
      </c>
      <c r="E757" s="2">
        <v>5.7005500013E11</v>
      </c>
      <c r="F757" s="1" t="s">
        <v>2192</v>
      </c>
      <c r="G757" s="1" t="s">
        <v>120</v>
      </c>
      <c r="H757" s="3" t="s">
        <v>826</v>
      </c>
      <c r="I757" s="1"/>
    </row>
    <row r="758" ht="15.75" customHeight="1">
      <c r="A758" s="2">
        <v>765.0</v>
      </c>
      <c r="B758" s="1" t="s">
        <v>2193</v>
      </c>
      <c r="C758" s="1" t="s">
        <v>2194</v>
      </c>
      <c r="D758" s="1" t="s">
        <v>2195</v>
      </c>
      <c r="E758" s="2">
        <v>5.70055000136E11</v>
      </c>
      <c r="F758" s="1" t="s">
        <v>2196</v>
      </c>
      <c r="G758" s="1" t="s">
        <v>12</v>
      </c>
      <c r="H758" s="3" t="s">
        <v>826</v>
      </c>
      <c r="I758" s="1"/>
    </row>
    <row r="759" ht="15.75" customHeight="1">
      <c r="A759" s="2">
        <v>766.0</v>
      </c>
      <c r="B759" s="1" t="s">
        <v>2197</v>
      </c>
      <c r="C759" s="1" t="s">
        <v>1668</v>
      </c>
      <c r="D759" s="1" t="s">
        <v>176</v>
      </c>
      <c r="E759" s="2">
        <v>5.7005500014E11</v>
      </c>
      <c r="F759" s="1" t="s">
        <v>2198</v>
      </c>
      <c r="G759" s="1" t="s">
        <v>12</v>
      </c>
      <c r="H759" s="3" t="s">
        <v>826</v>
      </c>
      <c r="I759" s="1"/>
    </row>
    <row r="760" ht="15.75" customHeight="1">
      <c r="A760" s="2">
        <v>767.0</v>
      </c>
      <c r="B760" s="1" t="s">
        <v>2199</v>
      </c>
      <c r="C760" s="1" t="s">
        <v>2200</v>
      </c>
      <c r="D760" s="1" t="s">
        <v>2201</v>
      </c>
      <c r="E760" s="2">
        <v>5.70055000141E11</v>
      </c>
      <c r="F760" s="1" t="s">
        <v>2202</v>
      </c>
      <c r="G760" s="1" t="s">
        <v>20</v>
      </c>
      <c r="H760" s="3" t="s">
        <v>826</v>
      </c>
      <c r="I760" s="1"/>
    </row>
    <row r="761" ht="15.75" customHeight="1">
      <c r="A761" s="2">
        <v>768.0</v>
      </c>
      <c r="B761" s="1" t="s">
        <v>2203</v>
      </c>
      <c r="C761" s="1" t="s">
        <v>1282</v>
      </c>
      <c r="D761" s="1" t="s">
        <v>2204</v>
      </c>
      <c r="E761" s="2">
        <v>5.70055000144E11</v>
      </c>
      <c r="F761" s="1" t="s">
        <v>2205</v>
      </c>
      <c r="G761" s="1" t="s">
        <v>70</v>
      </c>
      <c r="H761" s="3" t="s">
        <v>826</v>
      </c>
      <c r="I761" s="1"/>
    </row>
    <row r="762" ht="15.75" customHeight="1">
      <c r="A762" s="2">
        <v>769.0</v>
      </c>
      <c r="B762" s="1" t="s">
        <v>2206</v>
      </c>
      <c r="C762" s="1" t="s">
        <v>2207</v>
      </c>
      <c r="D762" s="1" t="s">
        <v>2208</v>
      </c>
      <c r="E762" s="2">
        <v>5.70055000148E11</v>
      </c>
      <c r="F762" s="1" t="s">
        <v>685</v>
      </c>
      <c r="G762" s="1" t="s">
        <v>12</v>
      </c>
      <c r="H762" s="3" t="s">
        <v>826</v>
      </c>
      <c r="I762" s="1"/>
    </row>
    <row r="763" ht="15.75" customHeight="1">
      <c r="A763" s="2">
        <v>770.0</v>
      </c>
      <c r="B763" s="1" t="s">
        <v>2209</v>
      </c>
      <c r="C763" s="1" t="s">
        <v>2210</v>
      </c>
      <c r="D763" s="1" t="s">
        <v>943</v>
      </c>
      <c r="E763" s="2">
        <v>5.70055000151E11</v>
      </c>
      <c r="F763" s="1" t="s">
        <v>2211</v>
      </c>
      <c r="G763" s="1" t="s">
        <v>12</v>
      </c>
      <c r="H763" s="3" t="s">
        <v>826</v>
      </c>
      <c r="I763" s="1"/>
    </row>
    <row r="764" ht="15.75" customHeight="1">
      <c r="A764" s="2">
        <v>771.0</v>
      </c>
      <c r="B764" s="1" t="s">
        <v>129</v>
      </c>
      <c r="C764" s="1" t="s">
        <v>2212</v>
      </c>
      <c r="D764" s="1" t="s">
        <v>881</v>
      </c>
      <c r="E764" s="2">
        <v>5.70055000163E11</v>
      </c>
      <c r="F764" s="1" t="s">
        <v>1701</v>
      </c>
      <c r="G764" s="1" t="s">
        <v>12</v>
      </c>
      <c r="H764" s="3" t="s">
        <v>826</v>
      </c>
      <c r="I764" s="1"/>
    </row>
    <row r="765" ht="15.75" customHeight="1">
      <c r="A765" s="2">
        <v>772.0</v>
      </c>
      <c r="B765" s="1" t="s">
        <v>2213</v>
      </c>
      <c r="C765" s="1" t="s">
        <v>219</v>
      </c>
      <c r="D765" s="1" t="s">
        <v>899</v>
      </c>
      <c r="E765" s="2">
        <v>5.70055000164E11</v>
      </c>
      <c r="F765" s="1" t="s">
        <v>2214</v>
      </c>
      <c r="G765" s="1" t="s">
        <v>12</v>
      </c>
      <c r="H765" s="3" t="s">
        <v>826</v>
      </c>
      <c r="I765" s="1"/>
    </row>
    <row r="766" ht="15.75" customHeight="1">
      <c r="A766" s="2">
        <v>773.0</v>
      </c>
      <c r="B766" s="1" t="s">
        <v>1426</v>
      </c>
      <c r="C766" s="1" t="s">
        <v>872</v>
      </c>
      <c r="D766" s="1" t="s">
        <v>2215</v>
      </c>
      <c r="E766" s="2">
        <v>5.70055000168E11</v>
      </c>
      <c r="F766" s="1" t="s">
        <v>2216</v>
      </c>
      <c r="G766" s="1" t="s">
        <v>12</v>
      </c>
      <c r="H766" s="3" t="s">
        <v>826</v>
      </c>
      <c r="I766" s="1"/>
    </row>
    <row r="767" ht="15.75" customHeight="1">
      <c r="A767" s="2">
        <v>774.0</v>
      </c>
      <c r="B767" s="1" t="s">
        <v>957</v>
      </c>
      <c r="C767" s="1" t="s">
        <v>229</v>
      </c>
      <c r="D767" s="1" t="s">
        <v>2217</v>
      </c>
      <c r="E767" s="2">
        <v>5.70055000169E11</v>
      </c>
      <c r="F767" s="1" t="s">
        <v>1539</v>
      </c>
      <c r="G767" s="1" t="s">
        <v>120</v>
      </c>
      <c r="H767" s="3" t="s">
        <v>826</v>
      </c>
      <c r="I767" s="1"/>
    </row>
    <row r="768" ht="15.75" customHeight="1">
      <c r="A768" s="2">
        <v>775.0</v>
      </c>
      <c r="B768" s="1" t="s">
        <v>1652</v>
      </c>
      <c r="C768" s="1" t="s">
        <v>2218</v>
      </c>
      <c r="D768" s="1" t="s">
        <v>2219</v>
      </c>
      <c r="E768" s="2">
        <v>5.70055000171E11</v>
      </c>
      <c r="F768" s="1" t="s">
        <v>2220</v>
      </c>
      <c r="G768" s="1" t="s">
        <v>12</v>
      </c>
      <c r="H768" s="3" t="s">
        <v>826</v>
      </c>
      <c r="I768" s="1"/>
    </row>
    <row r="769" ht="15.75" customHeight="1">
      <c r="A769" s="2">
        <v>776.0</v>
      </c>
      <c r="B769" s="1" t="s">
        <v>849</v>
      </c>
      <c r="C769" s="1" t="s">
        <v>1851</v>
      </c>
      <c r="D769" s="1" t="s">
        <v>1493</v>
      </c>
      <c r="E769" s="2">
        <v>5.70055000172E11</v>
      </c>
      <c r="F769" s="1" t="s">
        <v>2221</v>
      </c>
      <c r="G769" s="1" t="s">
        <v>120</v>
      </c>
      <c r="H769" s="3" t="s">
        <v>826</v>
      </c>
      <c r="I769" s="1"/>
    </row>
    <row r="770" ht="15.75" customHeight="1">
      <c r="A770" s="2">
        <v>777.0</v>
      </c>
      <c r="B770" s="1" t="s">
        <v>1002</v>
      </c>
      <c r="C770" s="1" t="s">
        <v>2222</v>
      </c>
      <c r="D770" s="1" t="s">
        <v>123</v>
      </c>
      <c r="E770" s="2">
        <v>5.70055000174E11</v>
      </c>
      <c r="F770" s="1" t="s">
        <v>2223</v>
      </c>
      <c r="G770" s="1" t="s">
        <v>120</v>
      </c>
      <c r="H770" s="3" t="s">
        <v>826</v>
      </c>
      <c r="I770" s="1"/>
    </row>
    <row r="771" ht="15.75" customHeight="1">
      <c r="A771" s="2">
        <v>778.0</v>
      </c>
      <c r="B771" s="1" t="s">
        <v>1294</v>
      </c>
      <c r="C771" s="1" t="s">
        <v>211</v>
      </c>
      <c r="D771" s="1" t="s">
        <v>2224</v>
      </c>
      <c r="E771" s="2">
        <v>5.70055000175E11</v>
      </c>
      <c r="F771" s="1" t="s">
        <v>2225</v>
      </c>
      <c r="G771" s="1" t="s">
        <v>120</v>
      </c>
      <c r="H771" s="3" t="s">
        <v>826</v>
      </c>
      <c r="I771" s="1"/>
    </row>
    <row r="772" ht="15.75" customHeight="1">
      <c r="A772" s="2">
        <v>779.0</v>
      </c>
      <c r="B772" s="1" t="s">
        <v>2226</v>
      </c>
      <c r="C772" s="1" t="s">
        <v>2227</v>
      </c>
      <c r="D772" s="1" t="s">
        <v>2228</v>
      </c>
      <c r="E772" s="2">
        <v>5.70055000177E11</v>
      </c>
      <c r="F772" s="1" t="s">
        <v>2155</v>
      </c>
      <c r="G772" s="1" t="s">
        <v>20</v>
      </c>
      <c r="H772" s="3" t="s">
        <v>826</v>
      </c>
      <c r="I772" s="1"/>
    </row>
    <row r="773" ht="15.75" customHeight="1">
      <c r="A773" s="2">
        <v>780.0</v>
      </c>
      <c r="B773" s="1" t="s">
        <v>1390</v>
      </c>
      <c r="C773" s="1" t="s">
        <v>1301</v>
      </c>
      <c r="D773" s="1" t="s">
        <v>851</v>
      </c>
      <c r="E773" s="2">
        <v>5.70055000178E11</v>
      </c>
      <c r="F773" s="1" t="s">
        <v>2229</v>
      </c>
      <c r="G773" s="1" t="s">
        <v>20</v>
      </c>
      <c r="H773" s="3" t="s">
        <v>826</v>
      </c>
      <c r="I773" s="1"/>
    </row>
    <row r="774" ht="15.75" customHeight="1">
      <c r="A774" s="2">
        <v>781.0</v>
      </c>
      <c r="B774" s="1" t="s">
        <v>1644</v>
      </c>
      <c r="C774" s="1" t="s">
        <v>2230</v>
      </c>
      <c r="D774" s="1" t="s">
        <v>46</v>
      </c>
      <c r="E774" s="2">
        <v>5.70055000181E11</v>
      </c>
      <c r="F774" s="1" t="s">
        <v>2231</v>
      </c>
      <c r="G774" s="1" t="s">
        <v>12</v>
      </c>
      <c r="H774" s="3" t="s">
        <v>826</v>
      </c>
      <c r="I774" s="1"/>
    </row>
    <row r="775" ht="15.75" customHeight="1">
      <c r="A775" s="2">
        <v>782.0</v>
      </c>
      <c r="B775" s="1" t="s">
        <v>2232</v>
      </c>
      <c r="C775" s="1" t="s">
        <v>1602</v>
      </c>
      <c r="D775" s="1" t="s">
        <v>2233</v>
      </c>
      <c r="E775" s="2">
        <v>5.70055000184E11</v>
      </c>
      <c r="F775" s="1" t="s">
        <v>2234</v>
      </c>
      <c r="G775" s="1" t="s">
        <v>12</v>
      </c>
      <c r="H775" s="3" t="s">
        <v>826</v>
      </c>
      <c r="I775" s="1"/>
    </row>
    <row r="776" ht="15.75" customHeight="1">
      <c r="A776" s="2">
        <v>783.0</v>
      </c>
      <c r="B776" s="1" t="s">
        <v>2235</v>
      </c>
      <c r="C776" s="1" t="s">
        <v>2236</v>
      </c>
      <c r="D776" s="1" t="s">
        <v>857</v>
      </c>
      <c r="E776" s="2">
        <v>5.70055000186E11</v>
      </c>
      <c r="F776" s="1" t="s">
        <v>2237</v>
      </c>
      <c r="G776" s="1" t="s">
        <v>120</v>
      </c>
      <c r="H776" s="3" t="s">
        <v>826</v>
      </c>
      <c r="I776" s="1"/>
    </row>
    <row r="777" ht="15.75" customHeight="1">
      <c r="A777" s="2">
        <v>784.0</v>
      </c>
      <c r="B777" s="1" t="s">
        <v>2238</v>
      </c>
      <c r="C777" s="1" t="s">
        <v>1967</v>
      </c>
      <c r="D777" s="1" t="s">
        <v>2239</v>
      </c>
      <c r="E777" s="2">
        <v>5.7005500019E11</v>
      </c>
      <c r="F777" s="1" t="s">
        <v>2240</v>
      </c>
      <c r="G777" s="1" t="s">
        <v>12</v>
      </c>
      <c r="H777" s="3" t="s">
        <v>826</v>
      </c>
      <c r="I777" s="1"/>
    </row>
    <row r="778" ht="15.75" customHeight="1">
      <c r="A778" s="2">
        <v>785.0</v>
      </c>
      <c r="B778" s="1" t="s">
        <v>2241</v>
      </c>
      <c r="C778" s="1" t="s">
        <v>87</v>
      </c>
      <c r="D778" s="1" t="s">
        <v>2242</v>
      </c>
      <c r="E778" s="2">
        <v>5.70055000192E11</v>
      </c>
      <c r="F778" s="1" t="s">
        <v>2243</v>
      </c>
      <c r="G778" s="1" t="s">
        <v>12</v>
      </c>
      <c r="H778" s="3" t="s">
        <v>826</v>
      </c>
      <c r="I778" s="1"/>
    </row>
    <row r="779" ht="15.75" customHeight="1">
      <c r="A779" s="2">
        <v>786.0</v>
      </c>
      <c r="B779" s="1" t="s">
        <v>2244</v>
      </c>
      <c r="C779" s="1" t="s">
        <v>138</v>
      </c>
      <c r="D779" s="1" t="s">
        <v>64</v>
      </c>
      <c r="E779" s="2">
        <v>5.70055000193E11</v>
      </c>
      <c r="F779" s="1" t="s">
        <v>2245</v>
      </c>
      <c r="G779" s="1" t="s">
        <v>120</v>
      </c>
      <c r="H779" s="3" t="s">
        <v>826</v>
      </c>
      <c r="I779" s="1"/>
    </row>
    <row r="780" ht="15.75" customHeight="1">
      <c r="A780" s="2">
        <v>787.0</v>
      </c>
      <c r="B780" s="1" t="s">
        <v>2246</v>
      </c>
      <c r="C780" s="1" t="s">
        <v>2247</v>
      </c>
      <c r="D780" s="1" t="s">
        <v>77</v>
      </c>
      <c r="E780" s="2">
        <v>5.70055000194E11</v>
      </c>
      <c r="F780" s="1" t="s">
        <v>2248</v>
      </c>
      <c r="G780" s="1" t="s">
        <v>12</v>
      </c>
      <c r="H780" s="3" t="s">
        <v>826</v>
      </c>
      <c r="I780" s="1"/>
    </row>
    <row r="781" ht="15.75" customHeight="1">
      <c r="A781" s="2">
        <v>788.0</v>
      </c>
      <c r="B781" s="1" t="s">
        <v>2249</v>
      </c>
      <c r="C781" s="1" t="s">
        <v>1092</v>
      </c>
      <c r="D781" s="1" t="s">
        <v>1315</v>
      </c>
      <c r="E781" s="2">
        <v>5.70055000199E11</v>
      </c>
      <c r="F781" s="1" t="s">
        <v>2250</v>
      </c>
      <c r="G781" s="1" t="s">
        <v>12</v>
      </c>
      <c r="H781" s="3" t="s">
        <v>826</v>
      </c>
      <c r="I781" s="1"/>
    </row>
    <row r="782" ht="15.75" customHeight="1">
      <c r="A782" s="2">
        <v>789.0</v>
      </c>
      <c r="B782" s="1" t="s">
        <v>2251</v>
      </c>
      <c r="C782" s="1" t="s">
        <v>2252</v>
      </c>
      <c r="D782" s="1" t="s">
        <v>2253</v>
      </c>
      <c r="E782" s="2">
        <v>5.70055000201E11</v>
      </c>
      <c r="F782" s="1" t="s">
        <v>2254</v>
      </c>
      <c r="G782" s="1" t="s">
        <v>12</v>
      </c>
      <c r="H782" s="3" t="s">
        <v>826</v>
      </c>
      <c r="I782" s="1"/>
    </row>
    <row r="783" ht="15.75" customHeight="1">
      <c r="A783" s="2">
        <v>790.0</v>
      </c>
      <c r="B783" s="1" t="s">
        <v>2244</v>
      </c>
      <c r="C783" s="1" t="s">
        <v>1932</v>
      </c>
      <c r="D783" s="1" t="s">
        <v>2255</v>
      </c>
      <c r="E783" s="2">
        <v>5.70055000202E11</v>
      </c>
      <c r="F783" s="1" t="s">
        <v>2080</v>
      </c>
      <c r="G783" s="1" t="s">
        <v>12</v>
      </c>
      <c r="H783" s="3" t="s">
        <v>826</v>
      </c>
      <c r="I783" s="1"/>
    </row>
    <row r="784" ht="15.75" customHeight="1">
      <c r="A784" s="2">
        <v>791.0</v>
      </c>
      <c r="B784" s="1" t="s">
        <v>1294</v>
      </c>
      <c r="C784" s="1" t="s">
        <v>229</v>
      </c>
      <c r="D784" s="1" t="s">
        <v>2256</v>
      </c>
      <c r="E784" s="2">
        <v>5.70055000205E11</v>
      </c>
      <c r="F784" s="1" t="s">
        <v>2257</v>
      </c>
      <c r="G784" s="1" t="s">
        <v>12</v>
      </c>
      <c r="H784" s="3" t="s">
        <v>826</v>
      </c>
      <c r="I784" s="1"/>
    </row>
    <row r="785" ht="15.75" customHeight="1">
      <c r="A785" s="2">
        <v>792.0</v>
      </c>
      <c r="B785" s="1" t="s">
        <v>1426</v>
      </c>
      <c r="C785" s="1" t="s">
        <v>2258</v>
      </c>
      <c r="D785" s="1" t="s">
        <v>1709</v>
      </c>
      <c r="E785" s="2">
        <v>5.70055000206E11</v>
      </c>
      <c r="F785" s="1" t="s">
        <v>2259</v>
      </c>
      <c r="G785" s="1" t="s">
        <v>12</v>
      </c>
      <c r="H785" s="3" t="s">
        <v>826</v>
      </c>
      <c r="I785" s="1"/>
    </row>
    <row r="786" ht="15.75" customHeight="1">
      <c r="A786" s="2">
        <v>793.0</v>
      </c>
      <c r="B786" s="1" t="s">
        <v>2260</v>
      </c>
      <c r="C786" s="1" t="s">
        <v>1312</v>
      </c>
      <c r="D786" s="1" t="s">
        <v>2163</v>
      </c>
      <c r="E786" s="2">
        <v>5.70055000217E11</v>
      </c>
      <c r="F786" s="1" t="s">
        <v>2261</v>
      </c>
      <c r="G786" s="1" t="s">
        <v>70</v>
      </c>
      <c r="H786" s="3" t="s">
        <v>826</v>
      </c>
      <c r="I786" s="1"/>
    </row>
    <row r="787" ht="15.75" customHeight="1">
      <c r="A787" s="2">
        <v>794.0</v>
      </c>
      <c r="B787" s="1" t="s">
        <v>2262</v>
      </c>
      <c r="C787" s="1" t="s">
        <v>835</v>
      </c>
      <c r="D787" s="1" t="s">
        <v>2263</v>
      </c>
      <c r="E787" s="2">
        <v>5.70055000373E11</v>
      </c>
      <c r="F787" s="1" t="s">
        <v>2264</v>
      </c>
      <c r="G787" s="1" t="s">
        <v>247</v>
      </c>
      <c r="H787" s="3" t="s">
        <v>826</v>
      </c>
      <c r="I787" s="1"/>
    </row>
    <row r="788" ht="15.75" customHeight="1">
      <c r="A788" s="2">
        <v>795.0</v>
      </c>
      <c r="B788" s="1" t="s">
        <v>2265</v>
      </c>
      <c r="C788" s="1" t="s">
        <v>2266</v>
      </c>
      <c r="D788" s="1" t="s">
        <v>2267</v>
      </c>
      <c r="E788" s="2">
        <v>5.70055000083E11</v>
      </c>
      <c r="F788" s="1" t="s">
        <v>2268</v>
      </c>
      <c r="G788" s="1" t="s">
        <v>12</v>
      </c>
      <c r="H788" s="3" t="s">
        <v>826</v>
      </c>
      <c r="I788" s="1"/>
    </row>
    <row r="789" ht="15.75" customHeight="1">
      <c r="A789" s="2">
        <v>796.0</v>
      </c>
      <c r="B789" s="1" t="s">
        <v>2206</v>
      </c>
      <c r="C789" s="1" t="s">
        <v>1584</v>
      </c>
      <c r="D789" s="1" t="s">
        <v>2269</v>
      </c>
      <c r="E789" s="2">
        <v>5.7005500009E11</v>
      </c>
      <c r="F789" s="1" t="s">
        <v>2270</v>
      </c>
      <c r="G789" s="1" t="s">
        <v>247</v>
      </c>
      <c r="H789" s="3" t="s">
        <v>826</v>
      </c>
      <c r="I789" s="1"/>
    </row>
    <row r="790" ht="15.75" customHeight="1">
      <c r="A790" s="2">
        <v>797.0</v>
      </c>
      <c r="B790" s="1" t="s">
        <v>1804</v>
      </c>
      <c r="C790" s="1" t="s">
        <v>2271</v>
      </c>
      <c r="D790" s="1" t="s">
        <v>857</v>
      </c>
      <c r="E790" s="2">
        <v>5.70055000132E11</v>
      </c>
      <c r="F790" s="1" t="s">
        <v>2272</v>
      </c>
      <c r="G790" s="1" t="s">
        <v>120</v>
      </c>
      <c r="H790" s="3" t="s">
        <v>826</v>
      </c>
      <c r="I790" s="1"/>
    </row>
    <row r="791" ht="15.75" customHeight="1">
      <c r="A791" s="2">
        <v>798.0</v>
      </c>
      <c r="B791" s="1" t="s">
        <v>2273</v>
      </c>
      <c r="C791" s="1" t="s">
        <v>2274</v>
      </c>
      <c r="D791" s="1" t="s">
        <v>1816</v>
      </c>
      <c r="E791" s="2">
        <v>5.70055000142E11</v>
      </c>
      <c r="F791" s="1" t="s">
        <v>2275</v>
      </c>
      <c r="G791" s="1" t="s">
        <v>12</v>
      </c>
      <c r="H791" s="3" t="s">
        <v>826</v>
      </c>
      <c r="I791" s="1"/>
    </row>
    <row r="792" ht="15.75" customHeight="1">
      <c r="A792" s="2">
        <v>799.0</v>
      </c>
      <c r="B792" s="1" t="s">
        <v>2276</v>
      </c>
      <c r="C792" s="1" t="s">
        <v>952</v>
      </c>
      <c r="D792" s="1" t="s">
        <v>37</v>
      </c>
      <c r="E792" s="2">
        <v>5.7005500015E11</v>
      </c>
      <c r="F792" s="1" t="s">
        <v>2277</v>
      </c>
      <c r="G792" s="1" t="s">
        <v>120</v>
      </c>
      <c r="H792" s="3" t="s">
        <v>826</v>
      </c>
      <c r="I792" s="1"/>
    </row>
    <row r="793" ht="15.75" customHeight="1">
      <c r="A793" s="2">
        <v>800.0</v>
      </c>
      <c r="B793" s="1" t="s">
        <v>1995</v>
      </c>
      <c r="C793" s="1" t="s">
        <v>832</v>
      </c>
      <c r="D793" s="1" t="s">
        <v>833</v>
      </c>
      <c r="E793" s="2">
        <v>5.7005500016E11</v>
      </c>
      <c r="F793" s="1" t="s">
        <v>2278</v>
      </c>
      <c r="G793" s="1" t="s">
        <v>12</v>
      </c>
      <c r="H793" s="3" t="s">
        <v>826</v>
      </c>
      <c r="I793" s="1"/>
    </row>
    <row r="794" ht="15.75" customHeight="1">
      <c r="A794" s="2">
        <v>801.0</v>
      </c>
      <c r="B794" s="1" t="s">
        <v>2279</v>
      </c>
      <c r="C794" s="1" t="s">
        <v>876</v>
      </c>
      <c r="D794" s="1" t="s">
        <v>1315</v>
      </c>
      <c r="E794" s="2">
        <v>5.70055000162E11</v>
      </c>
      <c r="F794" s="1" t="s">
        <v>2280</v>
      </c>
      <c r="G794" s="1" t="s">
        <v>12</v>
      </c>
      <c r="H794" s="3" t="s">
        <v>826</v>
      </c>
      <c r="I794" s="1"/>
    </row>
    <row r="795" ht="15.75" customHeight="1">
      <c r="A795" s="2">
        <v>802.0</v>
      </c>
      <c r="B795" s="1" t="s">
        <v>2281</v>
      </c>
      <c r="C795" s="1" t="s">
        <v>1301</v>
      </c>
      <c r="D795" s="1" t="s">
        <v>203</v>
      </c>
      <c r="E795" s="2">
        <v>5.70055000197E11</v>
      </c>
      <c r="F795" s="1" t="s">
        <v>2282</v>
      </c>
      <c r="G795" s="1" t="s">
        <v>12</v>
      </c>
      <c r="H795" s="3" t="s">
        <v>826</v>
      </c>
      <c r="I795" s="1"/>
    </row>
    <row r="796" ht="15.75" customHeight="1">
      <c r="A796" s="2">
        <v>803.0</v>
      </c>
      <c r="B796" s="1" t="s">
        <v>2283</v>
      </c>
      <c r="C796" s="1" t="s">
        <v>194</v>
      </c>
      <c r="D796" s="1" t="s">
        <v>2201</v>
      </c>
      <c r="E796" s="2">
        <v>5.70055000086E11</v>
      </c>
      <c r="F796" s="1" t="s">
        <v>2284</v>
      </c>
      <c r="G796" s="1" t="s">
        <v>247</v>
      </c>
      <c r="H796" s="3" t="s">
        <v>826</v>
      </c>
      <c r="I796" s="1"/>
    </row>
    <row r="797" ht="15.75" customHeight="1">
      <c r="A797" s="2">
        <v>804.0</v>
      </c>
      <c r="B797" s="1" t="s">
        <v>2285</v>
      </c>
      <c r="C797" s="1" t="s">
        <v>1492</v>
      </c>
      <c r="D797" s="1" t="s">
        <v>1493</v>
      </c>
      <c r="E797" s="2">
        <v>5.70055000153E11</v>
      </c>
      <c r="F797" s="1" t="s">
        <v>2286</v>
      </c>
      <c r="G797" s="1" t="s">
        <v>247</v>
      </c>
      <c r="H797" s="3" t="s">
        <v>826</v>
      </c>
      <c r="I797" s="1"/>
    </row>
    <row r="798" ht="15.75" customHeight="1">
      <c r="A798" s="2">
        <v>805.0</v>
      </c>
      <c r="B798" s="1" t="s">
        <v>2097</v>
      </c>
      <c r="C798" s="1" t="s">
        <v>1536</v>
      </c>
      <c r="D798" s="1" t="s">
        <v>2287</v>
      </c>
      <c r="E798" s="2">
        <v>5.70055000161E11</v>
      </c>
      <c r="F798" s="1" t="s">
        <v>2288</v>
      </c>
      <c r="G798" s="1" t="s">
        <v>12</v>
      </c>
      <c r="H798" s="3" t="s">
        <v>826</v>
      </c>
      <c r="I798" s="1"/>
    </row>
    <row r="799" ht="15.75" customHeight="1">
      <c r="A799" s="2">
        <v>806.0</v>
      </c>
      <c r="B799" s="1" t="s">
        <v>915</v>
      </c>
      <c r="C799" s="1" t="s">
        <v>2289</v>
      </c>
      <c r="D799" s="1" t="s">
        <v>1816</v>
      </c>
      <c r="E799" s="2">
        <v>5.70055000067E11</v>
      </c>
      <c r="F799" s="1" t="s">
        <v>2290</v>
      </c>
      <c r="G799" s="1" t="s">
        <v>12</v>
      </c>
      <c r="H799" s="3" t="s">
        <v>826</v>
      </c>
      <c r="I799" s="1"/>
    </row>
    <row r="800" ht="15.75" customHeight="1">
      <c r="A800" s="2">
        <v>807.0</v>
      </c>
      <c r="B800" s="1" t="s">
        <v>189</v>
      </c>
      <c r="C800" s="1" t="s">
        <v>237</v>
      </c>
      <c r="D800" s="1" t="s">
        <v>943</v>
      </c>
      <c r="E800" s="2">
        <v>5.70055000079E11</v>
      </c>
      <c r="F800" s="1" t="s">
        <v>2291</v>
      </c>
      <c r="G800" s="1" t="s">
        <v>247</v>
      </c>
      <c r="H800" s="3" t="s">
        <v>826</v>
      </c>
      <c r="I800" s="1"/>
    </row>
    <row r="801" ht="15.75" customHeight="1">
      <c r="A801" s="2">
        <v>808.0</v>
      </c>
      <c r="B801" s="1" t="s">
        <v>2292</v>
      </c>
      <c r="C801" s="1" t="s">
        <v>2293</v>
      </c>
      <c r="D801" s="1" t="s">
        <v>1077</v>
      </c>
      <c r="E801" s="2">
        <v>5.70055000089E11</v>
      </c>
      <c r="F801" s="1" t="s">
        <v>2294</v>
      </c>
      <c r="G801" s="1" t="s">
        <v>12</v>
      </c>
      <c r="H801" s="3" t="s">
        <v>826</v>
      </c>
      <c r="I801" s="1"/>
    </row>
    <row r="802" ht="15.75" customHeight="1">
      <c r="A802" s="2">
        <v>809.0</v>
      </c>
      <c r="B802" s="1" t="s">
        <v>1901</v>
      </c>
      <c r="C802" s="1" t="s">
        <v>2295</v>
      </c>
      <c r="D802" s="1" t="s">
        <v>2296</v>
      </c>
      <c r="E802" s="2">
        <v>5.70055000134E11</v>
      </c>
      <c r="F802" s="1" t="s">
        <v>2297</v>
      </c>
      <c r="G802" s="1" t="s">
        <v>120</v>
      </c>
      <c r="H802" s="3" t="s">
        <v>826</v>
      </c>
      <c r="I802" s="1"/>
    </row>
    <row r="803" ht="15.75" customHeight="1">
      <c r="A803" s="2">
        <v>810.0</v>
      </c>
      <c r="B803" s="1" t="s">
        <v>2298</v>
      </c>
      <c r="C803" s="1" t="s">
        <v>2293</v>
      </c>
      <c r="D803" s="1" t="s">
        <v>909</v>
      </c>
      <c r="E803" s="2">
        <v>5.70055000138E11</v>
      </c>
      <c r="F803" s="1" t="s">
        <v>2299</v>
      </c>
      <c r="G803" s="1" t="s">
        <v>247</v>
      </c>
      <c r="H803" s="3" t="s">
        <v>826</v>
      </c>
      <c r="I803" s="1"/>
    </row>
    <row r="804" ht="15.75" customHeight="1">
      <c r="A804" s="2">
        <v>811.0</v>
      </c>
      <c r="B804" s="1" t="s">
        <v>2300</v>
      </c>
      <c r="C804" s="1" t="s">
        <v>1419</v>
      </c>
      <c r="D804" s="1" t="s">
        <v>2301</v>
      </c>
      <c r="E804" s="2">
        <v>5.70055000139E11</v>
      </c>
      <c r="F804" s="1" t="s">
        <v>2297</v>
      </c>
      <c r="G804" s="1" t="s">
        <v>20</v>
      </c>
      <c r="H804" s="3" t="s">
        <v>826</v>
      </c>
      <c r="I804" s="1"/>
    </row>
    <row r="805" ht="15.75" customHeight="1">
      <c r="A805" s="2">
        <v>812.0</v>
      </c>
      <c r="B805" s="1" t="s">
        <v>2302</v>
      </c>
      <c r="C805" s="1" t="s">
        <v>1162</v>
      </c>
      <c r="D805" s="1" t="s">
        <v>2303</v>
      </c>
      <c r="E805" s="2">
        <v>5.70055000145E11</v>
      </c>
      <c r="F805" s="1" t="s">
        <v>2304</v>
      </c>
      <c r="G805" s="1" t="s">
        <v>12</v>
      </c>
      <c r="H805" s="3" t="s">
        <v>826</v>
      </c>
      <c r="I805" s="1"/>
    </row>
    <row r="806" ht="15.75" customHeight="1">
      <c r="A806" s="2">
        <v>813.0</v>
      </c>
      <c r="B806" s="1" t="s">
        <v>2305</v>
      </c>
      <c r="C806" s="1" t="s">
        <v>880</v>
      </c>
      <c r="D806" s="1" t="s">
        <v>2152</v>
      </c>
      <c r="E806" s="2">
        <v>5.70055000209E11</v>
      </c>
      <c r="F806" s="1" t="s">
        <v>2306</v>
      </c>
      <c r="G806" s="1" t="s">
        <v>12</v>
      </c>
      <c r="H806" s="3" t="s">
        <v>826</v>
      </c>
      <c r="I806" s="1"/>
    </row>
    <row r="807" ht="15.75" customHeight="1">
      <c r="A807" s="2">
        <v>814.0</v>
      </c>
      <c r="B807" s="1" t="s">
        <v>2050</v>
      </c>
      <c r="C807" s="1" t="s">
        <v>2307</v>
      </c>
      <c r="D807" s="1" t="s">
        <v>2308</v>
      </c>
      <c r="E807" s="2">
        <v>5.7005500021E11</v>
      </c>
      <c r="F807" s="1" t="s">
        <v>2309</v>
      </c>
      <c r="G807" s="1" t="s">
        <v>12</v>
      </c>
      <c r="H807" s="3" t="s">
        <v>826</v>
      </c>
      <c r="I807" s="1"/>
    </row>
    <row r="808" ht="15.75" customHeight="1">
      <c r="A808" s="2">
        <v>815.0</v>
      </c>
      <c r="B808" s="1" t="s">
        <v>160</v>
      </c>
      <c r="C808" s="1" t="s">
        <v>839</v>
      </c>
      <c r="D808" s="1" t="s">
        <v>2310</v>
      </c>
      <c r="E808" s="2">
        <v>5.7005500022E11</v>
      </c>
      <c r="F808" s="1" t="s">
        <v>2311</v>
      </c>
      <c r="G808" s="1" t="s">
        <v>247</v>
      </c>
      <c r="H808" s="3" t="s">
        <v>2312</v>
      </c>
      <c r="I808" s="1"/>
    </row>
    <row r="809" ht="15.75" customHeight="1">
      <c r="A809" s="2">
        <v>816.0</v>
      </c>
      <c r="B809" s="1" t="s">
        <v>2313</v>
      </c>
      <c r="C809" s="1" t="s">
        <v>2314</v>
      </c>
      <c r="D809" s="1" t="s">
        <v>857</v>
      </c>
      <c r="E809" s="2">
        <v>5.70055000223E11</v>
      </c>
      <c r="F809" s="1" t="s">
        <v>1646</v>
      </c>
      <c r="G809" s="1" t="s">
        <v>12</v>
      </c>
      <c r="H809" s="3" t="s">
        <v>826</v>
      </c>
      <c r="I809" s="1"/>
    </row>
    <row r="810" ht="15.75" customHeight="1">
      <c r="A810" s="2">
        <v>817.0</v>
      </c>
      <c r="B810" s="1" t="s">
        <v>2315</v>
      </c>
      <c r="C810" s="1" t="s">
        <v>2316</v>
      </c>
      <c r="D810" s="1" t="s">
        <v>2317</v>
      </c>
      <c r="E810" s="2">
        <v>5.70055000225E11</v>
      </c>
      <c r="F810" s="1" t="s">
        <v>2318</v>
      </c>
      <c r="G810" s="1" t="s">
        <v>120</v>
      </c>
      <c r="H810" s="3" t="s">
        <v>826</v>
      </c>
      <c r="I810" s="1"/>
    </row>
    <row r="811" ht="15.75" customHeight="1">
      <c r="A811" s="2">
        <v>818.0</v>
      </c>
      <c r="B811" s="1" t="s">
        <v>2232</v>
      </c>
      <c r="C811" s="1" t="s">
        <v>2319</v>
      </c>
      <c r="D811" s="1" t="s">
        <v>1799</v>
      </c>
      <c r="E811" s="2">
        <v>5.70055000226E11</v>
      </c>
      <c r="F811" s="1" t="s">
        <v>2320</v>
      </c>
      <c r="G811" s="1" t="s">
        <v>247</v>
      </c>
      <c r="H811" s="3" t="s">
        <v>826</v>
      </c>
      <c r="I811" s="1"/>
    </row>
    <row r="812" ht="15.75" customHeight="1">
      <c r="A812" s="2">
        <v>819.0</v>
      </c>
      <c r="B812" s="1" t="s">
        <v>861</v>
      </c>
      <c r="C812" s="1" t="s">
        <v>2321</v>
      </c>
      <c r="D812" s="1" t="s">
        <v>2322</v>
      </c>
      <c r="E812" s="2">
        <v>5.70055000228E11</v>
      </c>
      <c r="F812" s="1" t="s">
        <v>2323</v>
      </c>
      <c r="G812" s="1" t="s">
        <v>120</v>
      </c>
      <c r="H812" s="3" t="s">
        <v>826</v>
      </c>
      <c r="I812" s="1"/>
    </row>
    <row r="813" ht="15.75" customHeight="1">
      <c r="A813" s="2">
        <v>820.0</v>
      </c>
      <c r="B813" s="1" t="s">
        <v>1028</v>
      </c>
      <c r="C813" s="1" t="s">
        <v>976</v>
      </c>
      <c r="D813" s="1" t="s">
        <v>2324</v>
      </c>
      <c r="E813" s="2">
        <v>5.7005500023E11</v>
      </c>
      <c r="F813" s="1" t="s">
        <v>2325</v>
      </c>
      <c r="G813" s="1" t="s">
        <v>20</v>
      </c>
      <c r="H813" s="3" t="s">
        <v>826</v>
      </c>
      <c r="I813" s="1"/>
    </row>
    <row r="814" ht="15.75" customHeight="1">
      <c r="A814" s="2">
        <v>821.0</v>
      </c>
      <c r="B814" s="1" t="s">
        <v>2326</v>
      </c>
      <c r="C814" s="1" t="s">
        <v>2327</v>
      </c>
      <c r="D814" s="1" t="s">
        <v>1254</v>
      </c>
      <c r="E814" s="2">
        <v>5.70055000231E11</v>
      </c>
      <c r="F814" s="1" t="s">
        <v>2328</v>
      </c>
      <c r="G814" s="1" t="s">
        <v>20</v>
      </c>
      <c r="H814" s="3" t="s">
        <v>826</v>
      </c>
      <c r="I814" s="1"/>
    </row>
    <row r="815" ht="15.75" customHeight="1">
      <c r="A815" s="2">
        <v>822.0</v>
      </c>
      <c r="B815" s="1" t="s">
        <v>2329</v>
      </c>
      <c r="C815" s="1" t="s">
        <v>2330</v>
      </c>
      <c r="D815" s="1" t="s">
        <v>203</v>
      </c>
      <c r="E815" s="2">
        <v>5.70055000232E11</v>
      </c>
      <c r="F815" s="1" t="s">
        <v>2331</v>
      </c>
      <c r="G815" s="1" t="s">
        <v>20</v>
      </c>
      <c r="H815" s="3" t="s">
        <v>826</v>
      </c>
      <c r="I815" s="1"/>
    </row>
    <row r="816" ht="15.75" customHeight="1">
      <c r="A816" s="2">
        <v>823.0</v>
      </c>
      <c r="B816" s="1" t="s">
        <v>2332</v>
      </c>
      <c r="C816" s="1" t="s">
        <v>1118</v>
      </c>
      <c r="D816" s="1" t="s">
        <v>2333</v>
      </c>
      <c r="E816" s="2">
        <v>5.70055000233E11</v>
      </c>
      <c r="F816" s="1" t="s">
        <v>2334</v>
      </c>
      <c r="G816" s="1" t="s">
        <v>2335</v>
      </c>
      <c r="H816" s="3" t="s">
        <v>826</v>
      </c>
      <c r="I816" s="1"/>
    </row>
    <row r="817" ht="15.75" customHeight="1">
      <c r="A817" s="2">
        <v>824.0</v>
      </c>
      <c r="B817" s="1" t="s">
        <v>2336</v>
      </c>
      <c r="C817" s="1" t="s">
        <v>2007</v>
      </c>
      <c r="D817" s="1" t="s">
        <v>2337</v>
      </c>
      <c r="E817" s="2">
        <v>5.70055000235E11</v>
      </c>
      <c r="F817" s="1" t="s">
        <v>2338</v>
      </c>
      <c r="G817" s="1" t="s">
        <v>20</v>
      </c>
      <c r="H817" s="3" t="s">
        <v>826</v>
      </c>
      <c r="I817" s="1"/>
    </row>
    <row r="818" ht="15.75" customHeight="1">
      <c r="A818" s="2">
        <v>825.0</v>
      </c>
      <c r="B818" s="1" t="s">
        <v>2339</v>
      </c>
      <c r="C818" s="1" t="s">
        <v>880</v>
      </c>
      <c r="D818" s="1" t="s">
        <v>833</v>
      </c>
      <c r="E818" s="2">
        <v>5.70055000236E11</v>
      </c>
      <c r="F818" s="1" t="s">
        <v>2240</v>
      </c>
      <c r="G818" s="1" t="s">
        <v>20</v>
      </c>
      <c r="H818" s="3" t="s">
        <v>826</v>
      </c>
      <c r="I818" s="1"/>
    </row>
    <row r="819" ht="15.75" customHeight="1">
      <c r="A819" s="2">
        <v>826.0</v>
      </c>
      <c r="B819" s="1" t="s">
        <v>189</v>
      </c>
      <c r="C819" s="1" t="s">
        <v>183</v>
      </c>
      <c r="D819" s="1" t="s">
        <v>2287</v>
      </c>
      <c r="E819" s="2">
        <v>5.70055000238E11</v>
      </c>
      <c r="F819" s="1" t="s">
        <v>2340</v>
      </c>
      <c r="G819" s="1" t="s">
        <v>120</v>
      </c>
      <c r="H819" s="3" t="s">
        <v>826</v>
      </c>
      <c r="I819" s="1"/>
    </row>
    <row r="820" ht="15.75" customHeight="1">
      <c r="A820" s="2">
        <v>827.0</v>
      </c>
      <c r="B820" s="1" t="s">
        <v>1426</v>
      </c>
      <c r="C820" s="1" t="s">
        <v>1661</v>
      </c>
      <c r="D820" s="1" t="s">
        <v>1781</v>
      </c>
      <c r="E820" s="2">
        <v>5.70055000239E11</v>
      </c>
      <c r="F820" s="1" t="s">
        <v>2341</v>
      </c>
      <c r="G820" s="1" t="s">
        <v>120</v>
      </c>
      <c r="H820" s="3" t="s">
        <v>826</v>
      </c>
      <c r="I820" s="1"/>
    </row>
    <row r="821" ht="15.75" customHeight="1">
      <c r="A821" s="2">
        <v>828.0</v>
      </c>
      <c r="B821" s="1" t="s">
        <v>822</v>
      </c>
      <c r="C821" s="1" t="s">
        <v>2342</v>
      </c>
      <c r="D821" s="1" t="s">
        <v>1516</v>
      </c>
      <c r="E821" s="2">
        <v>5.7005500024E11</v>
      </c>
      <c r="F821" s="1" t="s">
        <v>2343</v>
      </c>
      <c r="G821" s="1" t="s">
        <v>120</v>
      </c>
      <c r="H821" s="3" t="s">
        <v>826</v>
      </c>
      <c r="I821" s="1"/>
    </row>
    <row r="822" ht="15.75" customHeight="1">
      <c r="A822" s="2">
        <v>829.0</v>
      </c>
      <c r="B822" s="1" t="s">
        <v>2344</v>
      </c>
      <c r="C822" s="1" t="s">
        <v>1346</v>
      </c>
      <c r="D822" s="1" t="s">
        <v>2345</v>
      </c>
      <c r="E822" s="2">
        <v>5.70055000242E11</v>
      </c>
      <c r="F822" s="1" t="s">
        <v>2346</v>
      </c>
      <c r="G822" s="1" t="s">
        <v>247</v>
      </c>
      <c r="H822" s="3" t="s">
        <v>826</v>
      </c>
      <c r="I822" s="1"/>
    </row>
    <row r="823" ht="15.75" customHeight="1">
      <c r="A823" s="2">
        <v>830.0</v>
      </c>
      <c r="B823" s="1" t="s">
        <v>2347</v>
      </c>
      <c r="C823" s="1" t="s">
        <v>2348</v>
      </c>
      <c r="D823" s="1" t="s">
        <v>2349</v>
      </c>
      <c r="E823" s="2">
        <v>5.70055000246E11</v>
      </c>
      <c r="F823" s="1" t="s">
        <v>2350</v>
      </c>
      <c r="G823" s="1" t="s">
        <v>25</v>
      </c>
      <c r="H823" s="3" t="s">
        <v>826</v>
      </c>
      <c r="I823" s="1"/>
    </row>
    <row r="824" ht="15.75" customHeight="1">
      <c r="A824" s="2">
        <v>831.0</v>
      </c>
      <c r="B824" s="1" t="s">
        <v>2351</v>
      </c>
      <c r="C824" s="1" t="s">
        <v>2352</v>
      </c>
      <c r="D824" s="1" t="s">
        <v>2353</v>
      </c>
      <c r="E824" s="2">
        <v>5.70055000247E11</v>
      </c>
      <c r="F824" s="1" t="s">
        <v>2354</v>
      </c>
      <c r="G824" s="1" t="s">
        <v>120</v>
      </c>
      <c r="H824" s="3" t="s">
        <v>826</v>
      </c>
      <c r="I824" s="1"/>
    </row>
    <row r="825" ht="15.75" customHeight="1">
      <c r="A825" s="2">
        <v>832.0</v>
      </c>
      <c r="B825" s="1" t="s">
        <v>2183</v>
      </c>
      <c r="C825" s="1" t="s">
        <v>2355</v>
      </c>
      <c r="D825" s="1" t="s">
        <v>2356</v>
      </c>
      <c r="E825" s="2">
        <v>5.70055000248E11</v>
      </c>
      <c r="F825" s="1" t="s">
        <v>2357</v>
      </c>
      <c r="G825" s="1" t="s">
        <v>120</v>
      </c>
      <c r="H825" s="3" t="s">
        <v>826</v>
      </c>
      <c r="I825" s="1"/>
    </row>
    <row r="826" ht="15.75" customHeight="1">
      <c r="A826" s="2">
        <v>833.0</v>
      </c>
      <c r="B826" s="1" t="s">
        <v>2358</v>
      </c>
      <c r="C826" s="1" t="s">
        <v>2359</v>
      </c>
      <c r="D826" s="1" t="s">
        <v>1989</v>
      </c>
      <c r="E826" s="2">
        <v>5.70055000251E11</v>
      </c>
      <c r="F826" s="1" t="s">
        <v>2360</v>
      </c>
      <c r="G826" s="1" t="s">
        <v>247</v>
      </c>
      <c r="H826" s="3" t="s">
        <v>826</v>
      </c>
      <c r="I826" s="1"/>
    </row>
    <row r="827" ht="15.75" customHeight="1">
      <c r="A827" s="2">
        <v>834.0</v>
      </c>
      <c r="B827" s="1" t="s">
        <v>2361</v>
      </c>
      <c r="C827" s="1" t="s">
        <v>2362</v>
      </c>
      <c r="D827" s="1" t="s">
        <v>2052</v>
      </c>
      <c r="E827" s="2">
        <v>5.70055000252E11</v>
      </c>
      <c r="F827" s="1" t="s">
        <v>2363</v>
      </c>
      <c r="G827" s="1" t="s">
        <v>247</v>
      </c>
      <c r="H827" s="3" t="s">
        <v>826</v>
      </c>
      <c r="I827" s="1"/>
    </row>
    <row r="828" ht="15.75" customHeight="1">
      <c r="A828" s="2">
        <v>835.0</v>
      </c>
      <c r="B828" s="1" t="s">
        <v>2232</v>
      </c>
      <c r="C828" s="1" t="s">
        <v>2364</v>
      </c>
      <c r="D828" s="1" t="s">
        <v>2365</v>
      </c>
      <c r="E828" s="2">
        <v>5.70055000253E11</v>
      </c>
      <c r="F828" s="1" t="s">
        <v>2366</v>
      </c>
      <c r="G828" s="1" t="s">
        <v>70</v>
      </c>
      <c r="H828" s="3" t="s">
        <v>826</v>
      </c>
      <c r="I828" s="1"/>
    </row>
    <row r="829" ht="15.75" customHeight="1">
      <c r="A829" s="2">
        <v>836.0</v>
      </c>
      <c r="B829" s="1" t="s">
        <v>2367</v>
      </c>
      <c r="C829" s="1" t="s">
        <v>91</v>
      </c>
      <c r="D829" s="1" t="s">
        <v>2368</v>
      </c>
      <c r="E829" s="2">
        <v>5.70055000255E11</v>
      </c>
      <c r="F829" s="1" t="s">
        <v>2369</v>
      </c>
      <c r="G829" s="1" t="s">
        <v>25</v>
      </c>
      <c r="H829" s="3" t="s">
        <v>826</v>
      </c>
      <c r="I829" s="1"/>
    </row>
    <row r="830" ht="15.75" customHeight="1">
      <c r="A830" s="2">
        <v>838.0</v>
      </c>
      <c r="B830" s="1" t="s">
        <v>2370</v>
      </c>
      <c r="C830" s="1" t="s">
        <v>2206</v>
      </c>
      <c r="D830" s="1" t="s">
        <v>1330</v>
      </c>
      <c r="E830" s="2">
        <v>5.70055000257E11</v>
      </c>
      <c r="F830" s="1" t="s">
        <v>2371</v>
      </c>
      <c r="G830" s="1" t="s">
        <v>247</v>
      </c>
      <c r="H830" s="3" t="s">
        <v>826</v>
      </c>
      <c r="I830" s="1"/>
    </row>
    <row r="831" ht="15.75" customHeight="1">
      <c r="A831" s="2">
        <v>839.0</v>
      </c>
      <c r="B831" s="1" t="s">
        <v>2372</v>
      </c>
      <c r="C831" s="1" t="s">
        <v>2373</v>
      </c>
      <c r="D831" s="1" t="s">
        <v>37</v>
      </c>
      <c r="E831" s="2">
        <v>5.70055000259E11</v>
      </c>
      <c r="F831" s="1" t="s">
        <v>2374</v>
      </c>
      <c r="G831" s="1" t="s">
        <v>247</v>
      </c>
      <c r="H831" s="3" t="s">
        <v>826</v>
      </c>
      <c r="I831" s="1"/>
    </row>
    <row r="832" ht="15.75" customHeight="1">
      <c r="A832" s="2">
        <v>840.0</v>
      </c>
      <c r="B832" s="1" t="s">
        <v>2375</v>
      </c>
      <c r="C832" s="1" t="s">
        <v>1826</v>
      </c>
      <c r="D832" s="1" t="s">
        <v>2303</v>
      </c>
      <c r="E832" s="2">
        <v>5.70055000263E11</v>
      </c>
      <c r="F832" s="1" t="s">
        <v>2376</v>
      </c>
      <c r="G832" s="1" t="s">
        <v>25</v>
      </c>
      <c r="H832" s="3" t="s">
        <v>826</v>
      </c>
      <c r="I832" s="1"/>
    </row>
    <row r="833" ht="15.75" customHeight="1">
      <c r="A833" s="2">
        <v>841.0</v>
      </c>
      <c r="B833" s="1" t="s">
        <v>1426</v>
      </c>
      <c r="C833" s="1" t="s">
        <v>2377</v>
      </c>
      <c r="D833" s="1" t="s">
        <v>2378</v>
      </c>
      <c r="E833" s="2">
        <v>5.70055000264E11</v>
      </c>
      <c r="F833" s="1" t="s">
        <v>2379</v>
      </c>
      <c r="G833" s="1" t="s">
        <v>247</v>
      </c>
      <c r="H833" s="3" t="s">
        <v>826</v>
      </c>
      <c r="I833" s="1"/>
    </row>
    <row r="834" ht="15.75" customHeight="1">
      <c r="A834" s="2">
        <v>842.0</v>
      </c>
      <c r="B834" s="1" t="s">
        <v>91</v>
      </c>
      <c r="C834" s="1" t="s">
        <v>2380</v>
      </c>
      <c r="D834" s="1" t="s">
        <v>2381</v>
      </c>
      <c r="E834" s="2">
        <v>5.70055000268E11</v>
      </c>
      <c r="F834" s="1" t="s">
        <v>2382</v>
      </c>
      <c r="G834" s="1" t="s">
        <v>247</v>
      </c>
      <c r="H834" s="3" t="s">
        <v>826</v>
      </c>
      <c r="I834" s="1"/>
    </row>
    <row r="835" ht="15.75" customHeight="1">
      <c r="A835" s="2">
        <v>843.0</v>
      </c>
      <c r="B835" s="1" t="s">
        <v>2383</v>
      </c>
      <c r="C835" s="1" t="s">
        <v>2384</v>
      </c>
      <c r="D835" s="1" t="s">
        <v>50</v>
      </c>
      <c r="E835" s="2">
        <v>5.7005500027E11</v>
      </c>
      <c r="F835" s="1" t="s">
        <v>2385</v>
      </c>
      <c r="G835" s="1" t="s">
        <v>20</v>
      </c>
      <c r="H835" s="3" t="s">
        <v>826</v>
      </c>
      <c r="I835" s="1"/>
    </row>
    <row r="836" ht="15.75" customHeight="1">
      <c r="A836" s="2">
        <v>844.0</v>
      </c>
      <c r="B836" s="1" t="s">
        <v>2386</v>
      </c>
      <c r="C836" s="1" t="s">
        <v>241</v>
      </c>
      <c r="D836" s="1" t="s">
        <v>123</v>
      </c>
      <c r="E836" s="2">
        <v>5.70055000271E11</v>
      </c>
      <c r="F836" s="1" t="s">
        <v>2387</v>
      </c>
      <c r="G836" s="1" t="s">
        <v>247</v>
      </c>
      <c r="H836" s="3" t="s">
        <v>826</v>
      </c>
      <c r="I836" s="1"/>
    </row>
    <row r="837" ht="15.75" customHeight="1">
      <c r="A837" s="2">
        <v>845.0</v>
      </c>
      <c r="B837" s="1" t="s">
        <v>2388</v>
      </c>
      <c r="C837" s="1" t="s">
        <v>2051</v>
      </c>
      <c r="D837" s="1" t="s">
        <v>2389</v>
      </c>
      <c r="E837" s="2">
        <v>5.70055000272E11</v>
      </c>
      <c r="F837" s="1" t="s">
        <v>2155</v>
      </c>
      <c r="G837" s="1" t="s">
        <v>25</v>
      </c>
      <c r="H837" s="3" t="s">
        <v>826</v>
      </c>
      <c r="I837" s="1"/>
    </row>
    <row r="838" ht="15.75" customHeight="1">
      <c r="A838" s="2">
        <v>846.0</v>
      </c>
      <c r="B838" s="1" t="s">
        <v>1644</v>
      </c>
      <c r="C838" s="1" t="s">
        <v>2390</v>
      </c>
      <c r="D838" s="1" t="s">
        <v>1531</v>
      </c>
      <c r="E838" s="2">
        <v>5.70055000274E11</v>
      </c>
      <c r="F838" s="1" t="s">
        <v>2391</v>
      </c>
      <c r="G838" s="1" t="s">
        <v>120</v>
      </c>
      <c r="H838" s="3" t="s">
        <v>826</v>
      </c>
      <c r="I838" s="1"/>
    </row>
    <row r="839" ht="15.75" customHeight="1">
      <c r="A839" s="2">
        <v>847.0</v>
      </c>
      <c r="B839" s="1" t="s">
        <v>2392</v>
      </c>
      <c r="C839" s="1" t="s">
        <v>2393</v>
      </c>
      <c r="D839" s="1" t="s">
        <v>193</v>
      </c>
      <c r="E839" s="2">
        <v>5.70055000281E11</v>
      </c>
      <c r="F839" s="1" t="s">
        <v>2394</v>
      </c>
      <c r="G839" s="1" t="s">
        <v>120</v>
      </c>
      <c r="H839" s="3" t="s">
        <v>826</v>
      </c>
      <c r="I839" s="1"/>
    </row>
    <row r="840" ht="15.75" customHeight="1">
      <c r="A840" s="2">
        <v>848.0</v>
      </c>
      <c r="B840" s="1" t="s">
        <v>2386</v>
      </c>
      <c r="C840" s="1" t="s">
        <v>171</v>
      </c>
      <c r="D840" s="1" t="s">
        <v>1779</v>
      </c>
      <c r="E840" s="2">
        <v>5.70055000284E11</v>
      </c>
      <c r="F840" s="1" t="s">
        <v>2395</v>
      </c>
      <c r="G840" s="1" t="s">
        <v>247</v>
      </c>
      <c r="H840" s="3" t="s">
        <v>826</v>
      </c>
      <c r="I840" s="1"/>
    </row>
    <row r="841" ht="15.75" customHeight="1">
      <c r="A841" s="2">
        <v>849.0</v>
      </c>
      <c r="B841" s="1" t="s">
        <v>2396</v>
      </c>
      <c r="C841" s="1" t="s">
        <v>952</v>
      </c>
      <c r="D841" s="1" t="s">
        <v>1709</v>
      </c>
      <c r="E841" s="2">
        <v>5.70055000286E11</v>
      </c>
      <c r="F841" s="1" t="s">
        <v>2397</v>
      </c>
      <c r="G841" s="1" t="s">
        <v>247</v>
      </c>
      <c r="H841" s="3" t="s">
        <v>826</v>
      </c>
      <c r="I841" s="1"/>
    </row>
    <row r="842" ht="15.75" customHeight="1">
      <c r="A842" s="2">
        <v>850.0</v>
      </c>
      <c r="B842" s="1" t="s">
        <v>2398</v>
      </c>
      <c r="C842" s="1" t="s">
        <v>2399</v>
      </c>
      <c r="D842" s="1" t="s">
        <v>2263</v>
      </c>
      <c r="E842" s="2">
        <v>5.70055000287E11</v>
      </c>
      <c r="F842" s="1" t="s">
        <v>2400</v>
      </c>
      <c r="G842" s="1" t="s">
        <v>12</v>
      </c>
      <c r="H842" s="3" t="s">
        <v>826</v>
      </c>
      <c r="I842" s="1"/>
    </row>
    <row r="843" ht="15.75" customHeight="1">
      <c r="A843" s="2">
        <v>851.0</v>
      </c>
      <c r="B843" s="1" t="s">
        <v>2401</v>
      </c>
      <c r="C843" s="1" t="s">
        <v>2402</v>
      </c>
      <c r="D843" s="1" t="s">
        <v>111</v>
      </c>
      <c r="E843" s="2">
        <v>5.70055000288E11</v>
      </c>
      <c r="F843" s="1" t="s">
        <v>2403</v>
      </c>
      <c r="G843" s="1" t="s">
        <v>25</v>
      </c>
      <c r="H843" s="3" t="s">
        <v>826</v>
      </c>
      <c r="I843" s="1"/>
    </row>
    <row r="844" ht="15.75" customHeight="1">
      <c r="A844" s="2">
        <v>852.0</v>
      </c>
      <c r="B844" s="1" t="s">
        <v>2404</v>
      </c>
      <c r="C844" s="1" t="s">
        <v>2405</v>
      </c>
      <c r="D844" s="1" t="s">
        <v>1636</v>
      </c>
      <c r="E844" s="2">
        <v>5.70055000289E11</v>
      </c>
      <c r="F844" s="1" t="s">
        <v>2406</v>
      </c>
      <c r="G844" s="1" t="s">
        <v>120</v>
      </c>
      <c r="H844" s="3" t="s">
        <v>826</v>
      </c>
      <c r="I844" s="1"/>
    </row>
    <row r="845" ht="15.75" customHeight="1">
      <c r="A845" s="2">
        <v>853.0</v>
      </c>
      <c r="B845" s="1" t="s">
        <v>2407</v>
      </c>
      <c r="C845" s="1" t="s">
        <v>211</v>
      </c>
      <c r="D845" s="1" t="s">
        <v>2224</v>
      </c>
      <c r="E845" s="2">
        <v>5.70055000291E11</v>
      </c>
      <c r="F845" s="1" t="s">
        <v>2408</v>
      </c>
      <c r="G845" s="1" t="s">
        <v>25</v>
      </c>
      <c r="H845" s="3" t="s">
        <v>826</v>
      </c>
      <c r="I845" s="1"/>
    </row>
    <row r="846" ht="15.75" customHeight="1">
      <c r="A846" s="2">
        <v>854.0</v>
      </c>
      <c r="B846" s="1" t="s">
        <v>2409</v>
      </c>
      <c r="C846" s="1" t="s">
        <v>194</v>
      </c>
      <c r="D846" s="1" t="s">
        <v>2410</v>
      </c>
      <c r="E846" s="2">
        <v>5.70055000292E11</v>
      </c>
      <c r="F846" s="1" t="s">
        <v>2411</v>
      </c>
      <c r="G846" s="1" t="s">
        <v>120</v>
      </c>
      <c r="H846" s="3" t="s">
        <v>826</v>
      </c>
      <c r="I846" s="1"/>
    </row>
    <row r="847" ht="15.75" customHeight="1">
      <c r="A847" s="2">
        <v>855.0</v>
      </c>
      <c r="B847" s="1" t="s">
        <v>2412</v>
      </c>
      <c r="C847" s="1" t="s">
        <v>2413</v>
      </c>
      <c r="D847" s="1" t="s">
        <v>874</v>
      </c>
      <c r="E847" s="2">
        <v>5.70055000299E11</v>
      </c>
      <c r="F847" s="1" t="s">
        <v>2414</v>
      </c>
      <c r="G847" s="1" t="s">
        <v>247</v>
      </c>
      <c r="H847" s="3" t="s">
        <v>826</v>
      </c>
      <c r="I847" s="1"/>
    </row>
    <row r="848" ht="15.75" customHeight="1">
      <c r="A848" s="2">
        <v>856.0</v>
      </c>
      <c r="B848" s="1" t="s">
        <v>2415</v>
      </c>
      <c r="C848" s="1" t="s">
        <v>2416</v>
      </c>
      <c r="D848" s="1" t="s">
        <v>1573</v>
      </c>
      <c r="E848" s="2">
        <v>5.700550003E11</v>
      </c>
      <c r="F848" s="1" t="s">
        <v>2417</v>
      </c>
      <c r="G848" s="1" t="s">
        <v>247</v>
      </c>
      <c r="H848" s="3" t="s">
        <v>826</v>
      </c>
      <c r="I848" s="1"/>
    </row>
    <row r="849" ht="15.75" customHeight="1">
      <c r="A849" s="2">
        <v>857.0</v>
      </c>
      <c r="B849" s="1" t="s">
        <v>2418</v>
      </c>
      <c r="C849" s="1" t="s">
        <v>944</v>
      </c>
      <c r="D849" s="1" t="s">
        <v>2419</v>
      </c>
      <c r="E849" s="2">
        <v>5.70055000301E11</v>
      </c>
      <c r="F849" s="1" t="s">
        <v>2420</v>
      </c>
      <c r="G849" s="1" t="s">
        <v>20</v>
      </c>
      <c r="H849" s="3" t="s">
        <v>826</v>
      </c>
      <c r="I849" s="1"/>
    </row>
    <row r="850" ht="15.75" customHeight="1">
      <c r="A850" s="2">
        <v>858.0</v>
      </c>
      <c r="B850" s="1" t="s">
        <v>2421</v>
      </c>
      <c r="C850" s="1" t="s">
        <v>2422</v>
      </c>
      <c r="D850" s="1" t="s">
        <v>2423</v>
      </c>
      <c r="E850" s="2">
        <v>5.70055000308E11</v>
      </c>
      <c r="F850" s="1" t="s">
        <v>2424</v>
      </c>
      <c r="G850" s="1" t="s">
        <v>20</v>
      </c>
      <c r="H850" s="3" t="s">
        <v>826</v>
      </c>
      <c r="I850" s="1"/>
    </row>
    <row r="851" ht="15.75" customHeight="1">
      <c r="A851" s="2">
        <v>859.0</v>
      </c>
      <c r="B851" s="1" t="s">
        <v>2425</v>
      </c>
      <c r="C851" s="1" t="s">
        <v>1711</v>
      </c>
      <c r="D851" s="1" t="s">
        <v>2070</v>
      </c>
      <c r="E851" s="2">
        <v>5.70055000309E11</v>
      </c>
      <c r="F851" s="1" t="s">
        <v>2426</v>
      </c>
      <c r="G851" s="1" t="s">
        <v>247</v>
      </c>
      <c r="H851" s="3" t="s">
        <v>826</v>
      </c>
      <c r="I851" s="1"/>
    </row>
    <row r="852" ht="15.75" customHeight="1">
      <c r="A852" s="2">
        <v>860.0</v>
      </c>
      <c r="B852" s="1" t="s">
        <v>2427</v>
      </c>
      <c r="C852" s="1" t="s">
        <v>2428</v>
      </c>
      <c r="D852" s="1" t="s">
        <v>28</v>
      </c>
      <c r="E852" s="2">
        <v>5.70055000311E11</v>
      </c>
      <c r="F852" s="1" t="s">
        <v>2429</v>
      </c>
      <c r="G852" s="1" t="s">
        <v>12</v>
      </c>
      <c r="H852" s="3" t="s">
        <v>826</v>
      </c>
      <c r="I852" s="1"/>
    </row>
    <row r="853" ht="15.75" customHeight="1">
      <c r="A853" s="1">
        <v>862.0</v>
      </c>
      <c r="B853" s="1" t="s">
        <v>2430</v>
      </c>
      <c r="C853" s="1" t="s">
        <v>2431</v>
      </c>
      <c r="D853" s="1" t="s">
        <v>2432</v>
      </c>
      <c r="E853" s="1">
        <v>5.7005500032E11</v>
      </c>
      <c r="F853" s="1" t="s">
        <v>2433</v>
      </c>
      <c r="G853" s="1" t="s">
        <v>120</v>
      </c>
      <c r="H853" s="1" t="s">
        <v>248</v>
      </c>
      <c r="I853" s="1" t="s">
        <v>249</v>
      </c>
      <c r="J853" s="4" t="s">
        <v>250</v>
      </c>
    </row>
    <row r="854" ht="15.75" customHeight="1">
      <c r="A854" s="4">
        <v>863.0</v>
      </c>
      <c r="B854" s="4" t="s">
        <v>1390</v>
      </c>
      <c r="C854" s="4" t="s">
        <v>2434</v>
      </c>
      <c r="D854" s="4" t="s">
        <v>2435</v>
      </c>
      <c r="E854" s="4">
        <v>5.70055000322E11</v>
      </c>
      <c r="F854" s="4" t="s">
        <v>2436</v>
      </c>
      <c r="G854" s="4" t="s">
        <v>996</v>
      </c>
      <c r="H854" s="4" t="s">
        <v>248</v>
      </c>
      <c r="I854" s="4" t="s">
        <v>249</v>
      </c>
      <c r="J854" s="4" t="s">
        <v>250</v>
      </c>
    </row>
    <row r="855" ht="15.75" customHeight="1">
      <c r="A855" s="4">
        <v>864.0</v>
      </c>
      <c r="B855" s="4" t="s">
        <v>1390</v>
      </c>
      <c r="C855" s="4" t="s">
        <v>2437</v>
      </c>
      <c r="D855" s="4" t="s">
        <v>2438</v>
      </c>
      <c r="E855" s="4">
        <v>5.70055000323E11</v>
      </c>
      <c r="F855" s="4" t="s">
        <v>2439</v>
      </c>
      <c r="G855" s="4" t="s">
        <v>20</v>
      </c>
      <c r="H855" s="4" t="s">
        <v>248</v>
      </c>
      <c r="I855" s="4" t="s">
        <v>249</v>
      </c>
      <c r="J855" s="4" t="s">
        <v>250</v>
      </c>
    </row>
    <row r="856" ht="15.75" customHeight="1">
      <c r="A856" s="4">
        <v>865.0</v>
      </c>
      <c r="B856" s="4" t="s">
        <v>2440</v>
      </c>
      <c r="C856" s="4" t="s">
        <v>17</v>
      </c>
      <c r="D856" s="4" t="s">
        <v>2441</v>
      </c>
      <c r="E856" s="4">
        <v>5.70055000329E11</v>
      </c>
      <c r="F856" s="4" t="s">
        <v>2442</v>
      </c>
      <c r="G856" s="4" t="s">
        <v>12</v>
      </c>
      <c r="H856" s="4" t="s">
        <v>248</v>
      </c>
      <c r="I856" s="4" t="s">
        <v>249</v>
      </c>
      <c r="J856" s="4" t="s">
        <v>250</v>
      </c>
    </row>
    <row r="857" ht="15.75" customHeight="1">
      <c r="A857" s="4">
        <v>866.0</v>
      </c>
      <c r="B857" s="4" t="s">
        <v>2103</v>
      </c>
      <c r="C857" s="4" t="s">
        <v>2352</v>
      </c>
      <c r="D857" s="4" t="s">
        <v>2079</v>
      </c>
      <c r="E857" s="4">
        <v>5.7005500033E11</v>
      </c>
      <c r="F857" s="4" t="s">
        <v>1371</v>
      </c>
      <c r="G857" s="4" t="s">
        <v>2335</v>
      </c>
      <c r="H857" s="4" t="s">
        <v>248</v>
      </c>
      <c r="I857" s="4" t="s">
        <v>249</v>
      </c>
      <c r="J857" s="4" t="s">
        <v>250</v>
      </c>
    </row>
    <row r="858" ht="15.75" customHeight="1">
      <c r="A858" s="4">
        <v>867.0</v>
      </c>
      <c r="B858" s="4" t="s">
        <v>2443</v>
      </c>
      <c r="C858" s="4" t="s">
        <v>1437</v>
      </c>
      <c r="D858" s="4" t="s">
        <v>1781</v>
      </c>
      <c r="E858" s="4">
        <v>5.70055000331E11</v>
      </c>
      <c r="F858" s="4" t="s">
        <v>2444</v>
      </c>
      <c r="G858" s="4" t="s">
        <v>12</v>
      </c>
      <c r="H858" s="4" t="s">
        <v>248</v>
      </c>
      <c r="I858" s="4" t="s">
        <v>249</v>
      </c>
      <c r="J858" s="4" t="s">
        <v>250</v>
      </c>
    </row>
    <row r="859" ht="15.75" customHeight="1">
      <c r="A859" s="4">
        <v>868.0</v>
      </c>
      <c r="B859" s="4" t="s">
        <v>2445</v>
      </c>
      <c r="C859" s="4" t="s">
        <v>2446</v>
      </c>
      <c r="D859" s="4" t="s">
        <v>1816</v>
      </c>
      <c r="E859" s="4">
        <v>5.70055000332E11</v>
      </c>
      <c r="F859" s="4" t="s">
        <v>2447</v>
      </c>
      <c r="G859" s="4" t="s">
        <v>247</v>
      </c>
      <c r="H859" s="4" t="s">
        <v>248</v>
      </c>
      <c r="I859" s="4" t="s">
        <v>249</v>
      </c>
      <c r="J859" s="4" t="s">
        <v>250</v>
      </c>
    </row>
    <row r="860" ht="15.75" customHeight="1">
      <c r="A860" s="4">
        <v>869.0</v>
      </c>
      <c r="B860" s="4" t="s">
        <v>2448</v>
      </c>
      <c r="C860" s="4" t="s">
        <v>942</v>
      </c>
      <c r="D860" s="4" t="s">
        <v>2449</v>
      </c>
      <c r="E860" s="4">
        <v>5.70055000333E11</v>
      </c>
      <c r="F860" s="4" t="s">
        <v>2450</v>
      </c>
      <c r="G860" s="4" t="s">
        <v>12</v>
      </c>
      <c r="H860" s="4" t="s">
        <v>248</v>
      </c>
      <c r="I860" s="4" t="s">
        <v>249</v>
      </c>
      <c r="J860" s="4" t="s">
        <v>250</v>
      </c>
    </row>
    <row r="861" ht="15.75" customHeight="1">
      <c r="A861" s="4">
        <v>870.0</v>
      </c>
      <c r="B861" s="4" t="s">
        <v>2451</v>
      </c>
      <c r="C861" s="4" t="s">
        <v>129</v>
      </c>
      <c r="D861" s="4" t="s">
        <v>2452</v>
      </c>
      <c r="E861" s="4">
        <v>5.70055000334E11</v>
      </c>
      <c r="F861" s="4" t="s">
        <v>2453</v>
      </c>
      <c r="G861" s="4" t="s">
        <v>247</v>
      </c>
      <c r="H861" s="4" t="s">
        <v>248</v>
      </c>
      <c r="I861" s="4" t="s">
        <v>249</v>
      </c>
      <c r="J861" s="4" t="s">
        <v>250</v>
      </c>
    </row>
    <row r="862" ht="15.75" customHeight="1">
      <c r="A862" s="4">
        <v>871.0</v>
      </c>
      <c r="B862" s="4" t="s">
        <v>52</v>
      </c>
      <c r="C862" s="4" t="s">
        <v>8</v>
      </c>
      <c r="D862" s="4" t="s">
        <v>1493</v>
      </c>
      <c r="E862" s="4">
        <v>5.70055000338E11</v>
      </c>
      <c r="F862" s="4" t="s">
        <v>2454</v>
      </c>
      <c r="G862" s="4" t="s">
        <v>247</v>
      </c>
      <c r="H862" s="4" t="s">
        <v>248</v>
      </c>
      <c r="I862" s="4" t="s">
        <v>249</v>
      </c>
      <c r="J862" s="4" t="s">
        <v>250</v>
      </c>
    </row>
    <row r="863" ht="15.75" customHeight="1">
      <c r="A863" s="4">
        <v>872.0</v>
      </c>
      <c r="B863" s="4" t="s">
        <v>130</v>
      </c>
      <c r="C863" s="4" t="s">
        <v>2455</v>
      </c>
      <c r="D863" s="4" t="s">
        <v>1781</v>
      </c>
      <c r="E863" s="4">
        <v>5.70055000339E11</v>
      </c>
      <c r="F863" s="4" t="s">
        <v>2456</v>
      </c>
      <c r="G863" s="4" t="s">
        <v>2335</v>
      </c>
      <c r="H863" s="4" t="s">
        <v>248</v>
      </c>
      <c r="I863" s="4" t="s">
        <v>249</v>
      </c>
      <c r="J863" s="4" t="s">
        <v>250</v>
      </c>
    </row>
    <row r="864" ht="15.75" customHeight="1">
      <c r="A864" s="4">
        <v>873.0</v>
      </c>
      <c r="B864" s="4" t="s">
        <v>2457</v>
      </c>
      <c r="C864" s="4" t="s">
        <v>2458</v>
      </c>
      <c r="D864" s="4" t="s">
        <v>2459</v>
      </c>
      <c r="E864" s="4">
        <v>5.7005500034E11</v>
      </c>
      <c r="F864" s="4" t="s">
        <v>2460</v>
      </c>
      <c r="G864" s="4" t="s">
        <v>20</v>
      </c>
      <c r="H864" s="4" t="s">
        <v>248</v>
      </c>
      <c r="I864" s="4" t="s">
        <v>249</v>
      </c>
      <c r="J864" s="4" t="s">
        <v>250</v>
      </c>
    </row>
    <row r="865" ht="15.75" customHeight="1">
      <c r="A865" s="4">
        <v>874.0</v>
      </c>
      <c r="B865" s="4" t="s">
        <v>2461</v>
      </c>
      <c r="C865" s="4" t="s">
        <v>2462</v>
      </c>
      <c r="D865" s="4" t="s">
        <v>2463</v>
      </c>
      <c r="E865" s="4">
        <v>5.70055000341E11</v>
      </c>
      <c r="F865" s="4" t="s">
        <v>2229</v>
      </c>
      <c r="G865" s="4" t="s">
        <v>120</v>
      </c>
      <c r="H865" s="4" t="s">
        <v>248</v>
      </c>
      <c r="I865" s="4" t="s">
        <v>249</v>
      </c>
      <c r="J865" s="4" t="s">
        <v>250</v>
      </c>
    </row>
    <row r="866" ht="15.75" customHeight="1">
      <c r="A866" s="4">
        <v>875.0</v>
      </c>
      <c r="B866" s="4" t="s">
        <v>2464</v>
      </c>
      <c r="C866" s="4" t="s">
        <v>1352</v>
      </c>
      <c r="D866" s="4" t="s">
        <v>943</v>
      </c>
      <c r="E866" s="4">
        <v>5.70055000342E11</v>
      </c>
      <c r="F866" s="4" t="s">
        <v>2465</v>
      </c>
      <c r="G866" s="4" t="s">
        <v>247</v>
      </c>
      <c r="H866" s="4" t="s">
        <v>248</v>
      </c>
      <c r="I866" s="4" t="s">
        <v>249</v>
      </c>
      <c r="J866" s="4" t="s">
        <v>250</v>
      </c>
    </row>
    <row r="867" ht="15.75" customHeight="1">
      <c r="A867" s="4">
        <v>876.0</v>
      </c>
      <c r="B867" s="4" t="s">
        <v>2183</v>
      </c>
      <c r="C867" s="4" t="s">
        <v>2466</v>
      </c>
      <c r="D867" s="4" t="s">
        <v>2467</v>
      </c>
      <c r="E867" s="4">
        <v>5.70055000344E11</v>
      </c>
      <c r="F867" s="4" t="s">
        <v>2468</v>
      </c>
      <c r="G867" s="4" t="s">
        <v>120</v>
      </c>
      <c r="H867" s="4" t="s">
        <v>248</v>
      </c>
      <c r="I867" s="4" t="s">
        <v>249</v>
      </c>
      <c r="J867" s="4" t="s">
        <v>250</v>
      </c>
    </row>
    <row r="868" ht="15.75" customHeight="1">
      <c r="A868" s="4">
        <v>877.0</v>
      </c>
      <c r="B868" s="4" t="s">
        <v>2469</v>
      </c>
      <c r="C868" s="4" t="s">
        <v>2470</v>
      </c>
      <c r="D868" s="4" t="s">
        <v>2471</v>
      </c>
      <c r="E868" s="4">
        <v>5.70055000345E11</v>
      </c>
      <c r="F868" s="4" t="s">
        <v>2472</v>
      </c>
      <c r="G868" s="4" t="s">
        <v>12</v>
      </c>
      <c r="H868" s="4" t="s">
        <v>248</v>
      </c>
      <c r="I868" s="4" t="s">
        <v>249</v>
      </c>
      <c r="J868" s="4" t="s">
        <v>250</v>
      </c>
    </row>
    <row r="869" ht="15.75" customHeight="1">
      <c r="A869" s="4">
        <v>878.0</v>
      </c>
      <c r="B869" s="4" t="s">
        <v>2473</v>
      </c>
      <c r="C869" s="4" t="s">
        <v>87</v>
      </c>
      <c r="D869" s="4" t="s">
        <v>2474</v>
      </c>
      <c r="E869" s="4">
        <v>5.70055000346E11</v>
      </c>
      <c r="F869" s="4" t="s">
        <v>2475</v>
      </c>
      <c r="G869" s="4" t="s">
        <v>247</v>
      </c>
      <c r="H869" s="4" t="s">
        <v>248</v>
      </c>
      <c r="I869" s="4" t="s">
        <v>249</v>
      </c>
      <c r="J869" s="4" t="s">
        <v>250</v>
      </c>
    </row>
    <row r="870" ht="15.75" customHeight="1">
      <c r="A870" s="4">
        <v>879.0</v>
      </c>
      <c r="B870" s="4" t="s">
        <v>52</v>
      </c>
      <c r="C870" s="4" t="s">
        <v>1549</v>
      </c>
      <c r="D870" s="4" t="s">
        <v>2476</v>
      </c>
      <c r="E870" s="4">
        <v>5.70055000348E11</v>
      </c>
      <c r="F870" s="4" t="s">
        <v>2477</v>
      </c>
      <c r="G870" s="4" t="s">
        <v>20</v>
      </c>
      <c r="H870" s="4" t="s">
        <v>248</v>
      </c>
      <c r="I870" s="4" t="s">
        <v>249</v>
      </c>
      <c r="J870" s="4" t="s">
        <v>250</v>
      </c>
    </row>
    <row r="871" ht="15.75" customHeight="1">
      <c r="A871" s="4">
        <v>880.0</v>
      </c>
      <c r="B871" s="4" t="s">
        <v>1390</v>
      </c>
      <c r="C871" s="4" t="s">
        <v>1053</v>
      </c>
      <c r="D871" s="4" t="s">
        <v>1503</v>
      </c>
      <c r="E871" s="4">
        <v>5.7005500035E11</v>
      </c>
      <c r="F871" s="4" t="s">
        <v>2478</v>
      </c>
      <c r="G871" s="4" t="s">
        <v>247</v>
      </c>
      <c r="H871" s="4" t="s">
        <v>248</v>
      </c>
      <c r="I871" s="4" t="s">
        <v>249</v>
      </c>
      <c r="J871" s="4" t="s">
        <v>250</v>
      </c>
    </row>
    <row r="872" ht="15.75" customHeight="1">
      <c r="A872" s="4">
        <v>881.0</v>
      </c>
      <c r="B872" s="4" t="s">
        <v>2479</v>
      </c>
      <c r="C872" s="4" t="s">
        <v>986</v>
      </c>
      <c r="D872" s="4" t="s">
        <v>2480</v>
      </c>
      <c r="E872" s="4">
        <v>5.70055000351E11</v>
      </c>
      <c r="F872" s="4" t="s">
        <v>2481</v>
      </c>
      <c r="G872" s="4" t="s">
        <v>20</v>
      </c>
      <c r="H872" s="4" t="s">
        <v>248</v>
      </c>
      <c r="I872" s="4" t="s">
        <v>249</v>
      </c>
      <c r="J872" s="4" t="s">
        <v>250</v>
      </c>
    </row>
    <row r="873" ht="15.75" customHeight="1">
      <c r="A873" s="4">
        <v>882.0</v>
      </c>
      <c r="B873" s="4" t="s">
        <v>2482</v>
      </c>
      <c r="C873" s="4" t="s">
        <v>2483</v>
      </c>
      <c r="D873" s="4" t="s">
        <v>2484</v>
      </c>
      <c r="E873" s="4">
        <v>5.70055000353E11</v>
      </c>
      <c r="F873" s="4" t="s">
        <v>2485</v>
      </c>
      <c r="G873" s="4" t="s">
        <v>12</v>
      </c>
      <c r="H873" s="4" t="s">
        <v>248</v>
      </c>
      <c r="I873" s="4" t="s">
        <v>249</v>
      </c>
      <c r="J873" s="4" t="s">
        <v>250</v>
      </c>
    </row>
    <row r="874" ht="15.75" customHeight="1">
      <c r="A874" s="4">
        <v>883.0</v>
      </c>
      <c r="B874" s="4" t="s">
        <v>2486</v>
      </c>
      <c r="C874" s="4" t="s">
        <v>2487</v>
      </c>
      <c r="D874" s="4" t="s">
        <v>1497</v>
      </c>
      <c r="E874" s="4">
        <v>5.70055000354E11</v>
      </c>
      <c r="F874" s="4" t="s">
        <v>2083</v>
      </c>
      <c r="G874" s="4" t="s">
        <v>20</v>
      </c>
      <c r="H874" s="4" t="s">
        <v>248</v>
      </c>
      <c r="I874" s="4" t="s">
        <v>249</v>
      </c>
      <c r="J874" s="4" t="s">
        <v>250</v>
      </c>
    </row>
    <row r="875" ht="15.75" customHeight="1">
      <c r="A875" s="4">
        <v>884.0</v>
      </c>
      <c r="B875" s="4" t="s">
        <v>2409</v>
      </c>
      <c r="C875" s="4" t="s">
        <v>986</v>
      </c>
      <c r="D875" s="4" t="s">
        <v>2181</v>
      </c>
      <c r="E875" s="4">
        <v>5.70055000355E11</v>
      </c>
      <c r="F875" s="4" t="s">
        <v>2488</v>
      </c>
      <c r="G875" s="4" t="s">
        <v>12</v>
      </c>
      <c r="H875" s="4" t="s">
        <v>248</v>
      </c>
      <c r="I875" s="4" t="s">
        <v>249</v>
      </c>
      <c r="J875" s="4" t="s">
        <v>250</v>
      </c>
    </row>
    <row r="876" ht="15.75" customHeight="1">
      <c r="A876" s="4">
        <v>885.0</v>
      </c>
      <c r="B876" s="4" t="s">
        <v>2489</v>
      </c>
      <c r="C876" s="4" t="s">
        <v>2490</v>
      </c>
      <c r="D876" s="4" t="s">
        <v>2491</v>
      </c>
      <c r="E876" s="4">
        <v>5.70055000356E11</v>
      </c>
      <c r="F876" s="4" t="s">
        <v>2492</v>
      </c>
      <c r="G876" s="4" t="s">
        <v>247</v>
      </c>
      <c r="H876" s="4" t="s">
        <v>248</v>
      </c>
      <c r="I876" s="4" t="s">
        <v>249</v>
      </c>
      <c r="J876" s="4" t="s">
        <v>250</v>
      </c>
    </row>
    <row r="877" ht="15.75" customHeight="1">
      <c r="A877" s="4">
        <v>886.0</v>
      </c>
      <c r="B877" s="4" t="s">
        <v>2493</v>
      </c>
      <c r="C877" s="4" t="s">
        <v>229</v>
      </c>
      <c r="D877" s="4" t="s">
        <v>203</v>
      </c>
      <c r="E877" s="4">
        <v>5.70055000357E11</v>
      </c>
      <c r="F877" s="4" t="s">
        <v>2494</v>
      </c>
      <c r="G877" s="4" t="s">
        <v>12</v>
      </c>
      <c r="H877" s="4" t="s">
        <v>248</v>
      </c>
      <c r="I877" s="4" t="s">
        <v>249</v>
      </c>
      <c r="J877" s="4" t="s">
        <v>250</v>
      </c>
    </row>
    <row r="878" ht="15.75" customHeight="1">
      <c r="A878" s="4">
        <v>887.0</v>
      </c>
      <c r="B878" s="4" t="s">
        <v>2495</v>
      </c>
      <c r="C878" s="4" t="s">
        <v>2496</v>
      </c>
      <c r="D878" s="4" t="s">
        <v>2497</v>
      </c>
      <c r="E878" s="4">
        <v>5.70055000358E11</v>
      </c>
      <c r="F878" s="4" t="s">
        <v>2498</v>
      </c>
      <c r="G878" s="4" t="s">
        <v>12</v>
      </c>
      <c r="H878" s="4" t="s">
        <v>248</v>
      </c>
      <c r="I878" s="4" t="s">
        <v>249</v>
      </c>
      <c r="J878" s="4" t="s">
        <v>250</v>
      </c>
    </row>
    <row r="879" ht="15.75" customHeight="1">
      <c r="A879" s="4">
        <v>888.0</v>
      </c>
      <c r="B879" s="4" t="s">
        <v>2499</v>
      </c>
      <c r="C879" s="4" t="s">
        <v>2500</v>
      </c>
      <c r="D879" s="4" t="s">
        <v>203</v>
      </c>
      <c r="E879" s="4">
        <v>5.70055000359E11</v>
      </c>
      <c r="F879" s="4" t="s">
        <v>2501</v>
      </c>
      <c r="G879" s="4" t="s">
        <v>2335</v>
      </c>
      <c r="H879" s="4" t="s">
        <v>248</v>
      </c>
      <c r="I879" s="4" t="s">
        <v>249</v>
      </c>
      <c r="J879" s="4" t="s">
        <v>250</v>
      </c>
    </row>
    <row r="880" ht="15.75" customHeight="1">
      <c r="A880" s="4">
        <v>889.0</v>
      </c>
      <c r="B880" s="4" t="s">
        <v>2502</v>
      </c>
      <c r="C880" s="4" t="s">
        <v>2503</v>
      </c>
      <c r="D880" s="4" t="s">
        <v>2504</v>
      </c>
      <c r="E880" s="4">
        <v>5.70055000366E11</v>
      </c>
      <c r="F880" s="4" t="s">
        <v>2505</v>
      </c>
      <c r="G880" s="4" t="s">
        <v>2335</v>
      </c>
      <c r="H880" s="4" t="s">
        <v>248</v>
      </c>
      <c r="I880" s="4" t="s">
        <v>249</v>
      </c>
      <c r="J880" s="4" t="s">
        <v>250</v>
      </c>
    </row>
    <row r="881" ht="15.75" customHeight="1">
      <c r="A881" s="4">
        <v>890.0</v>
      </c>
      <c r="B881" s="4" t="s">
        <v>2496</v>
      </c>
      <c r="C881" s="4" t="s">
        <v>1883</v>
      </c>
      <c r="D881" s="4" t="s">
        <v>1816</v>
      </c>
      <c r="E881" s="4">
        <v>5.70055000367E11</v>
      </c>
      <c r="F881" s="4" t="s">
        <v>2506</v>
      </c>
      <c r="G881" s="4" t="s">
        <v>12</v>
      </c>
      <c r="H881" s="4" t="s">
        <v>248</v>
      </c>
      <c r="I881" s="4" t="s">
        <v>249</v>
      </c>
      <c r="J881" s="4" t="s">
        <v>250</v>
      </c>
    </row>
    <row r="882" ht="15.75" customHeight="1">
      <c r="A882" s="4">
        <v>891.0</v>
      </c>
      <c r="B882" s="4" t="s">
        <v>2507</v>
      </c>
      <c r="C882" s="4" t="s">
        <v>992</v>
      </c>
      <c r="D882" s="4" t="s">
        <v>123</v>
      </c>
      <c r="E882" s="4">
        <v>5.70055000368E11</v>
      </c>
      <c r="F882" s="4" t="s">
        <v>2508</v>
      </c>
      <c r="G882" s="4" t="s">
        <v>20</v>
      </c>
      <c r="H882" s="4" t="s">
        <v>248</v>
      </c>
      <c r="I882" s="4" t="s">
        <v>249</v>
      </c>
      <c r="J882" s="4" t="s">
        <v>250</v>
      </c>
    </row>
    <row r="883" ht="15.75" customHeight="1">
      <c r="A883" s="4">
        <v>892.0</v>
      </c>
      <c r="B883" s="4" t="s">
        <v>997</v>
      </c>
      <c r="C883" s="4" t="s">
        <v>1770</v>
      </c>
      <c r="D883" s="4" t="s">
        <v>2509</v>
      </c>
      <c r="E883" s="4">
        <v>5.700550000003E12</v>
      </c>
      <c r="F883" s="4" t="s">
        <v>2510</v>
      </c>
      <c r="G883" s="4" t="s">
        <v>996</v>
      </c>
      <c r="H883" s="4" t="s">
        <v>248</v>
      </c>
      <c r="I883" s="4" t="s">
        <v>249</v>
      </c>
      <c r="J883" s="4" t="s">
        <v>250</v>
      </c>
    </row>
    <row r="884" ht="15.75" customHeight="1">
      <c r="A884" s="4">
        <v>893.0</v>
      </c>
      <c r="B884" s="4" t="s">
        <v>2511</v>
      </c>
      <c r="C884" s="4" t="s">
        <v>2158</v>
      </c>
      <c r="D884" s="4" t="s">
        <v>193</v>
      </c>
      <c r="E884" s="4">
        <v>5.70055000296E11</v>
      </c>
      <c r="F884" s="4" t="s">
        <v>2512</v>
      </c>
      <c r="G884" s="4" t="s">
        <v>441</v>
      </c>
      <c r="H884" s="4" t="s">
        <v>248</v>
      </c>
      <c r="I884" s="4" t="s">
        <v>249</v>
      </c>
      <c r="J884" s="4" t="s">
        <v>250</v>
      </c>
    </row>
    <row r="885" ht="15.75" customHeight="1">
      <c r="A885" s="4">
        <v>894.0</v>
      </c>
      <c r="B885" s="4" t="s">
        <v>2067</v>
      </c>
      <c r="C885" s="4" t="s">
        <v>2513</v>
      </c>
      <c r="D885" s="4" t="s">
        <v>920</v>
      </c>
      <c r="E885" s="4">
        <v>5.70055000297E11</v>
      </c>
      <c r="F885" s="4" t="s">
        <v>2514</v>
      </c>
      <c r="G885" s="4" t="s">
        <v>12</v>
      </c>
      <c r="H885" s="4" t="s">
        <v>248</v>
      </c>
      <c r="I885" s="4" t="s">
        <v>249</v>
      </c>
      <c r="J885" s="4" t="s">
        <v>250</v>
      </c>
    </row>
    <row r="886" ht="15.75" customHeight="1">
      <c r="A886" s="4">
        <v>895.0</v>
      </c>
      <c r="B886" s="4" t="s">
        <v>182</v>
      </c>
      <c r="C886" s="4" t="s">
        <v>2515</v>
      </c>
      <c r="D886" s="4" t="s">
        <v>2516</v>
      </c>
      <c r="E886" s="4">
        <v>5.70055000372E11</v>
      </c>
      <c r="F886" s="4" t="s">
        <v>2517</v>
      </c>
      <c r="G886" s="4" t="s">
        <v>247</v>
      </c>
      <c r="H886" s="4" t="s">
        <v>248</v>
      </c>
      <c r="I886" s="4" t="s">
        <v>249</v>
      </c>
      <c r="J886" s="4" t="s">
        <v>250</v>
      </c>
    </row>
    <row r="887" ht="15.75" customHeight="1">
      <c r="A887" s="4">
        <v>896.0</v>
      </c>
      <c r="B887" s="4" t="s">
        <v>2518</v>
      </c>
      <c r="C887" s="4" t="s">
        <v>1476</v>
      </c>
      <c r="D887" s="4" t="s">
        <v>2519</v>
      </c>
      <c r="E887" s="4">
        <v>5.70055000373E11</v>
      </c>
      <c r="F887" s="4" t="s">
        <v>2520</v>
      </c>
      <c r="G887" s="4" t="s">
        <v>247</v>
      </c>
      <c r="H887" s="4" t="s">
        <v>248</v>
      </c>
      <c r="I887" s="4" t="s">
        <v>249</v>
      </c>
      <c r="J887" s="4" t="s">
        <v>250</v>
      </c>
    </row>
    <row r="888" ht="15.75" customHeight="1">
      <c r="A888" s="4">
        <v>897.0</v>
      </c>
      <c r="B888" s="4" t="s">
        <v>2521</v>
      </c>
      <c r="C888" s="4" t="s">
        <v>2522</v>
      </c>
      <c r="D888" s="4" t="s">
        <v>2523</v>
      </c>
      <c r="E888" s="4">
        <v>5.70055000376E11</v>
      </c>
      <c r="F888" s="4" t="s">
        <v>2524</v>
      </c>
      <c r="G888" s="4" t="s">
        <v>20</v>
      </c>
      <c r="H888" s="4" t="s">
        <v>248</v>
      </c>
      <c r="I888" s="4" t="s">
        <v>249</v>
      </c>
      <c r="J888" s="4" t="s">
        <v>250</v>
      </c>
    </row>
    <row r="889" ht="15.75" customHeight="1">
      <c r="A889" s="4">
        <v>898.0</v>
      </c>
      <c r="B889" s="4" t="s">
        <v>2525</v>
      </c>
      <c r="C889" s="4" t="s">
        <v>1590</v>
      </c>
      <c r="D889" s="4" t="s">
        <v>203</v>
      </c>
      <c r="E889" s="4">
        <v>5.70055000377E11</v>
      </c>
      <c r="F889" s="4" t="s">
        <v>2526</v>
      </c>
      <c r="G889" s="4" t="s">
        <v>20</v>
      </c>
      <c r="H889" s="4" t="s">
        <v>248</v>
      </c>
      <c r="I889" s="4" t="s">
        <v>249</v>
      </c>
      <c r="J889" s="4" t="s">
        <v>250</v>
      </c>
    </row>
    <row r="890" ht="15.75" customHeight="1">
      <c r="A890" s="4">
        <v>899.0</v>
      </c>
      <c r="B890" s="4" t="s">
        <v>2527</v>
      </c>
      <c r="C890" s="4" t="s">
        <v>2528</v>
      </c>
      <c r="D890" s="4" t="s">
        <v>2242</v>
      </c>
      <c r="E890" s="4">
        <v>5.70055000378E11</v>
      </c>
      <c r="F890" s="4" t="s">
        <v>2529</v>
      </c>
      <c r="G890" s="4" t="s">
        <v>20</v>
      </c>
      <c r="H890" s="4" t="s">
        <v>248</v>
      </c>
      <c r="I890" s="4" t="s">
        <v>249</v>
      </c>
      <c r="J890" s="4" t="s">
        <v>250</v>
      </c>
    </row>
    <row r="891" ht="15.75" customHeight="1">
      <c r="A891" s="4">
        <v>900.0</v>
      </c>
      <c r="B891" s="4" t="s">
        <v>2530</v>
      </c>
      <c r="C891" s="4" t="s">
        <v>2531</v>
      </c>
      <c r="D891" s="4" t="s">
        <v>2532</v>
      </c>
      <c r="E891" s="4">
        <v>5.70055000379E11</v>
      </c>
      <c r="F891" s="4" t="s">
        <v>2506</v>
      </c>
      <c r="G891" s="4" t="s">
        <v>70</v>
      </c>
      <c r="H891" s="4" t="s">
        <v>248</v>
      </c>
      <c r="I891" s="4" t="s">
        <v>249</v>
      </c>
      <c r="J891" s="4" t="s">
        <v>250</v>
      </c>
    </row>
    <row r="892" ht="15.75" customHeight="1">
      <c r="A892" s="4">
        <v>901.0</v>
      </c>
      <c r="B892" s="4" t="s">
        <v>2533</v>
      </c>
      <c r="C892" s="4" t="s">
        <v>2496</v>
      </c>
      <c r="D892" s="4" t="s">
        <v>1573</v>
      </c>
      <c r="E892" s="4">
        <v>5.70055000382E11</v>
      </c>
      <c r="F892" s="4" t="s">
        <v>2534</v>
      </c>
      <c r="G892" s="4" t="s">
        <v>247</v>
      </c>
      <c r="H892" s="4" t="s">
        <v>248</v>
      </c>
      <c r="I892" s="4" t="s">
        <v>249</v>
      </c>
      <c r="J892" s="4" t="s">
        <v>250</v>
      </c>
    </row>
    <row r="893" ht="15.75" customHeight="1">
      <c r="A893" s="4">
        <v>902.0</v>
      </c>
      <c r="B893" s="4" t="s">
        <v>2535</v>
      </c>
      <c r="C893" s="4" t="s">
        <v>2067</v>
      </c>
      <c r="D893" s="4" t="s">
        <v>1781</v>
      </c>
      <c r="E893" s="4">
        <v>5.70055000383E11</v>
      </c>
      <c r="F893" s="4" t="s">
        <v>2536</v>
      </c>
      <c r="G893" s="4" t="s">
        <v>20</v>
      </c>
      <c r="H893" s="4" t="s">
        <v>248</v>
      </c>
      <c r="I893" s="4" t="s">
        <v>249</v>
      </c>
      <c r="J893" s="4" t="s">
        <v>250</v>
      </c>
    </row>
    <row r="894" ht="15.75" customHeight="1">
      <c r="A894" s="4">
        <v>903.0</v>
      </c>
      <c r="B894" s="4" t="s">
        <v>2537</v>
      </c>
      <c r="C894" s="4" t="s">
        <v>1102</v>
      </c>
      <c r="D894" s="4" t="s">
        <v>2538</v>
      </c>
      <c r="E894" s="4">
        <v>5.70055000386E11</v>
      </c>
      <c r="F894" s="4" t="s">
        <v>2408</v>
      </c>
      <c r="G894" s="4" t="s">
        <v>20</v>
      </c>
      <c r="H894" s="4" t="s">
        <v>248</v>
      </c>
      <c r="I894" s="4" t="s">
        <v>249</v>
      </c>
      <c r="J894" s="4" t="s">
        <v>250</v>
      </c>
    </row>
    <row r="895" ht="15.75" customHeight="1">
      <c r="A895" s="4">
        <v>904.0</v>
      </c>
      <c r="B895" s="4" t="s">
        <v>2539</v>
      </c>
      <c r="C895" s="4" t="s">
        <v>1957</v>
      </c>
      <c r="D895" s="4" t="s">
        <v>851</v>
      </c>
      <c r="E895" s="4">
        <v>5.70055000388E11</v>
      </c>
      <c r="F895" s="4" t="s">
        <v>2540</v>
      </c>
      <c r="G895" s="4" t="s">
        <v>247</v>
      </c>
      <c r="H895" s="4" t="s">
        <v>248</v>
      </c>
      <c r="I895" s="4" t="s">
        <v>249</v>
      </c>
      <c r="J895" s="4" t="s">
        <v>250</v>
      </c>
    </row>
    <row r="896" ht="15.75" customHeight="1">
      <c r="A896" s="4">
        <v>905.0</v>
      </c>
      <c r="B896" s="4" t="s">
        <v>1294</v>
      </c>
      <c r="C896" s="4" t="s">
        <v>2541</v>
      </c>
      <c r="D896" s="4" t="s">
        <v>1936</v>
      </c>
      <c r="E896" s="4">
        <v>5.70055000389E11</v>
      </c>
      <c r="F896" s="4" t="s">
        <v>2542</v>
      </c>
      <c r="G896" s="4" t="s">
        <v>12</v>
      </c>
      <c r="H896" s="4" t="s">
        <v>248</v>
      </c>
      <c r="I896" s="4" t="s">
        <v>249</v>
      </c>
      <c r="J896" s="4" t="s">
        <v>250</v>
      </c>
    </row>
    <row r="897" ht="15.75" customHeight="1">
      <c r="A897" s="4">
        <v>907.0</v>
      </c>
      <c r="B897" s="4" t="s">
        <v>2543</v>
      </c>
      <c r="C897" s="4" t="s">
        <v>130</v>
      </c>
      <c r="D897" s="4" t="s">
        <v>2544</v>
      </c>
      <c r="E897" s="4">
        <v>5.70055000391E11</v>
      </c>
      <c r="F897" s="4" t="s">
        <v>2545</v>
      </c>
      <c r="G897" s="4" t="s">
        <v>2546</v>
      </c>
      <c r="H897" s="4" t="s">
        <v>248</v>
      </c>
      <c r="I897" s="4" t="s">
        <v>249</v>
      </c>
      <c r="J897" s="4" t="s">
        <v>250</v>
      </c>
    </row>
    <row r="898" ht="15.75" customHeight="1">
      <c r="A898" s="4">
        <v>908.0</v>
      </c>
      <c r="B898" s="4" t="s">
        <v>2547</v>
      </c>
      <c r="C898" s="4" t="s">
        <v>2487</v>
      </c>
      <c r="D898" s="4" t="s">
        <v>1816</v>
      </c>
      <c r="E898" s="4">
        <v>5.70055000394E11</v>
      </c>
      <c r="F898" s="4" t="s">
        <v>2548</v>
      </c>
      <c r="G898" s="4" t="s">
        <v>20</v>
      </c>
      <c r="H898" s="4" t="s">
        <v>248</v>
      </c>
      <c r="I898" s="4" t="s">
        <v>249</v>
      </c>
      <c r="J898" s="4" t="s">
        <v>250</v>
      </c>
    </row>
    <row r="899" ht="15.75" customHeight="1">
      <c r="A899" s="4">
        <v>909.0</v>
      </c>
      <c r="B899" s="4" t="s">
        <v>2549</v>
      </c>
      <c r="C899" s="4" t="s">
        <v>2067</v>
      </c>
      <c r="D899" s="4" t="s">
        <v>2550</v>
      </c>
      <c r="E899" s="4">
        <v>5.70055000397E11</v>
      </c>
      <c r="F899" s="4" t="s">
        <v>2551</v>
      </c>
      <c r="G899" s="4" t="s">
        <v>247</v>
      </c>
      <c r="H899" s="4" t="s">
        <v>248</v>
      </c>
      <c r="I899" s="4" t="s">
        <v>249</v>
      </c>
      <c r="J899" s="4" t="s">
        <v>250</v>
      </c>
    </row>
    <row r="900" ht="15.75" customHeight="1">
      <c r="A900" s="4">
        <v>910.0</v>
      </c>
      <c r="B900" s="4" t="s">
        <v>2552</v>
      </c>
      <c r="C900" s="4" t="s">
        <v>2553</v>
      </c>
      <c r="D900" s="4" t="s">
        <v>2554</v>
      </c>
      <c r="E900" s="4">
        <v>5.70055000399E11</v>
      </c>
      <c r="F900" s="4" t="s">
        <v>2555</v>
      </c>
      <c r="G900" s="4" t="s">
        <v>247</v>
      </c>
      <c r="H900" s="4" t="s">
        <v>248</v>
      </c>
      <c r="I900" s="4" t="s">
        <v>249</v>
      </c>
      <c r="J900" s="4" t="s">
        <v>250</v>
      </c>
    </row>
    <row r="901" ht="15.75" customHeight="1">
      <c r="A901" s="4">
        <v>912.0</v>
      </c>
      <c r="B901" s="4" t="s">
        <v>215</v>
      </c>
      <c r="C901" s="4" t="s">
        <v>911</v>
      </c>
      <c r="D901" s="4" t="s">
        <v>2556</v>
      </c>
      <c r="E901" s="4">
        <v>5.70055000404E11</v>
      </c>
      <c r="F901" s="4" t="s">
        <v>2083</v>
      </c>
      <c r="G901" s="4" t="s">
        <v>441</v>
      </c>
      <c r="H901" s="4" t="s">
        <v>248</v>
      </c>
      <c r="I901" s="4" t="s">
        <v>249</v>
      </c>
      <c r="J901" s="4" t="s">
        <v>250</v>
      </c>
    </row>
    <row r="902" ht="15.75" customHeight="1">
      <c r="A902" s="4">
        <v>913.0</v>
      </c>
      <c r="B902" s="4" t="s">
        <v>915</v>
      </c>
      <c r="C902" s="4" t="s">
        <v>983</v>
      </c>
      <c r="D902" s="4" t="s">
        <v>2557</v>
      </c>
      <c r="E902" s="4">
        <v>5.70055000405E11</v>
      </c>
      <c r="F902" s="4" t="s">
        <v>2558</v>
      </c>
      <c r="G902" s="4" t="s">
        <v>247</v>
      </c>
      <c r="H902" s="4" t="s">
        <v>248</v>
      </c>
      <c r="I902" s="4" t="s">
        <v>249</v>
      </c>
      <c r="J902" s="4" t="s">
        <v>250</v>
      </c>
    </row>
    <row r="903" ht="15.75" customHeight="1">
      <c r="A903" s="4">
        <v>914.0</v>
      </c>
      <c r="B903" s="4" t="s">
        <v>2559</v>
      </c>
      <c r="C903" s="4" t="s">
        <v>986</v>
      </c>
      <c r="D903" s="4" t="s">
        <v>2181</v>
      </c>
      <c r="E903" s="4">
        <v>5.70055000409E11</v>
      </c>
      <c r="F903" s="4" t="s">
        <v>2560</v>
      </c>
      <c r="G903" s="4" t="s">
        <v>247</v>
      </c>
      <c r="H903" s="4" t="s">
        <v>248</v>
      </c>
      <c r="I903" s="4" t="s">
        <v>249</v>
      </c>
      <c r="J903" s="4" t="s">
        <v>250</v>
      </c>
    </row>
    <row r="904" ht="15.75" customHeight="1">
      <c r="A904" s="4">
        <v>915.0</v>
      </c>
      <c r="B904" s="4" t="s">
        <v>2561</v>
      </c>
      <c r="C904" s="4" t="s">
        <v>2562</v>
      </c>
      <c r="D904" s="4" t="s">
        <v>2563</v>
      </c>
      <c r="E904" s="4">
        <v>5.7005500041E11</v>
      </c>
      <c r="F904" s="4" t="s">
        <v>2564</v>
      </c>
      <c r="G904" s="4" t="s">
        <v>247</v>
      </c>
      <c r="H904" s="4" t="s">
        <v>248</v>
      </c>
      <c r="I904" s="4" t="s">
        <v>249</v>
      </c>
      <c r="J904" s="4" t="s">
        <v>250</v>
      </c>
    </row>
    <row r="905" ht="15.75" customHeight="1">
      <c r="A905" s="4">
        <v>916.0</v>
      </c>
      <c r="B905" s="4" t="s">
        <v>2565</v>
      </c>
      <c r="C905" s="4" t="s">
        <v>2566</v>
      </c>
      <c r="D905" s="4" t="s">
        <v>2567</v>
      </c>
      <c r="E905" s="4">
        <v>5.70055000411E11</v>
      </c>
      <c r="F905" s="4" t="s">
        <v>2568</v>
      </c>
      <c r="G905" s="4" t="s">
        <v>247</v>
      </c>
      <c r="H905" s="4" t="s">
        <v>248</v>
      </c>
      <c r="I905" s="4" t="s">
        <v>249</v>
      </c>
      <c r="J905" s="4" t="s">
        <v>250</v>
      </c>
    </row>
    <row r="906" ht="15.75" customHeight="1">
      <c r="A906" s="4">
        <v>917.0</v>
      </c>
      <c r="B906" s="4" t="s">
        <v>2569</v>
      </c>
      <c r="C906" s="4" t="s">
        <v>2570</v>
      </c>
      <c r="D906" s="4" t="s">
        <v>2571</v>
      </c>
      <c r="E906" s="4">
        <v>5.70055000414E11</v>
      </c>
      <c r="F906" s="4" t="s">
        <v>2572</v>
      </c>
      <c r="G906" s="4" t="s">
        <v>120</v>
      </c>
      <c r="H906" s="4" t="s">
        <v>248</v>
      </c>
      <c r="I906" s="4" t="s">
        <v>249</v>
      </c>
      <c r="J906" s="4" t="s">
        <v>250</v>
      </c>
    </row>
    <row r="907" ht="15.75" customHeight="1">
      <c r="A907" s="4">
        <v>918.0</v>
      </c>
      <c r="B907" s="4" t="s">
        <v>52</v>
      </c>
      <c r="C907" s="4" t="s">
        <v>2573</v>
      </c>
      <c r="D907" s="4" t="s">
        <v>127</v>
      </c>
      <c r="E907" s="4">
        <v>5.70055000415E11</v>
      </c>
      <c r="F907" s="4" t="s">
        <v>2574</v>
      </c>
      <c r="G907" s="4" t="s">
        <v>247</v>
      </c>
      <c r="H907" s="4" t="s">
        <v>248</v>
      </c>
      <c r="I907" s="4" t="s">
        <v>249</v>
      </c>
      <c r="J907" s="4" t="s">
        <v>250</v>
      </c>
    </row>
    <row r="908" ht="15.75" customHeight="1">
      <c r="A908" s="4">
        <v>919.0</v>
      </c>
      <c r="B908" s="4" t="s">
        <v>2575</v>
      </c>
      <c r="C908" s="4" t="s">
        <v>2576</v>
      </c>
      <c r="D908" s="4" t="s">
        <v>2577</v>
      </c>
      <c r="E908" s="4">
        <v>5.70055000416E11</v>
      </c>
      <c r="F908" s="4" t="s">
        <v>2578</v>
      </c>
      <c r="G908" s="4" t="s">
        <v>247</v>
      </c>
      <c r="H908" s="4" t="s">
        <v>248</v>
      </c>
      <c r="I908" s="4" t="s">
        <v>249</v>
      </c>
      <c r="J908" s="4" t="s">
        <v>250</v>
      </c>
    </row>
    <row r="909" ht="15.75" customHeight="1">
      <c r="A909" s="4">
        <v>920.0</v>
      </c>
      <c r="B909" s="4" t="s">
        <v>1804</v>
      </c>
      <c r="C909" s="4" t="s">
        <v>839</v>
      </c>
      <c r="D909" s="4" t="s">
        <v>2579</v>
      </c>
      <c r="E909" s="4">
        <v>5.70055000419E11</v>
      </c>
      <c r="F909" s="4" t="s">
        <v>2580</v>
      </c>
      <c r="G909" s="4" t="s">
        <v>12</v>
      </c>
      <c r="H909" s="4" t="s">
        <v>2581</v>
      </c>
      <c r="I909" s="4" t="s">
        <v>2582</v>
      </c>
      <c r="J909" s="4" t="s">
        <v>249</v>
      </c>
      <c r="K909" s="4" t="s">
        <v>250</v>
      </c>
    </row>
    <row r="910" ht="15.75" customHeight="1">
      <c r="A910" s="4">
        <v>921.0</v>
      </c>
      <c r="B910" s="4" t="s">
        <v>2583</v>
      </c>
      <c r="C910" s="4" t="s">
        <v>2584</v>
      </c>
      <c r="D910" s="4" t="s">
        <v>1208</v>
      </c>
      <c r="E910" s="4">
        <v>5.7005500042E11</v>
      </c>
      <c r="F910" s="4" t="s">
        <v>2585</v>
      </c>
      <c r="G910" s="4" t="s">
        <v>120</v>
      </c>
      <c r="H910" s="4" t="s">
        <v>2586</v>
      </c>
      <c r="I910" s="4" t="s">
        <v>2582</v>
      </c>
      <c r="J910" s="4" t="s">
        <v>249</v>
      </c>
      <c r="K910" s="4" t="s">
        <v>250</v>
      </c>
    </row>
    <row r="911" ht="15.75" customHeight="1">
      <c r="A911" s="4">
        <v>922.0</v>
      </c>
      <c r="B911" s="4" t="s">
        <v>2587</v>
      </c>
      <c r="C911" s="4" t="s">
        <v>2588</v>
      </c>
      <c r="D911" s="4" t="s">
        <v>2589</v>
      </c>
      <c r="E911" s="4">
        <v>5.70055000421E11</v>
      </c>
      <c r="F911" s="4" t="s">
        <v>2590</v>
      </c>
      <c r="G911" s="4" t="s">
        <v>12</v>
      </c>
      <c r="H911" s="4" t="s">
        <v>2591</v>
      </c>
      <c r="I911" s="4" t="s">
        <v>2582</v>
      </c>
      <c r="J911" s="4" t="s">
        <v>249</v>
      </c>
      <c r="K911" s="4" t="s">
        <v>250</v>
      </c>
    </row>
    <row r="912" ht="15.75" customHeight="1">
      <c r="A912" s="4">
        <v>923.0</v>
      </c>
      <c r="B912" s="4" t="s">
        <v>117</v>
      </c>
      <c r="C912" s="4" t="s">
        <v>2592</v>
      </c>
      <c r="D912" s="4" t="s">
        <v>2593</v>
      </c>
      <c r="E912" s="4">
        <v>5.70055000422E11</v>
      </c>
      <c r="F912" s="4" t="s">
        <v>2594</v>
      </c>
      <c r="G912" s="4" t="s">
        <v>120</v>
      </c>
      <c r="H912" s="4" t="s">
        <v>2591</v>
      </c>
      <c r="I912" s="4" t="s">
        <v>2582</v>
      </c>
      <c r="J912" s="4" t="s">
        <v>249</v>
      </c>
      <c r="K912" s="4" t="s">
        <v>250</v>
      </c>
    </row>
    <row r="913" ht="15.75" customHeight="1">
      <c r="A913" s="4">
        <v>924.0</v>
      </c>
      <c r="B913" s="4" t="s">
        <v>2595</v>
      </c>
      <c r="C913" s="4" t="s">
        <v>1808</v>
      </c>
      <c r="D913" s="4" t="s">
        <v>2452</v>
      </c>
      <c r="E913" s="4">
        <v>5.70055000424E11</v>
      </c>
      <c r="F913" s="4" t="s">
        <v>2596</v>
      </c>
      <c r="G913" s="4" t="s">
        <v>2335</v>
      </c>
      <c r="H913" s="4" t="s">
        <v>2591</v>
      </c>
      <c r="I913" s="4" t="s">
        <v>2582</v>
      </c>
      <c r="J913" s="4" t="s">
        <v>249</v>
      </c>
      <c r="K913" s="4" t="s">
        <v>250</v>
      </c>
    </row>
    <row r="914" ht="15.75" customHeight="1">
      <c r="A914" s="4">
        <v>925.0</v>
      </c>
      <c r="B914" s="4" t="s">
        <v>2597</v>
      </c>
      <c r="C914" s="4" t="s">
        <v>194</v>
      </c>
      <c r="D914" s="4" t="s">
        <v>227</v>
      </c>
      <c r="E914" s="4">
        <v>5.70055000425E11</v>
      </c>
      <c r="F914" s="4" t="s">
        <v>2598</v>
      </c>
      <c r="G914" s="4" t="s">
        <v>12</v>
      </c>
      <c r="H914" s="4" t="s">
        <v>2599</v>
      </c>
      <c r="I914" s="4" t="s">
        <v>2582</v>
      </c>
      <c r="J914" s="4" t="s">
        <v>249</v>
      </c>
      <c r="K914" s="4" t="s">
        <v>250</v>
      </c>
    </row>
    <row r="915" ht="15.75" customHeight="1">
      <c r="A915" s="4">
        <v>926.0</v>
      </c>
      <c r="B915" s="4" t="s">
        <v>926</v>
      </c>
      <c r="C915" s="4" t="s">
        <v>1199</v>
      </c>
      <c r="D915" s="4" t="s">
        <v>2600</v>
      </c>
      <c r="E915" s="4">
        <v>5.70055000428E11</v>
      </c>
      <c r="F915" s="4" t="s">
        <v>2601</v>
      </c>
      <c r="G915" s="4" t="s">
        <v>120</v>
      </c>
      <c r="H915" s="4" t="s">
        <v>2602</v>
      </c>
      <c r="I915" s="4" t="s">
        <v>2582</v>
      </c>
      <c r="J915" s="4" t="s">
        <v>249</v>
      </c>
      <c r="K915" s="4" t="s">
        <v>250</v>
      </c>
    </row>
    <row r="916" ht="15.75" customHeight="1">
      <c r="A916" s="4">
        <v>927.0</v>
      </c>
      <c r="B916" s="4" t="s">
        <v>2603</v>
      </c>
      <c r="C916" s="4" t="s">
        <v>976</v>
      </c>
      <c r="D916" s="4" t="s">
        <v>2604</v>
      </c>
      <c r="E916" s="4">
        <v>5.70055000429E11</v>
      </c>
      <c r="F916" s="4" t="s">
        <v>2605</v>
      </c>
      <c r="G916" s="4" t="s">
        <v>2606</v>
      </c>
      <c r="H916" s="4" t="s">
        <v>2607</v>
      </c>
      <c r="I916" s="4" t="s">
        <v>2582</v>
      </c>
      <c r="J916" s="4" t="s">
        <v>249</v>
      </c>
      <c r="K916" s="4" t="s">
        <v>250</v>
      </c>
    </row>
    <row r="917" ht="15.75" customHeight="1">
      <c r="A917" s="4">
        <v>928.0</v>
      </c>
      <c r="B917" s="4" t="s">
        <v>2608</v>
      </c>
      <c r="C917" s="4" t="s">
        <v>2609</v>
      </c>
      <c r="D917" s="4" t="s">
        <v>2610</v>
      </c>
      <c r="E917" s="4">
        <v>5.70055000432E11</v>
      </c>
      <c r="F917" s="4" t="s">
        <v>2611</v>
      </c>
      <c r="G917" s="4" t="s">
        <v>2335</v>
      </c>
      <c r="H917" s="4" t="s">
        <v>2612</v>
      </c>
      <c r="I917" s="4" t="s">
        <v>2582</v>
      </c>
      <c r="J917" s="4" t="s">
        <v>249</v>
      </c>
      <c r="K917" s="4" t="s">
        <v>250</v>
      </c>
    </row>
    <row r="918" ht="15.75" customHeight="1">
      <c r="A918" s="4">
        <v>929.0</v>
      </c>
      <c r="B918" s="4" t="s">
        <v>1846</v>
      </c>
      <c r="C918" s="4" t="s">
        <v>1602</v>
      </c>
      <c r="D918" s="4" t="s">
        <v>2613</v>
      </c>
      <c r="E918" s="4">
        <v>5.70055000436E11</v>
      </c>
      <c r="F918" s="4" t="s">
        <v>2614</v>
      </c>
      <c r="G918" s="4" t="s">
        <v>20</v>
      </c>
      <c r="H918" s="4" t="s">
        <v>2615</v>
      </c>
      <c r="I918" s="4" t="s">
        <v>2582</v>
      </c>
      <c r="J918" s="4" t="s">
        <v>249</v>
      </c>
      <c r="K918" s="4" t="s">
        <v>250</v>
      </c>
    </row>
    <row r="919" ht="15.75" customHeight="1">
      <c r="A919" s="4">
        <v>930.0</v>
      </c>
      <c r="B919" s="4" t="s">
        <v>2616</v>
      </c>
      <c r="C919" s="4" t="s">
        <v>2617</v>
      </c>
      <c r="D919" s="4" t="s">
        <v>2618</v>
      </c>
      <c r="E919" s="4">
        <v>5.70055000437E11</v>
      </c>
      <c r="F919" s="4" t="s">
        <v>2619</v>
      </c>
      <c r="G919" s="4" t="s">
        <v>247</v>
      </c>
      <c r="H919" s="4" t="s">
        <v>2615</v>
      </c>
      <c r="I919" s="4" t="s">
        <v>2582</v>
      </c>
      <c r="J919" s="4" t="s">
        <v>249</v>
      </c>
      <c r="K919" s="4" t="s">
        <v>250</v>
      </c>
    </row>
    <row r="920" ht="15.75" customHeight="1">
      <c r="A920" s="4">
        <v>931.0</v>
      </c>
      <c r="B920" s="4" t="s">
        <v>915</v>
      </c>
      <c r="C920" s="4" t="s">
        <v>1279</v>
      </c>
      <c r="D920" s="4" t="s">
        <v>2620</v>
      </c>
      <c r="E920" s="4">
        <v>5.70055000438E11</v>
      </c>
      <c r="F920" s="4" t="s">
        <v>2621</v>
      </c>
      <c r="G920" s="4" t="s">
        <v>12</v>
      </c>
      <c r="H920" s="4" t="s">
        <v>248</v>
      </c>
      <c r="I920" s="4" t="s">
        <v>249</v>
      </c>
      <c r="J920" s="4" t="s">
        <v>250</v>
      </c>
    </row>
    <row r="921" ht="15.75" customHeight="1">
      <c r="A921" s="4">
        <v>932.0</v>
      </c>
      <c r="B921" s="4" t="s">
        <v>1647</v>
      </c>
      <c r="C921" s="4" t="s">
        <v>425</v>
      </c>
      <c r="D921" s="4" t="s">
        <v>2622</v>
      </c>
      <c r="E921" s="4">
        <v>5.7005500044E11</v>
      </c>
      <c r="F921" s="4" t="s">
        <v>2520</v>
      </c>
      <c r="G921" s="4" t="s">
        <v>12</v>
      </c>
      <c r="H921" s="4" t="s">
        <v>2623</v>
      </c>
      <c r="I921" s="4" t="s">
        <v>2582</v>
      </c>
      <c r="J921" s="4" t="s">
        <v>249</v>
      </c>
      <c r="K921" s="4" t="s">
        <v>250</v>
      </c>
    </row>
    <row r="922" ht="15.75" customHeight="1">
      <c r="A922" s="4">
        <v>933.0</v>
      </c>
      <c r="B922" s="4" t="s">
        <v>2624</v>
      </c>
      <c r="C922" s="4" t="s">
        <v>2625</v>
      </c>
      <c r="D922" s="4" t="s">
        <v>2082</v>
      </c>
      <c r="E922" s="4">
        <v>5.70055000443E11</v>
      </c>
      <c r="F922" s="4" t="s">
        <v>2626</v>
      </c>
      <c r="G922" s="4" t="s">
        <v>70</v>
      </c>
      <c r="H922" s="4" t="s">
        <v>2627</v>
      </c>
      <c r="I922" s="4" t="s">
        <v>2582</v>
      </c>
      <c r="J922" s="4" t="s">
        <v>249</v>
      </c>
      <c r="K922" s="4" t="s">
        <v>250</v>
      </c>
    </row>
    <row r="923" ht="15.75" customHeight="1">
      <c r="A923" s="4">
        <v>934.0</v>
      </c>
      <c r="B923" s="4" t="s">
        <v>22</v>
      </c>
      <c r="C923" s="4" t="s">
        <v>2628</v>
      </c>
      <c r="D923" s="4" t="s">
        <v>2629</v>
      </c>
      <c r="E923" s="4">
        <v>5.70055000447E11</v>
      </c>
      <c r="F923" s="4" t="s">
        <v>2630</v>
      </c>
      <c r="G923" s="4" t="s">
        <v>2631</v>
      </c>
      <c r="H923" s="4" t="s">
        <v>2581</v>
      </c>
      <c r="I923" s="4" t="s">
        <v>2582</v>
      </c>
      <c r="J923" s="4" t="s">
        <v>249</v>
      </c>
      <c r="K923" s="4" t="s">
        <v>250</v>
      </c>
    </row>
    <row r="924" ht="15.75" customHeight="1">
      <c r="A924" s="4">
        <v>935.0</v>
      </c>
      <c r="B924" s="4" t="s">
        <v>1808</v>
      </c>
      <c r="C924" s="4" t="s">
        <v>2632</v>
      </c>
      <c r="D924" s="4" t="s">
        <v>2633</v>
      </c>
      <c r="E924" s="4">
        <v>5.70055000449E11</v>
      </c>
      <c r="F924" s="4" t="s">
        <v>2634</v>
      </c>
      <c r="G924" s="4" t="s">
        <v>2335</v>
      </c>
      <c r="H924" s="4" t="s">
        <v>2602</v>
      </c>
      <c r="I924" s="4" t="s">
        <v>2582</v>
      </c>
      <c r="J924" s="4" t="s">
        <v>249</v>
      </c>
      <c r="K924" s="4" t="s">
        <v>250</v>
      </c>
    </row>
    <row r="925" ht="15.75" customHeight="1">
      <c r="A925" s="4">
        <v>936.0</v>
      </c>
      <c r="B925" s="4" t="s">
        <v>2635</v>
      </c>
      <c r="C925" s="4" t="s">
        <v>2636</v>
      </c>
      <c r="D925" s="4" t="s">
        <v>2637</v>
      </c>
      <c r="E925" s="4">
        <v>5.7005500045E11</v>
      </c>
      <c r="F925" s="4" t="s">
        <v>2638</v>
      </c>
      <c r="G925" s="4" t="s">
        <v>247</v>
      </c>
      <c r="H925" s="4" t="s">
        <v>2639</v>
      </c>
      <c r="I925" s="4" t="s">
        <v>2582</v>
      </c>
      <c r="J925" s="4" t="s">
        <v>249</v>
      </c>
      <c r="K925" s="4" t="s">
        <v>250</v>
      </c>
    </row>
    <row r="926" ht="15.75" customHeight="1">
      <c r="A926" s="4">
        <v>937.0</v>
      </c>
      <c r="B926" s="4" t="s">
        <v>2521</v>
      </c>
      <c r="C926" s="4" t="s">
        <v>2640</v>
      </c>
      <c r="D926" s="4" t="s">
        <v>2641</v>
      </c>
      <c r="E926" s="4">
        <v>5.70055000452E11</v>
      </c>
      <c r="F926" s="4" t="s">
        <v>2545</v>
      </c>
      <c r="G926" s="4" t="s">
        <v>120</v>
      </c>
      <c r="H926" s="4" t="s">
        <v>2642</v>
      </c>
      <c r="I926" s="4" t="s">
        <v>2582</v>
      </c>
      <c r="J926" s="4" t="s">
        <v>249</v>
      </c>
      <c r="K926" s="4" t="s">
        <v>250</v>
      </c>
    </row>
    <row r="927" ht="15.75" customHeight="1">
      <c r="A927" s="4">
        <v>938.0</v>
      </c>
      <c r="B927" s="4" t="s">
        <v>1895</v>
      </c>
      <c r="C927" s="4" t="s">
        <v>2643</v>
      </c>
      <c r="D927" s="4" t="s">
        <v>2644</v>
      </c>
      <c r="E927" s="4">
        <v>5.70055000456E11</v>
      </c>
      <c r="F927" s="4" t="s">
        <v>2645</v>
      </c>
      <c r="G927" s="4" t="s">
        <v>120</v>
      </c>
      <c r="H927" s="4" t="s">
        <v>2639</v>
      </c>
      <c r="I927" s="4" t="s">
        <v>2582</v>
      </c>
      <c r="J927" s="4" t="s">
        <v>249</v>
      </c>
      <c r="K927" s="4" t="s">
        <v>250</v>
      </c>
    </row>
    <row r="928" ht="15.75" customHeight="1">
      <c r="A928" s="4">
        <v>939.0</v>
      </c>
      <c r="B928" s="4" t="s">
        <v>2646</v>
      </c>
      <c r="C928" s="4" t="s">
        <v>2647</v>
      </c>
      <c r="D928" s="4" t="s">
        <v>2648</v>
      </c>
      <c r="E928" s="4">
        <v>5.70055000457E11</v>
      </c>
      <c r="F928" s="4" t="s">
        <v>2649</v>
      </c>
      <c r="G928" s="4" t="s">
        <v>996</v>
      </c>
      <c r="H928" s="4" t="s">
        <v>2650</v>
      </c>
      <c r="I928" s="4" t="s">
        <v>2582</v>
      </c>
      <c r="J928" s="4" t="s">
        <v>249</v>
      </c>
      <c r="K928" s="4" t="s">
        <v>250</v>
      </c>
    </row>
    <row r="929" ht="15.75" customHeight="1">
      <c r="A929" s="4">
        <v>940.0</v>
      </c>
      <c r="B929" s="4" t="s">
        <v>2651</v>
      </c>
      <c r="C929" s="4" t="s">
        <v>2652</v>
      </c>
      <c r="D929" s="4" t="s">
        <v>77</v>
      </c>
      <c r="E929" s="4">
        <v>5.70055000459E11</v>
      </c>
      <c r="F929" s="4" t="s">
        <v>2653</v>
      </c>
      <c r="G929" s="4" t="s">
        <v>12</v>
      </c>
      <c r="H929" s="4" t="s">
        <v>2602</v>
      </c>
      <c r="I929" s="4" t="s">
        <v>2582</v>
      </c>
      <c r="J929" s="4" t="s">
        <v>249</v>
      </c>
      <c r="K929" s="4" t="s">
        <v>250</v>
      </c>
    </row>
    <row r="930" ht="15.75" customHeight="1">
      <c r="A930" s="4">
        <v>941.0</v>
      </c>
      <c r="B930" s="4" t="s">
        <v>2654</v>
      </c>
      <c r="C930" s="4" t="s">
        <v>194</v>
      </c>
      <c r="D930" s="4" t="s">
        <v>943</v>
      </c>
      <c r="E930" s="4">
        <v>5.7005500046E11</v>
      </c>
      <c r="F930" s="4" t="s">
        <v>2655</v>
      </c>
      <c r="G930" s="4" t="s">
        <v>247</v>
      </c>
      <c r="H930" s="4" t="s">
        <v>248</v>
      </c>
      <c r="I930" s="4" t="s">
        <v>249</v>
      </c>
      <c r="J930" s="4" t="s">
        <v>250</v>
      </c>
    </row>
    <row r="931" ht="15.75" customHeight="1">
      <c r="A931" s="4">
        <v>942.0</v>
      </c>
      <c r="B931" s="4" t="s">
        <v>2656</v>
      </c>
      <c r="C931" s="4" t="s">
        <v>1033</v>
      </c>
      <c r="D931" s="4" t="s">
        <v>2657</v>
      </c>
      <c r="E931" s="4">
        <v>5.70055000461E11</v>
      </c>
      <c r="F931" s="4" t="s">
        <v>2658</v>
      </c>
      <c r="G931" s="4" t="s">
        <v>2659</v>
      </c>
      <c r="H931" s="4" t="s">
        <v>2642</v>
      </c>
      <c r="I931" s="4" t="s">
        <v>2582</v>
      </c>
      <c r="J931" s="4" t="s">
        <v>249</v>
      </c>
      <c r="K931" s="4" t="s">
        <v>250</v>
      </c>
    </row>
    <row r="932" ht="15.75" customHeight="1">
      <c r="A932" s="4">
        <v>943.0</v>
      </c>
      <c r="B932" s="4" t="s">
        <v>52</v>
      </c>
      <c r="C932" s="4" t="s">
        <v>2660</v>
      </c>
      <c r="D932" s="4" t="s">
        <v>2532</v>
      </c>
      <c r="E932" s="4">
        <v>5.70055000462E11</v>
      </c>
      <c r="F932" s="4" t="s">
        <v>2661</v>
      </c>
      <c r="G932" s="4" t="s">
        <v>12</v>
      </c>
      <c r="H932" s="4" t="s">
        <v>2581</v>
      </c>
      <c r="I932" s="4" t="s">
        <v>2582</v>
      </c>
      <c r="J932" s="4" t="s">
        <v>249</v>
      </c>
      <c r="K932" s="4" t="s">
        <v>250</v>
      </c>
    </row>
    <row r="933" ht="15.75" customHeight="1">
      <c r="A933" s="4">
        <v>944.0</v>
      </c>
      <c r="B933" s="4" t="s">
        <v>1190</v>
      </c>
      <c r="C933" s="4" t="s">
        <v>2662</v>
      </c>
      <c r="D933" s="4" t="s">
        <v>1364</v>
      </c>
      <c r="E933" s="4">
        <v>5.70055000463E11</v>
      </c>
      <c r="F933" s="4" t="s">
        <v>2663</v>
      </c>
      <c r="G933" s="4" t="s">
        <v>12</v>
      </c>
      <c r="H933" s="4" t="s">
        <v>2664</v>
      </c>
      <c r="I933" s="4" t="s">
        <v>2582</v>
      </c>
      <c r="J933" s="4" t="s">
        <v>249</v>
      </c>
      <c r="K933" s="4" t="s">
        <v>250</v>
      </c>
    </row>
    <row r="934" ht="15.75" customHeight="1">
      <c r="A934" s="4">
        <v>945.0</v>
      </c>
      <c r="B934" s="4" t="s">
        <v>99</v>
      </c>
      <c r="C934" s="4" t="s">
        <v>2034</v>
      </c>
      <c r="D934" s="4" t="s">
        <v>123</v>
      </c>
      <c r="E934" s="4">
        <v>5.70055000464E11</v>
      </c>
      <c r="F934" s="4" t="s">
        <v>2453</v>
      </c>
      <c r="G934" s="4" t="s">
        <v>247</v>
      </c>
      <c r="H934" s="4" t="s">
        <v>2586</v>
      </c>
      <c r="I934" s="4" t="s">
        <v>2582</v>
      </c>
      <c r="J934" s="4" t="s">
        <v>249</v>
      </c>
      <c r="K934" s="4" t="s">
        <v>250</v>
      </c>
    </row>
    <row r="935" ht="15.75" customHeight="1">
      <c r="A935" s="4">
        <v>946.0</v>
      </c>
      <c r="B935" s="4" t="s">
        <v>1294</v>
      </c>
      <c r="C935" s="4" t="s">
        <v>189</v>
      </c>
      <c r="D935" s="4" t="s">
        <v>837</v>
      </c>
      <c r="E935" s="4">
        <v>5.70055000466E11</v>
      </c>
      <c r="F935" s="4" t="s">
        <v>2665</v>
      </c>
      <c r="G935" s="4" t="s">
        <v>247</v>
      </c>
      <c r="H935" s="4" t="s">
        <v>2581</v>
      </c>
      <c r="I935" s="4" t="s">
        <v>2582</v>
      </c>
      <c r="J935" s="4" t="s">
        <v>249</v>
      </c>
      <c r="K935" s="4" t="s">
        <v>250</v>
      </c>
    </row>
    <row r="936" ht="15.75" customHeight="1">
      <c r="A936" s="4">
        <v>947.0</v>
      </c>
      <c r="B936" s="4" t="s">
        <v>1644</v>
      </c>
      <c r="C936" s="4" t="s">
        <v>2666</v>
      </c>
      <c r="D936" s="4" t="s">
        <v>2667</v>
      </c>
      <c r="E936" s="4">
        <v>5.70055000467E11</v>
      </c>
      <c r="F936" s="4" t="s">
        <v>2668</v>
      </c>
      <c r="G936" s="4" t="s">
        <v>12</v>
      </c>
      <c r="H936" s="4" t="s">
        <v>2581</v>
      </c>
      <c r="I936" s="4" t="s">
        <v>2582</v>
      </c>
      <c r="J936" s="4" t="s">
        <v>249</v>
      </c>
      <c r="K936" s="4" t="s">
        <v>250</v>
      </c>
    </row>
    <row r="937" ht="15.75" customHeight="1">
      <c r="A937" s="4">
        <v>948.0</v>
      </c>
      <c r="B937" s="4" t="s">
        <v>2669</v>
      </c>
      <c r="C937" s="4" t="s">
        <v>2670</v>
      </c>
      <c r="D937" s="4" t="s">
        <v>2641</v>
      </c>
      <c r="E937" s="4">
        <v>5.70055000469E11</v>
      </c>
      <c r="F937" s="4" t="s">
        <v>2414</v>
      </c>
      <c r="G937" s="4" t="s">
        <v>12</v>
      </c>
      <c r="H937" s="4" t="s">
        <v>2671</v>
      </c>
      <c r="I937" s="4" t="s">
        <v>2582</v>
      </c>
      <c r="J937" s="4" t="s">
        <v>249</v>
      </c>
      <c r="K937" s="4" t="s">
        <v>250</v>
      </c>
    </row>
    <row r="938" ht="15.75" customHeight="1">
      <c r="A938" s="4">
        <v>949.0</v>
      </c>
      <c r="B938" s="4" t="s">
        <v>26</v>
      </c>
      <c r="C938" s="4" t="s">
        <v>2672</v>
      </c>
      <c r="D938" s="4" t="s">
        <v>2082</v>
      </c>
      <c r="E938" s="4">
        <v>5.70055000472E11</v>
      </c>
      <c r="F938" s="4" t="s">
        <v>2673</v>
      </c>
      <c r="G938" s="4" t="s">
        <v>12</v>
      </c>
      <c r="H938" s="4" t="s">
        <v>2581</v>
      </c>
      <c r="I938" s="4" t="s">
        <v>2582</v>
      </c>
      <c r="J938" s="4" t="s">
        <v>249</v>
      </c>
      <c r="K938" s="4" t="s">
        <v>250</v>
      </c>
    </row>
    <row r="939" ht="15.75" customHeight="1">
      <c r="A939" s="5">
        <v>950.0</v>
      </c>
      <c r="B939" s="4" t="s">
        <v>2674</v>
      </c>
      <c r="C939" s="4" t="s">
        <v>1066</v>
      </c>
      <c r="D939" s="4" t="s">
        <v>103</v>
      </c>
      <c r="E939" s="4">
        <v>5.70055000476E11</v>
      </c>
      <c r="F939" s="4" t="s">
        <v>2675</v>
      </c>
      <c r="G939" s="4" t="s">
        <v>12</v>
      </c>
      <c r="H939" s="4" t="s">
        <v>2642</v>
      </c>
      <c r="I939" s="4" t="s">
        <v>2582</v>
      </c>
      <c r="J939" s="4" t="s">
        <v>249</v>
      </c>
      <c r="K939" s="4" t="s">
        <v>250</v>
      </c>
    </row>
    <row r="940" ht="15.75" customHeight="1">
      <c r="A940" s="4">
        <v>951.0</v>
      </c>
      <c r="B940" s="4" t="s">
        <v>2103</v>
      </c>
      <c r="C940" s="4" t="s">
        <v>2676</v>
      </c>
      <c r="D940" s="4" t="s">
        <v>2677</v>
      </c>
      <c r="E940" s="4">
        <v>5.70055000478E11</v>
      </c>
      <c r="F940" s="4" t="s">
        <v>2678</v>
      </c>
      <c r="G940" s="4" t="s">
        <v>12</v>
      </c>
      <c r="H940" s="4" t="s">
        <v>2586</v>
      </c>
      <c r="I940" s="4" t="s">
        <v>2582</v>
      </c>
      <c r="J940" s="4" t="s">
        <v>249</v>
      </c>
      <c r="K940" s="4" t="s">
        <v>250</v>
      </c>
    </row>
    <row r="941" ht="15.75" customHeight="1">
      <c r="A941" s="4">
        <v>952.0</v>
      </c>
      <c r="B941" s="4" t="s">
        <v>2679</v>
      </c>
      <c r="C941" s="4" t="s">
        <v>2592</v>
      </c>
      <c r="D941" s="4" t="s">
        <v>2680</v>
      </c>
      <c r="E941" s="4">
        <v>5.7005500048E11</v>
      </c>
      <c r="F941" s="4" t="s">
        <v>2681</v>
      </c>
      <c r="G941" s="4" t="s">
        <v>120</v>
      </c>
      <c r="H941" s="4" t="s">
        <v>2591</v>
      </c>
      <c r="I941" s="4" t="s">
        <v>2582</v>
      </c>
      <c r="J941" s="4" t="s">
        <v>249</v>
      </c>
      <c r="K941" s="4" t="s">
        <v>250</v>
      </c>
    </row>
    <row r="942" ht="15.75" customHeight="1">
      <c r="A942" s="4">
        <v>953.0</v>
      </c>
      <c r="B942" s="4" t="s">
        <v>1366</v>
      </c>
      <c r="C942" s="4" t="s">
        <v>992</v>
      </c>
      <c r="D942" s="4" t="s">
        <v>81</v>
      </c>
      <c r="E942" s="4">
        <v>5.70055000482E11</v>
      </c>
      <c r="F942" s="4" t="s">
        <v>2682</v>
      </c>
      <c r="G942" s="4" t="s">
        <v>247</v>
      </c>
      <c r="H942" s="4" t="s">
        <v>248</v>
      </c>
      <c r="I942" s="4" t="s">
        <v>249</v>
      </c>
      <c r="J942" s="4" t="s">
        <v>250</v>
      </c>
    </row>
    <row r="943" ht="15.75" customHeight="1">
      <c r="A943" s="4">
        <v>954.0</v>
      </c>
      <c r="B943" s="4" t="s">
        <v>2683</v>
      </c>
      <c r="C943" s="4" t="s">
        <v>2684</v>
      </c>
      <c r="D943" s="4" t="s">
        <v>2685</v>
      </c>
      <c r="E943" s="4">
        <v>5.70055000483E11</v>
      </c>
      <c r="F943" s="4" t="s">
        <v>2686</v>
      </c>
      <c r="G943" s="4" t="s">
        <v>2162</v>
      </c>
      <c r="H943" s="4" t="s">
        <v>248</v>
      </c>
      <c r="I943" s="4" t="s">
        <v>249</v>
      </c>
      <c r="J943" s="4" t="s">
        <v>250</v>
      </c>
    </row>
    <row r="944" ht="15.75" customHeight="1">
      <c r="A944" s="5">
        <v>955.0</v>
      </c>
      <c r="B944" s="4" t="s">
        <v>2687</v>
      </c>
      <c r="C944" s="4" t="s">
        <v>2688</v>
      </c>
      <c r="D944" s="4" t="s">
        <v>2689</v>
      </c>
      <c r="E944" s="4">
        <v>5.70055000484E11</v>
      </c>
      <c r="F944" s="4" t="s">
        <v>2690</v>
      </c>
      <c r="G944" s="4" t="s">
        <v>247</v>
      </c>
      <c r="H944" s="4" t="s">
        <v>2602</v>
      </c>
      <c r="I944" s="4" t="s">
        <v>2582</v>
      </c>
      <c r="J944" s="4" t="s">
        <v>249</v>
      </c>
      <c r="K944" s="4" t="s">
        <v>250</v>
      </c>
    </row>
    <row r="945" ht="15.75" customHeight="1">
      <c r="A945" s="4">
        <v>956.0</v>
      </c>
      <c r="B945" s="4" t="s">
        <v>2451</v>
      </c>
      <c r="C945" s="4" t="s">
        <v>843</v>
      </c>
      <c r="D945" s="4" t="s">
        <v>2523</v>
      </c>
      <c r="E945" s="4">
        <v>5.70055000485E11</v>
      </c>
      <c r="F945" s="4" t="s">
        <v>2540</v>
      </c>
      <c r="G945" s="4" t="s">
        <v>247</v>
      </c>
      <c r="H945" s="4" t="s">
        <v>2602</v>
      </c>
      <c r="I945" s="4" t="s">
        <v>2582</v>
      </c>
      <c r="J945" s="4" t="s">
        <v>249</v>
      </c>
      <c r="K945" s="4" t="s">
        <v>250</v>
      </c>
    </row>
    <row r="946" ht="15.75" customHeight="1">
      <c r="A946" s="4">
        <v>957.0</v>
      </c>
      <c r="B946" s="4" t="s">
        <v>2183</v>
      </c>
      <c r="C946" s="4" t="s">
        <v>2691</v>
      </c>
      <c r="D946" s="4" t="s">
        <v>2692</v>
      </c>
      <c r="E946" s="4">
        <v>5.70055000486E11</v>
      </c>
      <c r="F946" s="4" t="s">
        <v>2408</v>
      </c>
      <c r="G946" s="4" t="s">
        <v>12</v>
      </c>
      <c r="H946" s="4" t="s">
        <v>248</v>
      </c>
      <c r="I946" s="4" t="s">
        <v>249</v>
      </c>
      <c r="J946" s="4" t="s">
        <v>250</v>
      </c>
    </row>
    <row r="947" ht="15.75" customHeight="1">
      <c r="A947" s="4">
        <v>958.0</v>
      </c>
      <c r="B947" s="4" t="s">
        <v>2339</v>
      </c>
      <c r="C947" s="4" t="s">
        <v>2693</v>
      </c>
      <c r="D947" s="4" t="s">
        <v>2694</v>
      </c>
      <c r="E947" s="4">
        <v>5.70055000499E11</v>
      </c>
      <c r="F947" s="4" t="s">
        <v>2695</v>
      </c>
      <c r="G947" s="4" t="s">
        <v>247</v>
      </c>
      <c r="H947" s="4" t="s">
        <v>248</v>
      </c>
      <c r="I947" s="4" t="s">
        <v>249</v>
      </c>
      <c r="J947" s="4" t="s">
        <v>250</v>
      </c>
    </row>
    <row r="948" ht="15.75" customHeight="1">
      <c r="A948" s="4">
        <v>959.0</v>
      </c>
      <c r="B948" s="4" t="s">
        <v>1390</v>
      </c>
      <c r="C948" s="4" t="s">
        <v>2696</v>
      </c>
      <c r="D948" s="4" t="s">
        <v>2697</v>
      </c>
      <c r="E948" s="4">
        <v>5.700550005E11</v>
      </c>
      <c r="F948" s="4" t="s">
        <v>2698</v>
      </c>
      <c r="G948" s="4" t="s">
        <v>12</v>
      </c>
      <c r="H948" s="4" t="s">
        <v>248</v>
      </c>
      <c r="I948" s="4" t="s">
        <v>249</v>
      </c>
      <c r="J948" s="4" t="s">
        <v>250</v>
      </c>
    </row>
    <row r="949" ht="15.75" customHeight="1">
      <c r="A949" s="4">
        <v>960.0</v>
      </c>
      <c r="B949" s="4" t="s">
        <v>2699</v>
      </c>
      <c r="C949" s="4" t="s">
        <v>986</v>
      </c>
      <c r="D949" s="4" t="s">
        <v>2700</v>
      </c>
      <c r="E949" s="4">
        <v>5.70055000502E11</v>
      </c>
      <c r="F949" s="4" t="s">
        <v>2701</v>
      </c>
      <c r="G949" s="4" t="s">
        <v>12</v>
      </c>
      <c r="H949" s="4" t="s">
        <v>248</v>
      </c>
      <c r="I949" s="4" t="s">
        <v>249</v>
      </c>
      <c r="J949" s="4" t="s">
        <v>250</v>
      </c>
    </row>
    <row r="950" ht="15.75" customHeight="1">
      <c r="A950" s="4">
        <v>961.0</v>
      </c>
      <c r="B950" s="4" t="s">
        <v>2232</v>
      </c>
      <c r="C950" s="4" t="s">
        <v>129</v>
      </c>
      <c r="D950" s="4" t="s">
        <v>2702</v>
      </c>
      <c r="E950" s="4">
        <v>5.70055000503E11</v>
      </c>
      <c r="F950" s="4" t="s">
        <v>2703</v>
      </c>
      <c r="G950" s="4" t="s">
        <v>12</v>
      </c>
      <c r="H950" s="4" t="s">
        <v>248</v>
      </c>
      <c r="I950" s="4" t="s">
        <v>249</v>
      </c>
      <c r="J950" s="4" t="s">
        <v>250</v>
      </c>
    </row>
    <row r="951" ht="15.75" customHeight="1">
      <c r="A951" s="4">
        <v>962.0</v>
      </c>
      <c r="B951" s="4" t="s">
        <v>2704</v>
      </c>
      <c r="C951" s="4" t="s">
        <v>1711</v>
      </c>
      <c r="D951" s="4" t="s">
        <v>2705</v>
      </c>
      <c r="E951" s="4">
        <v>5.70055000506E11</v>
      </c>
      <c r="F951" s="4" t="s">
        <v>2706</v>
      </c>
      <c r="G951" s="4" t="s">
        <v>247</v>
      </c>
      <c r="H951" s="4" t="s">
        <v>248</v>
      </c>
      <c r="I951" s="4" t="s">
        <v>249</v>
      </c>
      <c r="J951" s="4" t="s">
        <v>250</v>
      </c>
    </row>
    <row r="952" ht="15.75" customHeight="1">
      <c r="A952" s="4">
        <v>963.0</v>
      </c>
      <c r="B952" s="4" t="s">
        <v>2707</v>
      </c>
      <c r="C952" s="4" t="s">
        <v>2708</v>
      </c>
      <c r="D952" s="4" t="s">
        <v>837</v>
      </c>
      <c r="E952" s="4">
        <v>5.70055000507E11</v>
      </c>
      <c r="F952" s="4" t="s">
        <v>2709</v>
      </c>
      <c r="G952" s="4" t="s">
        <v>12</v>
      </c>
      <c r="H952" s="4" t="s">
        <v>248</v>
      </c>
      <c r="I952" s="4" t="s">
        <v>249</v>
      </c>
      <c r="J952" s="4" t="s">
        <v>250</v>
      </c>
    </row>
    <row r="953" ht="15.75" customHeight="1">
      <c r="A953" s="4">
        <v>964.0</v>
      </c>
      <c r="B953" s="4" t="s">
        <v>2710</v>
      </c>
      <c r="C953" s="4" t="s">
        <v>91</v>
      </c>
      <c r="D953" s="4" t="s">
        <v>2711</v>
      </c>
      <c r="E953" s="4">
        <v>5.7005500051E11</v>
      </c>
      <c r="F953" s="4" t="s">
        <v>2712</v>
      </c>
      <c r="G953" s="4" t="s">
        <v>247</v>
      </c>
      <c r="H953" s="4" t="s">
        <v>248</v>
      </c>
      <c r="I953" s="4" t="s">
        <v>249</v>
      </c>
      <c r="J953" s="4" t="s">
        <v>250</v>
      </c>
    </row>
    <row r="954" ht="15.75" customHeight="1">
      <c r="A954" s="4">
        <v>965.0</v>
      </c>
      <c r="B954" s="4" t="s">
        <v>2713</v>
      </c>
      <c r="C954" s="4" t="s">
        <v>989</v>
      </c>
      <c r="D954" s="4" t="s">
        <v>2714</v>
      </c>
      <c r="E954" s="4">
        <v>5.70055000511E11</v>
      </c>
      <c r="F954" s="4" t="s">
        <v>2715</v>
      </c>
      <c r="G954" s="4" t="s">
        <v>12</v>
      </c>
      <c r="H954" s="4" t="s">
        <v>248</v>
      </c>
      <c r="I954" s="4" t="s">
        <v>249</v>
      </c>
      <c r="J954" s="4" t="s">
        <v>250</v>
      </c>
    </row>
    <row r="955" ht="15.75" customHeight="1">
      <c r="A955" s="4">
        <v>966.0</v>
      </c>
      <c r="B955" s="4" t="s">
        <v>2716</v>
      </c>
      <c r="C955" s="4" t="s">
        <v>1396</v>
      </c>
      <c r="D955" s="4" t="s">
        <v>863</v>
      </c>
      <c r="E955" s="4">
        <v>5.70055000512E11</v>
      </c>
      <c r="F955" s="4" t="s">
        <v>2717</v>
      </c>
      <c r="G955" s="4" t="s">
        <v>247</v>
      </c>
      <c r="H955" s="4" t="s">
        <v>248</v>
      </c>
      <c r="I955" s="4" t="s">
        <v>249</v>
      </c>
      <c r="J955" s="4" t="s">
        <v>250</v>
      </c>
    </row>
    <row r="956" ht="15.75" customHeight="1">
      <c r="A956" s="4">
        <v>967.0</v>
      </c>
      <c r="B956" s="4" t="s">
        <v>2718</v>
      </c>
      <c r="C956" s="4" t="s">
        <v>2719</v>
      </c>
      <c r="D956" s="4" t="s">
        <v>2720</v>
      </c>
      <c r="E956" s="4">
        <v>5.70055000515E11</v>
      </c>
      <c r="F956" s="4" t="s">
        <v>2721</v>
      </c>
      <c r="G956" s="4" t="s">
        <v>12</v>
      </c>
      <c r="H956" s="4" t="s">
        <v>248</v>
      </c>
      <c r="I956" s="4" t="s">
        <v>249</v>
      </c>
      <c r="J956" s="4" t="s">
        <v>250</v>
      </c>
    </row>
    <row r="957" ht="15.75" customHeight="1">
      <c r="A957" s="4">
        <v>969.0</v>
      </c>
      <c r="B957" s="4" t="s">
        <v>2722</v>
      </c>
      <c r="C957" s="4" t="s">
        <v>2723</v>
      </c>
      <c r="D957" s="4" t="s">
        <v>1388</v>
      </c>
      <c r="E957" s="4">
        <v>5.70055000518E11</v>
      </c>
      <c r="F957" s="4" t="s">
        <v>2724</v>
      </c>
      <c r="G957" s="4" t="s">
        <v>25</v>
      </c>
      <c r="H957" s="4" t="s">
        <v>248</v>
      </c>
      <c r="I957" s="4" t="s">
        <v>249</v>
      </c>
      <c r="J957" s="4" t="s">
        <v>250</v>
      </c>
    </row>
    <row r="958" ht="15.75" customHeight="1">
      <c r="A958" s="4">
        <v>970.0</v>
      </c>
      <c r="B958" s="4" t="s">
        <v>2725</v>
      </c>
      <c r="C958" s="4" t="s">
        <v>2726</v>
      </c>
      <c r="D958" s="4" t="s">
        <v>2727</v>
      </c>
      <c r="E958" s="4">
        <v>5.7005500052E11</v>
      </c>
      <c r="F958" s="4" t="s">
        <v>2728</v>
      </c>
      <c r="G958" s="4" t="s">
        <v>70</v>
      </c>
      <c r="H958" s="4" t="s">
        <v>248</v>
      </c>
      <c r="I958" s="4" t="s">
        <v>249</v>
      </c>
      <c r="J958" s="4" t="s">
        <v>250</v>
      </c>
    </row>
    <row r="959" ht="15.75" customHeight="1">
      <c r="A959" s="4">
        <v>971.0</v>
      </c>
      <c r="B959" s="4" t="s">
        <v>1702</v>
      </c>
      <c r="C959" s="4" t="s">
        <v>2729</v>
      </c>
      <c r="D959" s="4" t="s">
        <v>2730</v>
      </c>
      <c r="E959" s="4">
        <v>5.70055000522E11</v>
      </c>
      <c r="F959" s="4" t="s">
        <v>2731</v>
      </c>
      <c r="G959" s="4" t="s">
        <v>12</v>
      </c>
      <c r="H959" s="4" t="s">
        <v>248</v>
      </c>
      <c r="I959" s="4" t="s">
        <v>249</v>
      </c>
      <c r="J959" s="4" t="s">
        <v>250</v>
      </c>
    </row>
    <row r="960" ht="15.75" customHeight="1">
      <c r="A960" s="4">
        <v>972.0</v>
      </c>
      <c r="B960" s="4" t="s">
        <v>855</v>
      </c>
      <c r="C960" s="4" t="s">
        <v>2732</v>
      </c>
      <c r="D960" s="4" t="s">
        <v>2733</v>
      </c>
      <c r="E960" s="4">
        <v>5.70055000523E11</v>
      </c>
      <c r="F960" s="4" t="s">
        <v>2734</v>
      </c>
      <c r="G960" s="4" t="s">
        <v>12</v>
      </c>
      <c r="H960" s="4" t="s">
        <v>248</v>
      </c>
      <c r="I960" s="4" t="s">
        <v>249</v>
      </c>
      <c r="J960" s="4" t="s">
        <v>250</v>
      </c>
    </row>
    <row r="961" ht="15.75" customHeight="1">
      <c r="A961" s="4">
        <v>973.0</v>
      </c>
      <c r="B961" s="4" t="s">
        <v>2735</v>
      </c>
      <c r="C961" s="4" t="s">
        <v>2736</v>
      </c>
      <c r="D961" s="4" t="s">
        <v>2737</v>
      </c>
      <c r="E961" s="4">
        <v>5.70055000524E11</v>
      </c>
      <c r="F961" s="4" t="s">
        <v>2738</v>
      </c>
      <c r="G961" s="4" t="s">
        <v>70</v>
      </c>
      <c r="H961" s="4" t="s">
        <v>248</v>
      </c>
      <c r="I961" s="4" t="s">
        <v>249</v>
      </c>
      <c r="J961" s="4" t="s">
        <v>250</v>
      </c>
    </row>
    <row r="962" ht="15.75" customHeight="1">
      <c r="A962" s="4">
        <v>974.0</v>
      </c>
      <c r="B962" s="4" t="s">
        <v>2739</v>
      </c>
      <c r="C962" s="4" t="s">
        <v>2740</v>
      </c>
      <c r="D962" s="4" t="s">
        <v>2741</v>
      </c>
      <c r="E962" s="4">
        <v>5.70055000525E11</v>
      </c>
      <c r="F962" s="4" t="s">
        <v>2742</v>
      </c>
      <c r="G962" s="4" t="s">
        <v>2335</v>
      </c>
      <c r="H962" s="4" t="s">
        <v>2743</v>
      </c>
      <c r="I962" s="4" t="s">
        <v>2582</v>
      </c>
      <c r="J962" s="4" t="s">
        <v>249</v>
      </c>
      <c r="K962" s="4" t="s">
        <v>250</v>
      </c>
    </row>
    <row r="963" ht="15.75" customHeight="1">
      <c r="A963" s="4">
        <v>975.0</v>
      </c>
      <c r="B963" s="4" t="s">
        <v>2744</v>
      </c>
      <c r="C963" s="4" t="s">
        <v>1575</v>
      </c>
      <c r="D963" s="4" t="s">
        <v>2745</v>
      </c>
      <c r="E963" s="4">
        <v>5.70055000527E11</v>
      </c>
      <c r="F963" s="4" t="s">
        <v>2746</v>
      </c>
      <c r="G963" s="4" t="s">
        <v>12</v>
      </c>
      <c r="H963" s="4" t="s">
        <v>248</v>
      </c>
      <c r="I963" s="4" t="s">
        <v>249</v>
      </c>
      <c r="J963" s="4" t="s">
        <v>250</v>
      </c>
    </row>
    <row r="964" ht="15.75" customHeight="1">
      <c r="A964" s="4">
        <v>976.0</v>
      </c>
      <c r="B964" s="4" t="s">
        <v>2747</v>
      </c>
      <c r="C964" s="4" t="s">
        <v>2748</v>
      </c>
      <c r="D964" s="4" t="s">
        <v>2749</v>
      </c>
      <c r="E964" s="4">
        <v>5.70055000529E11</v>
      </c>
      <c r="F964" s="4" t="s">
        <v>2750</v>
      </c>
      <c r="G964" s="4" t="s">
        <v>12</v>
      </c>
      <c r="H964" s="4" t="s">
        <v>248</v>
      </c>
      <c r="I964" s="4" t="s">
        <v>249</v>
      </c>
      <c r="J964" s="4" t="s">
        <v>250</v>
      </c>
    </row>
    <row r="965" ht="15.75" customHeight="1">
      <c r="A965" s="4">
        <v>977.0</v>
      </c>
      <c r="B965" s="4" t="s">
        <v>2751</v>
      </c>
      <c r="C965" s="4" t="s">
        <v>2752</v>
      </c>
      <c r="D965" s="4" t="s">
        <v>2753</v>
      </c>
      <c r="E965" s="4">
        <v>5.7005500053E11</v>
      </c>
      <c r="F965" s="4" t="s">
        <v>2754</v>
      </c>
      <c r="G965" s="4" t="s">
        <v>12</v>
      </c>
      <c r="H965" s="4" t="s">
        <v>248</v>
      </c>
      <c r="I965" s="4" t="s">
        <v>249</v>
      </c>
      <c r="J965" s="4" t="s">
        <v>250</v>
      </c>
    </row>
    <row r="966" ht="15.75" customHeight="1">
      <c r="A966" s="4">
        <v>978.0</v>
      </c>
      <c r="B966" s="4" t="s">
        <v>997</v>
      </c>
      <c r="C966" s="4" t="s">
        <v>2755</v>
      </c>
      <c r="D966" s="4" t="s">
        <v>1658</v>
      </c>
      <c r="E966" s="4">
        <v>5.70055000531E11</v>
      </c>
      <c r="F966" s="4" t="s">
        <v>2756</v>
      </c>
      <c r="G966" s="4" t="s">
        <v>12</v>
      </c>
      <c r="H966" s="4" t="s">
        <v>248</v>
      </c>
      <c r="I966" s="4" t="s">
        <v>249</v>
      </c>
      <c r="J966" s="4" t="s">
        <v>250</v>
      </c>
    </row>
    <row r="967" ht="15.75" customHeight="1">
      <c r="A967" s="4">
        <v>979.0</v>
      </c>
      <c r="B967" s="4" t="s">
        <v>2757</v>
      </c>
      <c r="C967" s="4" t="s">
        <v>2758</v>
      </c>
      <c r="D967" s="4" t="s">
        <v>2759</v>
      </c>
      <c r="E967" s="4">
        <v>5.70055000532E11</v>
      </c>
      <c r="F967" s="4" t="s">
        <v>2760</v>
      </c>
      <c r="G967" s="4" t="s">
        <v>247</v>
      </c>
      <c r="H967" s="4" t="s">
        <v>248</v>
      </c>
      <c r="I967" s="4" t="s">
        <v>249</v>
      </c>
      <c r="J967" s="4" t="s">
        <v>250</v>
      </c>
    </row>
    <row r="968" ht="15.75" customHeight="1">
      <c r="A968" s="4">
        <v>980.0</v>
      </c>
      <c r="B968" s="4" t="s">
        <v>2761</v>
      </c>
      <c r="C968" s="4" t="s">
        <v>2762</v>
      </c>
      <c r="D968" s="4" t="s">
        <v>2763</v>
      </c>
      <c r="E968" s="4">
        <v>5.70055000535E11</v>
      </c>
      <c r="F968" s="4" t="s">
        <v>2764</v>
      </c>
      <c r="G968" s="4" t="s">
        <v>12</v>
      </c>
      <c r="H968" s="4" t="s">
        <v>248</v>
      </c>
      <c r="I968" s="4" t="s">
        <v>249</v>
      </c>
      <c r="J968" s="4" t="s">
        <v>250</v>
      </c>
    </row>
    <row r="969" ht="15.75" customHeight="1">
      <c r="A969" s="4">
        <v>981.0</v>
      </c>
      <c r="B969" s="4" t="s">
        <v>2765</v>
      </c>
      <c r="C969" s="4" t="s">
        <v>2766</v>
      </c>
      <c r="D969" s="4" t="s">
        <v>2767</v>
      </c>
      <c r="E969" s="4">
        <v>5.70055000537E11</v>
      </c>
      <c r="F969" s="4" t="s">
        <v>2768</v>
      </c>
      <c r="G969" s="4" t="s">
        <v>247</v>
      </c>
      <c r="H969" s="4" t="s">
        <v>248</v>
      </c>
      <c r="I969" s="4" t="s">
        <v>249</v>
      </c>
      <c r="J969" s="4" t="s">
        <v>250</v>
      </c>
    </row>
    <row r="970" ht="15.75" customHeight="1">
      <c r="A970" s="4">
        <v>982.0</v>
      </c>
      <c r="B970" s="4" t="s">
        <v>2769</v>
      </c>
      <c r="C970" s="4" t="s">
        <v>2770</v>
      </c>
      <c r="D970" s="4" t="s">
        <v>2771</v>
      </c>
      <c r="E970" s="4">
        <v>5.70055000539E11</v>
      </c>
      <c r="F970" s="4" t="s">
        <v>2772</v>
      </c>
      <c r="G970" s="4" t="s">
        <v>247</v>
      </c>
      <c r="H970" s="4" t="s">
        <v>248</v>
      </c>
      <c r="I970" s="4" t="s">
        <v>249</v>
      </c>
      <c r="J970" s="4" t="s">
        <v>250</v>
      </c>
    </row>
    <row r="971" ht="15.75" customHeight="1">
      <c r="A971" s="4">
        <v>983.0</v>
      </c>
      <c r="B971" s="4" t="s">
        <v>2773</v>
      </c>
      <c r="C971" s="4" t="s">
        <v>2026</v>
      </c>
      <c r="D971" s="4" t="s">
        <v>2774</v>
      </c>
      <c r="E971" s="4">
        <v>5.7005500054E11</v>
      </c>
      <c r="F971" s="4" t="s">
        <v>2775</v>
      </c>
      <c r="G971" s="4" t="s">
        <v>247</v>
      </c>
      <c r="H971" s="4" t="s">
        <v>248</v>
      </c>
      <c r="I971" s="4" t="s">
        <v>249</v>
      </c>
      <c r="J971" s="4" t="s">
        <v>250</v>
      </c>
    </row>
    <row r="972" ht="15.75" customHeight="1">
      <c r="A972" s="4">
        <v>984.0</v>
      </c>
      <c r="B972" s="4" t="s">
        <v>2776</v>
      </c>
      <c r="C972" s="4" t="s">
        <v>241</v>
      </c>
      <c r="D972" s="4" t="s">
        <v>954</v>
      </c>
      <c r="E972" s="4">
        <v>5.70055000541E11</v>
      </c>
      <c r="F972" s="4" t="s">
        <v>2777</v>
      </c>
      <c r="G972" s="4" t="s">
        <v>247</v>
      </c>
      <c r="H972" s="4" t="s">
        <v>248</v>
      </c>
      <c r="I972" s="4" t="s">
        <v>249</v>
      </c>
      <c r="J972" s="4" t="s">
        <v>250</v>
      </c>
    </row>
    <row r="973" ht="15.75" customHeight="1">
      <c r="A973" s="4">
        <v>985.0</v>
      </c>
      <c r="B973" s="4" t="s">
        <v>2651</v>
      </c>
      <c r="C973" s="4" t="s">
        <v>2778</v>
      </c>
      <c r="D973" s="4" t="s">
        <v>2779</v>
      </c>
      <c r="E973" s="4">
        <v>5.70055000542E11</v>
      </c>
      <c r="F973" s="4" t="s">
        <v>2780</v>
      </c>
      <c r="G973" s="4" t="s">
        <v>12</v>
      </c>
      <c r="H973" s="4" t="s">
        <v>248</v>
      </c>
      <c r="I973" s="4" t="s">
        <v>249</v>
      </c>
      <c r="J973" s="4" t="s">
        <v>250</v>
      </c>
    </row>
    <row r="974" ht="15.75" customHeight="1">
      <c r="A974" s="4">
        <v>986.0</v>
      </c>
      <c r="B974" s="4" t="s">
        <v>2781</v>
      </c>
      <c r="C974" s="4" t="s">
        <v>2782</v>
      </c>
      <c r="D974" s="4" t="s">
        <v>2783</v>
      </c>
      <c r="E974" s="4">
        <v>5.70055000543E11</v>
      </c>
      <c r="F974" s="4" t="s">
        <v>2784</v>
      </c>
      <c r="G974" s="4" t="s">
        <v>12</v>
      </c>
      <c r="H974" s="4" t="s">
        <v>248</v>
      </c>
      <c r="I974" s="4" t="s">
        <v>249</v>
      </c>
      <c r="J974" s="4" t="s">
        <v>250</v>
      </c>
    </row>
    <row r="975" ht="15.75" customHeight="1">
      <c r="A975" s="4">
        <v>987.0</v>
      </c>
      <c r="B975" s="4" t="s">
        <v>2785</v>
      </c>
      <c r="C975" s="4" t="s">
        <v>1305</v>
      </c>
      <c r="D975" s="4" t="s">
        <v>2786</v>
      </c>
      <c r="E975" s="4">
        <v>5.70055000544E11</v>
      </c>
      <c r="F975" s="4" t="s">
        <v>2787</v>
      </c>
      <c r="G975" s="4" t="s">
        <v>247</v>
      </c>
      <c r="H975" s="4" t="s">
        <v>248</v>
      </c>
      <c r="I975" s="4" t="s">
        <v>249</v>
      </c>
      <c r="J975" s="4" t="s">
        <v>250</v>
      </c>
    </row>
    <row r="976" ht="15.75" customHeight="1">
      <c r="A976" s="4">
        <v>988.0</v>
      </c>
      <c r="B976" s="4" t="s">
        <v>823</v>
      </c>
      <c r="C976" s="4" t="s">
        <v>2788</v>
      </c>
      <c r="D976" s="4" t="s">
        <v>2789</v>
      </c>
      <c r="E976" s="4">
        <v>5.70055000545E11</v>
      </c>
      <c r="F976" s="4" t="s">
        <v>2790</v>
      </c>
      <c r="G976" s="4" t="s">
        <v>247</v>
      </c>
      <c r="H976" s="4" t="s">
        <v>248</v>
      </c>
      <c r="I976" s="4" t="s">
        <v>249</v>
      </c>
      <c r="J976" s="4" t="s">
        <v>250</v>
      </c>
    </row>
    <row r="977" ht="15.75" customHeight="1">
      <c r="A977" s="4">
        <v>989.0</v>
      </c>
      <c r="B977" s="4" t="s">
        <v>2791</v>
      </c>
      <c r="C977" s="4" t="s">
        <v>2792</v>
      </c>
      <c r="D977" s="4" t="s">
        <v>2793</v>
      </c>
      <c r="E977" s="4">
        <v>5.70055000546E11</v>
      </c>
      <c r="F977" s="4" t="s">
        <v>2794</v>
      </c>
      <c r="G977" s="4" t="s">
        <v>12</v>
      </c>
      <c r="H977" s="4" t="s">
        <v>248</v>
      </c>
      <c r="I977" s="4" t="s">
        <v>249</v>
      </c>
      <c r="J977" s="4" t="s">
        <v>250</v>
      </c>
    </row>
    <row r="978" ht="15.75" customHeight="1">
      <c r="A978" s="4">
        <v>990.0</v>
      </c>
      <c r="B978" s="4" t="s">
        <v>2795</v>
      </c>
      <c r="C978" s="4" t="s">
        <v>911</v>
      </c>
      <c r="D978" s="4" t="s">
        <v>2796</v>
      </c>
      <c r="E978" s="4">
        <v>5.70055000547E11</v>
      </c>
      <c r="F978" s="4" t="s">
        <v>2797</v>
      </c>
      <c r="G978" s="4" t="s">
        <v>247</v>
      </c>
      <c r="H978" s="4" t="s">
        <v>248</v>
      </c>
      <c r="I978" s="4" t="s">
        <v>249</v>
      </c>
      <c r="J978" s="4" t="s">
        <v>250</v>
      </c>
    </row>
    <row r="979" ht="15.75" customHeight="1">
      <c r="A979" s="4">
        <v>991.0</v>
      </c>
      <c r="B979" s="4" t="s">
        <v>39</v>
      </c>
      <c r="C979" s="4" t="s">
        <v>2266</v>
      </c>
      <c r="D979" s="4" t="s">
        <v>2798</v>
      </c>
      <c r="E979" s="4">
        <v>5.70055000551E11</v>
      </c>
      <c r="F979" s="4" t="s">
        <v>2799</v>
      </c>
      <c r="G979" s="4" t="s">
        <v>247</v>
      </c>
      <c r="H979" s="4" t="s">
        <v>248</v>
      </c>
      <c r="I979" s="4" t="s">
        <v>249</v>
      </c>
      <c r="J979" s="4" t="s">
        <v>250</v>
      </c>
    </row>
    <row r="980" ht="15.75" customHeight="1">
      <c r="A980" s="4">
        <v>992.0</v>
      </c>
      <c r="B980" s="4" t="s">
        <v>240</v>
      </c>
      <c r="C980" s="4" t="s">
        <v>2800</v>
      </c>
      <c r="D980" s="4" t="s">
        <v>2680</v>
      </c>
      <c r="E980" s="4">
        <v>5.70055000552E11</v>
      </c>
      <c r="F980" s="4" t="s">
        <v>2801</v>
      </c>
      <c r="G980" s="4" t="s">
        <v>12</v>
      </c>
      <c r="H980" s="4" t="s">
        <v>248</v>
      </c>
      <c r="I980" s="4" t="s">
        <v>249</v>
      </c>
      <c r="J980" s="4" t="s">
        <v>250</v>
      </c>
    </row>
    <row r="981" ht="15.75" customHeight="1">
      <c r="A981" s="4">
        <v>993.0</v>
      </c>
      <c r="B981" s="4" t="s">
        <v>2802</v>
      </c>
      <c r="C981" s="4" t="s">
        <v>129</v>
      </c>
      <c r="D981" s="4" t="s">
        <v>2803</v>
      </c>
      <c r="E981" s="4">
        <v>5.70055000553E11</v>
      </c>
      <c r="F981" s="4" t="s">
        <v>2804</v>
      </c>
      <c r="G981" s="4" t="s">
        <v>12</v>
      </c>
      <c r="H981" s="4" t="s">
        <v>248</v>
      </c>
      <c r="I981" s="4" t="s">
        <v>249</v>
      </c>
      <c r="J981" s="4" t="s">
        <v>250</v>
      </c>
    </row>
    <row r="982" ht="15.75" customHeight="1">
      <c r="A982" s="4">
        <v>994.0</v>
      </c>
      <c r="B982" s="4" t="s">
        <v>1294</v>
      </c>
      <c r="C982" s="4" t="s">
        <v>961</v>
      </c>
      <c r="D982" s="4" t="s">
        <v>2805</v>
      </c>
      <c r="E982" s="4">
        <v>5.70055000554E11</v>
      </c>
      <c r="F982" s="4" t="s">
        <v>2806</v>
      </c>
      <c r="G982" s="4" t="s">
        <v>70</v>
      </c>
      <c r="H982" s="4" t="s">
        <v>248</v>
      </c>
      <c r="I982" s="4" t="s">
        <v>249</v>
      </c>
      <c r="J982" s="4" t="s">
        <v>250</v>
      </c>
    </row>
    <row r="983" ht="15.75" customHeight="1">
      <c r="A983" s="4">
        <v>995.0</v>
      </c>
      <c r="B983" s="4" t="s">
        <v>2807</v>
      </c>
      <c r="C983" s="4" t="s">
        <v>1207</v>
      </c>
      <c r="D983" s="4" t="s">
        <v>1364</v>
      </c>
      <c r="E983" s="4">
        <v>5.70055000556E11</v>
      </c>
      <c r="F983" s="4" t="s">
        <v>2808</v>
      </c>
      <c r="G983" s="4" t="s">
        <v>70</v>
      </c>
      <c r="H983" s="4" t="s">
        <v>248</v>
      </c>
      <c r="I983" s="4" t="s">
        <v>249</v>
      </c>
      <c r="J983" s="4" t="s">
        <v>250</v>
      </c>
    </row>
    <row r="984" ht="15.75" customHeight="1">
      <c r="A984" s="4">
        <v>996.0</v>
      </c>
      <c r="B984" s="4" t="s">
        <v>2809</v>
      </c>
      <c r="C984" s="4" t="s">
        <v>1607</v>
      </c>
      <c r="D984" s="4" t="s">
        <v>2810</v>
      </c>
      <c r="E984" s="4">
        <v>5.70055000561E11</v>
      </c>
      <c r="F984" s="4" t="s">
        <v>2811</v>
      </c>
      <c r="G984" s="4" t="s">
        <v>247</v>
      </c>
      <c r="H984" s="4" t="s">
        <v>248</v>
      </c>
      <c r="I984" s="4" t="s">
        <v>249</v>
      </c>
      <c r="J984" s="4" t="s">
        <v>250</v>
      </c>
    </row>
    <row r="985" ht="15.75" customHeight="1">
      <c r="A985" s="4">
        <v>997.0</v>
      </c>
      <c r="B985" s="4" t="s">
        <v>2812</v>
      </c>
      <c r="C985" s="4" t="s">
        <v>105</v>
      </c>
      <c r="D985" s="4" t="s">
        <v>2813</v>
      </c>
      <c r="E985" s="4">
        <v>5.70055000562E11</v>
      </c>
      <c r="F985" s="4" t="s">
        <v>2709</v>
      </c>
      <c r="G985" s="4" t="s">
        <v>12</v>
      </c>
      <c r="H985" s="4" t="s">
        <v>248</v>
      </c>
      <c r="I985" s="4" t="s">
        <v>249</v>
      </c>
      <c r="J985" s="4" t="s">
        <v>250</v>
      </c>
    </row>
    <row r="986" ht="15.75" customHeight="1">
      <c r="A986" s="4">
        <v>998.0</v>
      </c>
      <c r="B986" s="4" t="s">
        <v>1102</v>
      </c>
      <c r="C986" s="4" t="s">
        <v>2782</v>
      </c>
      <c r="D986" s="4" t="s">
        <v>2783</v>
      </c>
      <c r="E986" s="4">
        <v>5.70055000568E11</v>
      </c>
      <c r="F986" s="4" t="s">
        <v>2814</v>
      </c>
      <c r="G986" s="4" t="s">
        <v>70</v>
      </c>
      <c r="H986" s="4" t="s">
        <v>248</v>
      </c>
      <c r="I986" s="4" t="s">
        <v>249</v>
      </c>
      <c r="J986" s="4" t="s">
        <v>250</v>
      </c>
    </row>
    <row r="987" ht="15.75" customHeight="1">
      <c r="A987" s="4">
        <v>999.0</v>
      </c>
      <c r="B987" s="4" t="s">
        <v>2815</v>
      </c>
      <c r="C987" s="4" t="s">
        <v>174</v>
      </c>
      <c r="D987" s="4" t="s">
        <v>874</v>
      </c>
      <c r="E987" s="4">
        <v>5.7005500057E11</v>
      </c>
      <c r="F987" s="4" t="s">
        <v>2816</v>
      </c>
      <c r="G987" s="4" t="s">
        <v>247</v>
      </c>
      <c r="H987" s="4" t="s">
        <v>248</v>
      </c>
      <c r="I987" s="4" t="s">
        <v>249</v>
      </c>
      <c r="J987" s="4" t="s">
        <v>250</v>
      </c>
    </row>
    <row r="988" ht="15.75" customHeight="1">
      <c r="A988" s="4">
        <v>1000.0</v>
      </c>
      <c r="B988" s="4" t="s">
        <v>2817</v>
      </c>
      <c r="C988" s="4" t="s">
        <v>2818</v>
      </c>
      <c r="D988" s="4" t="s">
        <v>2819</v>
      </c>
      <c r="E988" s="4">
        <v>5.70055000571E11</v>
      </c>
      <c r="F988" s="4" t="s">
        <v>2820</v>
      </c>
      <c r="G988" s="4" t="s">
        <v>12</v>
      </c>
      <c r="H988" s="4" t="s">
        <v>248</v>
      </c>
      <c r="I988" s="4" t="s">
        <v>249</v>
      </c>
      <c r="J988" s="4" t="s">
        <v>250</v>
      </c>
    </row>
    <row r="989" ht="15.75" customHeight="1">
      <c r="A989" s="4">
        <v>1001.0</v>
      </c>
      <c r="B989" s="4" t="s">
        <v>2821</v>
      </c>
      <c r="C989" s="4" t="s">
        <v>2822</v>
      </c>
      <c r="D989" s="4" t="s">
        <v>943</v>
      </c>
      <c r="E989" s="4">
        <v>5.70055000572E11</v>
      </c>
      <c r="F989" s="4" t="s">
        <v>2823</v>
      </c>
      <c r="G989" s="4" t="s">
        <v>247</v>
      </c>
      <c r="H989" s="4" t="s">
        <v>248</v>
      </c>
      <c r="I989" s="4" t="s">
        <v>249</v>
      </c>
      <c r="J989" s="4" t="s">
        <v>250</v>
      </c>
    </row>
    <row r="990" ht="15.75" customHeight="1">
      <c r="A990" s="4">
        <v>1002.0</v>
      </c>
      <c r="B990" s="4" t="s">
        <v>911</v>
      </c>
      <c r="C990" s="4" t="s">
        <v>2824</v>
      </c>
      <c r="D990" s="4" t="s">
        <v>2825</v>
      </c>
      <c r="E990" s="4">
        <v>5.70055000575E11</v>
      </c>
      <c r="F990" s="4" t="s">
        <v>2826</v>
      </c>
      <c r="G990" s="4" t="s">
        <v>247</v>
      </c>
      <c r="H990" s="4" t="s">
        <v>248</v>
      </c>
      <c r="I990" s="4" t="s">
        <v>249</v>
      </c>
      <c r="J990" s="4" t="s">
        <v>250</v>
      </c>
    </row>
    <row r="991" ht="15.75" customHeight="1">
      <c r="A991" s="4">
        <v>1003.0</v>
      </c>
      <c r="B991" s="4" t="s">
        <v>229</v>
      </c>
      <c r="C991" s="4" t="s">
        <v>2827</v>
      </c>
      <c r="D991" s="4" t="s">
        <v>2532</v>
      </c>
      <c r="E991" s="4">
        <v>5.70055000576E11</v>
      </c>
      <c r="F991" s="4" t="s">
        <v>2828</v>
      </c>
      <c r="G991" s="4" t="s">
        <v>12</v>
      </c>
      <c r="H991" s="4" t="s">
        <v>248</v>
      </c>
      <c r="I991" s="4" t="s">
        <v>249</v>
      </c>
      <c r="J991" s="4" t="s">
        <v>250</v>
      </c>
    </row>
    <row r="992" ht="15.75" customHeight="1">
      <c r="A992" s="4">
        <v>1004.0</v>
      </c>
      <c r="B992" s="4" t="s">
        <v>2829</v>
      </c>
      <c r="C992" s="4" t="s">
        <v>8</v>
      </c>
      <c r="D992" s="4" t="s">
        <v>857</v>
      </c>
      <c r="E992" s="4">
        <v>5.70055000577E11</v>
      </c>
      <c r="F992" s="4" t="s">
        <v>2830</v>
      </c>
      <c r="G992" s="4" t="s">
        <v>247</v>
      </c>
      <c r="H992" s="4" t="s">
        <v>248</v>
      </c>
      <c r="I992" s="4" t="s">
        <v>249</v>
      </c>
      <c r="J992" s="4" t="s">
        <v>250</v>
      </c>
    </row>
    <row r="993" ht="15.75" customHeight="1">
      <c r="A993" s="4">
        <v>1005.0</v>
      </c>
      <c r="B993" s="4" t="s">
        <v>2831</v>
      </c>
      <c r="C993" s="4" t="s">
        <v>832</v>
      </c>
      <c r="D993" s="4" t="s">
        <v>2523</v>
      </c>
      <c r="E993" s="4">
        <v>5.70055000581E11</v>
      </c>
      <c r="F993" s="4" t="s">
        <v>2768</v>
      </c>
      <c r="G993" s="4" t="s">
        <v>12</v>
      </c>
      <c r="H993" s="4" t="s">
        <v>248</v>
      </c>
      <c r="I993" s="4" t="s">
        <v>249</v>
      </c>
      <c r="J993" s="4" t="s">
        <v>250</v>
      </c>
    </row>
    <row r="994" ht="15.75" customHeight="1">
      <c r="A994" s="4">
        <v>1006.0</v>
      </c>
      <c r="B994" s="4" t="s">
        <v>2832</v>
      </c>
      <c r="C994" s="4" t="s">
        <v>2833</v>
      </c>
      <c r="D994" s="4" t="s">
        <v>2834</v>
      </c>
      <c r="E994" s="4">
        <v>5.70055000582E11</v>
      </c>
      <c r="F994" s="4" t="s">
        <v>2835</v>
      </c>
      <c r="G994" s="4" t="s">
        <v>247</v>
      </c>
      <c r="H994" s="4" t="s">
        <v>248</v>
      </c>
      <c r="I994" s="4" t="s">
        <v>249</v>
      </c>
      <c r="J994" s="4" t="s">
        <v>250</v>
      </c>
    </row>
    <row r="995" ht="15.75" customHeight="1">
      <c r="A995" s="4">
        <v>1007.0</v>
      </c>
      <c r="B995" s="4" t="s">
        <v>2836</v>
      </c>
      <c r="C995" s="4" t="s">
        <v>2837</v>
      </c>
      <c r="D995" s="4" t="s">
        <v>2838</v>
      </c>
      <c r="E995" s="4">
        <v>5.70055000584E11</v>
      </c>
      <c r="F995" s="4" t="s">
        <v>2839</v>
      </c>
      <c r="G995" s="4" t="s">
        <v>12</v>
      </c>
      <c r="H995" s="4" t="s">
        <v>248</v>
      </c>
      <c r="I995" s="4" t="s">
        <v>249</v>
      </c>
      <c r="J995" s="4" t="s">
        <v>250</v>
      </c>
    </row>
    <row r="996" ht="15.75" customHeight="1">
      <c r="A996" s="4">
        <v>1008.0</v>
      </c>
      <c r="B996" s="4" t="s">
        <v>2840</v>
      </c>
      <c r="C996" s="4" t="s">
        <v>2841</v>
      </c>
      <c r="D996" s="4" t="s">
        <v>2842</v>
      </c>
      <c r="E996" s="4">
        <v>5.70055000585E11</v>
      </c>
      <c r="F996" s="4" t="s">
        <v>2843</v>
      </c>
      <c r="G996" s="4" t="s">
        <v>247</v>
      </c>
      <c r="H996" s="4" t="s">
        <v>248</v>
      </c>
      <c r="I996" s="4" t="s">
        <v>249</v>
      </c>
      <c r="J996" s="4" t="s">
        <v>250</v>
      </c>
    </row>
    <row r="997" ht="15.75" customHeight="1">
      <c r="A997" s="4">
        <v>1009.0</v>
      </c>
      <c r="B997" s="4" t="s">
        <v>2844</v>
      </c>
      <c r="C997" s="4" t="s">
        <v>8</v>
      </c>
      <c r="D997" s="4" t="s">
        <v>2845</v>
      </c>
      <c r="E997" s="4">
        <v>5.70055000586E11</v>
      </c>
      <c r="F997" s="4" t="s">
        <v>2083</v>
      </c>
      <c r="G997" s="4" t="s">
        <v>70</v>
      </c>
      <c r="H997" s="4" t="s">
        <v>248</v>
      </c>
      <c r="I997" s="4" t="s">
        <v>249</v>
      </c>
      <c r="J997" s="4" t="s">
        <v>250</v>
      </c>
    </row>
    <row r="998" ht="15.75" customHeight="1">
      <c r="A998" s="4">
        <v>1010.0</v>
      </c>
      <c r="B998" s="4" t="s">
        <v>822</v>
      </c>
      <c r="C998" s="4" t="s">
        <v>215</v>
      </c>
      <c r="D998" s="4" t="s">
        <v>2846</v>
      </c>
      <c r="E998" s="4">
        <v>5.70055000588E11</v>
      </c>
      <c r="F998" s="4" t="s">
        <v>2847</v>
      </c>
      <c r="G998" s="4" t="s">
        <v>247</v>
      </c>
      <c r="H998" s="4" t="s">
        <v>248</v>
      </c>
      <c r="I998" s="4" t="s">
        <v>249</v>
      </c>
      <c r="J998" s="4" t="s">
        <v>250</v>
      </c>
    </row>
    <row r="999" ht="15.75" customHeight="1">
      <c r="A999" s="4">
        <v>1011.0</v>
      </c>
      <c r="B999" s="4" t="s">
        <v>52</v>
      </c>
      <c r="C999" s="4" t="s">
        <v>1826</v>
      </c>
      <c r="D999" s="4" t="s">
        <v>2263</v>
      </c>
      <c r="E999" s="4">
        <v>5.7005500059E11</v>
      </c>
      <c r="F999" s="4" t="s">
        <v>2731</v>
      </c>
      <c r="G999" s="4" t="s">
        <v>247</v>
      </c>
      <c r="H999" s="4" t="s">
        <v>248</v>
      </c>
      <c r="I999" s="4" t="s">
        <v>249</v>
      </c>
      <c r="J999" s="4" t="s">
        <v>250</v>
      </c>
    </row>
    <row r="1000" ht="15.75" customHeight="1">
      <c r="A1000" s="4">
        <v>1012.0</v>
      </c>
      <c r="B1000" s="4" t="s">
        <v>2401</v>
      </c>
      <c r="C1000" s="4" t="s">
        <v>2848</v>
      </c>
      <c r="D1000" s="4" t="s">
        <v>1541</v>
      </c>
      <c r="E1000" s="4">
        <v>5.70055000591E11</v>
      </c>
      <c r="F1000" s="4" t="s">
        <v>2849</v>
      </c>
      <c r="G1000" s="4" t="s">
        <v>12</v>
      </c>
      <c r="H1000" s="4" t="s">
        <v>248</v>
      </c>
      <c r="I1000" s="4" t="s">
        <v>249</v>
      </c>
      <c r="J1000" s="4" t="s">
        <v>250</v>
      </c>
    </row>
    <row r="1001" ht="15.75" customHeight="1">
      <c r="A1001" s="4">
        <v>1013.0</v>
      </c>
      <c r="B1001" s="4" t="s">
        <v>2850</v>
      </c>
      <c r="C1001" s="4" t="s">
        <v>2851</v>
      </c>
      <c r="D1001" s="4" t="s">
        <v>2852</v>
      </c>
      <c r="E1001" s="4">
        <v>5.70055000593E11</v>
      </c>
      <c r="F1001" s="4" t="s">
        <v>2853</v>
      </c>
      <c r="G1001" s="4" t="s">
        <v>247</v>
      </c>
      <c r="H1001" s="4" t="s">
        <v>248</v>
      </c>
      <c r="I1001" s="4" t="s">
        <v>249</v>
      </c>
      <c r="J1001" s="4" t="s">
        <v>250</v>
      </c>
    </row>
    <row r="1002" ht="15.75" customHeight="1">
      <c r="A1002" s="4">
        <v>1014.0</v>
      </c>
      <c r="B1002" s="4" t="s">
        <v>2854</v>
      </c>
      <c r="C1002" s="4" t="s">
        <v>2236</v>
      </c>
      <c r="D1002" s="4" t="s">
        <v>857</v>
      </c>
      <c r="E1002" s="4">
        <v>5.70055000594E11</v>
      </c>
      <c r="F1002" s="4" t="s">
        <v>2855</v>
      </c>
      <c r="G1002" s="4" t="s">
        <v>12</v>
      </c>
      <c r="H1002" s="4" t="s">
        <v>248</v>
      </c>
      <c r="I1002" s="4" t="s">
        <v>249</v>
      </c>
      <c r="J1002" s="4" t="s">
        <v>250</v>
      </c>
    </row>
    <row r="1003" ht="15.75" customHeight="1">
      <c r="A1003" s="4">
        <v>1015.0</v>
      </c>
      <c r="B1003" s="4" t="s">
        <v>1981</v>
      </c>
      <c r="C1003" s="4" t="s">
        <v>2856</v>
      </c>
      <c r="D1003" s="4" t="s">
        <v>1912</v>
      </c>
      <c r="E1003" s="4">
        <v>5.70055000598E11</v>
      </c>
      <c r="F1003" s="4" t="s">
        <v>2857</v>
      </c>
      <c r="G1003" s="4" t="s">
        <v>247</v>
      </c>
      <c r="H1003" s="4" t="s">
        <v>248</v>
      </c>
      <c r="I1003" s="4" t="s">
        <v>249</v>
      </c>
      <c r="J1003" s="4" t="s">
        <v>250</v>
      </c>
    </row>
    <row r="1004" ht="15.75" customHeight="1">
      <c r="A1004" s="4">
        <v>1016.0</v>
      </c>
      <c r="B1004" s="4" t="s">
        <v>1336</v>
      </c>
      <c r="C1004" s="4" t="s">
        <v>2858</v>
      </c>
      <c r="D1004" s="4" t="s">
        <v>2859</v>
      </c>
      <c r="E1004" s="4">
        <v>5.700550006E11</v>
      </c>
      <c r="F1004" s="4" t="s">
        <v>2860</v>
      </c>
      <c r="G1004" s="4" t="s">
        <v>247</v>
      </c>
      <c r="H1004" s="4" t="s">
        <v>248</v>
      </c>
      <c r="I1004" s="4" t="s">
        <v>249</v>
      </c>
      <c r="J1004" s="4" t="s">
        <v>250</v>
      </c>
    </row>
    <row r="1005" ht="15.75" customHeight="1">
      <c r="A1005" s="4">
        <v>1017.0</v>
      </c>
      <c r="B1005" s="4" t="s">
        <v>2861</v>
      </c>
      <c r="C1005" s="4" t="s">
        <v>961</v>
      </c>
      <c r="D1005" s="4" t="s">
        <v>870</v>
      </c>
      <c r="E1005" s="4">
        <v>5.70055000602E11</v>
      </c>
      <c r="F1005" s="4" t="s">
        <v>2862</v>
      </c>
      <c r="G1005" s="4" t="s">
        <v>12</v>
      </c>
      <c r="H1005" s="4" t="s">
        <v>248</v>
      </c>
      <c r="I1005" s="4" t="s">
        <v>249</v>
      </c>
      <c r="J1005" s="4" t="s">
        <v>250</v>
      </c>
    </row>
    <row r="1006" ht="15.75" customHeight="1">
      <c r="A1006" s="4">
        <v>1018.0</v>
      </c>
      <c r="B1006" s="4" t="s">
        <v>2863</v>
      </c>
      <c r="C1006" s="4" t="s">
        <v>1967</v>
      </c>
      <c r="D1006" s="4" t="s">
        <v>2480</v>
      </c>
      <c r="E1006" s="4">
        <v>5.70055000603E11</v>
      </c>
      <c r="F1006" s="4" t="s">
        <v>2864</v>
      </c>
      <c r="G1006" s="4" t="s">
        <v>70</v>
      </c>
      <c r="H1006" s="4" t="s">
        <v>248</v>
      </c>
      <c r="I1006" s="4" t="s">
        <v>249</v>
      </c>
      <c r="J1006" s="4" t="s">
        <v>250</v>
      </c>
    </row>
    <row r="1007" ht="15.75" customHeight="1">
      <c r="A1007" s="4">
        <v>1019.0</v>
      </c>
      <c r="B1007" s="4" t="s">
        <v>2773</v>
      </c>
      <c r="C1007" s="4" t="s">
        <v>2865</v>
      </c>
      <c r="D1007" s="4" t="s">
        <v>2866</v>
      </c>
      <c r="E1007" s="4">
        <v>5.70055000607E11</v>
      </c>
      <c r="F1007" s="4" t="s">
        <v>2867</v>
      </c>
      <c r="G1007" s="4" t="s">
        <v>247</v>
      </c>
      <c r="H1007" s="4" t="s">
        <v>248</v>
      </c>
      <c r="I1007" s="4" t="s">
        <v>249</v>
      </c>
      <c r="J1007" s="4" t="s">
        <v>250</v>
      </c>
    </row>
    <row r="1008" ht="15.75" customHeight="1">
      <c r="A1008" s="4">
        <v>1020.0</v>
      </c>
      <c r="B1008" s="4" t="s">
        <v>2473</v>
      </c>
      <c r="C1008" s="4" t="s">
        <v>2868</v>
      </c>
      <c r="D1008" s="4" t="s">
        <v>2869</v>
      </c>
      <c r="E1008" s="4">
        <v>5.70055000609E11</v>
      </c>
      <c r="F1008" s="4" t="s">
        <v>2870</v>
      </c>
      <c r="G1008" s="4" t="s">
        <v>12</v>
      </c>
      <c r="H1008" s="4" t="s">
        <v>248</v>
      </c>
      <c r="I1008" s="4" t="s">
        <v>249</v>
      </c>
      <c r="J1008" s="4" t="s">
        <v>250</v>
      </c>
    </row>
    <row r="1009" ht="15.75" customHeight="1">
      <c r="A1009" s="4">
        <v>1021.0</v>
      </c>
      <c r="B1009" s="4" t="s">
        <v>189</v>
      </c>
      <c r="C1009" s="4" t="s">
        <v>1657</v>
      </c>
      <c r="D1009" s="4" t="s">
        <v>2871</v>
      </c>
      <c r="E1009" s="4">
        <v>5.7005500061E11</v>
      </c>
      <c r="F1009" s="4" t="s">
        <v>2872</v>
      </c>
      <c r="G1009" s="4" t="s">
        <v>12</v>
      </c>
      <c r="H1009" s="4" t="s">
        <v>248</v>
      </c>
      <c r="I1009" s="4" t="s">
        <v>249</v>
      </c>
      <c r="J1009" s="4" t="s">
        <v>250</v>
      </c>
    </row>
    <row r="1010" ht="15.75" customHeight="1">
      <c r="A1010" s="4">
        <v>1022.0</v>
      </c>
      <c r="B1010" s="4" t="s">
        <v>2873</v>
      </c>
      <c r="C1010" s="4" t="s">
        <v>1426</v>
      </c>
      <c r="D1010" s="4" t="s">
        <v>2874</v>
      </c>
      <c r="E1010" s="4">
        <v>5.70055000611E11</v>
      </c>
      <c r="F1010" s="4" t="s">
        <v>2875</v>
      </c>
      <c r="G1010" s="4" t="s">
        <v>247</v>
      </c>
      <c r="H1010" s="4" t="s">
        <v>248</v>
      </c>
      <c r="I1010" s="4" t="s">
        <v>249</v>
      </c>
      <c r="J1010" s="4" t="s">
        <v>250</v>
      </c>
    </row>
    <row r="1011" ht="15.75" customHeight="1">
      <c r="A1011" s="4">
        <v>1023.0</v>
      </c>
      <c r="B1011" s="4" t="s">
        <v>2876</v>
      </c>
      <c r="C1011" s="4" t="s">
        <v>1469</v>
      </c>
      <c r="D1011" s="4" t="s">
        <v>2877</v>
      </c>
      <c r="E1011" s="4">
        <v>5.70055000612E11</v>
      </c>
      <c r="F1011" s="4" t="s">
        <v>2695</v>
      </c>
      <c r="G1011" s="4" t="s">
        <v>247</v>
      </c>
      <c r="H1011" s="4" t="s">
        <v>248</v>
      </c>
      <c r="I1011" s="4" t="s">
        <v>249</v>
      </c>
      <c r="J1011" s="4" t="s">
        <v>250</v>
      </c>
    </row>
    <row r="1012" ht="15.75" customHeight="1">
      <c r="A1012" s="4">
        <v>1024.0</v>
      </c>
      <c r="B1012" s="4" t="s">
        <v>2878</v>
      </c>
      <c r="C1012" s="4" t="s">
        <v>8</v>
      </c>
      <c r="D1012" s="4" t="s">
        <v>2579</v>
      </c>
      <c r="E1012" s="4">
        <v>5.70055000614E11</v>
      </c>
      <c r="F1012" s="4" t="s">
        <v>2879</v>
      </c>
      <c r="G1012" s="4" t="s">
        <v>247</v>
      </c>
      <c r="H1012" s="4" t="s">
        <v>248</v>
      </c>
      <c r="I1012" s="4" t="s">
        <v>249</v>
      </c>
      <c r="J1012" s="4" t="s">
        <v>250</v>
      </c>
    </row>
    <row r="1013" ht="15.75" customHeight="1">
      <c r="A1013" s="4">
        <v>1025.0</v>
      </c>
      <c r="B1013" s="4" t="s">
        <v>2880</v>
      </c>
      <c r="C1013" s="4" t="s">
        <v>2227</v>
      </c>
      <c r="D1013" s="4" t="s">
        <v>2881</v>
      </c>
      <c r="E1013" s="4">
        <v>5.70055000616E11</v>
      </c>
      <c r="F1013" s="4" t="s">
        <v>2882</v>
      </c>
      <c r="G1013" s="4" t="s">
        <v>70</v>
      </c>
      <c r="H1013" s="4" t="s">
        <v>248</v>
      </c>
      <c r="I1013" s="4" t="s">
        <v>249</v>
      </c>
      <c r="J1013" s="4" t="s">
        <v>250</v>
      </c>
    </row>
    <row r="1014" ht="15.75" customHeight="1">
      <c r="A1014" s="4">
        <v>1026.0</v>
      </c>
      <c r="B1014" s="4" t="s">
        <v>2883</v>
      </c>
      <c r="C1014" s="4" t="s">
        <v>189</v>
      </c>
      <c r="D1014" s="4" t="s">
        <v>2449</v>
      </c>
      <c r="E1014" s="4">
        <v>5.70055000624E11</v>
      </c>
      <c r="F1014" s="4" t="s">
        <v>2884</v>
      </c>
      <c r="G1014" s="4" t="s">
        <v>247</v>
      </c>
      <c r="H1014" s="4" t="s">
        <v>248</v>
      </c>
      <c r="I1014" s="4" t="s">
        <v>249</v>
      </c>
      <c r="J1014" s="4" t="s">
        <v>250</v>
      </c>
    </row>
    <row r="1015" ht="15.75" customHeight="1">
      <c r="A1015" s="4">
        <v>1027.0</v>
      </c>
      <c r="B1015" s="4" t="s">
        <v>2885</v>
      </c>
      <c r="C1015" s="4" t="s">
        <v>2515</v>
      </c>
      <c r="D1015" s="4" t="s">
        <v>2516</v>
      </c>
      <c r="E1015" s="4">
        <v>5.70055000626E11</v>
      </c>
      <c r="F1015" s="4" t="s">
        <v>2517</v>
      </c>
      <c r="G1015" s="4" t="s">
        <v>12</v>
      </c>
      <c r="H1015" s="4" t="s">
        <v>248</v>
      </c>
      <c r="I1015" s="4" t="s">
        <v>249</v>
      </c>
      <c r="J1015" s="4" t="s">
        <v>250</v>
      </c>
    </row>
    <row r="1016" ht="15.75" customHeight="1">
      <c r="A1016" s="4">
        <v>1028.0</v>
      </c>
      <c r="B1016" s="4" t="s">
        <v>2886</v>
      </c>
      <c r="C1016" s="4" t="s">
        <v>8</v>
      </c>
      <c r="D1016" s="4" t="s">
        <v>2887</v>
      </c>
      <c r="E1016" s="4">
        <v>5.70055000627E11</v>
      </c>
      <c r="F1016" s="4" t="s">
        <v>2888</v>
      </c>
      <c r="G1016" s="4" t="s">
        <v>247</v>
      </c>
      <c r="H1016" s="4" t="s">
        <v>248</v>
      </c>
      <c r="I1016" s="4" t="s">
        <v>249</v>
      </c>
      <c r="J1016" s="4" t="s">
        <v>250</v>
      </c>
    </row>
    <row r="1017" ht="15.75" customHeight="1">
      <c r="A1017" s="4">
        <v>1029.0</v>
      </c>
      <c r="B1017" s="4" t="s">
        <v>2539</v>
      </c>
      <c r="C1017" s="4" t="s">
        <v>1102</v>
      </c>
      <c r="D1017" s="4" t="s">
        <v>73</v>
      </c>
      <c r="E1017" s="4">
        <v>5.7005500063E11</v>
      </c>
      <c r="F1017" s="4" t="s">
        <v>2889</v>
      </c>
      <c r="G1017" s="4" t="s">
        <v>12</v>
      </c>
      <c r="H1017" s="4" t="s">
        <v>248</v>
      </c>
      <c r="I1017" s="4" t="s">
        <v>249</v>
      </c>
      <c r="J1017" s="4" t="s">
        <v>250</v>
      </c>
    </row>
    <row r="1018" ht="15.75" customHeight="1">
      <c r="A1018" s="4">
        <v>1030.0</v>
      </c>
      <c r="B1018" s="4" t="s">
        <v>1418</v>
      </c>
      <c r="C1018" s="4" t="s">
        <v>2025</v>
      </c>
      <c r="D1018" s="4" t="s">
        <v>123</v>
      </c>
      <c r="E1018" s="4">
        <v>5.70055000632E11</v>
      </c>
      <c r="F1018" s="4" t="s">
        <v>2890</v>
      </c>
      <c r="G1018" s="4" t="s">
        <v>247</v>
      </c>
      <c r="H1018" s="4" t="s">
        <v>248</v>
      </c>
      <c r="I1018" s="4" t="s">
        <v>249</v>
      </c>
      <c r="J1018" s="4" t="s">
        <v>250</v>
      </c>
    </row>
    <row r="1019" ht="15.75" customHeight="1">
      <c r="A1019" s="4">
        <v>1031.0</v>
      </c>
      <c r="B1019" s="4" t="s">
        <v>2891</v>
      </c>
      <c r="C1019" s="4" t="s">
        <v>1182</v>
      </c>
      <c r="D1019" s="4" t="s">
        <v>2892</v>
      </c>
      <c r="E1019" s="4">
        <v>5.70055000633E11</v>
      </c>
      <c r="F1019" s="4" t="s">
        <v>2893</v>
      </c>
      <c r="G1019" s="4" t="s">
        <v>247</v>
      </c>
      <c r="H1019" s="4" t="s">
        <v>248</v>
      </c>
      <c r="I1019" s="4" t="s">
        <v>249</v>
      </c>
      <c r="J1019" s="4" t="s">
        <v>250</v>
      </c>
    </row>
    <row r="1020" ht="15.75" customHeight="1">
      <c r="A1020" s="4">
        <v>1032.0</v>
      </c>
      <c r="B1020" s="4" t="s">
        <v>2894</v>
      </c>
      <c r="C1020" s="4" t="s">
        <v>2895</v>
      </c>
      <c r="D1020" s="4" t="s">
        <v>2896</v>
      </c>
      <c r="E1020" s="4">
        <v>5.70055000635E11</v>
      </c>
      <c r="F1020" s="4" t="s">
        <v>2897</v>
      </c>
      <c r="G1020" s="4" t="s">
        <v>20</v>
      </c>
      <c r="H1020" s="4" t="s">
        <v>248</v>
      </c>
      <c r="I1020" s="4" t="s">
        <v>249</v>
      </c>
      <c r="J1020" s="4" t="s">
        <v>250</v>
      </c>
    </row>
    <row r="1021" ht="15.75" customHeight="1">
      <c r="A1021" s="4">
        <v>1033.0</v>
      </c>
      <c r="B1021" s="4" t="s">
        <v>2635</v>
      </c>
      <c r="C1021" s="4" t="s">
        <v>2206</v>
      </c>
      <c r="D1021" s="4" t="s">
        <v>2898</v>
      </c>
      <c r="E1021" s="4">
        <v>5.70055000644E11</v>
      </c>
      <c r="F1021" s="4" t="s">
        <v>2899</v>
      </c>
      <c r="G1021" s="4" t="s">
        <v>247</v>
      </c>
      <c r="H1021" s="4" t="s">
        <v>248</v>
      </c>
      <c r="I1021" s="4" t="s">
        <v>249</v>
      </c>
      <c r="J1021" s="4" t="s">
        <v>250</v>
      </c>
    </row>
    <row r="1022" ht="15.75" customHeight="1">
      <c r="A1022" s="4">
        <v>1034.0</v>
      </c>
      <c r="B1022" s="4" t="s">
        <v>2900</v>
      </c>
      <c r="C1022" s="4" t="s">
        <v>1682</v>
      </c>
      <c r="D1022" s="4" t="s">
        <v>18</v>
      </c>
      <c r="E1022" s="4">
        <v>5.70055000645E11</v>
      </c>
      <c r="F1022" s="4" t="s">
        <v>2901</v>
      </c>
      <c r="G1022" s="4" t="s">
        <v>247</v>
      </c>
      <c r="H1022" s="4" t="s">
        <v>248</v>
      </c>
      <c r="I1022" s="4" t="s">
        <v>249</v>
      </c>
      <c r="J1022" s="4" t="s">
        <v>250</v>
      </c>
    </row>
    <row r="1023" ht="15.75" customHeight="1">
      <c r="A1023" s="4">
        <v>1035.0</v>
      </c>
      <c r="B1023" s="4" t="s">
        <v>2902</v>
      </c>
      <c r="C1023" s="4" t="s">
        <v>1625</v>
      </c>
      <c r="D1023" s="4" t="s">
        <v>2903</v>
      </c>
      <c r="E1023" s="4">
        <v>5.70055000646E11</v>
      </c>
      <c r="F1023" s="4" t="s">
        <v>2904</v>
      </c>
      <c r="G1023" s="4" t="s">
        <v>247</v>
      </c>
      <c r="H1023" s="4" t="s">
        <v>248</v>
      </c>
      <c r="I1023" s="4" t="s">
        <v>249</v>
      </c>
      <c r="J1023" s="4" t="s">
        <v>250</v>
      </c>
    </row>
    <row r="1024" ht="15.75" customHeight="1">
      <c r="A1024" s="4">
        <v>1036.0</v>
      </c>
      <c r="B1024" s="4" t="s">
        <v>2744</v>
      </c>
      <c r="C1024" s="4" t="s">
        <v>957</v>
      </c>
      <c r="D1024" s="4" t="s">
        <v>2905</v>
      </c>
      <c r="E1024" s="4">
        <v>5.70055000649E11</v>
      </c>
      <c r="F1024" s="4" t="s">
        <v>2906</v>
      </c>
      <c r="G1024" s="4" t="s">
        <v>247</v>
      </c>
      <c r="H1024" s="4" t="s">
        <v>248</v>
      </c>
      <c r="I1024" s="4" t="s">
        <v>249</v>
      </c>
      <c r="J1024" s="4" t="s">
        <v>250</v>
      </c>
    </row>
    <row r="1025" ht="15.75" customHeight="1">
      <c r="A1025" s="4">
        <v>1037.0</v>
      </c>
      <c r="B1025" s="4" t="s">
        <v>2907</v>
      </c>
      <c r="C1025" s="4" t="s">
        <v>2908</v>
      </c>
      <c r="D1025" s="4" t="s">
        <v>2497</v>
      </c>
      <c r="E1025" s="4">
        <v>5.70055000651E11</v>
      </c>
      <c r="F1025" s="4" t="s">
        <v>2909</v>
      </c>
      <c r="G1025" s="4" t="s">
        <v>12</v>
      </c>
      <c r="H1025" s="4" t="s">
        <v>248</v>
      </c>
      <c r="I1025" s="4" t="s">
        <v>249</v>
      </c>
      <c r="J1025" s="4" t="s">
        <v>250</v>
      </c>
    </row>
    <row r="1026" ht="15.75" customHeight="1">
      <c r="A1026" s="4">
        <v>1038.0</v>
      </c>
      <c r="B1026" s="4" t="s">
        <v>2910</v>
      </c>
      <c r="C1026" s="4" t="s">
        <v>2911</v>
      </c>
      <c r="D1026" s="4" t="s">
        <v>2912</v>
      </c>
      <c r="E1026" s="4">
        <v>5.70055000653E11</v>
      </c>
      <c r="F1026" s="4" t="s">
        <v>2913</v>
      </c>
      <c r="G1026" s="4" t="s">
        <v>12</v>
      </c>
      <c r="H1026" s="4" t="s">
        <v>248</v>
      </c>
      <c r="I1026" s="4" t="s">
        <v>249</v>
      </c>
      <c r="J1026" s="4" t="s">
        <v>250</v>
      </c>
    </row>
    <row r="1027" ht="15.75" customHeight="1">
      <c r="A1027" s="4">
        <v>1039.0</v>
      </c>
      <c r="B1027" s="4" t="s">
        <v>2914</v>
      </c>
      <c r="C1027" s="4" t="s">
        <v>2915</v>
      </c>
      <c r="D1027" s="4" t="s">
        <v>2916</v>
      </c>
      <c r="E1027" s="4">
        <v>5.70055000656E11</v>
      </c>
      <c r="F1027" s="4" t="s">
        <v>2917</v>
      </c>
      <c r="G1027" s="4" t="s">
        <v>247</v>
      </c>
      <c r="H1027" s="4" t="s">
        <v>248</v>
      </c>
      <c r="I1027" s="4" t="s">
        <v>249</v>
      </c>
      <c r="J1027" s="4" t="s">
        <v>250</v>
      </c>
    </row>
    <row r="1028" ht="15.75" customHeight="1">
      <c r="A1028" s="4">
        <v>1040.0</v>
      </c>
      <c r="B1028" s="4" t="s">
        <v>2918</v>
      </c>
      <c r="C1028" s="4" t="s">
        <v>1186</v>
      </c>
      <c r="D1028" s="4" t="s">
        <v>2919</v>
      </c>
      <c r="E1028" s="4">
        <v>5.70055000657E11</v>
      </c>
      <c r="F1028" s="4" t="s">
        <v>2920</v>
      </c>
      <c r="G1028" s="4" t="s">
        <v>70</v>
      </c>
      <c r="H1028" s="4" t="s">
        <v>248</v>
      </c>
      <c r="I1028" s="4" t="s">
        <v>249</v>
      </c>
      <c r="J1028" s="4" t="s">
        <v>250</v>
      </c>
    </row>
    <row r="1029" ht="15.75" customHeight="1">
      <c r="A1029" s="4">
        <v>1041.0</v>
      </c>
      <c r="B1029" s="4" t="s">
        <v>2921</v>
      </c>
      <c r="C1029" s="4" t="s">
        <v>1491</v>
      </c>
      <c r="D1029" s="4" t="s">
        <v>2922</v>
      </c>
      <c r="E1029" s="4">
        <v>5.70055000659E11</v>
      </c>
      <c r="F1029" s="4" t="s">
        <v>2923</v>
      </c>
      <c r="G1029" s="4" t="s">
        <v>247</v>
      </c>
      <c r="H1029" s="4" t="s">
        <v>248</v>
      </c>
      <c r="I1029" s="4" t="s">
        <v>249</v>
      </c>
      <c r="J1029" s="4" t="s">
        <v>250</v>
      </c>
    </row>
    <row r="1030" ht="15.75" customHeight="1">
      <c r="A1030" s="4">
        <v>1042.0</v>
      </c>
      <c r="B1030" s="4" t="s">
        <v>2924</v>
      </c>
      <c r="C1030" s="4" t="s">
        <v>2925</v>
      </c>
      <c r="D1030" s="4" t="s">
        <v>2926</v>
      </c>
      <c r="E1030" s="4">
        <v>5.7005500066E11</v>
      </c>
      <c r="F1030" s="4" t="s">
        <v>2927</v>
      </c>
      <c r="G1030" s="4" t="s">
        <v>2335</v>
      </c>
      <c r="H1030" s="4" t="s">
        <v>248</v>
      </c>
      <c r="I1030" s="4" t="s">
        <v>249</v>
      </c>
      <c r="J1030" s="4" t="s">
        <v>250</v>
      </c>
    </row>
    <row r="1031" ht="15.75" customHeight="1">
      <c r="A1031" s="4">
        <v>1043.0</v>
      </c>
      <c r="B1031" s="4" t="s">
        <v>2928</v>
      </c>
      <c r="C1031" s="4" t="s">
        <v>2462</v>
      </c>
      <c r="D1031" s="4" t="s">
        <v>2263</v>
      </c>
      <c r="E1031" s="4">
        <v>5.70055000664E11</v>
      </c>
      <c r="F1031" s="4" t="s">
        <v>2929</v>
      </c>
      <c r="G1031" s="4" t="s">
        <v>247</v>
      </c>
      <c r="H1031" s="4" t="s">
        <v>248</v>
      </c>
      <c r="I1031" s="4" t="s">
        <v>249</v>
      </c>
      <c r="J1031" s="4" t="s">
        <v>250</v>
      </c>
    </row>
    <row r="1032" ht="15.75" customHeight="1">
      <c r="A1032" s="4">
        <v>1045.0</v>
      </c>
      <c r="B1032" s="4" t="s">
        <v>2930</v>
      </c>
      <c r="C1032" s="4" t="s">
        <v>2393</v>
      </c>
      <c r="D1032" s="4" t="s">
        <v>1636</v>
      </c>
      <c r="E1032" s="4">
        <v>5.70055000671E11</v>
      </c>
      <c r="F1032" s="4" t="s">
        <v>2931</v>
      </c>
      <c r="G1032" s="4" t="s">
        <v>441</v>
      </c>
      <c r="H1032" s="4" t="s">
        <v>248</v>
      </c>
      <c r="I1032" s="4" t="s">
        <v>249</v>
      </c>
      <c r="J1032" s="4" t="s">
        <v>250</v>
      </c>
    </row>
    <row r="1033" ht="15.75" customHeight="1">
      <c r="A1033" s="4">
        <v>1046.0</v>
      </c>
      <c r="B1033" s="4" t="s">
        <v>2932</v>
      </c>
      <c r="C1033" s="4" t="s">
        <v>2933</v>
      </c>
      <c r="D1033" s="4" t="s">
        <v>2934</v>
      </c>
      <c r="E1033" s="4">
        <v>5.70055000496E11</v>
      </c>
      <c r="F1033" s="4" t="s">
        <v>2935</v>
      </c>
      <c r="G1033" s="4" t="s">
        <v>441</v>
      </c>
      <c r="H1033" s="4" t="s">
        <v>248</v>
      </c>
      <c r="I1033" s="4" t="s">
        <v>249</v>
      </c>
      <c r="J1033" s="4" t="s">
        <v>250</v>
      </c>
    </row>
    <row r="1034" ht="15.75" customHeight="1">
      <c r="A1034" s="4">
        <v>1047.0</v>
      </c>
      <c r="B1034" s="4" t="s">
        <v>2900</v>
      </c>
      <c r="C1034" s="4" t="s">
        <v>2936</v>
      </c>
      <c r="D1034" s="4" t="s">
        <v>2937</v>
      </c>
      <c r="E1034" s="4">
        <v>5.70055000599E11</v>
      </c>
      <c r="F1034" s="4" t="s">
        <v>2938</v>
      </c>
      <c r="G1034" s="4" t="s">
        <v>12</v>
      </c>
      <c r="H1034" s="4" t="s">
        <v>248</v>
      </c>
      <c r="I1034" s="4" t="s">
        <v>249</v>
      </c>
      <c r="J1034" s="4" t="s">
        <v>250</v>
      </c>
    </row>
    <row r="1035" ht="15.75" customHeight="1">
      <c r="A1035" s="4">
        <v>1048.0</v>
      </c>
      <c r="B1035" s="4" t="s">
        <v>2939</v>
      </c>
      <c r="C1035" s="4" t="s">
        <v>2940</v>
      </c>
      <c r="D1035" s="4" t="s">
        <v>2633</v>
      </c>
      <c r="E1035" s="4">
        <v>5.700555544896E12</v>
      </c>
      <c r="F1035" s="4" t="s">
        <v>2941</v>
      </c>
      <c r="G1035" s="4" t="s">
        <v>70</v>
      </c>
      <c r="H1035" s="4" t="s">
        <v>248</v>
      </c>
      <c r="I1035" s="4" t="s">
        <v>249</v>
      </c>
      <c r="J1035" s="4" t="s">
        <v>250</v>
      </c>
    </row>
    <row r="1036" ht="15.75" customHeight="1">
      <c r="A1036" s="4">
        <v>1049.0</v>
      </c>
      <c r="B1036" s="4" t="s">
        <v>2942</v>
      </c>
      <c r="C1036" s="4" t="s">
        <v>129</v>
      </c>
      <c r="D1036" s="4" t="s">
        <v>2943</v>
      </c>
      <c r="E1036" s="4">
        <v>5.700555544897E12</v>
      </c>
      <c r="F1036" s="4" t="s">
        <v>2944</v>
      </c>
      <c r="G1036" s="4" t="s">
        <v>12</v>
      </c>
      <c r="H1036" s="4" t="s">
        <v>2945</v>
      </c>
      <c r="I1036" s="4" t="s">
        <v>2582</v>
      </c>
      <c r="J1036" s="4" t="s">
        <v>249</v>
      </c>
      <c r="K1036" s="4" t="s">
        <v>250</v>
      </c>
    </row>
    <row r="1037" ht="15.75" customHeight="1">
      <c r="A1037" s="4">
        <v>1050.0</v>
      </c>
      <c r="B1037" s="4" t="s">
        <v>2946</v>
      </c>
      <c r="C1037" s="4" t="s">
        <v>2947</v>
      </c>
      <c r="D1037" s="4" t="s">
        <v>2948</v>
      </c>
      <c r="E1037" s="4">
        <v>5.7005555449E11</v>
      </c>
      <c r="F1037" s="4" t="s">
        <v>2949</v>
      </c>
      <c r="G1037" s="4" t="s">
        <v>12</v>
      </c>
      <c r="H1037" s="4" t="s">
        <v>248</v>
      </c>
      <c r="I1037" s="4" t="s">
        <v>249</v>
      </c>
      <c r="J1037" s="4" t="s">
        <v>250</v>
      </c>
    </row>
    <row r="1038" ht="15.75" customHeight="1">
      <c r="A1038" s="4">
        <v>1051.0</v>
      </c>
      <c r="B1038" s="4" t="s">
        <v>2950</v>
      </c>
      <c r="C1038" s="4" t="s">
        <v>2951</v>
      </c>
      <c r="D1038" s="4" t="s">
        <v>2952</v>
      </c>
      <c r="E1038" s="4">
        <v>5.700555544902E12</v>
      </c>
      <c r="F1038" s="4" t="s">
        <v>2953</v>
      </c>
      <c r="G1038" s="4" t="s">
        <v>2335</v>
      </c>
      <c r="H1038" s="4" t="s">
        <v>248</v>
      </c>
      <c r="I1038" s="4" t="s">
        <v>249</v>
      </c>
      <c r="J1038" s="4" t="s">
        <v>250</v>
      </c>
    </row>
    <row r="1039" ht="15.75" customHeight="1">
      <c r="A1039" s="4">
        <v>1052.0</v>
      </c>
      <c r="B1039" s="4" t="s">
        <v>2954</v>
      </c>
      <c r="C1039" s="4" t="s">
        <v>2955</v>
      </c>
      <c r="D1039" s="4" t="s">
        <v>2956</v>
      </c>
      <c r="E1039" s="4">
        <v>5.700555544903E12</v>
      </c>
      <c r="F1039" s="4" t="s">
        <v>2580</v>
      </c>
      <c r="G1039" s="4" t="s">
        <v>25</v>
      </c>
      <c r="H1039" s="4" t="s">
        <v>248</v>
      </c>
      <c r="I1039" s="4" t="s">
        <v>2582</v>
      </c>
      <c r="J1039" s="4" t="s">
        <v>249</v>
      </c>
      <c r="K1039" s="4" t="s">
        <v>250</v>
      </c>
    </row>
    <row r="1040" ht="15.75" customHeight="1">
      <c r="A1040" s="4">
        <v>1053.0</v>
      </c>
      <c r="B1040" s="4" t="s">
        <v>2957</v>
      </c>
      <c r="C1040" s="4" t="s">
        <v>2958</v>
      </c>
      <c r="D1040" s="4" t="s">
        <v>2959</v>
      </c>
      <c r="E1040" s="4">
        <v>5.700555544909E12</v>
      </c>
      <c r="F1040" s="4" t="s">
        <v>2960</v>
      </c>
      <c r="G1040" s="4" t="s">
        <v>12</v>
      </c>
      <c r="H1040" s="4" t="s">
        <v>248</v>
      </c>
      <c r="I1040" s="4" t="s">
        <v>249</v>
      </c>
      <c r="J1040" s="4" t="s">
        <v>250</v>
      </c>
    </row>
    <row r="1041" ht="15.75" customHeight="1">
      <c r="A1041" s="4">
        <v>1054.0</v>
      </c>
      <c r="B1041" s="4" t="s">
        <v>2961</v>
      </c>
      <c r="C1041" s="4" t="s">
        <v>2962</v>
      </c>
      <c r="D1041" s="4" t="s">
        <v>2195</v>
      </c>
      <c r="E1041" s="4">
        <v>5.70055554491E12</v>
      </c>
      <c r="F1041" s="4" t="s">
        <v>2963</v>
      </c>
      <c r="G1041" s="4" t="s">
        <v>2335</v>
      </c>
      <c r="H1041" s="4" t="s">
        <v>248</v>
      </c>
      <c r="I1041" s="4" t="s">
        <v>249</v>
      </c>
      <c r="J1041" s="4" t="s">
        <v>250</v>
      </c>
    </row>
    <row r="1042" ht="15.75" customHeight="1">
      <c r="A1042" s="4">
        <v>1055.0</v>
      </c>
      <c r="B1042" s="4" t="s">
        <v>2964</v>
      </c>
      <c r="C1042" s="4" t="s">
        <v>1162</v>
      </c>
      <c r="D1042" s="4" t="s">
        <v>2965</v>
      </c>
      <c r="E1042" s="4">
        <v>5.700555544911E12</v>
      </c>
      <c r="F1042" s="4" t="s">
        <v>2966</v>
      </c>
      <c r="G1042" s="4" t="s">
        <v>25</v>
      </c>
      <c r="H1042" s="4" t="s">
        <v>2967</v>
      </c>
      <c r="I1042" s="4" t="s">
        <v>2582</v>
      </c>
      <c r="J1042" s="4" t="s">
        <v>249</v>
      </c>
      <c r="K1042" s="4" t="s">
        <v>250</v>
      </c>
    </row>
    <row r="1043" ht="15.75" customHeight="1">
      <c r="A1043" s="4">
        <v>1056.0</v>
      </c>
      <c r="B1043" s="4" t="s">
        <v>2635</v>
      </c>
      <c r="C1043" s="4" t="s">
        <v>222</v>
      </c>
      <c r="D1043" s="4" t="s">
        <v>2968</v>
      </c>
      <c r="E1043" s="4">
        <v>5.700555544912E12</v>
      </c>
      <c r="F1043" s="4" t="s">
        <v>2969</v>
      </c>
      <c r="G1043" s="4" t="s">
        <v>441</v>
      </c>
      <c r="H1043" s="4" t="s">
        <v>248</v>
      </c>
      <c r="I1043" s="4" t="s">
        <v>249</v>
      </c>
      <c r="J1043" s="4" t="s">
        <v>250</v>
      </c>
    </row>
    <row r="1044" ht="15.75" customHeight="1">
      <c r="A1044" s="4">
        <v>1057.0</v>
      </c>
      <c r="B1044" s="4" t="s">
        <v>1995</v>
      </c>
      <c r="C1044" s="4" t="s">
        <v>2015</v>
      </c>
      <c r="D1044" s="4" t="s">
        <v>2970</v>
      </c>
      <c r="E1044" s="4">
        <v>5.7005555449E12</v>
      </c>
      <c r="F1044" s="4" t="s">
        <v>2971</v>
      </c>
      <c r="G1044" s="4" t="s">
        <v>2972</v>
      </c>
      <c r="H1044" s="4" t="s">
        <v>2973</v>
      </c>
      <c r="I1044" s="4" t="s">
        <v>2582</v>
      </c>
      <c r="J1044" s="4" t="s">
        <v>249</v>
      </c>
      <c r="K1044" s="4" t="s">
        <v>250</v>
      </c>
    </row>
    <row r="1045" ht="15.75" customHeight="1">
      <c r="A1045" s="4">
        <v>1058.0</v>
      </c>
      <c r="B1045" s="4" t="s">
        <v>2974</v>
      </c>
      <c r="C1045" s="4" t="s">
        <v>1246</v>
      </c>
      <c r="D1045" s="4" t="s">
        <v>2975</v>
      </c>
      <c r="E1045" s="4">
        <v>5.70055000108E11</v>
      </c>
      <c r="F1045" s="4" t="s">
        <v>2976</v>
      </c>
      <c r="G1045" s="4" t="s">
        <v>247</v>
      </c>
      <c r="H1045" s="4" t="s">
        <v>2977</v>
      </c>
      <c r="I1045" s="4" t="s">
        <v>2582</v>
      </c>
      <c r="J1045" s="4" t="s">
        <v>249</v>
      </c>
      <c r="K1045" s="4" t="s">
        <v>250</v>
      </c>
    </row>
    <row r="1046" ht="15.75" customHeight="1">
      <c r="A1046" s="4">
        <v>1059.0</v>
      </c>
      <c r="B1046" s="4" t="s">
        <v>211</v>
      </c>
      <c r="C1046" s="4" t="s">
        <v>1390</v>
      </c>
      <c r="D1046" s="4" t="s">
        <v>2922</v>
      </c>
      <c r="E1046" s="4">
        <v>5.70055000198E11</v>
      </c>
      <c r="F1046" s="4" t="s">
        <v>2978</v>
      </c>
      <c r="G1046" s="4" t="s">
        <v>247</v>
      </c>
      <c r="H1046" s="4" t="s">
        <v>248</v>
      </c>
      <c r="I1046" s="4" t="s">
        <v>249</v>
      </c>
      <c r="J1046" s="4" t="s">
        <v>250</v>
      </c>
    </row>
    <row r="1047" ht="15.75" customHeight="1">
      <c r="A1047" s="4">
        <v>1060.0</v>
      </c>
      <c r="B1047" s="4" t="s">
        <v>2979</v>
      </c>
      <c r="C1047" s="4" t="s">
        <v>1076</v>
      </c>
      <c r="D1047" s="4" t="s">
        <v>2968</v>
      </c>
      <c r="E1047" s="4">
        <v>5.70055000212E11</v>
      </c>
      <c r="F1047" s="4" t="s">
        <v>2980</v>
      </c>
      <c r="G1047" s="4" t="s">
        <v>12</v>
      </c>
      <c r="H1047" s="4" t="s">
        <v>2981</v>
      </c>
      <c r="I1047" s="4" t="s">
        <v>2582</v>
      </c>
      <c r="J1047" s="4" t="s">
        <v>249</v>
      </c>
      <c r="K1047" s="4" t="s">
        <v>250</v>
      </c>
    </row>
    <row r="1048" ht="15.75" customHeight="1">
      <c r="A1048" s="4">
        <v>1061.0</v>
      </c>
      <c r="B1048" s="4" t="s">
        <v>2982</v>
      </c>
      <c r="C1048" s="4" t="s">
        <v>2496</v>
      </c>
      <c r="D1048" s="4" t="s">
        <v>2983</v>
      </c>
      <c r="E1048" s="4">
        <v>5.70055000222E11</v>
      </c>
      <c r="F1048" s="4" t="s">
        <v>2984</v>
      </c>
      <c r="G1048" s="4" t="s">
        <v>247</v>
      </c>
      <c r="H1048" s="4" t="s">
        <v>248</v>
      </c>
      <c r="I1048" s="4" t="s">
        <v>249</v>
      </c>
      <c r="J1048" s="4" t="s">
        <v>250</v>
      </c>
    </row>
    <row r="1049" ht="15.75" customHeight="1">
      <c r="A1049" s="4">
        <v>1062.0</v>
      </c>
      <c r="B1049" s="4" t="s">
        <v>2795</v>
      </c>
      <c r="C1049" s="4" t="s">
        <v>1233</v>
      </c>
      <c r="D1049" s="4" t="s">
        <v>2985</v>
      </c>
      <c r="E1049" s="4">
        <v>5.70055000362E11</v>
      </c>
      <c r="F1049" s="4" t="s">
        <v>2986</v>
      </c>
      <c r="G1049" s="4" t="s">
        <v>12</v>
      </c>
      <c r="H1049" s="4" t="s">
        <v>2987</v>
      </c>
      <c r="I1049" s="4" t="s">
        <v>2582</v>
      </c>
      <c r="J1049" s="4" t="s">
        <v>249</v>
      </c>
      <c r="K1049" s="4" t="s">
        <v>250</v>
      </c>
    </row>
    <row r="1050" ht="15.75" customHeight="1">
      <c r="A1050" s="4">
        <v>1063.0</v>
      </c>
      <c r="B1050" s="4" t="s">
        <v>2988</v>
      </c>
      <c r="C1050" s="4" t="s">
        <v>1398</v>
      </c>
      <c r="D1050" s="4" t="s">
        <v>1100</v>
      </c>
      <c r="E1050" s="4">
        <v>5.70055000528E11</v>
      </c>
      <c r="F1050" s="4" t="s">
        <v>2989</v>
      </c>
      <c r="G1050" s="4" t="s">
        <v>247</v>
      </c>
      <c r="H1050" s="4" t="s">
        <v>2990</v>
      </c>
      <c r="I1050" s="4" t="s">
        <v>2582</v>
      </c>
      <c r="J1050" s="4" t="s">
        <v>249</v>
      </c>
      <c r="K1050" s="4" t="s">
        <v>250</v>
      </c>
    </row>
    <row r="1051" ht="15.75" customHeight="1">
      <c r="A1051" s="4">
        <v>1064.0</v>
      </c>
      <c r="B1051" s="4" t="s">
        <v>822</v>
      </c>
      <c r="C1051" s="4" t="s">
        <v>2108</v>
      </c>
      <c r="D1051" s="4" t="s">
        <v>2991</v>
      </c>
      <c r="E1051" s="4">
        <v>5.70055000549E11</v>
      </c>
      <c r="F1051" s="4" t="s">
        <v>2992</v>
      </c>
      <c r="G1051" s="4" t="s">
        <v>247</v>
      </c>
      <c r="H1051" s="4" t="s">
        <v>248</v>
      </c>
      <c r="I1051" s="4" t="s">
        <v>249</v>
      </c>
      <c r="J1051" s="4" t="s">
        <v>250</v>
      </c>
    </row>
    <row r="1052" ht="15.75" customHeight="1">
      <c r="A1052" s="4">
        <v>1065.0</v>
      </c>
      <c r="B1052" s="4" t="s">
        <v>2993</v>
      </c>
      <c r="C1052" s="4" t="s">
        <v>2177</v>
      </c>
      <c r="D1052" s="4" t="s">
        <v>2994</v>
      </c>
      <c r="E1052" s="4">
        <v>5.70055000678E11</v>
      </c>
      <c r="F1052" s="4" t="s">
        <v>2995</v>
      </c>
      <c r="G1052" s="4" t="s">
        <v>12</v>
      </c>
      <c r="H1052" s="4" t="s">
        <v>2996</v>
      </c>
      <c r="I1052" s="4" t="s">
        <v>2582</v>
      </c>
      <c r="J1052" s="4" t="s">
        <v>249</v>
      </c>
      <c r="K1052" s="4" t="s">
        <v>250</v>
      </c>
    </row>
    <row r="1053" ht="15.75" customHeight="1">
      <c r="A1053" s="4">
        <v>1066.0</v>
      </c>
      <c r="B1053" s="4" t="s">
        <v>2997</v>
      </c>
      <c r="C1053" s="4" t="s">
        <v>182</v>
      </c>
      <c r="D1053" s="4" t="s">
        <v>2998</v>
      </c>
      <c r="E1053" s="4">
        <v>5.70055000681E11</v>
      </c>
      <c r="F1053" s="4" t="s">
        <v>2999</v>
      </c>
      <c r="G1053" s="4" t="s">
        <v>247</v>
      </c>
      <c r="H1053" s="4" t="s">
        <v>248</v>
      </c>
      <c r="I1053" s="4" t="s">
        <v>249</v>
      </c>
      <c r="J1053" s="4" t="s">
        <v>250</v>
      </c>
    </row>
    <row r="1054" ht="15.75" customHeight="1">
      <c r="A1054" s="4">
        <v>1067.0</v>
      </c>
      <c r="B1054" s="4" t="s">
        <v>3000</v>
      </c>
      <c r="C1054" s="4" t="s">
        <v>1967</v>
      </c>
      <c r="D1054" s="4" t="s">
        <v>2480</v>
      </c>
      <c r="E1054" s="4">
        <v>5.70055000682E11</v>
      </c>
      <c r="F1054" s="4" t="s">
        <v>3001</v>
      </c>
      <c r="G1054" s="4" t="s">
        <v>12</v>
      </c>
      <c r="H1054" s="4" t="s">
        <v>248</v>
      </c>
      <c r="I1054" s="4" t="s">
        <v>249</v>
      </c>
      <c r="J1054" s="4" t="s">
        <v>250</v>
      </c>
    </row>
    <row r="1055" ht="15.75" customHeight="1">
      <c r="A1055" s="4">
        <v>1068.0</v>
      </c>
      <c r="B1055" s="4" t="s">
        <v>3002</v>
      </c>
      <c r="C1055" s="4" t="s">
        <v>91</v>
      </c>
      <c r="D1055" s="4" t="s">
        <v>2474</v>
      </c>
      <c r="E1055" s="4">
        <v>5.70055000683E11</v>
      </c>
      <c r="F1055" s="4" t="s">
        <v>3003</v>
      </c>
      <c r="G1055" s="4" t="s">
        <v>25</v>
      </c>
      <c r="H1055" s="4" t="s">
        <v>248</v>
      </c>
      <c r="I1055" s="4" t="s">
        <v>249</v>
      </c>
      <c r="J1055" s="4" t="s">
        <v>250</v>
      </c>
    </row>
    <row r="1056" ht="15.75" customHeight="1">
      <c r="A1056" s="4">
        <v>1069.0</v>
      </c>
      <c r="B1056" s="4" t="s">
        <v>240</v>
      </c>
      <c r="C1056" s="4" t="s">
        <v>3004</v>
      </c>
      <c r="D1056" s="4" t="s">
        <v>3005</v>
      </c>
      <c r="E1056" s="4">
        <v>5.70055000685E11</v>
      </c>
      <c r="F1056" s="4" t="s">
        <v>3006</v>
      </c>
      <c r="G1056" s="4" t="s">
        <v>12</v>
      </c>
      <c r="H1056" s="4" t="s">
        <v>3007</v>
      </c>
      <c r="I1056" s="4" t="s">
        <v>2582</v>
      </c>
      <c r="J1056" s="4" t="s">
        <v>249</v>
      </c>
      <c r="K1056" s="4" t="s">
        <v>250</v>
      </c>
    </row>
    <row r="1057" ht="15.75" customHeight="1">
      <c r="A1057" s="4">
        <v>1070.0</v>
      </c>
      <c r="B1057" s="4" t="s">
        <v>3008</v>
      </c>
      <c r="C1057" s="4" t="s">
        <v>155</v>
      </c>
      <c r="D1057" s="4" t="s">
        <v>863</v>
      </c>
      <c r="E1057" s="4">
        <v>5.70055000688E11</v>
      </c>
      <c r="F1057" s="4" t="s">
        <v>3009</v>
      </c>
      <c r="G1057" s="4" t="s">
        <v>247</v>
      </c>
      <c r="H1057" s="4" t="s">
        <v>248</v>
      </c>
      <c r="I1057" s="4" t="s">
        <v>249</v>
      </c>
      <c r="J1057" s="4" t="s">
        <v>250</v>
      </c>
    </row>
    <row r="1058" ht="15.75" customHeight="1">
      <c r="A1058" s="4">
        <v>1071.0</v>
      </c>
      <c r="B1058" s="4" t="s">
        <v>3010</v>
      </c>
      <c r="C1058" s="4" t="s">
        <v>1398</v>
      </c>
      <c r="D1058" s="4" t="s">
        <v>3011</v>
      </c>
      <c r="E1058" s="4">
        <v>5.70055000691E11</v>
      </c>
      <c r="F1058" s="4" t="s">
        <v>3012</v>
      </c>
      <c r="G1058" s="4" t="s">
        <v>247</v>
      </c>
      <c r="H1058" s="4" t="s">
        <v>3013</v>
      </c>
      <c r="I1058" s="4" t="s">
        <v>2582</v>
      </c>
      <c r="J1058" s="4" t="s">
        <v>249</v>
      </c>
      <c r="K1058" s="4" t="s">
        <v>250</v>
      </c>
    </row>
    <row r="1059" ht="15.75" customHeight="1">
      <c r="A1059" s="4">
        <v>1072.0</v>
      </c>
      <c r="B1059" s="4" t="s">
        <v>3014</v>
      </c>
      <c r="C1059" s="4" t="s">
        <v>3015</v>
      </c>
      <c r="D1059" s="4" t="s">
        <v>3016</v>
      </c>
      <c r="E1059" s="4">
        <v>5.70055000692E11</v>
      </c>
      <c r="F1059" s="4" t="s">
        <v>3017</v>
      </c>
      <c r="G1059" s="4" t="s">
        <v>247</v>
      </c>
      <c r="H1059" s="4" t="s">
        <v>3018</v>
      </c>
      <c r="I1059" s="4" t="s">
        <v>2582</v>
      </c>
      <c r="J1059" s="4" t="s">
        <v>249</v>
      </c>
      <c r="K1059" s="4" t="s">
        <v>250</v>
      </c>
    </row>
    <row r="1060" ht="15.75" customHeight="1">
      <c r="A1060" s="4">
        <v>1073.0</v>
      </c>
      <c r="B1060" s="4" t="s">
        <v>2624</v>
      </c>
      <c r="C1060" s="4" t="s">
        <v>1257</v>
      </c>
      <c r="D1060" s="4" t="s">
        <v>2968</v>
      </c>
      <c r="E1060" s="4">
        <v>5.70055000699E11</v>
      </c>
      <c r="F1060" s="4" t="s">
        <v>3019</v>
      </c>
      <c r="G1060" s="4" t="s">
        <v>247</v>
      </c>
      <c r="H1060" s="4" t="s">
        <v>3020</v>
      </c>
      <c r="I1060" s="4" t="s">
        <v>2582</v>
      </c>
      <c r="J1060" s="4" t="s">
        <v>249</v>
      </c>
      <c r="K1060" s="4" t="s">
        <v>250</v>
      </c>
    </row>
    <row r="1061" ht="15.75" customHeight="1">
      <c r="A1061" s="4">
        <v>1074.0</v>
      </c>
      <c r="B1061" s="4" t="s">
        <v>3021</v>
      </c>
      <c r="C1061" s="4" t="s">
        <v>160</v>
      </c>
      <c r="D1061" s="4" t="s">
        <v>3022</v>
      </c>
      <c r="E1061" s="4">
        <v>5.70055000707E11</v>
      </c>
      <c r="F1061" s="4" t="s">
        <v>3023</v>
      </c>
      <c r="G1061" s="4" t="s">
        <v>247</v>
      </c>
      <c r="H1061" s="4" t="s">
        <v>248</v>
      </c>
      <c r="I1061" s="4" t="s">
        <v>249</v>
      </c>
      <c r="J1061" s="4" t="s">
        <v>250</v>
      </c>
    </row>
    <row r="1062" ht="15.75" customHeight="1">
      <c r="A1062" s="4">
        <v>1075.0</v>
      </c>
      <c r="B1062" s="4" t="s">
        <v>3024</v>
      </c>
      <c r="C1062" s="4" t="s">
        <v>167</v>
      </c>
      <c r="D1062" s="4" t="s">
        <v>3025</v>
      </c>
      <c r="E1062" s="4">
        <v>5.70055000716E11</v>
      </c>
      <c r="F1062" s="4" t="s">
        <v>3026</v>
      </c>
      <c r="G1062" s="4" t="s">
        <v>247</v>
      </c>
      <c r="H1062" s="4" t="s">
        <v>3027</v>
      </c>
      <c r="I1062" s="4" t="s">
        <v>2582</v>
      </c>
      <c r="J1062" s="4" t="s">
        <v>249</v>
      </c>
      <c r="K1062" s="4" t="s">
        <v>250</v>
      </c>
    </row>
    <row r="1063" ht="15.75" customHeight="1">
      <c r="A1063" s="4">
        <v>1076.0</v>
      </c>
      <c r="B1063" s="4" t="s">
        <v>3028</v>
      </c>
      <c r="C1063" s="4" t="s">
        <v>1426</v>
      </c>
      <c r="D1063" s="4" t="s">
        <v>3029</v>
      </c>
      <c r="E1063" s="4">
        <v>5.70055000718E11</v>
      </c>
      <c r="F1063" s="4" t="s">
        <v>3030</v>
      </c>
      <c r="G1063" s="4" t="s">
        <v>247</v>
      </c>
      <c r="H1063" s="4" t="s">
        <v>248</v>
      </c>
      <c r="I1063" s="4" t="s">
        <v>249</v>
      </c>
      <c r="J1063" s="4" t="s">
        <v>250</v>
      </c>
    </row>
    <row r="1064" ht="15.75" customHeight="1">
      <c r="A1064" s="4">
        <v>1077.0</v>
      </c>
      <c r="B1064" s="4" t="s">
        <v>3031</v>
      </c>
      <c r="C1064" s="4" t="s">
        <v>3032</v>
      </c>
      <c r="D1064" s="4" t="s">
        <v>3033</v>
      </c>
      <c r="E1064" s="4">
        <v>5.70055000719E11</v>
      </c>
      <c r="F1064" s="4" t="s">
        <v>3034</v>
      </c>
      <c r="G1064" s="4" t="s">
        <v>247</v>
      </c>
      <c r="H1064" s="4" t="s">
        <v>3035</v>
      </c>
      <c r="I1064" s="4" t="s">
        <v>2582</v>
      </c>
      <c r="J1064" s="4" t="s">
        <v>249</v>
      </c>
      <c r="K1064" s="4" t="s">
        <v>250</v>
      </c>
    </row>
    <row r="1065" ht="15.75" customHeight="1">
      <c r="A1065" s="4">
        <v>1078.0</v>
      </c>
      <c r="B1065" s="4" t="s">
        <v>3036</v>
      </c>
      <c r="C1065" s="4" t="s">
        <v>915</v>
      </c>
      <c r="D1065" s="4" t="s">
        <v>920</v>
      </c>
      <c r="E1065" s="4">
        <v>5.7005500072E11</v>
      </c>
      <c r="F1065" s="4" t="s">
        <v>3037</v>
      </c>
      <c r="G1065" s="4" t="s">
        <v>247</v>
      </c>
      <c r="H1065" s="4" t="s">
        <v>3038</v>
      </c>
      <c r="I1065" s="4" t="s">
        <v>2582</v>
      </c>
      <c r="J1065" s="4" t="s">
        <v>249</v>
      </c>
      <c r="K1065" s="4" t="s">
        <v>250</v>
      </c>
    </row>
    <row r="1066" ht="15.75" customHeight="1">
      <c r="A1066" s="4">
        <v>1079.0</v>
      </c>
      <c r="B1066" s="4" t="s">
        <v>3039</v>
      </c>
      <c r="C1066" s="4" t="s">
        <v>1834</v>
      </c>
      <c r="D1066" s="4" t="s">
        <v>3040</v>
      </c>
      <c r="E1066" s="4">
        <v>5.70055000724E11</v>
      </c>
      <c r="F1066" s="4" t="s">
        <v>3041</v>
      </c>
      <c r="G1066" s="4" t="s">
        <v>247</v>
      </c>
      <c r="H1066" s="4" t="s">
        <v>3042</v>
      </c>
      <c r="I1066" s="4" t="s">
        <v>2582</v>
      </c>
      <c r="J1066" s="4" t="s">
        <v>249</v>
      </c>
      <c r="K1066" s="4" t="s">
        <v>250</v>
      </c>
    </row>
    <row r="1067" ht="15.75" customHeight="1">
      <c r="A1067" s="4">
        <v>1080.0</v>
      </c>
      <c r="B1067" s="4" t="s">
        <v>1390</v>
      </c>
      <c r="C1067" s="4" t="s">
        <v>1127</v>
      </c>
      <c r="D1067" s="4" t="s">
        <v>3043</v>
      </c>
      <c r="E1067" s="4">
        <v>5.70055000725E11</v>
      </c>
      <c r="F1067" s="4" t="s">
        <v>3044</v>
      </c>
      <c r="G1067" s="4" t="s">
        <v>12</v>
      </c>
      <c r="H1067" s="4" t="s">
        <v>3045</v>
      </c>
      <c r="I1067" s="4" t="s">
        <v>2582</v>
      </c>
      <c r="J1067" s="4" t="s">
        <v>249</v>
      </c>
      <c r="K1067" s="4" t="s">
        <v>250</v>
      </c>
    </row>
    <row r="1068" ht="15.75" customHeight="1">
      <c r="A1068" s="4">
        <v>1081.0</v>
      </c>
      <c r="B1068" s="4" t="s">
        <v>3046</v>
      </c>
      <c r="C1068" s="4" t="s">
        <v>1139</v>
      </c>
      <c r="D1068" s="4" t="s">
        <v>2082</v>
      </c>
      <c r="E1068" s="4">
        <v>5.70055000726E11</v>
      </c>
      <c r="F1068" s="4" t="s">
        <v>3044</v>
      </c>
      <c r="G1068" s="4" t="s">
        <v>12</v>
      </c>
      <c r="H1068" s="4" t="s">
        <v>3047</v>
      </c>
      <c r="I1068" s="4" t="s">
        <v>2582</v>
      </c>
      <c r="J1068" s="4" t="s">
        <v>249</v>
      </c>
      <c r="K1068" s="4" t="s">
        <v>250</v>
      </c>
    </row>
    <row r="1069" ht="15.75" customHeight="1">
      <c r="A1069" s="4">
        <v>1082.0</v>
      </c>
      <c r="B1069" s="4" t="s">
        <v>2527</v>
      </c>
      <c r="C1069" s="4" t="s">
        <v>1899</v>
      </c>
      <c r="D1069" s="4" t="s">
        <v>3048</v>
      </c>
      <c r="E1069" s="4">
        <v>5.70055000729E11</v>
      </c>
      <c r="F1069" s="4" t="s">
        <v>3049</v>
      </c>
      <c r="G1069" s="4" t="s">
        <v>247</v>
      </c>
      <c r="H1069" s="4" t="s">
        <v>248</v>
      </c>
      <c r="I1069" s="4" t="s">
        <v>249</v>
      </c>
      <c r="J1069" s="4" t="s">
        <v>250</v>
      </c>
    </row>
    <row r="1070" ht="15.75" customHeight="1">
      <c r="A1070" s="4">
        <v>1083.0</v>
      </c>
      <c r="B1070" s="4" t="s">
        <v>3050</v>
      </c>
      <c r="C1070" s="4" t="s">
        <v>1860</v>
      </c>
      <c r="D1070" s="4" t="s">
        <v>77</v>
      </c>
      <c r="E1070" s="4">
        <v>5.70055000732E11</v>
      </c>
      <c r="F1070" s="4" t="s">
        <v>3051</v>
      </c>
      <c r="G1070" s="4" t="s">
        <v>247</v>
      </c>
      <c r="H1070" s="4" t="s">
        <v>3052</v>
      </c>
      <c r="I1070" s="4" t="s">
        <v>2582</v>
      </c>
      <c r="J1070" s="4" t="s">
        <v>249</v>
      </c>
      <c r="K1070" s="4" t="s">
        <v>250</v>
      </c>
    </row>
    <row r="1071" ht="15.75" customHeight="1">
      <c r="A1071" s="4">
        <v>1084.0</v>
      </c>
      <c r="B1071" s="4" t="s">
        <v>3053</v>
      </c>
      <c r="C1071" s="4" t="s">
        <v>1437</v>
      </c>
      <c r="D1071" s="4" t="s">
        <v>2070</v>
      </c>
      <c r="E1071" s="4">
        <v>5.70055000735E11</v>
      </c>
      <c r="F1071" s="4" t="s">
        <v>3054</v>
      </c>
      <c r="G1071" s="4" t="s">
        <v>247</v>
      </c>
      <c r="H1071" s="4" t="s">
        <v>3055</v>
      </c>
      <c r="I1071" s="4" t="s">
        <v>2582</v>
      </c>
      <c r="J1071" s="4" t="s">
        <v>249</v>
      </c>
      <c r="K1071" s="4" t="s">
        <v>250</v>
      </c>
    </row>
    <row r="1072" ht="15.75" customHeight="1">
      <c r="A1072" s="4">
        <v>1085.0</v>
      </c>
      <c r="B1072" s="4" t="s">
        <v>1426</v>
      </c>
      <c r="C1072" s="4" t="s">
        <v>8</v>
      </c>
      <c r="D1072" s="4" t="s">
        <v>3056</v>
      </c>
      <c r="E1072" s="4">
        <v>5.700555544918E12</v>
      </c>
      <c r="F1072" s="4" t="s">
        <v>3057</v>
      </c>
      <c r="G1072" s="4" t="s">
        <v>20</v>
      </c>
      <c r="H1072" s="4" t="s">
        <v>248</v>
      </c>
      <c r="I1072" s="4" t="s">
        <v>249</v>
      </c>
      <c r="J1072" s="4" t="s">
        <v>250</v>
      </c>
    </row>
    <row r="1073" ht="15.75" customHeight="1">
      <c r="A1073" s="4">
        <v>1086.0</v>
      </c>
      <c r="B1073" s="4" t="s">
        <v>3058</v>
      </c>
      <c r="C1073" s="4" t="s">
        <v>1115</v>
      </c>
      <c r="D1073" s="4" t="s">
        <v>2181</v>
      </c>
      <c r="E1073" s="4">
        <v>5.700555544921E12</v>
      </c>
      <c r="F1073" s="4" t="s">
        <v>2847</v>
      </c>
      <c r="G1073" s="4" t="s">
        <v>25</v>
      </c>
      <c r="H1073" s="4" t="s">
        <v>248</v>
      </c>
      <c r="I1073" s="4" t="s">
        <v>249</v>
      </c>
      <c r="J1073" s="4" t="s">
        <v>250</v>
      </c>
    </row>
    <row r="1074" ht="15.75" customHeight="1">
      <c r="A1074" s="4">
        <v>1087.0</v>
      </c>
      <c r="B1074" s="4" t="s">
        <v>3059</v>
      </c>
      <c r="C1074" s="4" t="s">
        <v>3060</v>
      </c>
      <c r="D1074" s="4" t="s">
        <v>3061</v>
      </c>
      <c r="E1074" s="4">
        <v>5.700555544922E12</v>
      </c>
      <c r="F1074" s="4" t="s">
        <v>3062</v>
      </c>
      <c r="G1074" s="4" t="s">
        <v>25</v>
      </c>
      <c r="H1074" s="4" t="s">
        <v>248</v>
      </c>
      <c r="I1074" s="4" t="s">
        <v>249</v>
      </c>
      <c r="J1074" s="4" t="s">
        <v>250</v>
      </c>
    </row>
    <row r="1075" ht="15.75" customHeight="1">
      <c r="A1075" s="4">
        <v>1088.0</v>
      </c>
      <c r="B1075" s="4" t="s">
        <v>3063</v>
      </c>
      <c r="C1075" s="4" t="s">
        <v>3064</v>
      </c>
      <c r="D1075" s="4" t="s">
        <v>3065</v>
      </c>
      <c r="E1075" s="4">
        <v>5.700555544923E12</v>
      </c>
      <c r="F1075" s="4" t="s">
        <v>3066</v>
      </c>
      <c r="G1075" s="4" t="s">
        <v>20</v>
      </c>
      <c r="H1075" s="4" t="s">
        <v>248</v>
      </c>
      <c r="I1075" s="4" t="s">
        <v>249</v>
      </c>
      <c r="J1075" s="4" t="s">
        <v>250</v>
      </c>
    </row>
    <row r="1076" ht="15.75" customHeight="1">
      <c r="A1076" s="4">
        <v>1089.0</v>
      </c>
      <c r="B1076" s="4" t="s">
        <v>3067</v>
      </c>
      <c r="C1076" s="4" t="s">
        <v>3068</v>
      </c>
      <c r="D1076" s="4" t="s">
        <v>3069</v>
      </c>
      <c r="E1076" s="4">
        <v>5.700555544925E12</v>
      </c>
      <c r="F1076" s="4" t="s">
        <v>3070</v>
      </c>
      <c r="G1076" s="4" t="s">
        <v>12</v>
      </c>
      <c r="H1076" s="4" t="s">
        <v>248</v>
      </c>
      <c r="I1076" s="4" t="s">
        <v>249</v>
      </c>
      <c r="J1076" s="4" t="s">
        <v>250</v>
      </c>
    </row>
    <row r="1077" ht="15.75" customHeight="1">
      <c r="A1077" s="4">
        <v>1090.0</v>
      </c>
      <c r="B1077" s="4" t="s">
        <v>2313</v>
      </c>
      <c r="C1077" s="4" t="s">
        <v>1081</v>
      </c>
      <c r="D1077" s="4" t="s">
        <v>3071</v>
      </c>
      <c r="E1077" s="4">
        <v>5.700555544926E12</v>
      </c>
      <c r="F1077" s="4" t="s">
        <v>3072</v>
      </c>
      <c r="G1077" s="4" t="s">
        <v>12</v>
      </c>
      <c r="H1077" s="4" t="s">
        <v>3073</v>
      </c>
      <c r="I1077" s="4" t="s">
        <v>2582</v>
      </c>
      <c r="J1077" s="4" t="s">
        <v>249</v>
      </c>
      <c r="K1077" s="4" t="s">
        <v>250</v>
      </c>
    </row>
    <row r="1078" ht="15.75" customHeight="1">
      <c r="A1078" s="4">
        <v>1091.0</v>
      </c>
      <c r="B1078" s="4" t="s">
        <v>1783</v>
      </c>
      <c r="C1078" s="4" t="s">
        <v>186</v>
      </c>
      <c r="D1078" s="4" t="s">
        <v>3074</v>
      </c>
      <c r="E1078" s="4">
        <v>5.700555544927E12</v>
      </c>
      <c r="F1078" s="4" t="s">
        <v>3075</v>
      </c>
      <c r="G1078" s="4" t="s">
        <v>12</v>
      </c>
      <c r="H1078" s="4" t="s">
        <v>248</v>
      </c>
      <c r="I1078" s="4" t="s">
        <v>249</v>
      </c>
      <c r="J1078" s="4" t="s">
        <v>250</v>
      </c>
    </row>
    <row r="1079" ht="15.75" customHeight="1">
      <c r="A1079" s="4">
        <v>1092.0</v>
      </c>
      <c r="B1079" s="4" t="s">
        <v>3076</v>
      </c>
      <c r="C1079" s="4" t="s">
        <v>2061</v>
      </c>
      <c r="D1079" s="4" t="s">
        <v>3077</v>
      </c>
      <c r="E1079" s="4">
        <v>5.700555544928E12</v>
      </c>
      <c r="F1079" s="4" t="s">
        <v>3078</v>
      </c>
      <c r="G1079" s="4" t="s">
        <v>2162</v>
      </c>
      <c r="H1079" s="4" t="s">
        <v>248</v>
      </c>
      <c r="I1079" s="4" t="s">
        <v>249</v>
      </c>
      <c r="J1079" s="4" t="s">
        <v>250</v>
      </c>
    </row>
    <row r="1080" ht="15.75" customHeight="1">
      <c r="A1080" s="4">
        <v>1093.0</v>
      </c>
      <c r="B1080" s="4" t="s">
        <v>891</v>
      </c>
      <c r="C1080" s="4" t="s">
        <v>3079</v>
      </c>
      <c r="D1080" s="4" t="s">
        <v>1787</v>
      </c>
      <c r="E1080" s="4">
        <v>5.700555544929E12</v>
      </c>
      <c r="F1080" s="4" t="s">
        <v>3080</v>
      </c>
      <c r="G1080" s="4" t="s">
        <v>12</v>
      </c>
      <c r="H1080" s="4" t="s">
        <v>248</v>
      </c>
      <c r="I1080" s="4" t="s">
        <v>249</v>
      </c>
      <c r="J1080" s="4" t="s">
        <v>250</v>
      </c>
    </row>
    <row r="1081" ht="15.75" customHeight="1">
      <c r="A1081" s="4">
        <v>1094.0</v>
      </c>
      <c r="B1081" s="4" t="s">
        <v>3081</v>
      </c>
      <c r="C1081" s="4" t="s">
        <v>1883</v>
      </c>
      <c r="D1081" s="4" t="s">
        <v>3082</v>
      </c>
      <c r="E1081" s="4">
        <v>5.70055554493E12</v>
      </c>
      <c r="F1081" s="4" t="s">
        <v>3083</v>
      </c>
      <c r="G1081" s="4" t="s">
        <v>12</v>
      </c>
      <c r="H1081" s="4" t="s">
        <v>248</v>
      </c>
      <c r="I1081" s="4" t="s">
        <v>249</v>
      </c>
      <c r="J1081" s="4" t="s">
        <v>250</v>
      </c>
    </row>
    <row r="1082" ht="15.75" customHeight="1">
      <c r="A1082" s="4">
        <v>1095.0</v>
      </c>
      <c r="B1082" s="4" t="s">
        <v>52</v>
      </c>
      <c r="C1082" s="4" t="s">
        <v>1883</v>
      </c>
      <c r="D1082" s="4" t="s">
        <v>1816</v>
      </c>
      <c r="E1082" s="4">
        <v>5.700555544938E12</v>
      </c>
      <c r="F1082" s="4" t="s">
        <v>3084</v>
      </c>
      <c r="G1082" s="4" t="s">
        <v>12</v>
      </c>
      <c r="H1082" s="4" t="s">
        <v>248</v>
      </c>
      <c r="I1082" s="4" t="s">
        <v>249</v>
      </c>
      <c r="J1082" s="4" t="s">
        <v>250</v>
      </c>
    </row>
    <row r="1083" ht="15.75" customHeight="1">
      <c r="A1083" s="4">
        <v>1096.0</v>
      </c>
      <c r="B1083" s="4" t="s">
        <v>3085</v>
      </c>
      <c r="C1083" s="4" t="s">
        <v>3086</v>
      </c>
      <c r="D1083" s="4" t="s">
        <v>3087</v>
      </c>
      <c r="E1083" s="4">
        <v>5.700555544951E12</v>
      </c>
      <c r="F1083" s="4" t="s">
        <v>3088</v>
      </c>
      <c r="G1083" s="4" t="s">
        <v>12</v>
      </c>
      <c r="H1083" s="4" t="s">
        <v>3089</v>
      </c>
      <c r="I1083" s="4" t="s">
        <v>2582</v>
      </c>
      <c r="J1083" s="4" t="s">
        <v>249</v>
      </c>
      <c r="K1083" s="4" t="s">
        <v>250</v>
      </c>
    </row>
    <row r="1084" ht="15.75" customHeight="1">
      <c r="A1084" s="4">
        <v>1097.0</v>
      </c>
      <c r="B1084" s="4" t="s">
        <v>2479</v>
      </c>
      <c r="C1084" s="4" t="s">
        <v>1301</v>
      </c>
      <c r="D1084" s="4" t="s">
        <v>203</v>
      </c>
      <c r="E1084" s="4">
        <v>5.700555544952E12</v>
      </c>
      <c r="F1084" s="4" t="s">
        <v>2775</v>
      </c>
      <c r="G1084" s="4" t="s">
        <v>247</v>
      </c>
      <c r="H1084" s="4" t="s">
        <v>3090</v>
      </c>
      <c r="I1084" s="4" t="s">
        <v>2582</v>
      </c>
      <c r="J1084" s="4" t="s">
        <v>249</v>
      </c>
      <c r="K1084" s="4" t="s">
        <v>250</v>
      </c>
    </row>
    <row r="1085" ht="15.75" customHeight="1">
      <c r="A1085" s="4">
        <v>1098.0</v>
      </c>
      <c r="B1085" s="4" t="s">
        <v>2583</v>
      </c>
      <c r="C1085" s="4" t="s">
        <v>1426</v>
      </c>
      <c r="D1085" s="4" t="s">
        <v>146</v>
      </c>
      <c r="E1085" s="4">
        <v>5.700555544953E12</v>
      </c>
      <c r="F1085" s="4" t="s">
        <v>3091</v>
      </c>
      <c r="G1085" s="4" t="s">
        <v>12</v>
      </c>
      <c r="H1085" s="4" t="s">
        <v>3092</v>
      </c>
      <c r="I1085" s="4" t="s">
        <v>2582</v>
      </c>
      <c r="J1085" s="4" t="s">
        <v>249</v>
      </c>
      <c r="K1085" s="4" t="s">
        <v>250</v>
      </c>
    </row>
    <row r="1086" ht="15.75" customHeight="1">
      <c r="A1086" s="4">
        <v>1099.0</v>
      </c>
      <c r="B1086" s="4" t="s">
        <v>160</v>
      </c>
      <c r="C1086" s="4" t="s">
        <v>3093</v>
      </c>
      <c r="D1086" s="4" t="s">
        <v>3094</v>
      </c>
      <c r="E1086" s="4">
        <v>5.700555544955E12</v>
      </c>
      <c r="F1086" s="4" t="s">
        <v>3095</v>
      </c>
      <c r="G1086" s="4" t="s">
        <v>12</v>
      </c>
      <c r="H1086" s="4" t="s">
        <v>3096</v>
      </c>
      <c r="I1086" s="4" t="s">
        <v>2582</v>
      </c>
      <c r="J1086" s="4" t="s">
        <v>249</v>
      </c>
      <c r="K1086" s="4" t="s">
        <v>250</v>
      </c>
    </row>
    <row r="1087" ht="15.75" customHeight="1">
      <c r="A1087" s="4">
        <v>1100.0</v>
      </c>
      <c r="B1087" s="4" t="s">
        <v>3097</v>
      </c>
      <c r="C1087" s="4" t="s">
        <v>3098</v>
      </c>
      <c r="D1087" s="4" t="s">
        <v>2554</v>
      </c>
      <c r="E1087" s="4">
        <v>5.700555544956E12</v>
      </c>
      <c r="F1087" s="4" t="s">
        <v>3099</v>
      </c>
      <c r="G1087" s="4" t="s">
        <v>12</v>
      </c>
      <c r="H1087" s="4" t="s">
        <v>3100</v>
      </c>
      <c r="I1087" s="4" t="s">
        <v>2582</v>
      </c>
      <c r="J1087" s="4" t="s">
        <v>249</v>
      </c>
      <c r="K1087" s="4" t="s">
        <v>250</v>
      </c>
    </row>
    <row r="1088" ht="15.75" customHeight="1">
      <c r="A1088" s="4">
        <v>1101.0</v>
      </c>
      <c r="B1088" s="4" t="s">
        <v>2725</v>
      </c>
      <c r="C1088" s="4" t="s">
        <v>3101</v>
      </c>
      <c r="D1088" s="4" t="s">
        <v>3102</v>
      </c>
      <c r="E1088" s="4">
        <v>5.700555544957E12</v>
      </c>
      <c r="F1088" s="4" t="s">
        <v>2855</v>
      </c>
      <c r="G1088" s="4" t="s">
        <v>12</v>
      </c>
      <c r="H1088" s="4" t="s">
        <v>248</v>
      </c>
      <c r="I1088" s="4" t="s">
        <v>249</v>
      </c>
      <c r="J1088" s="4" t="s">
        <v>250</v>
      </c>
    </row>
    <row r="1089" ht="15.75" customHeight="1">
      <c r="A1089" s="4">
        <v>1102.0</v>
      </c>
      <c r="B1089" s="4" t="s">
        <v>215</v>
      </c>
      <c r="C1089" s="4" t="s">
        <v>3103</v>
      </c>
      <c r="D1089" s="4" t="s">
        <v>3104</v>
      </c>
      <c r="E1089" s="4">
        <v>5.700555544958E12</v>
      </c>
      <c r="F1089" s="4" t="s">
        <v>3105</v>
      </c>
      <c r="G1089" s="4" t="s">
        <v>12</v>
      </c>
      <c r="H1089" s="4" t="s">
        <v>3106</v>
      </c>
      <c r="I1089" s="4" t="s">
        <v>2582</v>
      </c>
      <c r="J1089" s="4" t="s">
        <v>249</v>
      </c>
      <c r="K1089" s="4" t="s">
        <v>250</v>
      </c>
    </row>
    <row r="1090" ht="15.75" customHeight="1">
      <c r="A1090" s="4">
        <v>1103.0</v>
      </c>
      <c r="B1090" s="4" t="s">
        <v>1986</v>
      </c>
      <c r="C1090" s="4" t="s">
        <v>3107</v>
      </c>
      <c r="D1090" s="4" t="s">
        <v>3108</v>
      </c>
      <c r="E1090" s="4">
        <v>5.70055554496E12</v>
      </c>
      <c r="F1090" s="4" t="s">
        <v>3109</v>
      </c>
      <c r="G1090" s="4" t="s">
        <v>12</v>
      </c>
      <c r="H1090" s="4" t="s">
        <v>3110</v>
      </c>
      <c r="I1090" s="4" t="s">
        <v>2582</v>
      </c>
      <c r="J1090" s="4" t="s">
        <v>249</v>
      </c>
      <c r="K1090" s="4" t="s">
        <v>250</v>
      </c>
    </row>
    <row r="1091" ht="15.75" customHeight="1">
      <c r="A1091" s="4">
        <v>1104.0</v>
      </c>
      <c r="B1091" s="4" t="s">
        <v>3111</v>
      </c>
      <c r="C1091" s="4" t="s">
        <v>3112</v>
      </c>
      <c r="D1091" s="4" t="s">
        <v>2714</v>
      </c>
      <c r="E1091" s="4">
        <v>5.700555544963E12</v>
      </c>
      <c r="F1091" s="4" t="s">
        <v>3113</v>
      </c>
      <c r="G1091" s="4" t="s">
        <v>12</v>
      </c>
      <c r="H1091" s="4" t="s">
        <v>3114</v>
      </c>
      <c r="I1091" s="4" t="s">
        <v>2582</v>
      </c>
      <c r="J1091" s="4" t="s">
        <v>249</v>
      </c>
      <c r="K1091" s="4" t="s">
        <v>250</v>
      </c>
    </row>
    <row r="1092" ht="15.75" customHeight="1">
      <c r="A1092" s="4">
        <v>1105.0</v>
      </c>
      <c r="B1092" s="4" t="s">
        <v>2173</v>
      </c>
      <c r="C1092" s="4" t="s">
        <v>3115</v>
      </c>
      <c r="D1092" s="4" t="s">
        <v>3116</v>
      </c>
      <c r="E1092" s="4">
        <v>5.700555544969E12</v>
      </c>
      <c r="F1092" s="4" t="s">
        <v>3117</v>
      </c>
      <c r="G1092" s="4" t="s">
        <v>12</v>
      </c>
      <c r="H1092" s="4" t="s">
        <v>3118</v>
      </c>
      <c r="I1092" s="4" t="s">
        <v>2582</v>
      </c>
      <c r="J1092" s="4" t="s">
        <v>249</v>
      </c>
      <c r="K1092" s="4" t="s">
        <v>250</v>
      </c>
    </row>
    <row r="1093" ht="15.75" customHeight="1">
      <c r="A1093" s="4">
        <v>1106.0</v>
      </c>
      <c r="B1093" s="4" t="s">
        <v>1901</v>
      </c>
      <c r="C1093" s="4" t="s">
        <v>3119</v>
      </c>
      <c r="D1093" s="4" t="s">
        <v>3120</v>
      </c>
      <c r="E1093" s="4">
        <v>5.70055554497E12</v>
      </c>
      <c r="F1093" s="4" t="s">
        <v>3121</v>
      </c>
      <c r="G1093" s="4" t="s">
        <v>12</v>
      </c>
      <c r="H1093" s="4" t="s">
        <v>3122</v>
      </c>
      <c r="I1093" s="4" t="s">
        <v>2582</v>
      </c>
      <c r="J1093" s="4" t="s">
        <v>249</v>
      </c>
      <c r="K1093" s="4" t="s">
        <v>250</v>
      </c>
    </row>
    <row r="1094" ht="15.75" customHeight="1">
      <c r="A1094" s="4">
        <v>1107.0</v>
      </c>
      <c r="B1094" s="4" t="s">
        <v>2583</v>
      </c>
      <c r="C1094" s="4" t="s">
        <v>2076</v>
      </c>
      <c r="D1094" s="4" t="s">
        <v>2242</v>
      </c>
      <c r="E1094" s="4">
        <v>5.700555544971E12</v>
      </c>
      <c r="F1094" s="4" t="s">
        <v>3123</v>
      </c>
      <c r="G1094" s="4" t="s">
        <v>12</v>
      </c>
      <c r="H1094" s="4" t="s">
        <v>248</v>
      </c>
      <c r="I1094" s="4" t="s">
        <v>249</v>
      </c>
      <c r="J1094" s="4" t="s">
        <v>250</v>
      </c>
    </row>
    <row r="1095" ht="15.75" customHeight="1">
      <c r="A1095" s="4">
        <v>1108.0</v>
      </c>
      <c r="B1095" s="4" t="s">
        <v>2244</v>
      </c>
      <c r="C1095" s="4" t="s">
        <v>2061</v>
      </c>
      <c r="D1095" s="4" t="s">
        <v>3077</v>
      </c>
      <c r="E1095" s="4">
        <v>5.700555544974E12</v>
      </c>
      <c r="F1095" s="4" t="s">
        <v>3124</v>
      </c>
      <c r="G1095" s="4" t="s">
        <v>12</v>
      </c>
      <c r="H1095" s="4" t="s">
        <v>248</v>
      </c>
      <c r="I1095" s="4" t="s">
        <v>249</v>
      </c>
      <c r="J1095" s="4" t="s">
        <v>250</v>
      </c>
    </row>
    <row r="1096" ht="15.75" customHeight="1">
      <c r="A1096" s="4">
        <v>1109.0</v>
      </c>
      <c r="B1096" s="4" t="s">
        <v>2880</v>
      </c>
      <c r="C1096" s="4" t="s">
        <v>855</v>
      </c>
      <c r="D1096" s="4" t="s">
        <v>3125</v>
      </c>
      <c r="E1096" s="4">
        <v>5.70055000672E11</v>
      </c>
      <c r="F1096" s="4" t="s">
        <v>3126</v>
      </c>
      <c r="G1096" s="4" t="s">
        <v>12</v>
      </c>
      <c r="H1096" s="4" t="s">
        <v>2743</v>
      </c>
      <c r="I1096" s="4" t="s">
        <v>2582</v>
      </c>
      <c r="J1096" s="4" t="s">
        <v>249</v>
      </c>
      <c r="K1096" s="4" t="s">
        <v>250</v>
      </c>
    </row>
    <row r="1097" ht="15.75" customHeight="1">
      <c r="A1097" s="4">
        <v>1110.0</v>
      </c>
      <c r="B1097" s="4" t="s">
        <v>849</v>
      </c>
      <c r="C1097" s="4" t="s">
        <v>1705</v>
      </c>
      <c r="D1097" s="4" t="s">
        <v>3127</v>
      </c>
      <c r="E1097" s="4">
        <v>5.70055000675E11</v>
      </c>
      <c r="F1097" s="4" t="s">
        <v>3128</v>
      </c>
      <c r="G1097" s="4" t="s">
        <v>12</v>
      </c>
      <c r="H1097" s="4" t="s">
        <v>248</v>
      </c>
      <c r="I1097" s="4" t="s">
        <v>249</v>
      </c>
      <c r="J1097" s="4" t="s">
        <v>250</v>
      </c>
    </row>
    <row r="1098" ht="15.75" customHeight="1">
      <c r="A1098" s="4">
        <v>1111.0</v>
      </c>
      <c r="B1098" s="4" t="s">
        <v>1369</v>
      </c>
      <c r="C1098" s="4" t="s">
        <v>1461</v>
      </c>
      <c r="D1098" s="4" t="s">
        <v>3129</v>
      </c>
      <c r="E1098" s="4">
        <v>5.70055000709E11</v>
      </c>
      <c r="F1098" s="4" t="s">
        <v>3130</v>
      </c>
      <c r="G1098" s="4" t="s">
        <v>247</v>
      </c>
      <c r="H1098" s="4" t="s">
        <v>248</v>
      </c>
      <c r="I1098" s="4" t="s">
        <v>249</v>
      </c>
      <c r="J1098" s="4" t="s">
        <v>250</v>
      </c>
    </row>
    <row r="1099" ht="15.75" customHeight="1">
      <c r="A1099" s="4">
        <v>1112.0</v>
      </c>
      <c r="B1099" s="4" t="s">
        <v>2559</v>
      </c>
      <c r="C1099" s="4" t="s">
        <v>952</v>
      </c>
      <c r="D1099" s="4" t="s">
        <v>1709</v>
      </c>
      <c r="E1099" s="4">
        <v>5.70055000715E11</v>
      </c>
      <c r="F1099" s="4" t="s">
        <v>3026</v>
      </c>
      <c r="G1099" s="4" t="s">
        <v>12</v>
      </c>
      <c r="H1099" s="4" t="s">
        <v>248</v>
      </c>
      <c r="I1099" s="4" t="s">
        <v>249</v>
      </c>
      <c r="J1099" s="4" t="s">
        <v>250</v>
      </c>
    </row>
    <row r="1100" ht="15.75" customHeight="1">
      <c r="A1100" s="4">
        <v>1113.0</v>
      </c>
      <c r="B1100" s="4" t="s">
        <v>21</v>
      </c>
      <c r="C1100" s="4" t="s">
        <v>75</v>
      </c>
      <c r="D1100" s="4" t="s">
        <v>3131</v>
      </c>
      <c r="E1100" s="4">
        <v>5.70055000717E11</v>
      </c>
      <c r="F1100" s="4" t="s">
        <v>3132</v>
      </c>
      <c r="G1100" s="4" t="s">
        <v>247</v>
      </c>
      <c r="H1100" s="4" t="s">
        <v>248</v>
      </c>
      <c r="I1100" s="4" t="s">
        <v>249</v>
      </c>
      <c r="J1100" s="4" t="s">
        <v>250</v>
      </c>
    </row>
    <row r="1101" ht="15.75" customHeight="1">
      <c r="A1101" s="4">
        <v>1114.0</v>
      </c>
      <c r="B1101" s="4" t="s">
        <v>3133</v>
      </c>
      <c r="C1101" s="4" t="s">
        <v>1002</v>
      </c>
      <c r="D1101" s="4" t="s">
        <v>3134</v>
      </c>
      <c r="E1101" s="4">
        <v>5.70055000727E11</v>
      </c>
      <c r="F1101" s="4" t="s">
        <v>3135</v>
      </c>
      <c r="G1101" s="4" t="s">
        <v>247</v>
      </c>
      <c r="H1101" s="4" t="s">
        <v>248</v>
      </c>
      <c r="I1101" s="4" t="s">
        <v>249</v>
      </c>
      <c r="J1101" s="4" t="s">
        <v>250</v>
      </c>
    </row>
    <row r="1102" ht="15.75" customHeight="1">
      <c r="A1102" s="4">
        <v>1115.0</v>
      </c>
      <c r="B1102" s="4" t="s">
        <v>3136</v>
      </c>
      <c r="C1102" s="4" t="s">
        <v>2015</v>
      </c>
      <c r="D1102" s="4" t="s">
        <v>3137</v>
      </c>
      <c r="E1102" s="4">
        <v>5.7005500073E11</v>
      </c>
      <c r="F1102" s="4" t="s">
        <v>3138</v>
      </c>
      <c r="G1102" s="4" t="s">
        <v>247</v>
      </c>
      <c r="H1102" s="4" t="s">
        <v>248</v>
      </c>
      <c r="I1102" s="4" t="s">
        <v>249</v>
      </c>
      <c r="J1102" s="4" t="s">
        <v>250</v>
      </c>
    </row>
    <row r="1103" ht="15.75" customHeight="1">
      <c r="A1103" s="4">
        <v>1116.0</v>
      </c>
      <c r="B1103" s="4" t="s">
        <v>3139</v>
      </c>
      <c r="C1103" s="4" t="s">
        <v>62</v>
      </c>
      <c r="D1103" s="4" t="s">
        <v>1850</v>
      </c>
      <c r="E1103" s="4">
        <v>5.700555544976E12</v>
      </c>
      <c r="F1103" s="4" t="s">
        <v>2860</v>
      </c>
      <c r="G1103" s="4" t="s">
        <v>247</v>
      </c>
      <c r="H1103" s="4" t="s">
        <v>248</v>
      </c>
      <c r="I1103" s="4" t="s">
        <v>249</v>
      </c>
      <c r="J1103" s="4" t="s">
        <v>250</v>
      </c>
    </row>
    <row r="1104" ht="15.75" customHeight="1">
      <c r="A1104" s="4">
        <v>1117.0</v>
      </c>
      <c r="B1104" s="4" t="s">
        <v>3140</v>
      </c>
      <c r="C1104" s="4" t="s">
        <v>3141</v>
      </c>
      <c r="D1104" s="4" t="s">
        <v>3142</v>
      </c>
      <c r="E1104" s="4">
        <v>5.700555544977E12</v>
      </c>
      <c r="F1104" s="4" t="s">
        <v>2695</v>
      </c>
      <c r="G1104" s="4" t="s">
        <v>247</v>
      </c>
      <c r="H1104" s="4" t="s">
        <v>248</v>
      </c>
      <c r="I1104" s="4" t="s">
        <v>249</v>
      </c>
      <c r="J1104" s="4" t="s">
        <v>250</v>
      </c>
    </row>
    <row r="1105" ht="15.75" customHeight="1">
      <c r="A1105" s="4">
        <v>1118.0</v>
      </c>
      <c r="B1105" s="4" t="s">
        <v>3143</v>
      </c>
      <c r="C1105" s="4" t="s">
        <v>3144</v>
      </c>
      <c r="D1105" s="4" t="s">
        <v>3145</v>
      </c>
      <c r="E1105" s="4">
        <v>5.700555544978E12</v>
      </c>
      <c r="F1105" s="4" t="s">
        <v>3146</v>
      </c>
      <c r="G1105" s="4" t="s">
        <v>12</v>
      </c>
      <c r="H1105" s="4" t="s">
        <v>2743</v>
      </c>
      <c r="I1105" s="4" t="s">
        <v>2582</v>
      </c>
      <c r="J1105" s="4" t="s">
        <v>249</v>
      </c>
      <c r="K1105" s="4" t="s">
        <v>250</v>
      </c>
    </row>
    <row r="1106" ht="15.75" customHeight="1">
      <c r="A1106" s="4">
        <v>1119.0</v>
      </c>
      <c r="B1106" s="4" t="s">
        <v>3147</v>
      </c>
      <c r="C1106" s="4" t="s">
        <v>3148</v>
      </c>
      <c r="D1106" s="4" t="s">
        <v>3149</v>
      </c>
      <c r="E1106" s="4">
        <v>5.700555544979E12</v>
      </c>
      <c r="F1106" s="4" t="s">
        <v>3150</v>
      </c>
      <c r="G1106" s="4" t="s">
        <v>12</v>
      </c>
      <c r="H1106" s="4" t="s">
        <v>248</v>
      </c>
      <c r="I1106" s="4" t="s">
        <v>249</v>
      </c>
      <c r="J1106" s="4" t="s">
        <v>250</v>
      </c>
    </row>
    <row r="1107" ht="15.75" customHeight="1">
      <c r="A1107" s="4">
        <v>1120.0</v>
      </c>
      <c r="B1107" s="4" t="s">
        <v>3151</v>
      </c>
      <c r="C1107" s="4" t="s">
        <v>976</v>
      </c>
      <c r="D1107" s="4" t="s">
        <v>3152</v>
      </c>
      <c r="E1107" s="4">
        <v>5.70055554498E12</v>
      </c>
      <c r="F1107" s="4" t="s">
        <v>3153</v>
      </c>
      <c r="G1107" s="4" t="s">
        <v>70</v>
      </c>
      <c r="H1107" s="4" t="s">
        <v>248</v>
      </c>
      <c r="I1107" s="4" t="s">
        <v>249</v>
      </c>
      <c r="J1107" s="4" t="s">
        <v>250</v>
      </c>
    </row>
    <row r="1108" ht="15.75" customHeight="1">
      <c r="A1108" s="4">
        <v>1121.0</v>
      </c>
      <c r="B1108" s="4" t="s">
        <v>3154</v>
      </c>
      <c r="C1108" s="4" t="s">
        <v>1346</v>
      </c>
      <c r="D1108" s="4" t="s">
        <v>3155</v>
      </c>
      <c r="E1108" s="4">
        <v>5.700555544981E12</v>
      </c>
      <c r="F1108" s="4" t="s">
        <v>2860</v>
      </c>
      <c r="G1108" s="4" t="s">
        <v>70</v>
      </c>
      <c r="H1108" s="4" t="s">
        <v>3156</v>
      </c>
      <c r="I1108" s="4" t="s">
        <v>2582</v>
      </c>
      <c r="J1108" s="4" t="s">
        <v>249</v>
      </c>
      <c r="K1108" s="4" t="s">
        <v>250</v>
      </c>
    </row>
    <row r="1109" ht="15.75" customHeight="1">
      <c r="A1109" s="4">
        <v>1122.0</v>
      </c>
      <c r="B1109" s="4" t="s">
        <v>3157</v>
      </c>
      <c r="C1109" s="4" t="s">
        <v>3158</v>
      </c>
      <c r="D1109" s="4" t="s">
        <v>3131</v>
      </c>
      <c r="E1109" s="4">
        <v>5.700555544982E12</v>
      </c>
      <c r="F1109" s="4" t="s">
        <v>3159</v>
      </c>
      <c r="G1109" s="4" t="s">
        <v>247</v>
      </c>
      <c r="H1109" s="4" t="s">
        <v>248</v>
      </c>
      <c r="I1109" s="4" t="s">
        <v>249</v>
      </c>
      <c r="J1109" s="4" t="s">
        <v>250</v>
      </c>
    </row>
    <row r="1110" ht="15.75" customHeight="1">
      <c r="A1110" s="4">
        <v>1123.0</v>
      </c>
      <c r="B1110" s="4" t="s">
        <v>861</v>
      </c>
      <c r="C1110" s="4" t="s">
        <v>222</v>
      </c>
      <c r="D1110" s="4" t="s">
        <v>3160</v>
      </c>
      <c r="E1110" s="4">
        <v>5.700555544983E12</v>
      </c>
      <c r="F1110" s="4" t="s">
        <v>2221</v>
      </c>
      <c r="G1110" s="4" t="s">
        <v>70</v>
      </c>
      <c r="H1110" s="4" t="s">
        <v>248</v>
      </c>
      <c r="I1110" s="4" t="s">
        <v>249</v>
      </c>
      <c r="J1110" s="4" t="s">
        <v>250</v>
      </c>
    </row>
    <row r="1111" ht="15.75" customHeight="1">
      <c r="A1111" s="4">
        <v>1124.0</v>
      </c>
      <c r="B1111" s="4" t="s">
        <v>3161</v>
      </c>
      <c r="C1111" s="4" t="s">
        <v>3162</v>
      </c>
      <c r="D1111" s="4" t="s">
        <v>1781</v>
      </c>
      <c r="E1111" s="4">
        <v>5.700555544984E12</v>
      </c>
      <c r="F1111" s="4" t="s">
        <v>3163</v>
      </c>
      <c r="G1111" s="4" t="s">
        <v>12</v>
      </c>
      <c r="H1111" s="4" t="s">
        <v>248</v>
      </c>
      <c r="I1111" s="4" t="s">
        <v>249</v>
      </c>
      <c r="J1111" s="4" t="s">
        <v>250</v>
      </c>
    </row>
    <row r="1112" ht="15.75" customHeight="1">
      <c r="A1112" s="4">
        <v>1125.0</v>
      </c>
      <c r="B1112" s="4" t="s">
        <v>3164</v>
      </c>
      <c r="C1112" s="4" t="s">
        <v>3165</v>
      </c>
      <c r="D1112" s="4" t="s">
        <v>3071</v>
      </c>
      <c r="E1112" s="4">
        <v>5.700555544985E12</v>
      </c>
      <c r="F1112" s="4" t="s">
        <v>3166</v>
      </c>
      <c r="G1112" s="4" t="s">
        <v>25</v>
      </c>
      <c r="H1112" s="4" t="s">
        <v>248</v>
      </c>
      <c r="I1112" s="4" t="s">
        <v>249</v>
      </c>
      <c r="J1112" s="4" t="s">
        <v>250</v>
      </c>
    </row>
    <row r="1113" ht="15.75" customHeight="1">
      <c r="A1113" s="4">
        <v>1126.0</v>
      </c>
      <c r="B1113" s="4" t="s">
        <v>3167</v>
      </c>
      <c r="C1113" s="4" t="s">
        <v>1668</v>
      </c>
      <c r="D1113" s="4" t="s">
        <v>3168</v>
      </c>
      <c r="E1113" s="4">
        <v>5.700555544986E12</v>
      </c>
      <c r="F1113" s="4" t="s">
        <v>3169</v>
      </c>
      <c r="G1113" s="4" t="s">
        <v>12</v>
      </c>
      <c r="H1113" s="4" t="s">
        <v>248</v>
      </c>
      <c r="I1113" s="4" t="s">
        <v>249</v>
      </c>
      <c r="J1113" s="4" t="s">
        <v>250</v>
      </c>
    </row>
    <row r="1114" ht="15.75" customHeight="1">
      <c r="A1114" s="4">
        <v>1127.0</v>
      </c>
      <c r="B1114" s="4" t="s">
        <v>3170</v>
      </c>
      <c r="C1114" s="4" t="s">
        <v>922</v>
      </c>
      <c r="D1114" s="4" t="s">
        <v>1523</v>
      </c>
      <c r="E1114" s="4">
        <v>5.700555544988E12</v>
      </c>
      <c r="F1114" s="4" t="s">
        <v>3171</v>
      </c>
      <c r="G1114" s="4" t="s">
        <v>12</v>
      </c>
      <c r="H1114" s="4" t="s">
        <v>248</v>
      </c>
      <c r="I1114" s="4" t="s">
        <v>249</v>
      </c>
      <c r="J1114" s="4" t="s">
        <v>250</v>
      </c>
    </row>
    <row r="1115" ht="15.75" customHeight="1">
      <c r="A1115" s="4">
        <v>1128.0</v>
      </c>
      <c r="B1115" s="4" t="s">
        <v>2836</v>
      </c>
      <c r="C1115" s="4" t="s">
        <v>2364</v>
      </c>
      <c r="D1115" s="4" t="s">
        <v>1516</v>
      </c>
      <c r="E1115" s="4">
        <v>5.700555544989E12</v>
      </c>
      <c r="F1115" s="4" t="s">
        <v>3172</v>
      </c>
      <c r="G1115" s="4" t="s">
        <v>2335</v>
      </c>
      <c r="H1115" s="4" t="s">
        <v>248</v>
      </c>
      <c r="I1115" s="4" t="s">
        <v>249</v>
      </c>
      <c r="J1115" s="4" t="s">
        <v>250</v>
      </c>
    </row>
    <row r="1116" ht="15.75" customHeight="1">
      <c r="A1116" s="4">
        <v>1129.0</v>
      </c>
      <c r="B1116" s="4" t="s">
        <v>1846</v>
      </c>
      <c r="C1116" s="4" t="s">
        <v>1190</v>
      </c>
      <c r="D1116" s="4" t="s">
        <v>3173</v>
      </c>
      <c r="E1116" s="4">
        <v>5.700555544992E12</v>
      </c>
      <c r="F1116" s="4" t="s">
        <v>3121</v>
      </c>
      <c r="G1116" s="4" t="s">
        <v>25</v>
      </c>
      <c r="H1116" s="4" t="s">
        <v>248</v>
      </c>
      <c r="I1116" s="4" t="s">
        <v>249</v>
      </c>
      <c r="J1116" s="4" t="s">
        <v>250</v>
      </c>
    </row>
    <row r="1117" ht="15.75" customHeight="1">
      <c r="A1117" s="4">
        <v>1130.0</v>
      </c>
      <c r="B1117" s="4" t="s">
        <v>2722</v>
      </c>
      <c r="C1117" s="4" t="s">
        <v>3174</v>
      </c>
      <c r="D1117" s="4" t="s">
        <v>3175</v>
      </c>
      <c r="E1117" s="4">
        <v>5.700555544994E12</v>
      </c>
      <c r="F1117" s="4" t="s">
        <v>3176</v>
      </c>
      <c r="G1117" s="4" t="s">
        <v>12</v>
      </c>
      <c r="H1117" s="4" t="s">
        <v>248</v>
      </c>
      <c r="I1117" s="4" t="s">
        <v>249</v>
      </c>
      <c r="J1117" s="4" t="s">
        <v>250</v>
      </c>
    </row>
    <row r="1118" ht="15.75" customHeight="1">
      <c r="A1118" s="4">
        <v>1131.0</v>
      </c>
      <c r="B1118" s="4" t="s">
        <v>1846</v>
      </c>
      <c r="C1118" s="4" t="s">
        <v>1509</v>
      </c>
      <c r="D1118" s="4" t="s">
        <v>1503</v>
      </c>
      <c r="E1118" s="4">
        <v>5.700555544996E12</v>
      </c>
      <c r="F1118" s="4" t="s">
        <v>2706</v>
      </c>
      <c r="G1118" s="4" t="s">
        <v>12</v>
      </c>
      <c r="H1118" s="4" t="s">
        <v>248</v>
      </c>
      <c r="I1118" s="4" t="s">
        <v>249</v>
      </c>
      <c r="J1118" s="4" t="s">
        <v>250</v>
      </c>
    </row>
    <row r="1119" ht="15.75" customHeight="1">
      <c r="A1119" s="4">
        <v>1132.0</v>
      </c>
      <c r="B1119" s="4" t="s">
        <v>3177</v>
      </c>
      <c r="C1119" s="4" t="s">
        <v>3178</v>
      </c>
      <c r="D1119" s="4" t="s">
        <v>3179</v>
      </c>
      <c r="E1119" s="4">
        <v>5.700555545E12</v>
      </c>
      <c r="F1119" s="4" t="s">
        <v>3180</v>
      </c>
      <c r="G1119" s="4" t="s">
        <v>2335</v>
      </c>
      <c r="H1119" s="4" t="s">
        <v>248</v>
      </c>
      <c r="I1119" s="4" t="s">
        <v>249</v>
      </c>
      <c r="J1119" s="4" t="s">
        <v>250</v>
      </c>
    </row>
    <row r="1120" ht="15.75" customHeight="1">
      <c r="A1120" s="4">
        <v>1133.0</v>
      </c>
      <c r="B1120" s="4" t="s">
        <v>2302</v>
      </c>
      <c r="C1120" s="4" t="s">
        <v>3181</v>
      </c>
      <c r="D1120" s="4" t="s">
        <v>1816</v>
      </c>
      <c r="E1120" s="4">
        <v>5.700555545002E12</v>
      </c>
      <c r="F1120" s="4" t="s">
        <v>3182</v>
      </c>
      <c r="G1120" s="4" t="s">
        <v>247</v>
      </c>
      <c r="H1120" s="4" t="s">
        <v>248</v>
      </c>
      <c r="I1120" s="4" t="s">
        <v>249</v>
      </c>
      <c r="J1120" s="4" t="s">
        <v>250</v>
      </c>
    </row>
    <row r="1121" ht="15.75" customHeight="1">
      <c r="A1121" s="4">
        <v>1134.0</v>
      </c>
      <c r="B1121" s="4" t="s">
        <v>3183</v>
      </c>
      <c r="C1121" s="4" t="s">
        <v>3184</v>
      </c>
      <c r="D1121" s="4" t="s">
        <v>3185</v>
      </c>
      <c r="E1121" s="4">
        <v>5.700555545004E12</v>
      </c>
      <c r="F1121" s="4" t="s">
        <v>3186</v>
      </c>
      <c r="G1121" s="4" t="s">
        <v>20</v>
      </c>
      <c r="H1121" s="4" t="s">
        <v>248</v>
      </c>
      <c r="I1121" s="4" t="s">
        <v>249</v>
      </c>
      <c r="J1121" s="4" t="s">
        <v>250</v>
      </c>
    </row>
    <row r="1122" ht="15.75" customHeight="1">
      <c r="A1122" s="4">
        <v>1135.0</v>
      </c>
      <c r="B1122" s="4" t="s">
        <v>52</v>
      </c>
      <c r="C1122" s="4" t="s">
        <v>1421</v>
      </c>
      <c r="D1122" s="4" t="s">
        <v>1196</v>
      </c>
      <c r="E1122" s="4">
        <v>5.700555545006E12</v>
      </c>
      <c r="F1122" s="4" t="s">
        <v>3187</v>
      </c>
      <c r="G1122" s="4" t="s">
        <v>25</v>
      </c>
      <c r="H1122" s="4" t="s">
        <v>3188</v>
      </c>
      <c r="I1122" s="4" t="s">
        <v>2582</v>
      </c>
      <c r="J1122" s="4" t="s">
        <v>249</v>
      </c>
      <c r="K1122" s="4" t="s">
        <v>250</v>
      </c>
    </row>
    <row r="1123" ht="15.75" customHeight="1">
      <c r="A1123" s="4">
        <v>1136.0</v>
      </c>
      <c r="B1123" s="4" t="s">
        <v>3189</v>
      </c>
      <c r="C1123" s="4" t="s">
        <v>1274</v>
      </c>
      <c r="D1123" s="4" t="s">
        <v>3190</v>
      </c>
      <c r="E1123" s="4">
        <v>5.70055000689E11</v>
      </c>
      <c r="F1123" s="4" t="s">
        <v>3191</v>
      </c>
      <c r="G1123" s="4" t="s">
        <v>12</v>
      </c>
      <c r="H1123" s="4" t="s">
        <v>248</v>
      </c>
      <c r="I1123" s="4" t="s">
        <v>249</v>
      </c>
      <c r="J1123" s="4" t="s">
        <v>250</v>
      </c>
    </row>
    <row r="1124" ht="15.75" customHeight="1">
      <c r="A1124" s="4">
        <v>1137.0</v>
      </c>
      <c r="B1124" s="4" t="s">
        <v>3192</v>
      </c>
      <c r="C1124" s="4" t="s">
        <v>215</v>
      </c>
      <c r="D1124" s="4" t="s">
        <v>2567</v>
      </c>
      <c r="E1124" s="4">
        <v>5.7005500069E11</v>
      </c>
      <c r="F1124" s="4" t="s">
        <v>3193</v>
      </c>
      <c r="G1124" s="4" t="s">
        <v>996</v>
      </c>
      <c r="H1124" s="4" t="s">
        <v>3194</v>
      </c>
      <c r="I1124" s="4" t="s">
        <v>2582</v>
      </c>
      <c r="J1124" s="4" t="s">
        <v>249</v>
      </c>
      <c r="K1124" s="4" t="s">
        <v>250</v>
      </c>
    </row>
    <row r="1125" ht="15.75" customHeight="1">
      <c r="A1125" s="4">
        <v>1138.0</v>
      </c>
      <c r="B1125" s="4" t="s">
        <v>3195</v>
      </c>
      <c r="C1125" s="4" t="s">
        <v>3196</v>
      </c>
      <c r="D1125" s="4" t="s">
        <v>3029</v>
      </c>
      <c r="E1125" s="4">
        <v>5.70055000696E11</v>
      </c>
      <c r="F1125" s="4" t="s">
        <v>3197</v>
      </c>
      <c r="G1125" s="4" t="s">
        <v>247</v>
      </c>
      <c r="H1125" s="4" t="s">
        <v>3198</v>
      </c>
      <c r="I1125" s="4" t="s">
        <v>2582</v>
      </c>
      <c r="J1125" s="4" t="s">
        <v>249</v>
      </c>
      <c r="K1125" s="4" t="s">
        <v>250</v>
      </c>
    </row>
    <row r="1126" ht="15.75" customHeight="1">
      <c r="A1126" s="4">
        <v>1139.0</v>
      </c>
      <c r="B1126" s="4" t="s">
        <v>2900</v>
      </c>
      <c r="C1126" s="4" t="s">
        <v>3199</v>
      </c>
      <c r="D1126" s="4" t="s">
        <v>3200</v>
      </c>
      <c r="E1126" s="4">
        <v>5.70055000702E11</v>
      </c>
      <c r="F1126" s="4" t="s">
        <v>3201</v>
      </c>
      <c r="G1126" s="4" t="s">
        <v>25</v>
      </c>
      <c r="H1126" s="4" t="s">
        <v>3202</v>
      </c>
      <c r="I1126" s="4" t="s">
        <v>2582</v>
      </c>
      <c r="J1126" s="4" t="s">
        <v>249</v>
      </c>
      <c r="K1126" s="4" t="s">
        <v>250</v>
      </c>
    </row>
    <row r="1127" ht="15.75" customHeight="1">
      <c r="A1127" s="4">
        <v>1140.0</v>
      </c>
      <c r="B1127" s="4" t="s">
        <v>3203</v>
      </c>
      <c r="C1127" s="4" t="s">
        <v>3204</v>
      </c>
      <c r="D1127" s="4" t="s">
        <v>3205</v>
      </c>
      <c r="E1127" s="4">
        <v>5.70055000703E11</v>
      </c>
      <c r="F1127" s="4" t="s">
        <v>3206</v>
      </c>
      <c r="G1127" s="4" t="s">
        <v>2335</v>
      </c>
      <c r="H1127" s="4" t="s">
        <v>248</v>
      </c>
      <c r="I1127" s="4" t="s">
        <v>249</v>
      </c>
      <c r="J1127" s="4" t="s">
        <v>250</v>
      </c>
    </row>
    <row r="1128" ht="15.75" customHeight="1">
      <c r="A1128" s="4">
        <v>1141.0</v>
      </c>
      <c r="B1128" s="4" t="s">
        <v>3207</v>
      </c>
      <c r="C1128" s="4" t="s">
        <v>1840</v>
      </c>
      <c r="D1128" s="4" t="s">
        <v>3208</v>
      </c>
      <c r="E1128" s="4">
        <v>5.70055000704E11</v>
      </c>
      <c r="F1128" s="4" t="s">
        <v>3209</v>
      </c>
      <c r="G1128" s="4" t="s">
        <v>2335</v>
      </c>
      <c r="H1128" s="4" t="s">
        <v>248</v>
      </c>
      <c r="I1128" s="4" t="s">
        <v>249</v>
      </c>
      <c r="J1128" s="4" t="s">
        <v>250</v>
      </c>
    </row>
    <row r="1129" ht="15.75" customHeight="1">
      <c r="A1129" s="4">
        <v>1142.0</v>
      </c>
      <c r="B1129" s="4" t="s">
        <v>3210</v>
      </c>
      <c r="C1129" s="4" t="s">
        <v>835</v>
      </c>
      <c r="D1129" s="4" t="s">
        <v>3211</v>
      </c>
      <c r="E1129" s="4">
        <v>5.70055000705E11</v>
      </c>
      <c r="F1129" s="4" t="s">
        <v>3212</v>
      </c>
      <c r="G1129" s="4" t="s">
        <v>25</v>
      </c>
      <c r="H1129" s="4" t="s">
        <v>248</v>
      </c>
      <c r="I1129" s="4" t="s">
        <v>249</v>
      </c>
      <c r="J1129" s="4" t="s">
        <v>250</v>
      </c>
    </row>
    <row r="1130" ht="15.75" customHeight="1">
      <c r="A1130" s="4">
        <v>1143.0</v>
      </c>
      <c r="B1130" s="4" t="s">
        <v>3213</v>
      </c>
      <c r="C1130" s="4" t="s">
        <v>835</v>
      </c>
      <c r="D1130" s="4" t="s">
        <v>3214</v>
      </c>
      <c r="E1130" s="4">
        <v>5.70055000706E11</v>
      </c>
      <c r="F1130" s="4" t="s">
        <v>3215</v>
      </c>
      <c r="G1130" s="4" t="s">
        <v>25</v>
      </c>
      <c r="H1130" s="4" t="s">
        <v>3216</v>
      </c>
      <c r="I1130" s="4" t="s">
        <v>2582</v>
      </c>
      <c r="J1130" s="4" t="s">
        <v>249</v>
      </c>
      <c r="K1130" s="4" t="s">
        <v>250</v>
      </c>
    </row>
    <row r="1131" ht="15.75" customHeight="1">
      <c r="A1131" s="4">
        <v>1144.0</v>
      </c>
      <c r="B1131" s="4" t="s">
        <v>3217</v>
      </c>
      <c r="C1131" s="4" t="s">
        <v>3218</v>
      </c>
      <c r="D1131" s="4" t="s">
        <v>1171</v>
      </c>
      <c r="E1131" s="4">
        <v>5.7005500071E11</v>
      </c>
      <c r="F1131" s="4" t="s">
        <v>3219</v>
      </c>
      <c r="G1131" s="4" t="s">
        <v>25</v>
      </c>
      <c r="H1131" s="4" t="s">
        <v>3220</v>
      </c>
      <c r="I1131" s="4" t="s">
        <v>2582</v>
      </c>
      <c r="J1131" s="4" t="s">
        <v>249</v>
      </c>
      <c r="K1131" s="4" t="s">
        <v>250</v>
      </c>
    </row>
    <row r="1132" ht="15.75" customHeight="1">
      <c r="A1132" s="4">
        <v>1145.0</v>
      </c>
      <c r="B1132" s="4" t="s">
        <v>3221</v>
      </c>
      <c r="C1132" s="4" t="s">
        <v>3222</v>
      </c>
      <c r="D1132" s="4" t="s">
        <v>3223</v>
      </c>
      <c r="E1132" s="4">
        <v>5.700555545005E12</v>
      </c>
      <c r="F1132" s="4" t="s">
        <v>3224</v>
      </c>
      <c r="G1132" s="4" t="s">
        <v>25</v>
      </c>
      <c r="H1132" s="4" t="s">
        <v>248</v>
      </c>
      <c r="I1132" s="4" t="s">
        <v>249</v>
      </c>
      <c r="J1132" s="4" t="s">
        <v>250</v>
      </c>
    </row>
    <row r="1133" ht="15.75" customHeight="1">
      <c r="A1133" s="4">
        <v>1146.0</v>
      </c>
      <c r="B1133" s="4" t="s">
        <v>1111</v>
      </c>
      <c r="C1133" s="4" t="s">
        <v>3225</v>
      </c>
      <c r="D1133" s="4" t="s">
        <v>1531</v>
      </c>
      <c r="E1133" s="4">
        <v>5.700555545007E12</v>
      </c>
      <c r="F1133" s="4" t="s">
        <v>2772</v>
      </c>
      <c r="G1133" s="4" t="s">
        <v>20</v>
      </c>
      <c r="H1133" s="4" t="s">
        <v>248</v>
      </c>
      <c r="I1133" s="4" t="s">
        <v>249</v>
      </c>
      <c r="J1133" s="4" t="s">
        <v>250</v>
      </c>
    </row>
    <row r="1134" ht="15.75" customHeight="1">
      <c r="A1134" s="4">
        <v>1147.0</v>
      </c>
      <c r="B1134" s="4" t="s">
        <v>3226</v>
      </c>
      <c r="C1134" s="4" t="s">
        <v>105</v>
      </c>
      <c r="D1134" s="4" t="s">
        <v>3227</v>
      </c>
      <c r="E1134" s="4">
        <v>5.700555545008E12</v>
      </c>
      <c r="F1134" s="4" t="s">
        <v>3228</v>
      </c>
      <c r="G1134" s="4" t="s">
        <v>70</v>
      </c>
      <c r="H1134" s="4" t="s">
        <v>248</v>
      </c>
      <c r="I1134" s="4" t="s">
        <v>249</v>
      </c>
      <c r="J1134" s="4" t="s">
        <v>250</v>
      </c>
    </row>
    <row r="1135" ht="15.75" customHeight="1">
      <c r="A1135" s="4">
        <v>1148.0</v>
      </c>
      <c r="B1135" s="4" t="s">
        <v>3229</v>
      </c>
      <c r="C1135" s="4" t="s">
        <v>3230</v>
      </c>
      <c r="D1135" s="4" t="s">
        <v>3231</v>
      </c>
      <c r="E1135" s="4">
        <v>5.700555545009E12</v>
      </c>
      <c r="F1135" s="4" t="s">
        <v>3232</v>
      </c>
      <c r="G1135" s="4" t="s">
        <v>2335</v>
      </c>
      <c r="H1135" s="4" t="s">
        <v>248</v>
      </c>
      <c r="I1135" s="4" t="s">
        <v>249</v>
      </c>
      <c r="J1135" s="4" t="s">
        <v>250</v>
      </c>
    </row>
    <row r="1136" ht="15.75" customHeight="1">
      <c r="A1136" s="4">
        <v>1149.0</v>
      </c>
      <c r="B1136" s="4" t="s">
        <v>3233</v>
      </c>
      <c r="C1136" s="4" t="s">
        <v>3234</v>
      </c>
      <c r="D1136" s="4" t="s">
        <v>2550</v>
      </c>
      <c r="E1136" s="4" t="s">
        <v>3235</v>
      </c>
      <c r="F1136" s="4" t="s">
        <v>3236</v>
      </c>
      <c r="G1136" s="4" t="s">
        <v>2162</v>
      </c>
      <c r="H1136" s="4" t="s">
        <v>248</v>
      </c>
      <c r="I1136" s="4" t="s">
        <v>249</v>
      </c>
      <c r="J1136" s="4" t="s">
        <v>250</v>
      </c>
    </row>
    <row r="1137" ht="15.75" customHeight="1">
      <c r="A1137" s="4">
        <v>1150.0</v>
      </c>
      <c r="B1137" s="4" t="s">
        <v>3237</v>
      </c>
      <c r="C1137" s="4" t="s">
        <v>155</v>
      </c>
      <c r="D1137" s="4" t="s">
        <v>3238</v>
      </c>
      <c r="E1137" s="4">
        <v>5.700555545011E12</v>
      </c>
      <c r="F1137" s="4" t="s">
        <v>3239</v>
      </c>
      <c r="G1137" s="4" t="s">
        <v>25</v>
      </c>
      <c r="H1137" s="4" t="s">
        <v>3240</v>
      </c>
      <c r="I1137" s="4" t="s">
        <v>2582</v>
      </c>
      <c r="J1137" s="4" t="s">
        <v>249</v>
      </c>
      <c r="K1137" s="4" t="s">
        <v>250</v>
      </c>
    </row>
    <row r="1138" ht="15.75" customHeight="1">
      <c r="A1138" s="4">
        <v>1151.0</v>
      </c>
      <c r="B1138" s="4" t="s">
        <v>3241</v>
      </c>
      <c r="C1138" s="4" t="s">
        <v>3242</v>
      </c>
      <c r="D1138" s="4" t="s">
        <v>2504</v>
      </c>
      <c r="E1138" s="4">
        <v>5.700555545012E12</v>
      </c>
      <c r="F1138" s="4" t="s">
        <v>3243</v>
      </c>
      <c r="G1138" s="4" t="s">
        <v>12</v>
      </c>
      <c r="H1138" s="4" t="s">
        <v>248</v>
      </c>
      <c r="I1138" s="4" t="s">
        <v>249</v>
      </c>
      <c r="J1138" s="4" t="s">
        <v>250</v>
      </c>
    </row>
    <row r="1139" ht="15.75" customHeight="1">
      <c r="A1139" s="4">
        <v>1152.0</v>
      </c>
      <c r="B1139" s="4" t="s">
        <v>952</v>
      </c>
      <c r="C1139" s="4" t="s">
        <v>1998</v>
      </c>
      <c r="D1139" s="4" t="s">
        <v>3244</v>
      </c>
      <c r="E1139" s="4">
        <v>5.700555545014E12</v>
      </c>
      <c r="F1139" s="4" t="s">
        <v>3245</v>
      </c>
      <c r="G1139" s="4" t="s">
        <v>12</v>
      </c>
      <c r="H1139" s="4" t="s">
        <v>248</v>
      </c>
      <c r="I1139" s="4" t="s">
        <v>249</v>
      </c>
      <c r="J1139" s="4" t="s">
        <v>250</v>
      </c>
    </row>
    <row r="1140" ht="15.75" customHeight="1">
      <c r="A1140" s="4">
        <v>1153.0</v>
      </c>
      <c r="B1140" s="4" t="s">
        <v>3246</v>
      </c>
      <c r="C1140" s="4" t="s">
        <v>8</v>
      </c>
      <c r="D1140" s="4" t="s">
        <v>2845</v>
      </c>
      <c r="E1140" s="4">
        <v>5.700555545015E12</v>
      </c>
      <c r="F1140" s="4" t="s">
        <v>3247</v>
      </c>
      <c r="G1140" s="4" t="s">
        <v>996</v>
      </c>
      <c r="H1140" s="4" t="s">
        <v>248</v>
      </c>
      <c r="I1140" s="4" t="s">
        <v>249</v>
      </c>
      <c r="J1140" s="4" t="s">
        <v>250</v>
      </c>
    </row>
    <row r="1141" ht="15.75" customHeight="1">
      <c r="A1141" s="4">
        <v>1154.0</v>
      </c>
      <c r="B1141" s="4" t="s">
        <v>3248</v>
      </c>
      <c r="C1141" s="4" t="s">
        <v>155</v>
      </c>
      <c r="D1141" s="4" t="s">
        <v>3120</v>
      </c>
      <c r="E1141" s="4">
        <v>5.700555545025E12</v>
      </c>
      <c r="F1141" s="4" t="s">
        <v>3249</v>
      </c>
      <c r="G1141" s="4" t="s">
        <v>25</v>
      </c>
      <c r="H1141" s="4" t="s">
        <v>248</v>
      </c>
      <c r="I1141" s="4" t="s">
        <v>249</v>
      </c>
      <c r="J1141" s="4" t="s">
        <v>250</v>
      </c>
    </row>
    <row r="1142" ht="15.75" customHeight="1">
      <c r="A1142" s="4">
        <v>1155.0</v>
      </c>
      <c r="B1142" s="4" t="s">
        <v>3250</v>
      </c>
      <c r="C1142" s="4" t="s">
        <v>939</v>
      </c>
      <c r="D1142" s="4" t="s">
        <v>3251</v>
      </c>
      <c r="E1142" s="4">
        <v>5.70055000721E11</v>
      </c>
      <c r="F1142" s="4" t="s">
        <v>3252</v>
      </c>
      <c r="G1142" s="4" t="s">
        <v>25</v>
      </c>
      <c r="H1142" s="4" t="s">
        <v>248</v>
      </c>
      <c r="I1142" s="4" t="s">
        <v>249</v>
      </c>
      <c r="J1142" s="4" t="s">
        <v>250</v>
      </c>
    </row>
    <row r="1143" ht="15.75" customHeight="1">
      <c r="A1143" s="4">
        <v>1156.0</v>
      </c>
      <c r="B1143" s="4" t="s">
        <v>3253</v>
      </c>
      <c r="C1143" s="4" t="s">
        <v>3254</v>
      </c>
      <c r="D1143" s="4" t="s">
        <v>3255</v>
      </c>
      <c r="E1143" s="4">
        <v>5.700555545034E12</v>
      </c>
      <c r="F1143" s="4" t="s">
        <v>2408</v>
      </c>
      <c r="G1143" s="4" t="s">
        <v>25</v>
      </c>
      <c r="H1143" s="4" t="s">
        <v>3256</v>
      </c>
      <c r="I1143" s="4" t="s">
        <v>2582</v>
      </c>
      <c r="J1143" s="4" t="s">
        <v>249</v>
      </c>
      <c r="K1143" s="4" t="s">
        <v>250</v>
      </c>
    </row>
    <row r="1144" ht="15.75" customHeight="1">
      <c r="A1144" s="4">
        <v>1157.0</v>
      </c>
      <c r="B1144" s="4" t="s">
        <v>3257</v>
      </c>
      <c r="C1144" s="4" t="s">
        <v>3258</v>
      </c>
      <c r="D1144" s="4" t="s">
        <v>3259</v>
      </c>
      <c r="E1144" s="4">
        <v>5.700555545035E12</v>
      </c>
      <c r="F1144" s="4" t="s">
        <v>3260</v>
      </c>
      <c r="G1144" s="4" t="s">
        <v>12</v>
      </c>
      <c r="H1144" s="4" t="s">
        <v>3261</v>
      </c>
      <c r="I1144" s="4" t="s">
        <v>2582</v>
      </c>
      <c r="J1144" s="4" t="s">
        <v>249</v>
      </c>
      <c r="K1144" s="4" t="s">
        <v>250</v>
      </c>
    </row>
    <row r="1145" ht="15.75" customHeight="1">
      <c r="A1145" s="4">
        <v>1158.0</v>
      </c>
      <c r="B1145" s="4" t="s">
        <v>3262</v>
      </c>
      <c r="C1145" s="4" t="s">
        <v>3263</v>
      </c>
      <c r="D1145" s="4" t="s">
        <v>2783</v>
      </c>
      <c r="E1145" s="4">
        <v>5.700555545037E12</v>
      </c>
      <c r="F1145" s="4" t="s">
        <v>3212</v>
      </c>
      <c r="G1145" s="4" t="s">
        <v>25</v>
      </c>
      <c r="H1145" s="4" t="s">
        <v>3264</v>
      </c>
      <c r="I1145" s="4" t="s">
        <v>2582</v>
      </c>
      <c r="J1145" s="4" t="s">
        <v>249</v>
      </c>
      <c r="K1145" s="4" t="s">
        <v>250</v>
      </c>
    </row>
    <row r="1146" ht="15.75" customHeight="1">
      <c r="A1146" s="4">
        <v>1159.0</v>
      </c>
      <c r="B1146" s="4" t="s">
        <v>3265</v>
      </c>
      <c r="C1146" s="4" t="s">
        <v>835</v>
      </c>
      <c r="D1146" s="4" t="s">
        <v>920</v>
      </c>
      <c r="E1146" s="4">
        <v>5.700555545039E12</v>
      </c>
      <c r="F1146" s="4" t="s">
        <v>3266</v>
      </c>
      <c r="G1146" s="4" t="s">
        <v>25</v>
      </c>
      <c r="H1146" s="4" t="s">
        <v>248</v>
      </c>
      <c r="I1146" s="4" t="s">
        <v>249</v>
      </c>
      <c r="J1146" s="4" t="s">
        <v>250</v>
      </c>
    </row>
    <row r="1147" ht="15.75" customHeight="1">
      <c r="A1147" s="4">
        <v>1160.0</v>
      </c>
      <c r="B1147" s="4" t="s">
        <v>3267</v>
      </c>
      <c r="C1147" s="4" t="s">
        <v>1944</v>
      </c>
      <c r="D1147" s="4" t="s">
        <v>3268</v>
      </c>
      <c r="E1147" s="4">
        <v>5.70055554504E12</v>
      </c>
      <c r="F1147" s="4" t="s">
        <v>3269</v>
      </c>
      <c r="G1147" s="4" t="s">
        <v>12</v>
      </c>
      <c r="H1147" s="4" t="s">
        <v>248</v>
      </c>
      <c r="I1147" s="4" t="s">
        <v>249</v>
      </c>
      <c r="J1147" s="4" t="s">
        <v>250</v>
      </c>
    </row>
    <row r="1148" ht="15.75" customHeight="1">
      <c r="A1148" s="4">
        <v>1161.0</v>
      </c>
      <c r="B1148" s="4" t="s">
        <v>3270</v>
      </c>
      <c r="C1148" s="4" t="s">
        <v>1842</v>
      </c>
      <c r="D1148" s="4" t="s">
        <v>28</v>
      </c>
      <c r="E1148" s="4">
        <v>5.700555545042E12</v>
      </c>
      <c r="F1148" s="4" t="s">
        <v>3271</v>
      </c>
      <c r="G1148" s="4" t="s">
        <v>25</v>
      </c>
      <c r="H1148" s="4" t="s">
        <v>3272</v>
      </c>
      <c r="I1148" s="4" t="s">
        <v>3273</v>
      </c>
      <c r="J1148" s="4" t="s">
        <v>249</v>
      </c>
      <c r="K1148" s="4" t="s">
        <v>250</v>
      </c>
    </row>
    <row r="1149" ht="15.75" customHeight="1">
      <c r="A1149" s="4">
        <v>1162.0</v>
      </c>
      <c r="B1149" s="4" t="s">
        <v>3274</v>
      </c>
      <c r="C1149" s="4" t="s">
        <v>3275</v>
      </c>
      <c r="D1149" s="4" t="s">
        <v>3276</v>
      </c>
      <c r="E1149" s="4">
        <v>5.700555545043E12</v>
      </c>
      <c r="F1149" s="4" t="s">
        <v>3277</v>
      </c>
      <c r="G1149" s="4" t="s">
        <v>25</v>
      </c>
      <c r="H1149" s="4" t="s">
        <v>3278</v>
      </c>
      <c r="I1149" s="4" t="s">
        <v>2582</v>
      </c>
      <c r="J1149" s="4" t="s">
        <v>249</v>
      </c>
      <c r="K1149" s="4" t="s">
        <v>250</v>
      </c>
    </row>
    <row r="1150" ht="15.75" customHeight="1">
      <c r="A1150" s="4">
        <v>1163.0</v>
      </c>
      <c r="B1150" s="4" t="s">
        <v>2479</v>
      </c>
      <c r="C1150" s="4" t="s">
        <v>2832</v>
      </c>
      <c r="D1150" s="4" t="s">
        <v>3279</v>
      </c>
      <c r="E1150" s="4">
        <v>5.700555545044E12</v>
      </c>
      <c r="F1150" s="4" t="s">
        <v>3280</v>
      </c>
      <c r="G1150" s="4" t="s">
        <v>25</v>
      </c>
      <c r="H1150" s="4" t="s">
        <v>248</v>
      </c>
      <c r="I1150" s="4" t="s">
        <v>249</v>
      </c>
      <c r="J1150" s="4" t="s">
        <v>250</v>
      </c>
    </row>
    <row r="1151" ht="15.75" customHeight="1">
      <c r="A1151" s="4">
        <v>1164.0</v>
      </c>
      <c r="B1151" s="4" t="s">
        <v>3281</v>
      </c>
      <c r="C1151" s="4" t="s">
        <v>3282</v>
      </c>
      <c r="D1151" s="4" t="s">
        <v>3283</v>
      </c>
      <c r="E1151" s="4">
        <v>5.700555545045E12</v>
      </c>
      <c r="F1151" s="4" t="s">
        <v>3284</v>
      </c>
      <c r="G1151" s="4" t="s">
        <v>12</v>
      </c>
      <c r="H1151" s="4" t="s">
        <v>248</v>
      </c>
      <c r="I1151" s="4" t="s">
        <v>249</v>
      </c>
      <c r="J1151" s="4" t="s">
        <v>250</v>
      </c>
    </row>
    <row r="1152" ht="15.75" customHeight="1">
      <c r="A1152" s="4">
        <v>1165.0</v>
      </c>
      <c r="B1152" s="4" t="s">
        <v>3285</v>
      </c>
      <c r="C1152" s="4" t="s">
        <v>3286</v>
      </c>
      <c r="D1152" s="4" t="s">
        <v>3287</v>
      </c>
      <c r="E1152" s="4">
        <v>5.700555545046E12</v>
      </c>
      <c r="F1152" s="4" t="s">
        <v>3288</v>
      </c>
      <c r="G1152" s="4" t="s">
        <v>25</v>
      </c>
      <c r="H1152" s="4" t="s">
        <v>3289</v>
      </c>
      <c r="I1152" s="4" t="s">
        <v>3290</v>
      </c>
      <c r="J1152" s="4" t="s">
        <v>249</v>
      </c>
      <c r="K1152" s="4" t="s">
        <v>250</v>
      </c>
    </row>
    <row r="1153" ht="15.75" customHeight="1">
      <c r="A1153" s="4">
        <v>1166.0</v>
      </c>
      <c r="B1153" s="4" t="s">
        <v>3291</v>
      </c>
      <c r="C1153" s="4" t="s">
        <v>1680</v>
      </c>
      <c r="D1153" s="4" t="s">
        <v>3292</v>
      </c>
      <c r="E1153" s="4">
        <v>5.700555545048E12</v>
      </c>
      <c r="F1153" s="4" t="s">
        <v>3293</v>
      </c>
      <c r="G1153" s="4" t="s">
        <v>25</v>
      </c>
      <c r="H1153" s="4" t="s">
        <v>3294</v>
      </c>
      <c r="I1153" s="4" t="s">
        <v>2582</v>
      </c>
      <c r="J1153" s="4" t="s">
        <v>249</v>
      </c>
      <c r="K1153" s="4" t="s">
        <v>250</v>
      </c>
    </row>
    <row r="1154" ht="15.75" customHeight="1">
      <c r="A1154" s="4">
        <v>1167.0</v>
      </c>
      <c r="B1154" s="4" t="s">
        <v>3295</v>
      </c>
      <c r="C1154" s="4" t="s">
        <v>105</v>
      </c>
      <c r="D1154" s="4" t="s">
        <v>3296</v>
      </c>
      <c r="E1154" s="4">
        <v>5.700555545049E12</v>
      </c>
      <c r="F1154" s="4" t="s">
        <v>3297</v>
      </c>
      <c r="G1154" s="4" t="s">
        <v>25</v>
      </c>
      <c r="H1154" s="4" t="s">
        <v>248</v>
      </c>
      <c r="I1154" s="4" t="s">
        <v>249</v>
      </c>
      <c r="J1154" s="4" t="s">
        <v>250</v>
      </c>
    </row>
    <row r="1155" ht="15.75" customHeight="1">
      <c r="A1155" s="4">
        <v>1168.0</v>
      </c>
      <c r="B1155" s="4" t="s">
        <v>3298</v>
      </c>
      <c r="C1155" s="4" t="s">
        <v>229</v>
      </c>
      <c r="D1155" s="4" t="s">
        <v>3299</v>
      </c>
      <c r="E1155" s="4">
        <v>5.700555545051E12</v>
      </c>
      <c r="F1155" s="4" t="s">
        <v>3300</v>
      </c>
      <c r="G1155" s="4" t="s">
        <v>247</v>
      </c>
      <c r="H1155" s="4" t="s">
        <v>248</v>
      </c>
      <c r="I1155" s="4" t="s">
        <v>249</v>
      </c>
      <c r="J1155" s="4" t="s">
        <v>250</v>
      </c>
    </row>
    <row r="1156" ht="15.75" customHeight="1">
      <c r="A1156" s="4">
        <v>1169.0</v>
      </c>
      <c r="B1156" s="4" t="s">
        <v>2766</v>
      </c>
      <c r="C1156" s="4" t="s">
        <v>3301</v>
      </c>
      <c r="D1156" s="4" t="s">
        <v>123</v>
      </c>
      <c r="E1156" s="4">
        <v>5.700555545056E12</v>
      </c>
      <c r="F1156" s="4" t="s">
        <v>3302</v>
      </c>
      <c r="G1156" s="4" t="s">
        <v>12</v>
      </c>
      <c r="H1156" s="4" t="s">
        <v>3303</v>
      </c>
      <c r="I1156" s="4" t="s">
        <v>2582</v>
      </c>
      <c r="J1156" s="4" t="s">
        <v>249</v>
      </c>
      <c r="K1156" s="4" t="s">
        <v>250</v>
      </c>
    </row>
    <row r="1157" ht="15.75" customHeight="1">
      <c r="A1157" s="4">
        <v>1170.0</v>
      </c>
      <c r="B1157" s="4" t="s">
        <v>1111</v>
      </c>
      <c r="C1157" s="4" t="s">
        <v>1033</v>
      </c>
      <c r="D1157" s="4" t="s">
        <v>2657</v>
      </c>
      <c r="E1157" s="4">
        <v>5.700555545047E12</v>
      </c>
      <c r="F1157" s="4" t="s">
        <v>3304</v>
      </c>
      <c r="G1157" s="4" t="s">
        <v>25</v>
      </c>
      <c r="H1157" s="4" t="s">
        <v>248</v>
      </c>
      <c r="I1157" s="4" t="s">
        <v>249</v>
      </c>
      <c r="J1157" s="4" t="s">
        <v>250</v>
      </c>
    </row>
    <row r="1158" ht="15.75" customHeight="1">
      <c r="A1158" s="4">
        <v>1171.0</v>
      </c>
      <c r="B1158" s="4" t="s">
        <v>3079</v>
      </c>
      <c r="C1158" s="4" t="s">
        <v>3305</v>
      </c>
      <c r="D1158" s="4" t="s">
        <v>1405</v>
      </c>
      <c r="E1158" s="4">
        <v>5.700555545052E12</v>
      </c>
      <c r="F1158" s="4" t="s">
        <v>3306</v>
      </c>
      <c r="G1158" s="4" t="s">
        <v>120</v>
      </c>
      <c r="H1158" s="4" t="s">
        <v>3289</v>
      </c>
      <c r="I1158" s="4" t="s">
        <v>2582</v>
      </c>
      <c r="J1158" s="4" t="s">
        <v>249</v>
      </c>
      <c r="K1158" s="4" t="s">
        <v>250</v>
      </c>
    </row>
    <row r="1159" ht="15.75" customHeight="1">
      <c r="A1159" s="4">
        <v>1172.0</v>
      </c>
      <c r="B1159" s="4" t="s">
        <v>3307</v>
      </c>
      <c r="C1159" s="4" t="s">
        <v>3308</v>
      </c>
      <c r="D1159" s="4" t="s">
        <v>2771</v>
      </c>
      <c r="E1159" s="4">
        <v>5.700555545059E12</v>
      </c>
      <c r="F1159" s="4" t="s">
        <v>3309</v>
      </c>
      <c r="G1159" s="4" t="s">
        <v>2335</v>
      </c>
      <c r="H1159" s="4" t="s">
        <v>248</v>
      </c>
      <c r="I1159" s="4" t="s">
        <v>249</v>
      </c>
      <c r="J1159" s="4" t="s">
        <v>250</v>
      </c>
    </row>
    <row r="1160" ht="15.75" customHeight="1">
      <c r="A1160" s="4">
        <v>1173.0</v>
      </c>
      <c r="B1160" s="4" t="s">
        <v>3310</v>
      </c>
      <c r="C1160" s="4" t="s">
        <v>3311</v>
      </c>
      <c r="D1160" s="4" t="s">
        <v>2523</v>
      </c>
      <c r="E1160" s="4">
        <v>5.70055554506E12</v>
      </c>
      <c r="F1160" s="4" t="s">
        <v>2984</v>
      </c>
      <c r="G1160" s="4" t="s">
        <v>247</v>
      </c>
      <c r="H1160" s="4" t="s">
        <v>248</v>
      </c>
      <c r="I1160" s="4" t="s">
        <v>249</v>
      </c>
      <c r="J1160" s="4" t="s">
        <v>250</v>
      </c>
    </row>
    <row r="1161" ht="15.75" customHeight="1">
      <c r="A1161" s="4">
        <v>1174.0</v>
      </c>
      <c r="B1161" s="4" t="s">
        <v>2559</v>
      </c>
      <c r="C1161" s="4" t="s">
        <v>2950</v>
      </c>
      <c r="D1161" s="4" t="s">
        <v>3238</v>
      </c>
      <c r="E1161" s="4">
        <v>5.700555545061E12</v>
      </c>
      <c r="F1161" s="4" t="s">
        <v>3312</v>
      </c>
      <c r="G1161" s="4" t="s">
        <v>12</v>
      </c>
      <c r="H1161" s="4" t="s">
        <v>248</v>
      </c>
      <c r="I1161" s="4" t="s">
        <v>249</v>
      </c>
      <c r="J1161" s="4" t="s">
        <v>250</v>
      </c>
    </row>
    <row r="1162" ht="15.75" customHeight="1">
      <c r="A1162" s="4">
        <v>1175.0</v>
      </c>
      <c r="B1162" s="4" t="s">
        <v>3313</v>
      </c>
      <c r="C1162" s="4" t="s">
        <v>1057</v>
      </c>
      <c r="D1162" s="4" t="s">
        <v>1164</v>
      </c>
      <c r="E1162" s="4">
        <v>5.700555545062E12</v>
      </c>
      <c r="F1162" s="4" t="s">
        <v>3314</v>
      </c>
      <c r="G1162" s="4" t="s">
        <v>12</v>
      </c>
      <c r="H1162" s="4" t="s">
        <v>248</v>
      </c>
      <c r="I1162" s="4" t="s">
        <v>249</v>
      </c>
      <c r="J1162" s="4" t="s">
        <v>250</v>
      </c>
    </row>
    <row r="1163" ht="15.75" customHeight="1">
      <c r="A1163" s="4">
        <v>1176.0</v>
      </c>
      <c r="B1163" s="4" t="s">
        <v>3050</v>
      </c>
      <c r="C1163" s="4" t="s">
        <v>1752</v>
      </c>
      <c r="D1163" s="4" t="s">
        <v>3315</v>
      </c>
      <c r="E1163" s="4">
        <v>5.700555545064E12</v>
      </c>
      <c r="F1163" s="4" t="s">
        <v>3316</v>
      </c>
      <c r="G1163" s="4" t="s">
        <v>247</v>
      </c>
      <c r="H1163" s="4" t="s">
        <v>248</v>
      </c>
      <c r="I1163" s="4" t="s">
        <v>249</v>
      </c>
      <c r="J1163" s="4" t="s">
        <v>250</v>
      </c>
    </row>
    <row r="1164" ht="15.75" customHeight="1">
      <c r="A1164" s="4">
        <v>1177.0</v>
      </c>
      <c r="B1164" s="4" t="s">
        <v>3317</v>
      </c>
      <c r="C1164" s="4" t="s">
        <v>1638</v>
      </c>
      <c r="D1164" s="4" t="s">
        <v>3318</v>
      </c>
      <c r="E1164" s="4">
        <v>5.700555545066E12</v>
      </c>
      <c r="F1164" s="4" t="s">
        <v>3319</v>
      </c>
      <c r="G1164" s="4" t="s">
        <v>247</v>
      </c>
      <c r="H1164" s="4" t="s">
        <v>248</v>
      </c>
      <c r="I1164" s="4" t="s">
        <v>249</v>
      </c>
      <c r="J1164" s="4" t="s">
        <v>250</v>
      </c>
    </row>
    <row r="1165" ht="15.75" customHeight="1">
      <c r="A1165" s="4">
        <v>1178.0</v>
      </c>
      <c r="B1165" s="4" t="s">
        <v>3320</v>
      </c>
      <c r="C1165" s="4" t="s">
        <v>8</v>
      </c>
      <c r="D1165" s="4" t="s">
        <v>3321</v>
      </c>
      <c r="E1165" s="4">
        <v>5.700555545067E12</v>
      </c>
      <c r="F1165" s="4" t="s">
        <v>3322</v>
      </c>
      <c r="G1165" s="4" t="s">
        <v>12</v>
      </c>
      <c r="H1165" s="4" t="s">
        <v>248</v>
      </c>
      <c r="I1165" s="4" t="s">
        <v>249</v>
      </c>
      <c r="J1165" s="4" t="s">
        <v>250</v>
      </c>
    </row>
    <row r="1166" ht="15.75" customHeight="1">
      <c r="A1166" s="4">
        <v>1179.0</v>
      </c>
      <c r="B1166" s="4" t="s">
        <v>21</v>
      </c>
      <c r="C1166" s="4" t="s">
        <v>1081</v>
      </c>
      <c r="D1166" s="4" t="s">
        <v>3323</v>
      </c>
      <c r="E1166" s="4">
        <v>5.700555545071E12</v>
      </c>
      <c r="F1166" s="4" t="s">
        <v>3324</v>
      </c>
      <c r="G1166" s="4" t="s">
        <v>12</v>
      </c>
      <c r="H1166" s="4" t="s">
        <v>248</v>
      </c>
      <c r="I1166" s="4" t="s">
        <v>249</v>
      </c>
      <c r="J1166" s="4" t="s">
        <v>250</v>
      </c>
    </row>
    <row r="1167" ht="15.75" customHeight="1">
      <c r="A1167" s="4">
        <v>1180.0</v>
      </c>
      <c r="B1167" s="4" t="s">
        <v>3325</v>
      </c>
      <c r="C1167" s="4" t="s">
        <v>1430</v>
      </c>
      <c r="D1167" s="4" t="s">
        <v>3326</v>
      </c>
      <c r="E1167" s="4">
        <v>5.700555545074E12</v>
      </c>
      <c r="F1167" s="4" t="s">
        <v>3327</v>
      </c>
      <c r="G1167" s="4" t="s">
        <v>25</v>
      </c>
      <c r="H1167" s="4" t="s">
        <v>248</v>
      </c>
      <c r="I1167" s="4" t="s">
        <v>249</v>
      </c>
      <c r="J1167" s="4" t="s">
        <v>250</v>
      </c>
    </row>
    <row r="1168" ht="15.75" customHeight="1">
      <c r="A1168" s="4">
        <v>1181.0</v>
      </c>
      <c r="B1168" s="4" t="s">
        <v>3328</v>
      </c>
      <c r="C1168" s="4" t="s">
        <v>2213</v>
      </c>
      <c r="D1168" s="4" t="s">
        <v>3329</v>
      </c>
      <c r="E1168" s="4">
        <v>5.700555545075E12</v>
      </c>
      <c r="F1168" s="4" t="s">
        <v>3330</v>
      </c>
      <c r="G1168" s="4" t="s">
        <v>25</v>
      </c>
      <c r="H1168" s="4" t="s">
        <v>248</v>
      </c>
      <c r="I1168" s="4" t="s">
        <v>249</v>
      </c>
      <c r="J1168" s="4" t="s">
        <v>250</v>
      </c>
    </row>
    <row r="1169" ht="15.75" customHeight="1">
      <c r="A1169" s="4">
        <v>1182.0</v>
      </c>
      <c r="B1169" s="4" t="s">
        <v>3331</v>
      </c>
      <c r="C1169" s="4" t="s">
        <v>3144</v>
      </c>
      <c r="D1169" s="4" t="s">
        <v>3332</v>
      </c>
      <c r="E1169" s="4">
        <v>5.700555545076E12</v>
      </c>
      <c r="F1169" s="4" t="s">
        <v>3333</v>
      </c>
      <c r="G1169" s="4" t="s">
        <v>12</v>
      </c>
      <c r="H1169" s="4" t="s">
        <v>248</v>
      </c>
      <c r="I1169" s="4" t="s">
        <v>249</v>
      </c>
      <c r="J1169" s="4" t="s">
        <v>250</v>
      </c>
    </row>
    <row r="1170" ht="15.75" customHeight="1">
      <c r="A1170" s="4">
        <v>1183.0</v>
      </c>
      <c r="B1170" s="4" t="s">
        <v>3334</v>
      </c>
      <c r="C1170" s="4" t="s">
        <v>1383</v>
      </c>
      <c r="D1170" s="4" t="s">
        <v>2579</v>
      </c>
      <c r="E1170" s="4">
        <v>5.700555545081E12</v>
      </c>
      <c r="F1170" s="4" t="s">
        <v>2984</v>
      </c>
      <c r="G1170" s="4" t="s">
        <v>247</v>
      </c>
      <c r="H1170" s="4" t="s">
        <v>248</v>
      </c>
      <c r="I1170" s="4" t="s">
        <v>249</v>
      </c>
      <c r="J1170" s="4" t="s">
        <v>250</v>
      </c>
    </row>
    <row r="1171" ht="15.75" customHeight="1">
      <c r="A1171" s="4">
        <v>1184.0</v>
      </c>
      <c r="B1171" s="4" t="s">
        <v>2565</v>
      </c>
      <c r="C1171" s="4" t="s">
        <v>845</v>
      </c>
      <c r="D1171" s="4" t="s">
        <v>3137</v>
      </c>
      <c r="E1171" s="4">
        <v>5.700555545087E12</v>
      </c>
      <c r="F1171" s="4" t="s">
        <v>2984</v>
      </c>
      <c r="G1171" s="4" t="s">
        <v>247</v>
      </c>
      <c r="H1171" s="4" t="s">
        <v>248</v>
      </c>
      <c r="I1171" s="4" t="s">
        <v>249</v>
      </c>
      <c r="J1171" s="4" t="s">
        <v>250</v>
      </c>
    </row>
    <row r="1172" ht="15.75" customHeight="1">
      <c r="A1172" s="4">
        <v>1185.0</v>
      </c>
      <c r="B1172" s="4" t="s">
        <v>3335</v>
      </c>
      <c r="C1172" s="4" t="s">
        <v>3336</v>
      </c>
      <c r="D1172" s="4" t="s">
        <v>870</v>
      </c>
      <c r="E1172" s="4">
        <v>5.700555545088E12</v>
      </c>
      <c r="F1172" s="4" t="s">
        <v>3337</v>
      </c>
      <c r="G1172" s="4" t="s">
        <v>2162</v>
      </c>
      <c r="H1172" s="4" t="s">
        <v>248</v>
      </c>
      <c r="I1172" s="4" t="s">
        <v>249</v>
      </c>
      <c r="J1172" s="4" t="s">
        <v>250</v>
      </c>
    </row>
    <row r="1173" ht="15.75" customHeight="1">
      <c r="A1173" s="4">
        <v>1186.0</v>
      </c>
      <c r="B1173" s="4" t="s">
        <v>1398</v>
      </c>
      <c r="C1173" s="4" t="s">
        <v>1156</v>
      </c>
      <c r="D1173" s="4" t="s">
        <v>3338</v>
      </c>
      <c r="E1173" s="4">
        <v>5.700555545089E12</v>
      </c>
      <c r="F1173" s="4" t="s">
        <v>3339</v>
      </c>
      <c r="G1173" s="4" t="s">
        <v>247</v>
      </c>
      <c r="H1173" s="4" t="s">
        <v>248</v>
      </c>
      <c r="I1173" s="4" t="s">
        <v>249</v>
      </c>
      <c r="J1173" s="4" t="s">
        <v>250</v>
      </c>
    </row>
    <row r="1174" ht="15.75" customHeight="1">
      <c r="A1174" s="4">
        <v>1187.0</v>
      </c>
      <c r="B1174" s="4" t="s">
        <v>3340</v>
      </c>
      <c r="C1174" s="4" t="s">
        <v>174</v>
      </c>
      <c r="D1174" s="4" t="s">
        <v>874</v>
      </c>
      <c r="E1174" s="4">
        <v>5.700555545091E12</v>
      </c>
      <c r="F1174" s="4" t="s">
        <v>3341</v>
      </c>
      <c r="G1174" s="4" t="s">
        <v>12</v>
      </c>
      <c r="H1174" s="4" t="s">
        <v>248</v>
      </c>
      <c r="I1174" s="4" t="s">
        <v>249</v>
      </c>
      <c r="J1174" s="4" t="s">
        <v>250</v>
      </c>
    </row>
    <row r="1175" ht="15.75" customHeight="1">
      <c r="A1175" s="4">
        <v>1188.0</v>
      </c>
      <c r="B1175" s="4" t="s">
        <v>3342</v>
      </c>
      <c r="C1175" s="4" t="s">
        <v>3343</v>
      </c>
      <c r="D1175" s="4" t="s">
        <v>2618</v>
      </c>
      <c r="E1175" s="4">
        <v>5.700555545093E12</v>
      </c>
      <c r="F1175" s="4" t="s">
        <v>3344</v>
      </c>
      <c r="G1175" s="4" t="s">
        <v>12</v>
      </c>
      <c r="H1175" s="4" t="s">
        <v>248</v>
      </c>
      <c r="I1175" s="4" t="s">
        <v>249</v>
      </c>
      <c r="J1175" s="4" t="s">
        <v>250</v>
      </c>
    </row>
    <row r="1176" ht="15.75" customHeight="1">
      <c r="A1176" s="4">
        <v>1189.0</v>
      </c>
      <c r="B1176" s="4" t="s">
        <v>3345</v>
      </c>
      <c r="C1176" s="4" t="s">
        <v>3346</v>
      </c>
      <c r="D1176" s="4" t="s">
        <v>2567</v>
      </c>
      <c r="E1176" s="4">
        <v>5.700555545096E12</v>
      </c>
      <c r="F1176" s="4" t="s">
        <v>3347</v>
      </c>
      <c r="G1176" s="4" t="s">
        <v>2631</v>
      </c>
      <c r="H1176" s="4" t="s">
        <v>248</v>
      </c>
      <c r="I1176" s="4" t="s">
        <v>249</v>
      </c>
      <c r="J1176" s="4" t="s">
        <v>250</v>
      </c>
    </row>
    <row r="1177" ht="15.75" customHeight="1">
      <c r="A1177" s="4">
        <v>1190.0</v>
      </c>
      <c r="B1177" s="4" t="s">
        <v>3348</v>
      </c>
      <c r="C1177" s="4" t="s">
        <v>3349</v>
      </c>
      <c r="D1177" s="4" t="s">
        <v>3142</v>
      </c>
      <c r="E1177" s="4">
        <v>5.700555545097E12</v>
      </c>
      <c r="F1177" s="4" t="s">
        <v>3350</v>
      </c>
      <c r="G1177" s="4" t="s">
        <v>25</v>
      </c>
      <c r="H1177" s="4" t="s">
        <v>248</v>
      </c>
      <c r="I1177" s="4" t="s">
        <v>249</v>
      </c>
      <c r="J1177" s="4" t="s">
        <v>250</v>
      </c>
    </row>
    <row r="1178" ht="15.75" customHeight="1">
      <c r="A1178" s="4">
        <v>1191.0</v>
      </c>
      <c r="B1178" s="4" t="s">
        <v>3351</v>
      </c>
      <c r="C1178" s="4" t="s">
        <v>1207</v>
      </c>
      <c r="D1178" s="4" t="s">
        <v>2714</v>
      </c>
      <c r="E1178" s="4">
        <v>5.700555545099E12</v>
      </c>
      <c r="F1178" s="4" t="s">
        <v>3352</v>
      </c>
      <c r="G1178" s="4" t="s">
        <v>247</v>
      </c>
      <c r="H1178" s="4" t="s">
        <v>248</v>
      </c>
      <c r="I1178" s="4" t="s">
        <v>249</v>
      </c>
      <c r="J1178" s="4" t="s">
        <v>250</v>
      </c>
    </row>
    <row r="1179" ht="15.75" customHeight="1">
      <c r="A1179" s="4">
        <v>1192.0</v>
      </c>
      <c r="B1179" s="4" t="s">
        <v>2479</v>
      </c>
      <c r="C1179" s="4" t="s">
        <v>861</v>
      </c>
      <c r="D1179" s="4" t="s">
        <v>2985</v>
      </c>
      <c r="E1179" s="4">
        <v>5.700555545111E12</v>
      </c>
      <c r="F1179" s="4" t="s">
        <v>3353</v>
      </c>
      <c r="G1179" s="4" t="s">
        <v>12</v>
      </c>
      <c r="H1179" s="4" t="s">
        <v>248</v>
      </c>
      <c r="I1179" s="4" t="s">
        <v>249</v>
      </c>
      <c r="J1179" s="4" t="s">
        <v>250</v>
      </c>
    </row>
    <row r="1180" ht="15.75" customHeight="1">
      <c r="A1180" s="4">
        <v>1193.0</v>
      </c>
      <c r="B1180" s="4" t="s">
        <v>3354</v>
      </c>
      <c r="C1180" s="4" t="s">
        <v>1552</v>
      </c>
      <c r="D1180" s="4" t="s">
        <v>3355</v>
      </c>
      <c r="E1180" s="4">
        <v>5.700555545112E12</v>
      </c>
      <c r="F1180" s="4" t="s">
        <v>2801</v>
      </c>
      <c r="G1180" s="4" t="s">
        <v>12</v>
      </c>
      <c r="H1180" s="4" t="s">
        <v>248</v>
      </c>
      <c r="I1180" s="4" t="s">
        <v>249</v>
      </c>
      <c r="J1180" s="4" t="s">
        <v>250</v>
      </c>
    </row>
    <row r="1181" ht="15.75" customHeight="1">
      <c r="A1181" s="4">
        <v>1194.0</v>
      </c>
      <c r="B1181" s="4" t="s">
        <v>3356</v>
      </c>
      <c r="C1181" s="4" t="s">
        <v>979</v>
      </c>
      <c r="D1181" s="4" t="s">
        <v>3357</v>
      </c>
      <c r="E1181" s="4">
        <v>5.700555545113E12</v>
      </c>
      <c r="F1181" s="4" t="s">
        <v>3358</v>
      </c>
      <c r="G1181" s="4" t="s">
        <v>12</v>
      </c>
      <c r="H1181" s="4" t="s">
        <v>248</v>
      </c>
      <c r="I1181" s="4" t="s">
        <v>249</v>
      </c>
      <c r="J1181" s="4" t="s">
        <v>250</v>
      </c>
    </row>
    <row r="1182" ht="15.75" customHeight="1">
      <c r="A1182" s="4">
        <v>1195.0</v>
      </c>
      <c r="B1182" s="4" t="s">
        <v>3359</v>
      </c>
      <c r="C1182" s="4" t="s">
        <v>2708</v>
      </c>
      <c r="D1182" s="4" t="s">
        <v>3360</v>
      </c>
      <c r="E1182" s="4">
        <v>5.700555545114E12</v>
      </c>
      <c r="F1182" s="4" t="s">
        <v>3361</v>
      </c>
      <c r="G1182" s="4" t="s">
        <v>25</v>
      </c>
      <c r="H1182" s="4" t="s">
        <v>248</v>
      </c>
      <c r="I1182" s="4" t="s">
        <v>249</v>
      </c>
      <c r="J1182" s="4" t="s">
        <v>250</v>
      </c>
    </row>
    <row r="1183" ht="15.75" customHeight="1">
      <c r="A1183" s="4">
        <v>1196.0</v>
      </c>
      <c r="B1183" s="4" t="s">
        <v>2479</v>
      </c>
      <c r="C1183" s="4" t="s">
        <v>989</v>
      </c>
      <c r="D1183" s="4" t="s">
        <v>3362</v>
      </c>
      <c r="E1183" s="4">
        <v>5.700555545116E12</v>
      </c>
      <c r="F1183" s="4" t="s">
        <v>3363</v>
      </c>
      <c r="G1183" s="4" t="s">
        <v>247</v>
      </c>
      <c r="H1183" s="4" t="s">
        <v>248</v>
      </c>
      <c r="I1183" s="4" t="s">
        <v>249</v>
      </c>
      <c r="J1183" s="4" t="s">
        <v>250</v>
      </c>
    </row>
    <row r="1184" ht="15.75" customHeight="1">
      <c r="A1184" s="4">
        <v>1197.0</v>
      </c>
      <c r="B1184" s="4" t="s">
        <v>3364</v>
      </c>
      <c r="C1184" s="4" t="s">
        <v>1967</v>
      </c>
      <c r="D1184" s="4" t="s">
        <v>2263</v>
      </c>
      <c r="E1184" s="4">
        <v>5.700555545117E12</v>
      </c>
      <c r="F1184" s="4" t="s">
        <v>3365</v>
      </c>
      <c r="G1184" s="4" t="s">
        <v>12</v>
      </c>
      <c r="H1184" s="4" t="s">
        <v>248</v>
      </c>
      <c r="I1184" s="4" t="s">
        <v>249</v>
      </c>
      <c r="J1184" s="4" t="s">
        <v>250</v>
      </c>
    </row>
    <row r="1185" ht="15.75" customHeight="1">
      <c r="A1185" s="4">
        <v>1198.0</v>
      </c>
      <c r="B1185" s="4" t="s">
        <v>2583</v>
      </c>
      <c r="C1185" s="4" t="s">
        <v>129</v>
      </c>
      <c r="D1185" s="4" t="s">
        <v>3366</v>
      </c>
      <c r="E1185" s="4">
        <v>5.700555545118E12</v>
      </c>
      <c r="F1185" s="4" t="s">
        <v>3367</v>
      </c>
      <c r="G1185" s="4" t="s">
        <v>3368</v>
      </c>
      <c r="H1185" s="4" t="s">
        <v>248</v>
      </c>
      <c r="I1185" s="4" t="s">
        <v>249</v>
      </c>
      <c r="J1185" s="4" t="s">
        <v>250</v>
      </c>
    </row>
    <row r="1186" ht="15.75" customHeight="1">
      <c r="A1186" s="4">
        <v>1199.0</v>
      </c>
      <c r="B1186" s="4" t="s">
        <v>1769</v>
      </c>
      <c r="C1186" s="4" t="s">
        <v>1390</v>
      </c>
      <c r="D1186" s="4" t="s">
        <v>3369</v>
      </c>
      <c r="E1186" s="4">
        <v>5.700555545119E12</v>
      </c>
      <c r="F1186" s="4" t="s">
        <v>3370</v>
      </c>
      <c r="G1186" s="4" t="s">
        <v>12</v>
      </c>
      <c r="H1186" s="4" t="s">
        <v>248</v>
      </c>
      <c r="I1186" s="4" t="s">
        <v>249</v>
      </c>
      <c r="J1186" s="4" t="s">
        <v>250</v>
      </c>
    </row>
    <row r="1187" ht="15.75" customHeight="1">
      <c r="A1187" s="4">
        <v>1200.0</v>
      </c>
      <c r="B1187" s="4" t="s">
        <v>3371</v>
      </c>
      <c r="C1187" s="4" t="s">
        <v>2496</v>
      </c>
      <c r="D1187" s="4" t="s">
        <v>2497</v>
      </c>
      <c r="E1187" s="4">
        <v>5.700555545124E12</v>
      </c>
      <c r="F1187" s="4" t="s">
        <v>3006</v>
      </c>
      <c r="G1187" s="4" t="s">
        <v>25</v>
      </c>
      <c r="H1187" s="4" t="s">
        <v>248</v>
      </c>
      <c r="I1187" s="4" t="s">
        <v>249</v>
      </c>
      <c r="J1187" s="4" t="s">
        <v>250</v>
      </c>
    </row>
    <row r="1188" ht="15.75" customHeight="1">
      <c r="A1188" s="4">
        <v>1201.0</v>
      </c>
      <c r="B1188" s="4" t="s">
        <v>3372</v>
      </c>
      <c r="C1188" s="4" t="s">
        <v>1049</v>
      </c>
      <c r="D1188" s="4" t="s">
        <v>3127</v>
      </c>
      <c r="E1188" s="4">
        <v>5.700555545126E12</v>
      </c>
      <c r="F1188" s="4" t="s">
        <v>3373</v>
      </c>
      <c r="G1188" s="4" t="s">
        <v>25</v>
      </c>
      <c r="H1188" s="4" t="s">
        <v>248</v>
      </c>
      <c r="I1188" s="4" t="s">
        <v>249</v>
      </c>
      <c r="J1188" s="4" t="s">
        <v>250</v>
      </c>
    </row>
    <row r="1189" ht="15.75" customHeight="1">
      <c r="A1189" s="4">
        <v>1202.0</v>
      </c>
      <c r="B1189" s="4" t="s">
        <v>3374</v>
      </c>
      <c r="C1189" s="4" t="s">
        <v>3375</v>
      </c>
      <c r="D1189" s="4" t="s">
        <v>3376</v>
      </c>
      <c r="E1189" s="4">
        <v>5.70055554513E12</v>
      </c>
      <c r="F1189" s="4" t="s">
        <v>3377</v>
      </c>
      <c r="G1189" s="4" t="s">
        <v>12</v>
      </c>
      <c r="H1189" s="4" t="s">
        <v>248</v>
      </c>
      <c r="I1189" s="4" t="s">
        <v>3378</v>
      </c>
      <c r="J1189" s="4" t="s">
        <v>249</v>
      </c>
      <c r="K1189" s="4" t="s">
        <v>250</v>
      </c>
    </row>
    <row r="1190" ht="15.75" customHeight="1">
      <c r="A1190" s="4">
        <v>1203.0</v>
      </c>
      <c r="B1190" s="4" t="s">
        <v>3379</v>
      </c>
      <c r="C1190" s="4" t="s">
        <v>3380</v>
      </c>
      <c r="D1190" s="4" t="s">
        <v>3381</v>
      </c>
      <c r="E1190" s="4">
        <v>5.700555545131E12</v>
      </c>
      <c r="F1190" s="4" t="s">
        <v>2149</v>
      </c>
      <c r="G1190" s="4" t="s">
        <v>12</v>
      </c>
      <c r="H1190" s="4" t="s">
        <v>2743</v>
      </c>
      <c r="I1190" s="4" t="s">
        <v>2582</v>
      </c>
      <c r="J1190" s="4" t="s">
        <v>249</v>
      </c>
      <c r="K1190" s="4" t="s">
        <v>250</v>
      </c>
    </row>
    <row r="1191" ht="15.75" customHeight="1">
      <c r="A1191" s="4">
        <v>1204.0</v>
      </c>
      <c r="B1191" s="4" t="s">
        <v>3382</v>
      </c>
      <c r="C1191" s="4" t="s">
        <v>1106</v>
      </c>
      <c r="D1191" s="4" t="s">
        <v>3383</v>
      </c>
      <c r="E1191" s="4">
        <v>5.700555545135E12</v>
      </c>
      <c r="F1191" s="4" t="s">
        <v>3384</v>
      </c>
      <c r="G1191" s="4" t="s">
        <v>25</v>
      </c>
      <c r="H1191" s="4" t="s">
        <v>3278</v>
      </c>
      <c r="I1191" s="4" t="s">
        <v>2582</v>
      </c>
      <c r="J1191" s="4" t="s">
        <v>249</v>
      </c>
      <c r="K1191" s="4" t="s">
        <v>250</v>
      </c>
    </row>
    <row r="1192" ht="15.75" customHeight="1">
      <c r="A1192" s="4">
        <v>1205.0</v>
      </c>
      <c r="B1192" s="4" t="s">
        <v>2831</v>
      </c>
      <c r="C1192" s="4" t="s">
        <v>240</v>
      </c>
      <c r="D1192" s="4" t="s">
        <v>3385</v>
      </c>
      <c r="E1192" s="4">
        <v>5.700555545136E12</v>
      </c>
      <c r="F1192" s="4" t="s">
        <v>2823</v>
      </c>
      <c r="G1192" s="4" t="s">
        <v>25</v>
      </c>
      <c r="H1192" s="4" t="s">
        <v>248</v>
      </c>
      <c r="I1192" s="4" t="s">
        <v>249</v>
      </c>
      <c r="J1192" s="4" t="s">
        <v>250</v>
      </c>
    </row>
    <row r="1193" ht="15.75" customHeight="1">
      <c r="A1193" s="4">
        <v>1206.0</v>
      </c>
      <c r="B1193" s="4" t="s">
        <v>3386</v>
      </c>
      <c r="C1193" s="4" t="s">
        <v>1887</v>
      </c>
      <c r="D1193" s="4" t="s">
        <v>2491</v>
      </c>
      <c r="E1193" s="4">
        <v>5.70055000738E11</v>
      </c>
      <c r="F1193" s="4" t="s">
        <v>3387</v>
      </c>
      <c r="G1193" s="4" t="s">
        <v>247</v>
      </c>
      <c r="H1193" s="4" t="s">
        <v>248</v>
      </c>
      <c r="I1193" s="4" t="s">
        <v>249</v>
      </c>
      <c r="J1193" s="4" t="s">
        <v>250</v>
      </c>
    </row>
    <row r="1194" ht="15.75" customHeight="1">
      <c r="A1194" s="4">
        <v>1207.0</v>
      </c>
      <c r="B1194" s="4" t="s">
        <v>3348</v>
      </c>
      <c r="C1194" s="4" t="s">
        <v>1987</v>
      </c>
      <c r="D1194" s="4" t="s">
        <v>3388</v>
      </c>
      <c r="E1194" s="4">
        <v>5.7005500074E11</v>
      </c>
      <c r="F1194" s="4" t="s">
        <v>3389</v>
      </c>
      <c r="G1194" s="4" t="s">
        <v>247</v>
      </c>
      <c r="H1194" s="4" t="s">
        <v>248</v>
      </c>
      <c r="I1194" s="4" t="s">
        <v>249</v>
      </c>
      <c r="J1194" s="4" t="s">
        <v>250</v>
      </c>
    </row>
    <row r="1195" ht="15.75" customHeight="1">
      <c r="A1195" s="4">
        <v>1208.0</v>
      </c>
      <c r="B1195" s="4" t="s">
        <v>3390</v>
      </c>
      <c r="C1195" s="4" t="s">
        <v>926</v>
      </c>
      <c r="D1195" s="4" t="s">
        <v>3391</v>
      </c>
      <c r="E1195" s="4">
        <v>5.70055000742E11</v>
      </c>
      <c r="F1195" s="4" t="s">
        <v>3392</v>
      </c>
      <c r="G1195" s="4" t="s">
        <v>247</v>
      </c>
      <c r="H1195" s="4" t="s">
        <v>248</v>
      </c>
      <c r="I1195" s="4" t="s">
        <v>249</v>
      </c>
      <c r="J1195" s="4" t="s">
        <v>250</v>
      </c>
    </row>
    <row r="1196" ht="15.75" customHeight="1">
      <c r="A1196" s="4">
        <v>1209.0</v>
      </c>
      <c r="B1196" s="4" t="s">
        <v>1390</v>
      </c>
      <c r="C1196" s="4" t="s">
        <v>2496</v>
      </c>
      <c r="D1196" s="4" t="s">
        <v>2497</v>
      </c>
      <c r="E1196" s="4">
        <v>5.70055000743E11</v>
      </c>
      <c r="F1196" s="4" t="s">
        <v>3393</v>
      </c>
      <c r="G1196" s="4" t="s">
        <v>25</v>
      </c>
      <c r="H1196" s="4" t="s">
        <v>248</v>
      </c>
      <c r="I1196" s="4" t="s">
        <v>249</v>
      </c>
      <c r="J1196" s="4" t="s">
        <v>250</v>
      </c>
    </row>
    <row r="1197" ht="15.75" customHeight="1">
      <c r="A1197" s="4">
        <v>1210.0</v>
      </c>
      <c r="B1197" s="4" t="s">
        <v>3394</v>
      </c>
      <c r="C1197" s="4" t="s">
        <v>2932</v>
      </c>
      <c r="D1197" s="4" t="s">
        <v>3395</v>
      </c>
      <c r="E1197" s="4">
        <v>5.70055000744E11</v>
      </c>
      <c r="F1197" s="4" t="s">
        <v>3396</v>
      </c>
      <c r="G1197" s="4" t="s">
        <v>247</v>
      </c>
      <c r="H1197" s="4" t="s">
        <v>2615</v>
      </c>
      <c r="I1197" s="4" t="s">
        <v>2582</v>
      </c>
      <c r="J1197" s="4" t="s">
        <v>249</v>
      </c>
      <c r="K1197" s="4" t="s">
        <v>250</v>
      </c>
    </row>
    <row r="1198" ht="15.75" customHeight="1">
      <c r="A1198" s="4">
        <v>1211.0</v>
      </c>
      <c r="B1198" s="4" t="s">
        <v>3397</v>
      </c>
      <c r="C1198" s="4" t="s">
        <v>215</v>
      </c>
      <c r="D1198" s="4" t="s">
        <v>3398</v>
      </c>
      <c r="E1198" s="4">
        <v>5.70055000746E11</v>
      </c>
      <c r="F1198" s="4" t="s">
        <v>3399</v>
      </c>
      <c r="G1198" s="4" t="s">
        <v>247</v>
      </c>
      <c r="H1198" s="4" t="s">
        <v>248</v>
      </c>
      <c r="I1198" s="4" t="s">
        <v>249</v>
      </c>
      <c r="J1198" s="4" t="s">
        <v>250</v>
      </c>
    </row>
    <row r="1199" ht="15.75" customHeight="1">
      <c r="A1199" s="4">
        <v>1212.0</v>
      </c>
      <c r="B1199" s="4" t="s">
        <v>3400</v>
      </c>
      <c r="C1199" s="4" t="s">
        <v>3401</v>
      </c>
      <c r="D1199" s="4" t="s">
        <v>2504</v>
      </c>
      <c r="E1199" s="4">
        <v>5.70055000752E11</v>
      </c>
      <c r="F1199" s="4" t="s">
        <v>3402</v>
      </c>
      <c r="G1199" s="4" t="s">
        <v>247</v>
      </c>
      <c r="H1199" s="4" t="s">
        <v>248</v>
      </c>
      <c r="I1199" s="4" t="s">
        <v>249</v>
      </c>
      <c r="J1199" s="4" t="s">
        <v>250</v>
      </c>
    </row>
    <row r="1200" ht="15.75" customHeight="1">
      <c r="A1200" s="4">
        <v>1213.0</v>
      </c>
      <c r="B1200" s="4" t="s">
        <v>2880</v>
      </c>
      <c r="C1200" s="4" t="s">
        <v>861</v>
      </c>
      <c r="D1200" s="4" t="s">
        <v>2985</v>
      </c>
      <c r="E1200" s="4">
        <v>5.70055000754E11</v>
      </c>
      <c r="F1200" s="4" t="s">
        <v>3403</v>
      </c>
      <c r="G1200" s="4" t="s">
        <v>247</v>
      </c>
      <c r="H1200" s="4" t="s">
        <v>248</v>
      </c>
      <c r="I1200" s="4" t="s">
        <v>249</v>
      </c>
      <c r="J1200" s="4" t="s">
        <v>250</v>
      </c>
    </row>
    <row r="1201" ht="15.75" customHeight="1">
      <c r="A1201" s="4">
        <v>1214.0</v>
      </c>
      <c r="B1201" s="4" t="s">
        <v>3404</v>
      </c>
      <c r="C1201" s="4" t="s">
        <v>1169</v>
      </c>
      <c r="D1201" s="4" t="s">
        <v>127</v>
      </c>
      <c r="E1201" s="4">
        <v>5.70055000755E11</v>
      </c>
      <c r="F1201" s="4" t="s">
        <v>3405</v>
      </c>
      <c r="G1201" s="4" t="s">
        <v>247</v>
      </c>
      <c r="H1201" s="4" t="s">
        <v>3406</v>
      </c>
      <c r="I1201" s="4" t="s">
        <v>2582</v>
      </c>
      <c r="J1201" s="4" t="s">
        <v>249</v>
      </c>
      <c r="K1201" s="4" t="s">
        <v>250</v>
      </c>
    </row>
    <row r="1202" ht="15.75" customHeight="1">
      <c r="A1202" s="4">
        <v>1215.0</v>
      </c>
      <c r="B1202" s="4" t="s">
        <v>3407</v>
      </c>
      <c r="C1202" s="4" t="s">
        <v>911</v>
      </c>
      <c r="D1202" s="4" t="s">
        <v>3408</v>
      </c>
      <c r="E1202" s="4">
        <v>5.70055000756E11</v>
      </c>
      <c r="F1202" s="4" t="s">
        <v>3409</v>
      </c>
      <c r="G1202" s="4" t="s">
        <v>25</v>
      </c>
      <c r="H1202" s="4" t="s">
        <v>248</v>
      </c>
      <c r="I1202" s="4" t="s">
        <v>249</v>
      </c>
      <c r="J1202" s="4" t="s">
        <v>250</v>
      </c>
    </row>
    <row r="1203" ht="15.75" customHeight="1">
      <c r="A1203" s="4">
        <v>1216.0</v>
      </c>
      <c r="B1203" s="4" t="s">
        <v>839</v>
      </c>
      <c r="C1203" s="4" t="s">
        <v>3410</v>
      </c>
      <c r="D1203" s="4" t="s">
        <v>3411</v>
      </c>
      <c r="E1203" s="4">
        <v>5.700555545138E12</v>
      </c>
      <c r="F1203" s="4" t="s">
        <v>1514</v>
      </c>
      <c r="G1203" s="4" t="s">
        <v>12</v>
      </c>
      <c r="H1203" s="4" t="s">
        <v>248</v>
      </c>
      <c r="I1203" s="4" t="s">
        <v>249</v>
      </c>
      <c r="J1203" s="4" t="s">
        <v>250</v>
      </c>
    </row>
    <row r="1204" ht="15.75" customHeight="1">
      <c r="A1204" s="4">
        <v>1217.0</v>
      </c>
      <c r="B1204" s="4" t="s">
        <v>3412</v>
      </c>
      <c r="C1204" s="4" t="s">
        <v>240</v>
      </c>
      <c r="D1204" s="4" t="s">
        <v>3137</v>
      </c>
      <c r="E1204" s="4">
        <v>5.700555545139E12</v>
      </c>
      <c r="F1204" s="4" t="s">
        <v>3413</v>
      </c>
      <c r="G1204" s="4" t="s">
        <v>25</v>
      </c>
      <c r="H1204" s="4" t="s">
        <v>3414</v>
      </c>
      <c r="I1204" s="4" t="s">
        <v>2582</v>
      </c>
      <c r="J1204" s="4" t="s">
        <v>249</v>
      </c>
      <c r="K1204" s="4" t="s">
        <v>250</v>
      </c>
    </row>
    <row r="1205" ht="15.75" customHeight="1">
      <c r="A1205" s="4">
        <v>1218.0</v>
      </c>
      <c r="B1205" s="4" t="s">
        <v>3415</v>
      </c>
      <c r="C1205" s="4" t="s">
        <v>989</v>
      </c>
      <c r="D1205" s="4" t="s">
        <v>2714</v>
      </c>
      <c r="E1205" s="4">
        <v>5.70055554514E12</v>
      </c>
      <c r="F1205" s="4" t="s">
        <v>3416</v>
      </c>
      <c r="G1205" s="4" t="s">
        <v>25</v>
      </c>
      <c r="H1205" s="4" t="s">
        <v>3417</v>
      </c>
      <c r="I1205" s="4" t="s">
        <v>2582</v>
      </c>
      <c r="J1205" s="4" t="s">
        <v>249</v>
      </c>
      <c r="K1205" s="4" t="s">
        <v>250</v>
      </c>
    </row>
    <row r="1206" ht="15.75" customHeight="1">
      <c r="A1206" s="4">
        <v>1219.0</v>
      </c>
      <c r="B1206" s="4" t="s">
        <v>2339</v>
      </c>
      <c r="C1206" s="4" t="s">
        <v>3418</v>
      </c>
      <c r="D1206" s="4" t="s">
        <v>3419</v>
      </c>
      <c r="E1206" s="4">
        <v>5.700555545141E12</v>
      </c>
      <c r="F1206" s="4" t="s">
        <v>3420</v>
      </c>
      <c r="G1206" s="4" t="s">
        <v>12</v>
      </c>
      <c r="H1206" s="4" t="s">
        <v>248</v>
      </c>
      <c r="I1206" s="4" t="s">
        <v>2582</v>
      </c>
      <c r="J1206" s="4" t="s">
        <v>249</v>
      </c>
      <c r="K1206" s="4" t="s">
        <v>250</v>
      </c>
    </row>
    <row r="1207" ht="15.75" customHeight="1">
      <c r="A1207" s="4">
        <v>1220.0</v>
      </c>
      <c r="B1207" s="4" t="s">
        <v>3421</v>
      </c>
      <c r="C1207" s="4" t="s">
        <v>3422</v>
      </c>
      <c r="D1207" s="4" t="s">
        <v>881</v>
      </c>
      <c r="E1207" s="4">
        <v>5.700555545147E12</v>
      </c>
      <c r="F1207" s="4" t="s">
        <v>3423</v>
      </c>
      <c r="G1207" s="4" t="s">
        <v>25</v>
      </c>
      <c r="H1207" s="4" t="s">
        <v>248</v>
      </c>
      <c r="I1207" s="4" t="s">
        <v>2582</v>
      </c>
      <c r="J1207" s="4" t="s">
        <v>249</v>
      </c>
      <c r="K1207" s="4" t="s">
        <v>250</v>
      </c>
    </row>
    <row r="1208" ht="15.75" customHeight="1">
      <c r="A1208" s="4">
        <v>1221.0</v>
      </c>
      <c r="B1208" s="4" t="s">
        <v>2559</v>
      </c>
      <c r="C1208" s="4" t="s">
        <v>2358</v>
      </c>
      <c r="D1208" s="4" t="s">
        <v>2449</v>
      </c>
      <c r="E1208" s="4">
        <v>5.700555545148E12</v>
      </c>
      <c r="F1208" s="4" t="s">
        <v>3424</v>
      </c>
      <c r="G1208" s="4" t="s">
        <v>25</v>
      </c>
      <c r="H1208" s="4" t="s">
        <v>3425</v>
      </c>
      <c r="I1208" s="4" t="s">
        <v>2582</v>
      </c>
      <c r="J1208" s="4" t="s">
        <v>249</v>
      </c>
      <c r="K1208" s="4" t="s">
        <v>250</v>
      </c>
    </row>
    <row r="1209" ht="15.75" customHeight="1">
      <c r="A1209" s="4">
        <v>1222.0</v>
      </c>
      <c r="B1209" s="4" t="s">
        <v>3426</v>
      </c>
      <c r="C1209" s="4" t="s">
        <v>3427</v>
      </c>
      <c r="D1209" s="4" t="s">
        <v>3428</v>
      </c>
      <c r="E1209" s="4">
        <v>5.700555545149E12</v>
      </c>
      <c r="F1209" s="4" t="s">
        <v>3429</v>
      </c>
      <c r="G1209" s="4" t="s">
        <v>70</v>
      </c>
      <c r="H1209" s="4" t="s">
        <v>3272</v>
      </c>
      <c r="I1209" s="4" t="s">
        <v>2582</v>
      </c>
      <c r="J1209" s="4" t="s">
        <v>249</v>
      </c>
      <c r="K1209" s="4" t="s">
        <v>250</v>
      </c>
    </row>
    <row r="1210" ht="15.75" customHeight="1">
      <c r="A1210" s="4">
        <v>1223.0</v>
      </c>
      <c r="B1210" s="4" t="s">
        <v>3430</v>
      </c>
      <c r="C1210" s="4" t="s">
        <v>8</v>
      </c>
      <c r="D1210" s="4" t="s">
        <v>3056</v>
      </c>
      <c r="E1210" s="4">
        <v>5.70055554515E12</v>
      </c>
      <c r="F1210" s="4" t="s">
        <v>3431</v>
      </c>
      <c r="G1210" s="4" t="s">
        <v>25</v>
      </c>
      <c r="H1210" s="4" t="s">
        <v>248</v>
      </c>
      <c r="I1210" s="4" t="s">
        <v>249</v>
      </c>
      <c r="J1210" s="4" t="s">
        <v>250</v>
      </c>
    </row>
    <row r="1211" ht="15.75" customHeight="1"/>
    <row r="1212" ht="15.75" customHeight="1"/>
    <row r="1213" ht="15.75" customHeight="1"/>
    <row r="1214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</row>
    <row r="2" ht="15.75" customHeight="1">
      <c r="A2" s="2">
        <v>1.0</v>
      </c>
      <c r="B2" s="1" t="s">
        <v>8</v>
      </c>
      <c r="C2" s="2">
        <v>5.70055372403E11</v>
      </c>
      <c r="D2" s="1" t="s">
        <v>9</v>
      </c>
      <c r="E2" s="1" t="s">
        <v>10</v>
      </c>
      <c r="F2" s="1" t="s">
        <v>11</v>
      </c>
      <c r="G2" s="1" t="s">
        <v>12</v>
      </c>
      <c r="H2" s="3" t="s">
        <v>13</v>
      </c>
      <c r="I2" s="1"/>
    </row>
    <row r="3" ht="15.75" customHeight="1">
      <c r="A3" s="2">
        <v>2.0</v>
      </c>
      <c r="B3" s="1" t="s">
        <v>14</v>
      </c>
      <c r="C3" s="2">
        <v>5.70055372405E11</v>
      </c>
      <c r="D3" s="1" t="s">
        <v>9</v>
      </c>
      <c r="E3" s="1" t="s">
        <v>10</v>
      </c>
      <c r="F3" s="1" t="s">
        <v>15</v>
      </c>
      <c r="G3" s="1" t="s">
        <v>12</v>
      </c>
      <c r="H3" s="3" t="s">
        <v>13</v>
      </c>
      <c r="I3" s="1"/>
    </row>
    <row r="4" ht="15.75" customHeight="1">
      <c r="A4" s="2">
        <v>3.0</v>
      </c>
      <c r="B4" s="1" t="s">
        <v>16</v>
      </c>
      <c r="C4" s="2">
        <v>5.70055372408E11</v>
      </c>
      <c r="D4" s="1" t="s">
        <v>17</v>
      </c>
      <c r="E4" s="1" t="s">
        <v>18</v>
      </c>
      <c r="F4" s="1" t="s">
        <v>19</v>
      </c>
      <c r="G4" s="1" t="s">
        <v>20</v>
      </c>
      <c r="H4" s="3" t="s">
        <v>13</v>
      </c>
      <c r="I4" s="1"/>
    </row>
    <row r="5" ht="15.75" customHeight="1">
      <c r="A5" s="2">
        <v>4.0</v>
      </c>
      <c r="B5" s="1" t="s">
        <v>21</v>
      </c>
      <c r="C5" s="2">
        <v>5.70055372409E11</v>
      </c>
      <c r="D5" s="1" t="s">
        <v>22</v>
      </c>
      <c r="E5" s="1" t="s">
        <v>23</v>
      </c>
      <c r="F5" s="1" t="s">
        <v>24</v>
      </c>
      <c r="G5" s="1" t="s">
        <v>25</v>
      </c>
      <c r="H5" s="3" t="s">
        <v>13</v>
      </c>
      <c r="I5" s="1"/>
    </row>
    <row r="6" ht="15.75" customHeight="1">
      <c r="A6" s="2">
        <v>5.0</v>
      </c>
      <c r="B6" s="1" t="s">
        <v>26</v>
      </c>
      <c r="C6" s="2">
        <v>5.7005537241E11</v>
      </c>
      <c r="D6" s="1" t="s">
        <v>27</v>
      </c>
      <c r="E6" s="1" t="s">
        <v>28</v>
      </c>
      <c r="F6" s="1" t="s">
        <v>29</v>
      </c>
      <c r="G6" s="1" t="s">
        <v>20</v>
      </c>
      <c r="H6" s="3" t="s">
        <v>13</v>
      </c>
      <c r="I6" s="1"/>
    </row>
    <row r="7" ht="15.75" customHeight="1">
      <c r="A7" s="2">
        <v>6.0</v>
      </c>
      <c r="B7" s="1" t="s">
        <v>30</v>
      </c>
      <c r="C7" s="2">
        <v>5.70055372411E11</v>
      </c>
      <c r="D7" s="1" t="s">
        <v>31</v>
      </c>
      <c r="E7" s="1" t="s">
        <v>32</v>
      </c>
      <c r="F7" s="1" t="s">
        <v>33</v>
      </c>
      <c r="G7" s="1" t="s">
        <v>12</v>
      </c>
      <c r="H7" s="3" t="s">
        <v>13</v>
      </c>
      <c r="I7" s="1"/>
    </row>
    <row r="8" ht="15.75" customHeight="1">
      <c r="A8" s="2">
        <v>7.0</v>
      </c>
      <c r="B8" s="1" t="s">
        <v>34</v>
      </c>
      <c r="C8" s="1"/>
      <c r="D8" s="1"/>
      <c r="E8" s="1"/>
      <c r="F8" s="1"/>
      <c r="G8" s="1"/>
      <c r="H8" s="1"/>
      <c r="I8" s="1"/>
    </row>
    <row r="9" ht="15.75" customHeight="1">
      <c r="A9" s="2">
        <v>8.0</v>
      </c>
      <c r="B9" s="1" t="s">
        <v>35</v>
      </c>
      <c r="C9" s="2">
        <v>5.70055372413E11</v>
      </c>
      <c r="D9" s="1" t="s">
        <v>36</v>
      </c>
      <c r="E9" s="1" t="s">
        <v>37</v>
      </c>
      <c r="F9" s="1" t="s">
        <v>38</v>
      </c>
      <c r="G9" s="1" t="s">
        <v>12</v>
      </c>
      <c r="H9" s="3" t="s">
        <v>13</v>
      </c>
      <c r="I9" s="1"/>
    </row>
    <row r="10" ht="15.75" customHeight="1">
      <c r="A10" s="2">
        <v>9.0</v>
      </c>
      <c r="B10" s="1" t="s">
        <v>39</v>
      </c>
      <c r="C10" s="2">
        <v>5.70055372414E11</v>
      </c>
      <c r="D10" s="1" t="s">
        <v>36</v>
      </c>
      <c r="E10" s="1" t="s">
        <v>37</v>
      </c>
      <c r="F10" s="1" t="s">
        <v>40</v>
      </c>
      <c r="G10" s="1" t="s">
        <v>12</v>
      </c>
      <c r="H10" s="3" t="s">
        <v>13</v>
      </c>
      <c r="I10" s="1"/>
    </row>
    <row r="11" ht="15.75" customHeight="1">
      <c r="A11" s="2">
        <v>10.0</v>
      </c>
      <c r="B11" s="1" t="s">
        <v>41</v>
      </c>
      <c r="C11" s="2">
        <v>5.70055372419E11</v>
      </c>
      <c r="D11" s="1" t="s">
        <v>42</v>
      </c>
      <c r="E11" s="1" t="s">
        <v>37</v>
      </c>
      <c r="F11" s="1" t="s">
        <v>43</v>
      </c>
      <c r="G11" s="1" t="s">
        <v>20</v>
      </c>
      <c r="H11" s="3" t="s">
        <v>13</v>
      </c>
      <c r="I11" s="1"/>
    </row>
    <row r="12" ht="15.75" customHeight="1">
      <c r="A12" s="2">
        <v>11.0</v>
      </c>
      <c r="B12" s="1" t="s">
        <v>44</v>
      </c>
      <c r="C12" s="2">
        <v>5.7005537242E11</v>
      </c>
      <c r="D12" s="1" t="s">
        <v>45</v>
      </c>
      <c r="E12" s="1" t="s">
        <v>46</v>
      </c>
      <c r="F12" s="1" t="s">
        <v>47</v>
      </c>
      <c r="G12" s="1" t="s">
        <v>12</v>
      </c>
      <c r="H12" s="3" t="s">
        <v>13</v>
      </c>
      <c r="I12" s="1"/>
    </row>
    <row r="13" ht="15.75" customHeight="1">
      <c r="A13" s="2">
        <v>12.0</v>
      </c>
      <c r="B13" s="1" t="s">
        <v>48</v>
      </c>
      <c r="C13" s="2">
        <v>5.70055372421E11</v>
      </c>
      <c r="D13" s="1" t="s">
        <v>49</v>
      </c>
      <c r="E13" s="1" t="s">
        <v>50</v>
      </c>
      <c r="F13" s="1" t="s">
        <v>51</v>
      </c>
      <c r="G13" s="1" t="s">
        <v>12</v>
      </c>
      <c r="H13" s="3" t="s">
        <v>13</v>
      </c>
      <c r="I13" s="1"/>
    </row>
    <row r="14" ht="15.75" customHeight="1">
      <c r="A14" s="2">
        <v>13.0</v>
      </c>
      <c r="B14" s="1" t="s">
        <v>52</v>
      </c>
      <c r="C14" s="2">
        <v>5.70055372426E11</v>
      </c>
      <c r="D14" s="1" t="s">
        <v>48</v>
      </c>
      <c r="E14" s="1" t="s">
        <v>53</v>
      </c>
      <c r="F14" s="1" t="s">
        <v>54</v>
      </c>
      <c r="G14" s="1" t="s">
        <v>12</v>
      </c>
      <c r="H14" s="3" t="s">
        <v>13</v>
      </c>
      <c r="I14" s="1"/>
    </row>
    <row r="15" ht="15.75" customHeight="1">
      <c r="A15" s="2">
        <v>14.0</v>
      </c>
      <c r="B15" s="1" t="s">
        <v>55</v>
      </c>
      <c r="C15" s="2">
        <v>5.7005537243E11</v>
      </c>
      <c r="D15" s="1" t="s">
        <v>56</v>
      </c>
      <c r="E15" s="1" t="s">
        <v>57</v>
      </c>
      <c r="F15" s="1" t="s">
        <v>58</v>
      </c>
      <c r="G15" s="1" t="s">
        <v>12</v>
      </c>
      <c r="H15" s="3" t="s">
        <v>13</v>
      </c>
      <c r="I15" s="1"/>
    </row>
    <row r="16" ht="15.75" customHeight="1">
      <c r="A16" s="2">
        <v>15.0</v>
      </c>
      <c r="B16" s="1" t="s">
        <v>59</v>
      </c>
      <c r="C16" s="2">
        <v>5.70055372432E11</v>
      </c>
      <c r="D16" s="1" t="s">
        <v>56</v>
      </c>
      <c r="E16" s="1" t="s">
        <v>60</v>
      </c>
      <c r="F16" s="1" t="s">
        <v>61</v>
      </c>
      <c r="G16" s="1" t="s">
        <v>12</v>
      </c>
      <c r="H16" s="3" t="s">
        <v>13</v>
      </c>
      <c r="I16" s="1"/>
    </row>
    <row r="17" ht="15.75" customHeight="1">
      <c r="A17" s="2">
        <v>16.0</v>
      </c>
      <c r="B17" s="1" t="s">
        <v>62</v>
      </c>
      <c r="C17" s="2">
        <v>5.70055372436E11</v>
      </c>
      <c r="D17" s="1" t="s">
        <v>63</v>
      </c>
      <c r="E17" s="1" t="s">
        <v>64</v>
      </c>
      <c r="F17" s="1" t="s">
        <v>65</v>
      </c>
      <c r="G17" s="1" t="s">
        <v>12</v>
      </c>
      <c r="H17" s="3" t="s">
        <v>13</v>
      </c>
      <c r="I17" s="1"/>
    </row>
    <row r="18" ht="15.75" customHeight="1">
      <c r="A18" s="2">
        <v>17.0</v>
      </c>
      <c r="B18" s="1" t="s">
        <v>66</v>
      </c>
      <c r="C18" s="2">
        <v>5.70055372441E11</v>
      </c>
      <c r="D18" s="1" t="s">
        <v>67</v>
      </c>
      <c r="E18" s="1" t="s">
        <v>68</v>
      </c>
      <c r="F18" s="1" t="s">
        <v>69</v>
      </c>
      <c r="G18" s="1" t="s">
        <v>70</v>
      </c>
      <c r="H18" s="3" t="s">
        <v>13</v>
      </c>
      <c r="I18" s="1"/>
    </row>
    <row r="19" ht="15.75" customHeight="1">
      <c r="A19" s="2">
        <v>18.0</v>
      </c>
      <c r="B19" s="1" t="s">
        <v>71</v>
      </c>
      <c r="C19" s="2">
        <v>5.70055372443E11</v>
      </c>
      <c r="D19" s="1" t="s">
        <v>72</v>
      </c>
      <c r="E19" s="1" t="s">
        <v>73</v>
      </c>
      <c r="F19" s="1" t="s">
        <v>74</v>
      </c>
      <c r="G19" s="1" t="s">
        <v>12</v>
      </c>
      <c r="H19" s="3" t="s">
        <v>13</v>
      </c>
      <c r="I19" s="1"/>
    </row>
    <row r="20" ht="15.75" customHeight="1">
      <c r="A20" s="2">
        <v>19.0</v>
      </c>
      <c r="B20" s="1" t="s">
        <v>75</v>
      </c>
      <c r="C20" s="2">
        <v>5.70055372448E11</v>
      </c>
      <c r="D20" s="1" t="s">
        <v>76</v>
      </c>
      <c r="E20" s="1" t="s">
        <v>77</v>
      </c>
      <c r="F20" s="1" t="s">
        <v>78</v>
      </c>
      <c r="G20" s="1" t="s">
        <v>12</v>
      </c>
      <c r="H20" s="3" t="s">
        <v>13</v>
      </c>
      <c r="I20" s="1"/>
    </row>
    <row r="21" ht="15.75" customHeight="1">
      <c r="A21" s="2">
        <v>20.0</v>
      </c>
      <c r="B21" s="1" t="s">
        <v>79</v>
      </c>
      <c r="C21" s="2">
        <v>5.7005537245E11</v>
      </c>
      <c r="D21" s="1" t="s">
        <v>80</v>
      </c>
      <c r="E21" s="1" t="s">
        <v>81</v>
      </c>
      <c r="F21" s="1" t="s">
        <v>82</v>
      </c>
      <c r="G21" s="1" t="s">
        <v>25</v>
      </c>
      <c r="H21" s="3" t="s">
        <v>13</v>
      </c>
      <c r="I21" s="1"/>
    </row>
    <row r="22" ht="15.75" customHeight="1">
      <c r="A22" s="2">
        <v>21.0</v>
      </c>
      <c r="B22" s="1" t="s">
        <v>83</v>
      </c>
      <c r="C22" s="2">
        <v>5.70055372457E11</v>
      </c>
      <c r="D22" s="1" t="s">
        <v>84</v>
      </c>
      <c r="E22" s="1" t="s">
        <v>85</v>
      </c>
      <c r="F22" s="1" t="s">
        <v>86</v>
      </c>
      <c r="G22" s="1" t="s">
        <v>12</v>
      </c>
      <c r="H22" s="3" t="s">
        <v>13</v>
      </c>
      <c r="I22" s="1"/>
    </row>
    <row r="23" ht="15.75" customHeight="1">
      <c r="A23" s="2">
        <v>22.0</v>
      </c>
      <c r="B23" s="1" t="s">
        <v>87</v>
      </c>
      <c r="C23" s="2">
        <v>5.7005537246E11</v>
      </c>
      <c r="D23" s="1" t="s">
        <v>88</v>
      </c>
      <c r="E23" s="1" t="s">
        <v>89</v>
      </c>
      <c r="F23" s="1" t="s">
        <v>90</v>
      </c>
      <c r="G23" s="1" t="s">
        <v>12</v>
      </c>
      <c r="H23" s="3" t="s">
        <v>13</v>
      </c>
      <c r="I23" s="1"/>
    </row>
    <row r="24" ht="15.75" customHeight="1">
      <c r="A24" s="2">
        <v>23.0</v>
      </c>
      <c r="B24" s="1" t="s">
        <v>91</v>
      </c>
      <c r="C24" s="2">
        <v>5.70055372461E11</v>
      </c>
      <c r="D24" s="1" t="s">
        <v>92</v>
      </c>
      <c r="E24" s="1" t="s">
        <v>93</v>
      </c>
      <c r="F24" s="1" t="s">
        <v>94</v>
      </c>
      <c r="G24" s="1" t="s">
        <v>95</v>
      </c>
      <c r="H24" s="3" t="s">
        <v>13</v>
      </c>
      <c r="I24" s="1"/>
    </row>
    <row r="25" ht="15.75" customHeight="1">
      <c r="A25" s="2">
        <v>24.0</v>
      </c>
      <c r="B25" s="1" t="s">
        <v>34</v>
      </c>
      <c r="C25" s="1"/>
      <c r="D25" s="1"/>
      <c r="E25" s="1"/>
      <c r="F25" s="1"/>
      <c r="G25" s="1"/>
      <c r="H25" s="1"/>
      <c r="I25" s="1"/>
    </row>
    <row r="26" ht="15.75" customHeight="1">
      <c r="A26" s="2">
        <v>25.0</v>
      </c>
      <c r="B26" s="1" t="s">
        <v>96</v>
      </c>
      <c r="C26" s="2">
        <v>5.70055372466E11</v>
      </c>
      <c r="D26" s="1" t="s">
        <v>97</v>
      </c>
      <c r="E26" s="1" t="s">
        <v>85</v>
      </c>
      <c r="F26" s="1" t="s">
        <v>98</v>
      </c>
      <c r="G26" s="1" t="s">
        <v>12</v>
      </c>
      <c r="H26" s="3" t="s">
        <v>13</v>
      </c>
      <c r="I26" s="1"/>
    </row>
    <row r="27" ht="15.75" customHeight="1">
      <c r="A27" s="2">
        <v>26.0</v>
      </c>
      <c r="B27" s="1" t="s">
        <v>99</v>
      </c>
      <c r="C27" s="2">
        <v>5.70055372468E11</v>
      </c>
      <c r="D27" s="1" t="s">
        <v>72</v>
      </c>
      <c r="E27" s="1" t="s">
        <v>73</v>
      </c>
      <c r="F27" s="1" t="s">
        <v>100</v>
      </c>
      <c r="G27" s="1" t="s">
        <v>12</v>
      </c>
      <c r="H27" s="3" t="s">
        <v>13</v>
      </c>
      <c r="I27" s="1"/>
    </row>
    <row r="28" ht="15.75" customHeight="1">
      <c r="A28" s="2">
        <v>27.0</v>
      </c>
      <c r="B28" s="1" t="s">
        <v>101</v>
      </c>
      <c r="C28" s="2">
        <v>5.7005537247E11</v>
      </c>
      <c r="D28" s="1" t="s">
        <v>102</v>
      </c>
      <c r="E28" s="1" t="s">
        <v>103</v>
      </c>
      <c r="F28" s="1" t="s">
        <v>104</v>
      </c>
      <c r="G28" s="1" t="s">
        <v>12</v>
      </c>
      <c r="H28" s="3" t="s">
        <v>13</v>
      </c>
      <c r="I28" s="1"/>
    </row>
    <row r="29" ht="15.75" customHeight="1">
      <c r="A29" s="2">
        <v>28.0</v>
      </c>
      <c r="B29" s="1" t="s">
        <v>105</v>
      </c>
      <c r="C29" s="2">
        <v>5.70055372471E11</v>
      </c>
      <c r="D29" s="1" t="s">
        <v>106</v>
      </c>
      <c r="E29" s="1" t="s">
        <v>107</v>
      </c>
      <c r="F29" s="1" t="s">
        <v>108</v>
      </c>
      <c r="G29" s="1" t="s">
        <v>12</v>
      </c>
      <c r="H29" s="3" t="s">
        <v>13</v>
      </c>
      <c r="I29" s="1"/>
    </row>
    <row r="30" ht="15.75" customHeight="1">
      <c r="A30" s="2">
        <v>29.0</v>
      </c>
      <c r="B30" s="1" t="s">
        <v>109</v>
      </c>
      <c r="C30" s="2">
        <v>5.70055372474E11</v>
      </c>
      <c r="D30" s="1" t="s">
        <v>110</v>
      </c>
      <c r="E30" s="1" t="s">
        <v>111</v>
      </c>
      <c r="F30" s="1" t="s">
        <v>112</v>
      </c>
      <c r="G30" s="1" t="s">
        <v>12</v>
      </c>
      <c r="H30" s="3" t="s">
        <v>13</v>
      </c>
      <c r="I30" s="1"/>
    </row>
    <row r="31" ht="15.75" customHeight="1">
      <c r="A31" s="2">
        <v>30.0</v>
      </c>
      <c r="B31" s="1" t="s">
        <v>113</v>
      </c>
      <c r="C31" s="2">
        <v>5.70055372479E11</v>
      </c>
      <c r="D31" s="1" t="s">
        <v>114</v>
      </c>
      <c r="E31" s="1" t="s">
        <v>23</v>
      </c>
      <c r="F31" s="1" t="s">
        <v>115</v>
      </c>
      <c r="G31" s="1" t="s">
        <v>12</v>
      </c>
      <c r="H31" s="3" t="s">
        <v>13</v>
      </c>
      <c r="I31" s="1"/>
    </row>
    <row r="32" ht="15.75" customHeight="1">
      <c r="A32" s="2">
        <v>31.0</v>
      </c>
      <c r="B32" s="1" t="s">
        <v>116</v>
      </c>
      <c r="C32" s="2">
        <v>5.70055372481E11</v>
      </c>
      <c r="D32" s="1" t="s">
        <v>117</v>
      </c>
      <c r="E32" s="1" t="s">
        <v>118</v>
      </c>
      <c r="F32" s="1" t="s">
        <v>119</v>
      </c>
      <c r="G32" s="1" t="s">
        <v>120</v>
      </c>
      <c r="H32" s="3" t="s">
        <v>13</v>
      </c>
      <c r="I32" s="1"/>
    </row>
    <row r="33" ht="15.75" customHeight="1">
      <c r="A33" s="2">
        <v>32.0</v>
      </c>
      <c r="B33" s="1" t="s">
        <v>121</v>
      </c>
      <c r="C33" s="2">
        <v>5.70055372489E11</v>
      </c>
      <c r="D33" s="1" t="s">
        <v>122</v>
      </c>
      <c r="E33" s="1" t="s">
        <v>123</v>
      </c>
      <c r="F33" s="1" t="s">
        <v>124</v>
      </c>
      <c r="G33" s="1" t="s">
        <v>12</v>
      </c>
      <c r="H33" s="3" t="s">
        <v>13</v>
      </c>
      <c r="I33" s="1"/>
    </row>
    <row r="34" ht="15.75" customHeight="1">
      <c r="A34" s="2">
        <v>33.0</v>
      </c>
      <c r="B34" s="1" t="s">
        <v>125</v>
      </c>
      <c r="C34" s="2">
        <v>5.70055372491E11</v>
      </c>
      <c r="D34" s="1" t="s">
        <v>126</v>
      </c>
      <c r="E34" s="1" t="s">
        <v>127</v>
      </c>
      <c r="F34" s="1" t="s">
        <v>128</v>
      </c>
      <c r="G34" s="1" t="s">
        <v>12</v>
      </c>
      <c r="H34" s="3" t="s">
        <v>13</v>
      </c>
      <c r="I34" s="1"/>
    </row>
    <row r="35" ht="15.75" customHeight="1">
      <c r="A35" s="2">
        <v>34.0</v>
      </c>
      <c r="B35" s="1" t="s">
        <v>129</v>
      </c>
      <c r="C35" s="2">
        <v>5.70055372493E11</v>
      </c>
      <c r="D35" s="1" t="s">
        <v>130</v>
      </c>
      <c r="E35" s="1" t="s">
        <v>131</v>
      </c>
      <c r="F35" s="1" t="s">
        <v>132</v>
      </c>
      <c r="G35" s="1" t="s">
        <v>12</v>
      </c>
      <c r="H35" s="3" t="s">
        <v>13</v>
      </c>
      <c r="I35" s="1"/>
    </row>
    <row r="36" ht="15.75" customHeight="1">
      <c r="A36" s="2">
        <v>35.0</v>
      </c>
      <c r="B36" s="1" t="s">
        <v>133</v>
      </c>
      <c r="C36" s="2">
        <v>5.70055372494E11</v>
      </c>
      <c r="D36" s="1" t="s">
        <v>134</v>
      </c>
      <c r="E36" s="1" t="s">
        <v>135</v>
      </c>
      <c r="F36" s="1" t="s">
        <v>136</v>
      </c>
      <c r="G36" s="1" t="s">
        <v>12</v>
      </c>
      <c r="H36" s="3" t="s">
        <v>13</v>
      </c>
      <c r="I36" s="1"/>
    </row>
    <row r="37" ht="15.75" customHeight="1">
      <c r="A37" s="2">
        <v>36.0</v>
      </c>
      <c r="B37" s="1" t="s">
        <v>137</v>
      </c>
      <c r="C37" s="2">
        <v>5.70055372495E11</v>
      </c>
      <c r="D37" s="1" t="s">
        <v>138</v>
      </c>
      <c r="E37" s="1" t="s">
        <v>46</v>
      </c>
      <c r="F37" s="1" t="s">
        <v>139</v>
      </c>
      <c r="G37" s="1" t="s">
        <v>12</v>
      </c>
      <c r="H37" s="3" t="s">
        <v>13</v>
      </c>
      <c r="I37" s="1"/>
    </row>
    <row r="38" ht="15.75" customHeight="1">
      <c r="A38" s="2">
        <v>37.0</v>
      </c>
      <c r="B38" s="1" t="s">
        <v>140</v>
      </c>
      <c r="C38" s="2">
        <v>5.70055372497E11</v>
      </c>
      <c r="D38" s="1" t="s">
        <v>141</v>
      </c>
      <c r="E38" s="1" t="s">
        <v>142</v>
      </c>
      <c r="F38" s="1" t="s">
        <v>143</v>
      </c>
      <c r="G38" s="1" t="s">
        <v>25</v>
      </c>
      <c r="H38" s="3" t="s">
        <v>13</v>
      </c>
      <c r="I38" s="1"/>
    </row>
    <row r="39" ht="15.75" customHeight="1">
      <c r="A39" s="2">
        <v>38.0</v>
      </c>
      <c r="B39" s="1" t="s">
        <v>144</v>
      </c>
      <c r="C39" s="2">
        <v>5.70055372498E11</v>
      </c>
      <c r="D39" s="1" t="s">
        <v>145</v>
      </c>
      <c r="E39" s="1" t="s">
        <v>146</v>
      </c>
      <c r="F39" s="1" t="s">
        <v>147</v>
      </c>
      <c r="G39" s="1" t="s">
        <v>12</v>
      </c>
      <c r="H39" s="3" t="s">
        <v>13</v>
      </c>
      <c r="I39" s="1"/>
    </row>
    <row r="40" ht="15.75" customHeight="1">
      <c r="A40" s="2">
        <v>39.0</v>
      </c>
      <c r="B40" s="1" t="s">
        <v>148</v>
      </c>
      <c r="C40" s="2">
        <v>5.70055372504E11</v>
      </c>
      <c r="D40" s="1" t="s">
        <v>149</v>
      </c>
      <c r="E40" s="1" t="s">
        <v>150</v>
      </c>
      <c r="F40" s="1" t="s">
        <v>151</v>
      </c>
      <c r="G40" s="1" t="s">
        <v>12</v>
      </c>
      <c r="H40" s="3" t="s">
        <v>13</v>
      </c>
      <c r="I40" s="1"/>
    </row>
    <row r="41" ht="15.75" customHeight="1">
      <c r="A41" s="2">
        <v>40.0</v>
      </c>
      <c r="B41" s="1" t="s">
        <v>42</v>
      </c>
      <c r="C41" s="2">
        <v>5.70055372507E11</v>
      </c>
      <c r="D41" s="1" t="s">
        <v>152</v>
      </c>
      <c r="E41" s="1" t="s">
        <v>153</v>
      </c>
      <c r="F41" s="1" t="s">
        <v>154</v>
      </c>
      <c r="G41" s="1" t="s">
        <v>120</v>
      </c>
      <c r="H41" s="3" t="s">
        <v>13</v>
      </c>
      <c r="I41" s="1"/>
    </row>
    <row r="42" ht="15.75" customHeight="1">
      <c r="A42" s="2">
        <v>41.0</v>
      </c>
      <c r="B42" s="1" t="s">
        <v>155</v>
      </c>
      <c r="C42" s="2">
        <v>5.7005537251E11</v>
      </c>
      <c r="D42" s="1" t="s">
        <v>156</v>
      </c>
      <c r="E42" s="1" t="s">
        <v>18</v>
      </c>
      <c r="F42" s="1" t="s">
        <v>157</v>
      </c>
      <c r="G42" s="1" t="s">
        <v>120</v>
      </c>
      <c r="H42" s="3" t="s">
        <v>13</v>
      </c>
      <c r="I42" s="1"/>
    </row>
    <row r="43" ht="15.75" customHeight="1">
      <c r="A43" s="2">
        <v>42.0</v>
      </c>
      <c r="B43" s="1" t="s">
        <v>122</v>
      </c>
      <c r="C43" s="2">
        <v>5.70055372517E11</v>
      </c>
      <c r="D43" s="1" t="s">
        <v>158</v>
      </c>
      <c r="E43" s="1" t="s">
        <v>142</v>
      </c>
      <c r="F43" s="1" t="s">
        <v>159</v>
      </c>
      <c r="G43" s="1" t="s">
        <v>12</v>
      </c>
      <c r="H43" s="3" t="s">
        <v>13</v>
      </c>
      <c r="I43" s="1"/>
    </row>
    <row r="44" ht="15.75" customHeight="1">
      <c r="A44" s="2">
        <v>43.0</v>
      </c>
      <c r="B44" s="1" t="s">
        <v>160</v>
      </c>
      <c r="C44" s="2">
        <v>5.70055372521E11</v>
      </c>
      <c r="D44" s="1" t="s">
        <v>161</v>
      </c>
      <c r="E44" s="1" t="s">
        <v>162</v>
      </c>
      <c r="F44" s="1" t="s">
        <v>163</v>
      </c>
      <c r="G44" s="1" t="s">
        <v>12</v>
      </c>
      <c r="H44" s="3" t="s">
        <v>13</v>
      </c>
      <c r="I44" s="1"/>
    </row>
    <row r="45" ht="15.75" customHeight="1">
      <c r="A45" s="2">
        <v>44.0</v>
      </c>
      <c r="B45" s="1" t="s">
        <v>161</v>
      </c>
      <c r="C45" s="2">
        <v>5.70055372522E11</v>
      </c>
      <c r="D45" s="1" t="s">
        <v>164</v>
      </c>
      <c r="E45" s="1" t="s">
        <v>165</v>
      </c>
      <c r="F45" s="1" t="s">
        <v>166</v>
      </c>
      <c r="G45" s="1" t="s">
        <v>120</v>
      </c>
      <c r="H45" s="3" t="s">
        <v>13</v>
      </c>
      <c r="I45" s="1"/>
    </row>
    <row r="46" ht="15.75" customHeight="1">
      <c r="A46" s="2">
        <v>45.0</v>
      </c>
      <c r="B46" s="1" t="s">
        <v>167</v>
      </c>
      <c r="C46" s="2">
        <v>5.70055372523E11</v>
      </c>
      <c r="D46" s="1" t="s">
        <v>168</v>
      </c>
      <c r="E46" s="1" t="s">
        <v>169</v>
      </c>
      <c r="F46" s="1" t="s">
        <v>170</v>
      </c>
      <c r="G46" s="1" t="s">
        <v>12</v>
      </c>
      <c r="H46" s="3" t="s">
        <v>13</v>
      </c>
      <c r="I46" s="1"/>
    </row>
    <row r="47" ht="15.75" customHeight="1">
      <c r="A47" s="2">
        <v>46.0</v>
      </c>
      <c r="B47" s="1" t="s">
        <v>171</v>
      </c>
      <c r="C47" s="2">
        <v>5.70055372527E11</v>
      </c>
      <c r="D47" s="1" t="s">
        <v>172</v>
      </c>
      <c r="E47" s="1" t="s">
        <v>146</v>
      </c>
      <c r="F47" s="1" t="s">
        <v>173</v>
      </c>
      <c r="G47" s="1" t="s">
        <v>12</v>
      </c>
      <c r="H47" s="3" t="s">
        <v>13</v>
      </c>
      <c r="I47" s="1"/>
    </row>
    <row r="48" ht="15.75" customHeight="1">
      <c r="A48" s="2">
        <v>47.0</v>
      </c>
      <c r="B48" s="1" t="s">
        <v>174</v>
      </c>
      <c r="C48" s="2">
        <v>5.70055372531E11</v>
      </c>
      <c r="D48" s="1" t="s">
        <v>175</v>
      </c>
      <c r="E48" s="1" t="s">
        <v>176</v>
      </c>
      <c r="F48" s="1" t="s">
        <v>177</v>
      </c>
      <c r="G48" s="1" t="s">
        <v>12</v>
      </c>
      <c r="H48" s="3" t="s">
        <v>13</v>
      </c>
      <c r="I48" s="1"/>
    </row>
    <row r="49" ht="15.75" customHeight="1">
      <c r="A49" s="2">
        <v>48.0</v>
      </c>
      <c r="B49" s="1" t="s">
        <v>178</v>
      </c>
      <c r="C49" s="2">
        <v>5.70055372532E11</v>
      </c>
      <c r="D49" s="1" t="s">
        <v>179</v>
      </c>
      <c r="E49" s="1" t="s">
        <v>180</v>
      </c>
      <c r="F49" s="1" t="s">
        <v>181</v>
      </c>
      <c r="G49" s="1" t="s">
        <v>12</v>
      </c>
      <c r="H49" s="3" t="s">
        <v>13</v>
      </c>
      <c r="I49" s="1"/>
    </row>
    <row r="50" ht="15.75" customHeight="1">
      <c r="A50" s="2">
        <v>49.0</v>
      </c>
      <c r="B50" s="1" t="s">
        <v>182</v>
      </c>
      <c r="C50" s="2">
        <v>5.70055372533E11</v>
      </c>
      <c r="D50" s="1" t="s">
        <v>183</v>
      </c>
      <c r="E50" s="1" t="s">
        <v>184</v>
      </c>
      <c r="F50" s="1" t="s">
        <v>185</v>
      </c>
      <c r="G50" s="1" t="s">
        <v>12</v>
      </c>
      <c r="H50" s="3" t="s">
        <v>13</v>
      </c>
      <c r="I50" s="1"/>
    </row>
    <row r="51" ht="15.75" customHeight="1">
      <c r="A51" s="2">
        <v>50.0</v>
      </c>
      <c r="B51" s="1" t="s">
        <v>186</v>
      </c>
      <c r="C51" s="2">
        <v>5.70055372543E11</v>
      </c>
      <c r="D51" s="1" t="s">
        <v>187</v>
      </c>
      <c r="E51" s="1" t="s">
        <v>162</v>
      </c>
      <c r="F51" s="1" t="s">
        <v>188</v>
      </c>
      <c r="G51" s="1" t="s">
        <v>12</v>
      </c>
      <c r="H51" s="3" t="s">
        <v>13</v>
      </c>
      <c r="I51" s="1"/>
    </row>
    <row r="52" ht="15.75" customHeight="1">
      <c r="A52" s="2">
        <v>51.0</v>
      </c>
      <c r="B52" s="1" t="s">
        <v>34</v>
      </c>
      <c r="C52" s="1"/>
      <c r="D52" s="1"/>
      <c r="E52" s="1"/>
      <c r="F52" s="1"/>
      <c r="G52" s="1"/>
      <c r="H52" s="1"/>
      <c r="I52" s="1"/>
    </row>
    <row r="53" ht="15.75" customHeight="1">
      <c r="A53" s="2">
        <v>52.0</v>
      </c>
      <c r="B53" s="1" t="s">
        <v>189</v>
      </c>
      <c r="C53" s="2">
        <v>5.70055372551E11</v>
      </c>
      <c r="D53" s="1" t="s">
        <v>138</v>
      </c>
      <c r="E53" s="1" t="s">
        <v>46</v>
      </c>
      <c r="F53" s="1" t="s">
        <v>190</v>
      </c>
      <c r="G53" s="1" t="s">
        <v>12</v>
      </c>
      <c r="H53" s="3" t="s">
        <v>13</v>
      </c>
      <c r="I53" s="1"/>
    </row>
    <row r="54" ht="15.75" customHeight="1">
      <c r="A54" s="2">
        <v>53.0</v>
      </c>
      <c r="B54" s="1" t="s">
        <v>191</v>
      </c>
      <c r="C54" s="2">
        <v>5.70055372554E11</v>
      </c>
      <c r="D54" s="1" t="s">
        <v>192</v>
      </c>
      <c r="E54" s="1" t="s">
        <v>193</v>
      </c>
      <c r="F54" s="1" t="s">
        <v>147</v>
      </c>
      <c r="G54" s="1" t="s">
        <v>12</v>
      </c>
      <c r="H54" s="3" t="s">
        <v>13</v>
      </c>
      <c r="I54" s="1"/>
    </row>
    <row r="55" ht="15.75" customHeight="1">
      <c r="A55" s="2">
        <v>54.0</v>
      </c>
      <c r="B55" s="1" t="s">
        <v>194</v>
      </c>
      <c r="C55" s="2">
        <v>5.70055372559E11</v>
      </c>
      <c r="D55" s="1" t="s">
        <v>195</v>
      </c>
      <c r="E55" s="1" t="s">
        <v>196</v>
      </c>
      <c r="F55" s="1" t="s">
        <v>197</v>
      </c>
      <c r="G55" s="1" t="s">
        <v>12</v>
      </c>
      <c r="H55" s="3" t="s">
        <v>13</v>
      </c>
      <c r="I55" s="1"/>
    </row>
    <row r="56" ht="15.75" customHeight="1">
      <c r="A56" s="2">
        <v>55.0</v>
      </c>
      <c r="B56" s="1" t="s">
        <v>75</v>
      </c>
      <c r="C56" s="2">
        <v>5.7005537256E11</v>
      </c>
      <c r="D56" s="1" t="s">
        <v>198</v>
      </c>
      <c r="E56" s="1" t="s">
        <v>50</v>
      </c>
      <c r="F56" s="1" t="s">
        <v>47</v>
      </c>
      <c r="G56" s="1" t="s">
        <v>12</v>
      </c>
      <c r="H56" s="3" t="s">
        <v>13</v>
      </c>
      <c r="I56" s="1"/>
    </row>
    <row r="57" ht="15.75" customHeight="1">
      <c r="A57" s="2">
        <v>56.0</v>
      </c>
      <c r="B57" s="1" t="s">
        <v>199</v>
      </c>
      <c r="C57" s="2">
        <v>5.70055372561E11</v>
      </c>
      <c r="D57" s="1" t="s">
        <v>198</v>
      </c>
      <c r="E57" s="1" t="s">
        <v>50</v>
      </c>
      <c r="F57" s="1" t="s">
        <v>200</v>
      </c>
      <c r="G57" s="1" t="s">
        <v>12</v>
      </c>
      <c r="H57" s="3" t="s">
        <v>13</v>
      </c>
      <c r="I57" s="1"/>
    </row>
    <row r="58" ht="15.75" customHeight="1">
      <c r="A58" s="2">
        <v>57.0</v>
      </c>
      <c r="B58" s="1" t="s">
        <v>201</v>
      </c>
      <c r="C58" s="2">
        <v>5.70055372563E11</v>
      </c>
      <c r="D58" s="1" t="s">
        <v>202</v>
      </c>
      <c r="E58" s="1" t="s">
        <v>203</v>
      </c>
      <c r="F58" s="1" t="s">
        <v>204</v>
      </c>
      <c r="G58" s="1" t="s">
        <v>12</v>
      </c>
      <c r="H58" s="3" t="s">
        <v>13</v>
      </c>
      <c r="I58" s="1"/>
    </row>
    <row r="59" ht="15.75" customHeight="1">
      <c r="A59" s="2">
        <v>58.0</v>
      </c>
      <c r="B59" s="1" t="s">
        <v>205</v>
      </c>
      <c r="C59" s="2">
        <v>5.70055372564E11</v>
      </c>
      <c r="D59" s="1" t="s">
        <v>206</v>
      </c>
      <c r="E59" s="1" t="s">
        <v>207</v>
      </c>
      <c r="F59" s="1" t="s">
        <v>208</v>
      </c>
      <c r="G59" s="1" t="s">
        <v>12</v>
      </c>
      <c r="H59" s="3" t="s">
        <v>13</v>
      </c>
      <c r="I59" s="1"/>
    </row>
    <row r="60" ht="15.75" customHeight="1">
      <c r="A60" s="2">
        <v>59.0</v>
      </c>
      <c r="B60" s="1" t="s">
        <v>209</v>
      </c>
      <c r="C60" s="2">
        <v>5.70055372565E11</v>
      </c>
      <c r="D60" s="1" t="s">
        <v>198</v>
      </c>
      <c r="E60" s="1" t="s">
        <v>50</v>
      </c>
      <c r="F60" s="1" t="s">
        <v>210</v>
      </c>
      <c r="G60" s="1" t="s">
        <v>12</v>
      </c>
      <c r="H60" s="3" t="s">
        <v>13</v>
      </c>
      <c r="I60" s="1"/>
    </row>
    <row r="61" ht="15.75" customHeight="1">
      <c r="A61" s="2">
        <v>60.0</v>
      </c>
      <c r="B61" s="1" t="s">
        <v>211</v>
      </c>
      <c r="C61" s="2">
        <v>5.70055372566E11</v>
      </c>
      <c r="D61" s="1" t="s">
        <v>212</v>
      </c>
      <c r="E61" s="1" t="s">
        <v>213</v>
      </c>
      <c r="F61" s="1" t="s">
        <v>214</v>
      </c>
      <c r="G61" s="1" t="s">
        <v>12</v>
      </c>
      <c r="H61" s="3" t="s">
        <v>13</v>
      </c>
      <c r="I61" s="1"/>
    </row>
    <row r="62" ht="15.75" customHeight="1">
      <c r="A62" s="2">
        <v>61.0</v>
      </c>
      <c r="B62" s="1" t="s">
        <v>215</v>
      </c>
      <c r="C62" s="2">
        <v>5.70055372567E11</v>
      </c>
      <c r="D62" s="1" t="s">
        <v>216</v>
      </c>
      <c r="E62" s="1" t="s">
        <v>123</v>
      </c>
      <c r="F62" s="1" t="s">
        <v>217</v>
      </c>
      <c r="G62" s="1" t="s">
        <v>12</v>
      </c>
      <c r="H62" s="3" t="s">
        <v>13</v>
      </c>
      <c r="I62" s="1"/>
    </row>
    <row r="63" ht="15.75" customHeight="1">
      <c r="A63" s="2">
        <v>62.0</v>
      </c>
      <c r="B63" s="1" t="s">
        <v>218</v>
      </c>
      <c r="C63" s="2">
        <v>5.70055372569E11</v>
      </c>
      <c r="D63" s="1" t="s">
        <v>219</v>
      </c>
      <c r="E63" s="1" t="s">
        <v>220</v>
      </c>
      <c r="F63" s="1" t="s">
        <v>221</v>
      </c>
      <c r="G63" s="1" t="s">
        <v>12</v>
      </c>
      <c r="H63" s="3" t="s">
        <v>13</v>
      </c>
      <c r="I63" s="1"/>
    </row>
    <row r="64" ht="15.75" customHeight="1">
      <c r="A64" s="2">
        <v>63.0</v>
      </c>
      <c r="B64" s="1" t="s">
        <v>222</v>
      </c>
      <c r="C64" s="2">
        <v>5.7005537257E11</v>
      </c>
      <c r="D64" s="1" t="s">
        <v>223</v>
      </c>
      <c r="E64" s="1" t="s">
        <v>220</v>
      </c>
      <c r="F64" s="1" t="s">
        <v>224</v>
      </c>
      <c r="G64" s="1" t="s">
        <v>12</v>
      </c>
      <c r="H64" s="3" t="s">
        <v>13</v>
      </c>
      <c r="I64" s="1"/>
    </row>
    <row r="65" ht="15.75" customHeight="1">
      <c r="A65" s="2">
        <v>64.0</v>
      </c>
      <c r="B65" s="1" t="s">
        <v>225</v>
      </c>
      <c r="C65" s="2">
        <v>5.70055372571E11</v>
      </c>
      <c r="D65" s="1" t="s">
        <v>226</v>
      </c>
      <c r="E65" s="1" t="s">
        <v>227</v>
      </c>
      <c r="F65" s="1" t="s">
        <v>228</v>
      </c>
      <c r="G65" s="1" t="s">
        <v>12</v>
      </c>
      <c r="H65" s="3" t="s">
        <v>13</v>
      </c>
      <c r="I65" s="1"/>
    </row>
    <row r="66" ht="15.75" customHeight="1">
      <c r="A66" s="2">
        <v>65.0</v>
      </c>
      <c r="B66" s="1" t="s">
        <v>229</v>
      </c>
      <c r="C66" s="2">
        <v>5.70055372572E11</v>
      </c>
      <c r="D66" s="1" t="s">
        <v>230</v>
      </c>
      <c r="E66" s="1" t="s">
        <v>64</v>
      </c>
      <c r="F66" s="1" t="s">
        <v>231</v>
      </c>
      <c r="G66" s="1" t="s">
        <v>12</v>
      </c>
      <c r="H66" s="3" t="s">
        <v>13</v>
      </c>
      <c r="I66" s="1"/>
    </row>
    <row r="67" ht="15.75" customHeight="1">
      <c r="A67" s="2">
        <v>66.0</v>
      </c>
      <c r="B67" s="1" t="s">
        <v>232</v>
      </c>
      <c r="C67" s="2">
        <v>5.70055372576E11</v>
      </c>
      <c r="D67" s="1" t="s">
        <v>233</v>
      </c>
      <c r="E67" s="1" t="s">
        <v>234</v>
      </c>
      <c r="F67" s="1" t="s">
        <v>235</v>
      </c>
      <c r="G67" s="1" t="s">
        <v>12</v>
      </c>
      <c r="H67" s="3" t="s">
        <v>13</v>
      </c>
      <c r="I67" s="1"/>
    </row>
    <row r="68" ht="15.75" customHeight="1">
      <c r="A68" s="2">
        <v>67.0</v>
      </c>
      <c r="B68" s="1" t="s">
        <v>34</v>
      </c>
      <c r="C68" s="1"/>
      <c r="D68" s="1"/>
      <c r="E68" s="1"/>
      <c r="F68" s="1"/>
      <c r="G68" s="1"/>
      <c r="H68" s="1"/>
      <c r="I68" s="1"/>
    </row>
    <row r="69" ht="15.75" customHeight="1">
      <c r="A69" s="2">
        <v>68.0</v>
      </c>
      <c r="B69" s="1" t="s">
        <v>236</v>
      </c>
      <c r="C69" s="2">
        <v>5.70055372582E11</v>
      </c>
      <c r="D69" s="1" t="s">
        <v>237</v>
      </c>
      <c r="E69" s="1" t="s">
        <v>238</v>
      </c>
      <c r="F69" s="1" t="s">
        <v>239</v>
      </c>
      <c r="G69" s="1" t="s">
        <v>12</v>
      </c>
      <c r="H69" s="3" t="s">
        <v>13</v>
      </c>
      <c r="I69" s="1"/>
    </row>
    <row r="70" ht="15.75" customHeight="1">
      <c r="A70" s="2">
        <v>69.0</v>
      </c>
      <c r="B70" s="1" t="s">
        <v>240</v>
      </c>
      <c r="C70" s="2">
        <v>5.70055372583E11</v>
      </c>
      <c r="D70" s="1" t="s">
        <v>241</v>
      </c>
      <c r="E70" s="1" t="s">
        <v>123</v>
      </c>
      <c r="F70" s="1" t="s">
        <v>242</v>
      </c>
      <c r="G70" s="1" t="s">
        <v>20</v>
      </c>
      <c r="H70" s="3" t="s">
        <v>13</v>
      </c>
      <c r="I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A77" s="5" t="s">
        <v>3432</v>
      </c>
      <c r="B77" s="4" t="str">
        <f>IFERROR(__xludf.DUMMYFUNCTION("SPLIT(A77,"","")"),"ক্রমিক নং")</f>
        <v>ক্রমিক নং</v>
      </c>
      <c r="C77" s="4" t="str">
        <f>IFERROR(__xludf.DUMMYFUNCTION("""COMPUTED_VALUE"""),"নাম")</f>
        <v>নাম</v>
      </c>
      <c r="D77" s="4" t="str">
        <f>IFERROR(__xludf.DUMMYFUNCTION("""COMPUTED_VALUE"""),"ভোটার নং")</f>
        <v>ভোটার নং</v>
      </c>
      <c r="E77" s="4" t="str">
        <f>IFERROR(__xludf.DUMMYFUNCTION("""COMPUTED_VALUE"""),"পিতা")</f>
        <v>পিতা</v>
      </c>
      <c r="F77" s="4" t="str">
        <f>IFERROR(__xludf.DUMMYFUNCTION("""COMPUTED_VALUE"""),"মাতা")</f>
        <v>মাতা</v>
      </c>
      <c r="G77" s="4" t="str">
        <f>IFERROR(__xludf.DUMMYFUNCTION("""COMPUTED_VALUE"""),"জন্ম তারিখ")</f>
        <v>জন্ম তারিখ</v>
      </c>
      <c r="H77" s="4" t="str">
        <f>IFERROR(__xludf.DUMMYFUNCTION("""COMPUTED_VALUE"""),"পেশা")</f>
        <v>পেশা</v>
      </c>
      <c r="I77" s="4" t="str">
        <f>IFERROR(__xludf.DUMMYFUNCTION("""COMPUTED_VALUE"""),"ঠিকানা")</f>
        <v>ঠিকানা</v>
      </c>
    </row>
    <row r="78" ht="15.75" customHeight="1">
      <c r="A78" s="5" t="s">
        <v>3433</v>
      </c>
      <c r="B78" s="4">
        <f>IFERROR(__xludf.DUMMYFUNCTION("SPLIT(A78,"","")"),1024.0)</f>
        <v>1024</v>
      </c>
      <c r="C78" s="4" t="str">
        <f>IFERROR(__xludf.DUMMYFUNCTION("""COMPUTED_VALUE"""),"মোঃ মাজেদুল ইসলাম")</f>
        <v>মোঃ মাজেদুল ইসলাম</v>
      </c>
      <c r="D78" s="4">
        <f>IFERROR(__xludf.DUMMYFUNCTION("""COMPUTED_VALUE"""),5.70055000614E11)</f>
        <v>570055000614</v>
      </c>
      <c r="E78" s="4" t="str">
        <f>IFERROR(__xludf.DUMMYFUNCTION("""COMPUTED_VALUE"""),"মোঃ রেজাউল হক")</f>
        <v>মোঃ রেজাউল হক</v>
      </c>
      <c r="F78" s="4" t="str">
        <f>IFERROR(__xludf.DUMMYFUNCTION("""COMPUTED_VALUE"""),"মোছাঃ হাসিনা খাতুন")</f>
        <v>মোছাঃ হাসিনা খাতুন</v>
      </c>
      <c r="G78" s="4" t="str">
        <f>IFERROR(__xludf.DUMMYFUNCTION("""COMPUTED_VALUE"""),"১২/০৫/২০০১")</f>
        <v>১২/০৫/২০০১</v>
      </c>
      <c r="H78" s="4" t="str">
        <f>IFERROR(__xludf.DUMMYFUNCTION("""COMPUTED_VALUE"""),"ছাত্র/ছাত্রী")</f>
        <v>ছাত্র/ছাত্রী</v>
      </c>
      <c r="I78" s="4" t="str">
        <f>IFERROR(__xludf.DUMMYFUNCTION("""COMPUTED_VALUE"""),"""আড়পাড়া")</f>
        <v>"আড়পাড়া</v>
      </c>
      <c r="J78" s="4" t="str">
        <f>IFERROR(__xludf.DUMMYFUNCTION("""COMPUTED_VALUE""")," গাংনী")</f>
        <v> গাংনী</v>
      </c>
      <c r="K78" s="4" t="str">
        <f>IFERROR(__xludf.DUMMYFUNCTION("""COMPUTED_VALUE""")," মেহেরপুর""")</f>
        <v> মেহেরপুর"</v>
      </c>
    </row>
    <row r="79" ht="15.75" customHeight="1">
      <c r="A79" s="5" t="s">
        <v>3434</v>
      </c>
      <c r="B79" s="4">
        <f>IFERROR(__xludf.DUMMYFUNCTION("SPLIT(A79,"","")"),1025.0)</f>
        <v>1025</v>
      </c>
      <c r="C79" s="4" t="str">
        <f>IFERROR(__xludf.DUMMYFUNCTION("""COMPUTED_VALUE"""),"মোঃ সাগর আলী")</f>
        <v>মোঃ সাগর আলী</v>
      </c>
      <c r="D79" s="4">
        <f>IFERROR(__xludf.DUMMYFUNCTION("""COMPUTED_VALUE"""),5.70055000616E11)</f>
        <v>570055000616</v>
      </c>
      <c r="E79" s="4" t="str">
        <f>IFERROR(__xludf.DUMMYFUNCTION("""COMPUTED_VALUE"""),"শহিদুল ইসলাম")</f>
        <v>শহিদুল ইসলাম</v>
      </c>
      <c r="F79" s="4" t="str">
        <f>IFERROR(__xludf.DUMMYFUNCTION("""COMPUTED_VALUE"""),"মোছাঃ সাহেদা")</f>
        <v>মোছাঃ সাহেদা</v>
      </c>
      <c r="G79" s="4" t="str">
        <f>IFERROR(__xludf.DUMMYFUNCTION("""COMPUTED_VALUE"""),"২৮/০৯/২০০২")</f>
        <v>২৮/০৯/২০০২</v>
      </c>
      <c r="H79" s="4" t="str">
        <f>IFERROR(__xludf.DUMMYFUNCTION("""COMPUTED_VALUE"""),"ব্যবসা")</f>
        <v>ব্যবসা</v>
      </c>
      <c r="I79" s="4" t="str">
        <f>IFERROR(__xludf.DUMMYFUNCTION("""COMPUTED_VALUE"""),"""আড়পাড়া")</f>
        <v>"আড়পাড়া</v>
      </c>
      <c r="J79" s="4" t="str">
        <f>IFERROR(__xludf.DUMMYFUNCTION("""COMPUTED_VALUE""")," গাংনী")</f>
        <v> গাংনী</v>
      </c>
      <c r="K79" s="4" t="str">
        <f>IFERROR(__xludf.DUMMYFUNCTION("""COMPUTED_VALUE""")," মেহেরপুর""")</f>
        <v> মেহেরপুর"</v>
      </c>
    </row>
    <row r="80" ht="15.75" customHeight="1">
      <c r="A80" s="5" t="s">
        <v>3435</v>
      </c>
      <c r="B80" s="4">
        <f>IFERROR(__xludf.DUMMYFUNCTION("SPLIT(A80,"","")"),1026.0)</f>
        <v>1026</v>
      </c>
      <c r="C80" s="4" t="str">
        <f>IFERROR(__xludf.DUMMYFUNCTION("""COMPUTED_VALUE"""),"মোঃ মাহাফুজ আলী")</f>
        <v>মোঃ মাহাফুজ আলী</v>
      </c>
      <c r="D80" s="4">
        <f>IFERROR(__xludf.DUMMYFUNCTION("""COMPUTED_VALUE"""),5.70055000624E11)</f>
        <v>570055000624</v>
      </c>
      <c r="E80" s="4" t="str">
        <f>IFERROR(__xludf.DUMMYFUNCTION("""COMPUTED_VALUE"""),"মোঃ মনিরুল ইসলাম")</f>
        <v>মোঃ মনিরুল ইসলাম</v>
      </c>
      <c r="F80" s="4" t="str">
        <f>IFERROR(__xludf.DUMMYFUNCTION("""COMPUTED_VALUE"""),"মোছাঃ রওশন আরা")</f>
        <v>মোছাঃ রওশন আরা</v>
      </c>
      <c r="G80" s="4" t="str">
        <f>IFERROR(__xludf.DUMMYFUNCTION("""COMPUTED_VALUE"""),"১০/০৩/২০০২")</f>
        <v>১০/০৩/২০০২</v>
      </c>
      <c r="H80" s="4" t="str">
        <f>IFERROR(__xludf.DUMMYFUNCTION("""COMPUTED_VALUE"""),"ছাত্র/ছাত্রী")</f>
        <v>ছাত্র/ছাত্রী</v>
      </c>
      <c r="I80" s="4" t="str">
        <f>IFERROR(__xludf.DUMMYFUNCTION("""COMPUTED_VALUE"""),"""আড়পাড়া")</f>
        <v>"আড়পাড়া</v>
      </c>
      <c r="J80" s="4" t="str">
        <f>IFERROR(__xludf.DUMMYFUNCTION("""COMPUTED_VALUE""")," গাংনী")</f>
        <v> গাংনী</v>
      </c>
      <c r="K80" s="4" t="str">
        <f>IFERROR(__xludf.DUMMYFUNCTION("""COMPUTED_VALUE""")," মেহেরপুর""")</f>
        <v> মেহেরপুর"</v>
      </c>
    </row>
    <row r="81" ht="15.75" customHeight="1">
      <c r="A81" s="5" t="s">
        <v>3436</v>
      </c>
      <c r="B81" s="4">
        <f>IFERROR(__xludf.DUMMYFUNCTION("SPLIT(A81,"","")"),1027.0)</f>
        <v>1027</v>
      </c>
      <c r="C81" s="4" t="str">
        <f>IFERROR(__xludf.DUMMYFUNCTION("""COMPUTED_VALUE"""),"মোঃ নাজমুল ইসলাম")</f>
        <v>মোঃ নাজমুল ইসলাম</v>
      </c>
      <c r="D81" s="4">
        <f>IFERROR(__xludf.DUMMYFUNCTION("""COMPUTED_VALUE"""),5.70055000626E11)</f>
        <v>570055000626</v>
      </c>
      <c r="E81" s="4" t="str">
        <f>IFERROR(__xludf.DUMMYFUNCTION("""COMPUTED_VALUE"""),"মোঃ চাঁদআলী")</f>
        <v>মোঃ চাঁদআলী</v>
      </c>
      <c r="F81" s="4" t="str">
        <f>IFERROR(__xludf.DUMMYFUNCTION("""COMPUTED_VALUE"""),"নাজিরা খাতুন")</f>
        <v>নাজিরা খাতুন</v>
      </c>
      <c r="G81" s="4" t="str">
        <f>IFERROR(__xludf.DUMMYFUNCTION("""COMPUTED_VALUE"""),"০৩/০১/১৯৯৭")</f>
        <v>০৩/০১/১৯৯৭</v>
      </c>
      <c r="H81" s="4" t="str">
        <f>IFERROR(__xludf.DUMMYFUNCTION("""COMPUTED_VALUE"""),"কৃষক")</f>
        <v>কৃষক</v>
      </c>
      <c r="I81" s="4" t="str">
        <f>IFERROR(__xludf.DUMMYFUNCTION("""COMPUTED_VALUE"""),"""আড়পাড়া")</f>
        <v>"আড়পাড়া</v>
      </c>
      <c r="J81" s="4" t="str">
        <f>IFERROR(__xludf.DUMMYFUNCTION("""COMPUTED_VALUE""")," গাংনী")</f>
        <v> গাংনী</v>
      </c>
      <c r="K81" s="4" t="str">
        <f>IFERROR(__xludf.DUMMYFUNCTION("""COMPUTED_VALUE""")," মেহেরপুর""")</f>
        <v> মেহেরপুর"</v>
      </c>
    </row>
    <row r="82" ht="15.75" customHeight="1">
      <c r="A82" s="5" t="s">
        <v>3437</v>
      </c>
      <c r="B82" s="4">
        <f>IFERROR(__xludf.DUMMYFUNCTION("SPLIT(A82,"","")"),1028.0)</f>
        <v>1028</v>
      </c>
      <c r="C82" s="4" t="str">
        <f>IFERROR(__xludf.DUMMYFUNCTION("""COMPUTED_VALUE"""),"মোঃ আকিদুল ইসলাম")</f>
        <v>মোঃ আকিদুল ইসলাম</v>
      </c>
      <c r="D82" s="4">
        <f>IFERROR(__xludf.DUMMYFUNCTION("""COMPUTED_VALUE"""),5.70055000627E11)</f>
        <v>570055000627</v>
      </c>
      <c r="E82" s="4" t="str">
        <f>IFERROR(__xludf.DUMMYFUNCTION("""COMPUTED_VALUE"""),"মোঃ রেজাউল হক")</f>
        <v>মোঃ রেজাউল হক</v>
      </c>
      <c r="F82" s="4" t="str">
        <f>IFERROR(__xludf.DUMMYFUNCTION("""COMPUTED_VALUE"""),"মোছাঃ জেসমিনারা খাতুন")</f>
        <v>মোছাঃ জেসমিনারা খাতুন</v>
      </c>
      <c r="G82" s="4" t="str">
        <f>IFERROR(__xludf.DUMMYFUNCTION("""COMPUTED_VALUE"""),"২৫/০১/২০০৩")</f>
        <v>২৫/০১/২০০৩</v>
      </c>
      <c r="H82" s="4" t="str">
        <f>IFERROR(__xludf.DUMMYFUNCTION("""COMPUTED_VALUE"""),"ছাত্র/ছাত্রী")</f>
        <v>ছাত্র/ছাত্রী</v>
      </c>
      <c r="I82" s="4" t="str">
        <f>IFERROR(__xludf.DUMMYFUNCTION("""COMPUTED_VALUE"""),"""আড়পাড়া")</f>
        <v>"আড়পাড়া</v>
      </c>
      <c r="J82" s="4" t="str">
        <f>IFERROR(__xludf.DUMMYFUNCTION("""COMPUTED_VALUE""")," গাংনী")</f>
        <v> গাংনী</v>
      </c>
      <c r="K82" s="4" t="str">
        <f>IFERROR(__xludf.DUMMYFUNCTION("""COMPUTED_VALUE""")," মেহেরপুর""")</f>
        <v> মেহেরপুর"</v>
      </c>
    </row>
    <row r="83" ht="15.75" customHeight="1">
      <c r="A83" s="5" t="s">
        <v>3438</v>
      </c>
      <c r="B83" s="4">
        <f>IFERROR(__xludf.DUMMYFUNCTION("SPLIT(A83,"","")"),1029.0)</f>
        <v>1029</v>
      </c>
      <c r="C83" s="4" t="str">
        <f>IFERROR(__xludf.DUMMYFUNCTION("""COMPUTED_VALUE"""),"মোঃ রুবেল আলী")</f>
        <v>মোঃ রুবেল আলী</v>
      </c>
      <c r="D83" s="4">
        <f>IFERROR(__xludf.DUMMYFUNCTION("""COMPUTED_VALUE"""),5.7005500063E11)</f>
        <v>570055000630</v>
      </c>
      <c r="E83" s="4" t="str">
        <f>IFERROR(__xludf.DUMMYFUNCTION("""COMPUTED_VALUE"""),"মোঃ নুরুল ইসলাম")</f>
        <v>মোঃ নুরুল ইসলাম</v>
      </c>
      <c r="F83" s="4" t="str">
        <f>IFERROR(__xludf.DUMMYFUNCTION("""COMPUTED_VALUE"""),"মোছাঃ মাহিরন নেছা")</f>
        <v>মোছাঃ মাহিরন নেছা</v>
      </c>
      <c r="G83" s="4" t="str">
        <f>IFERROR(__xludf.DUMMYFUNCTION("""COMPUTED_VALUE"""),"০৮/০৮/১৯৯৮")</f>
        <v>০৮/০৮/১৯৯৮</v>
      </c>
      <c r="H83" s="4" t="str">
        <f>IFERROR(__xludf.DUMMYFUNCTION("""COMPUTED_VALUE"""),"কৃষক")</f>
        <v>কৃষক</v>
      </c>
      <c r="I83" s="4" t="str">
        <f>IFERROR(__xludf.DUMMYFUNCTION("""COMPUTED_VALUE"""),"""আড়পাড়া")</f>
        <v>"আড়পাড়া</v>
      </c>
      <c r="J83" s="4" t="str">
        <f>IFERROR(__xludf.DUMMYFUNCTION("""COMPUTED_VALUE""")," গাংনী")</f>
        <v> গাংনী</v>
      </c>
      <c r="K83" s="4" t="str">
        <f>IFERROR(__xludf.DUMMYFUNCTION("""COMPUTED_VALUE""")," মেহেরপুর""")</f>
        <v> মেহেরপুর"</v>
      </c>
    </row>
    <row r="84" ht="15.75" customHeight="1">
      <c r="A84" s="5" t="s">
        <v>3439</v>
      </c>
      <c r="B84" s="4">
        <f>IFERROR(__xludf.DUMMYFUNCTION("SPLIT(A84,"","")"),1030.0)</f>
        <v>1030</v>
      </c>
      <c r="C84" s="4" t="str">
        <f>IFERROR(__xludf.DUMMYFUNCTION("""COMPUTED_VALUE"""),"মোঃ শাহাজামাল")</f>
        <v>মোঃ শাহাজামাল</v>
      </c>
      <c r="D84" s="4">
        <f>IFERROR(__xludf.DUMMYFUNCTION("""COMPUTED_VALUE"""),5.70055000632E11)</f>
        <v>570055000632</v>
      </c>
      <c r="E84" s="4" t="str">
        <f>IFERROR(__xludf.DUMMYFUNCTION("""COMPUTED_VALUE"""),"মোঃ আব্দুল মজিদ")</f>
        <v>মোঃ আব্দুল মজিদ</v>
      </c>
      <c r="F84" s="4" t="str">
        <f>IFERROR(__xludf.DUMMYFUNCTION("""COMPUTED_VALUE"""),"মোছাঃ আছিয়া খাতুন")</f>
        <v>মোছাঃ আছিয়া খাতুন</v>
      </c>
      <c r="G84" s="4" t="str">
        <f>IFERROR(__xludf.DUMMYFUNCTION("""COMPUTED_VALUE"""),"০৬/০৯/২০০৩")</f>
        <v>০৬/০৯/২০০৩</v>
      </c>
      <c r="H84" s="4" t="str">
        <f>IFERROR(__xludf.DUMMYFUNCTION("""COMPUTED_VALUE"""),"ছাত্র/ছাত্রী")</f>
        <v>ছাত্র/ছাত্রী</v>
      </c>
      <c r="I84" s="4" t="str">
        <f>IFERROR(__xludf.DUMMYFUNCTION("""COMPUTED_VALUE"""),"""আড়পাড়া")</f>
        <v>"আড়পাড়া</v>
      </c>
      <c r="J84" s="4" t="str">
        <f>IFERROR(__xludf.DUMMYFUNCTION("""COMPUTED_VALUE""")," গাংনী")</f>
        <v> গাংনী</v>
      </c>
      <c r="K84" s="4" t="str">
        <f>IFERROR(__xludf.DUMMYFUNCTION("""COMPUTED_VALUE""")," মেহেরপুর""")</f>
        <v> মেহেরপুর"</v>
      </c>
    </row>
    <row r="85" ht="15.75" customHeight="1">
      <c r="A85" s="5" t="s">
        <v>3440</v>
      </c>
      <c r="B85" s="4">
        <f>IFERROR(__xludf.DUMMYFUNCTION("SPLIT(A85,"","")"),1031.0)</f>
        <v>1031</v>
      </c>
      <c r="C85" s="4" t="str">
        <f>IFERROR(__xludf.DUMMYFUNCTION("""COMPUTED_VALUE"""),"মোঃ ওয়াসিম সাজ্জাদ সাব্বির")</f>
        <v>মোঃ ওয়াসিম সাজ্জাদ সাব্বির</v>
      </c>
      <c r="D85" s="4">
        <f>IFERROR(__xludf.DUMMYFUNCTION("""COMPUTED_VALUE"""),5.70055000633E11)</f>
        <v>570055000633</v>
      </c>
      <c r="E85" s="4" t="str">
        <f>IFERROR(__xludf.DUMMYFUNCTION("""COMPUTED_VALUE"""),"মোঃ আঃ রহমান")</f>
        <v>মোঃ আঃ রহমান</v>
      </c>
      <c r="F85" s="4" t="str">
        <f>IFERROR(__xludf.DUMMYFUNCTION("""COMPUTED_VALUE"""),"মোছাঃ হুসনেয়ারা খাতুন")</f>
        <v>মোছাঃ হুসনেয়ারা খাতুন</v>
      </c>
      <c r="G85" s="4" t="str">
        <f>IFERROR(__xludf.DUMMYFUNCTION("""COMPUTED_VALUE"""),"৩০/০৪/২০০২")</f>
        <v>৩০/০৪/২০০২</v>
      </c>
      <c r="H85" s="4" t="str">
        <f>IFERROR(__xludf.DUMMYFUNCTION("""COMPUTED_VALUE"""),"ছাত্র/ছাত্রী")</f>
        <v>ছাত্র/ছাত্রী</v>
      </c>
      <c r="I85" s="4" t="str">
        <f>IFERROR(__xludf.DUMMYFUNCTION("""COMPUTED_VALUE"""),"""আড়পাড়া")</f>
        <v>"আড়পাড়া</v>
      </c>
      <c r="J85" s="4" t="str">
        <f>IFERROR(__xludf.DUMMYFUNCTION("""COMPUTED_VALUE""")," গাংনী")</f>
        <v> গাংনী</v>
      </c>
      <c r="K85" s="4" t="str">
        <f>IFERROR(__xludf.DUMMYFUNCTION("""COMPUTED_VALUE""")," মেহেরপুর""")</f>
        <v> মেহেরপুর"</v>
      </c>
    </row>
    <row r="86" ht="15.75" customHeight="1">
      <c r="A86" s="5" t="s">
        <v>3441</v>
      </c>
      <c r="B86" s="4">
        <f>IFERROR(__xludf.DUMMYFUNCTION("SPLIT(A86,"","")"),1032.0)</f>
        <v>1032</v>
      </c>
      <c r="C86" s="4" t="str">
        <f>IFERROR(__xludf.DUMMYFUNCTION("""COMPUTED_VALUE"""),"মোঃ আফায়াত হোসেন")</f>
        <v>মোঃ আফায়াত হোসেন</v>
      </c>
      <c r="D86" s="4">
        <f>IFERROR(__xludf.DUMMYFUNCTION("""COMPUTED_VALUE"""),5.70055000635E11)</f>
        <v>570055000635</v>
      </c>
      <c r="E86" s="4" t="str">
        <f>IFERROR(__xludf.DUMMYFUNCTION("""COMPUTED_VALUE"""),"তৌহিদুল")</f>
        <v>তৌহিদুল</v>
      </c>
      <c r="F86" s="4" t="str">
        <f>IFERROR(__xludf.DUMMYFUNCTION("""COMPUTED_VALUE"""),"ফাহিমা")</f>
        <v>ফাহিমা</v>
      </c>
      <c r="G86" s="4" t="str">
        <f>IFERROR(__xludf.DUMMYFUNCTION("""COMPUTED_VALUE"""),"০২/০৪/১৯৯৮")</f>
        <v>০২/০৪/১৯৯৮</v>
      </c>
      <c r="H86" s="4" t="str">
        <f>IFERROR(__xludf.DUMMYFUNCTION("""COMPUTED_VALUE"""),"বেকার")</f>
        <v>বেকার</v>
      </c>
      <c r="I86" s="4" t="str">
        <f>IFERROR(__xludf.DUMMYFUNCTION("""COMPUTED_VALUE"""),"""আড়পাড়া")</f>
        <v>"আড়পাড়া</v>
      </c>
      <c r="J86" s="4" t="str">
        <f>IFERROR(__xludf.DUMMYFUNCTION("""COMPUTED_VALUE""")," গাংনী")</f>
        <v> গাংনী</v>
      </c>
      <c r="K86" s="4" t="str">
        <f>IFERROR(__xludf.DUMMYFUNCTION("""COMPUTED_VALUE""")," মেহেরপুর""")</f>
        <v> মেহেরপুর"</v>
      </c>
    </row>
    <row r="87" ht="15.75" customHeight="1">
      <c r="A87" s="5" t="s">
        <v>3442</v>
      </c>
      <c r="B87" s="4">
        <f>IFERROR(__xludf.DUMMYFUNCTION("SPLIT(A87,"","")"),1033.0)</f>
        <v>1033</v>
      </c>
      <c r="C87" s="4" t="str">
        <f>IFERROR(__xludf.DUMMYFUNCTION("""COMPUTED_VALUE"""),"মোঃ রাকিবুল ইসলাম")</f>
        <v>মোঃ রাকিবুল ইসলাম</v>
      </c>
      <c r="D87" s="4">
        <f>IFERROR(__xludf.DUMMYFUNCTION("""COMPUTED_VALUE"""),5.70055000644E11)</f>
        <v>570055000644</v>
      </c>
      <c r="E87" s="4" t="str">
        <f>IFERROR(__xludf.DUMMYFUNCTION("""COMPUTED_VALUE"""),"মোঃ হাসানুজ্জামান")</f>
        <v>মোঃ হাসানুজ্জামান</v>
      </c>
      <c r="F87" s="4" t="str">
        <f>IFERROR(__xludf.DUMMYFUNCTION("""COMPUTED_VALUE"""),"মোছাঃ রাজিয়া খাতুন")</f>
        <v>মোছাঃ রাজিয়া খাতুন</v>
      </c>
      <c r="G87" s="4" t="str">
        <f>IFERROR(__xludf.DUMMYFUNCTION("""COMPUTED_VALUE"""),"১৯/১১/২০০৩")</f>
        <v>১৯/১১/২০০৩</v>
      </c>
      <c r="H87" s="4" t="str">
        <f>IFERROR(__xludf.DUMMYFUNCTION("""COMPUTED_VALUE"""),"ছাত্র/ছাত্রী")</f>
        <v>ছাত্র/ছাত্রী</v>
      </c>
      <c r="I87" s="4" t="str">
        <f>IFERROR(__xludf.DUMMYFUNCTION("""COMPUTED_VALUE"""),"""আড়পাড়া")</f>
        <v>"আড়পাড়া</v>
      </c>
      <c r="J87" s="4" t="str">
        <f>IFERROR(__xludf.DUMMYFUNCTION("""COMPUTED_VALUE""")," গাংনী")</f>
        <v> গাংনী</v>
      </c>
      <c r="K87" s="4" t="str">
        <f>IFERROR(__xludf.DUMMYFUNCTION("""COMPUTED_VALUE""")," মেহেরপুর""")</f>
        <v> মেহেরপুর"</v>
      </c>
    </row>
    <row r="88" ht="15.75" customHeight="1">
      <c r="A88" s="5" t="s">
        <v>3443</v>
      </c>
      <c r="B88" s="4">
        <f>IFERROR(__xludf.DUMMYFUNCTION("SPLIT(A88,"","")"),1034.0)</f>
        <v>1034</v>
      </c>
      <c r="C88" s="4" t="str">
        <f>IFERROR(__xludf.DUMMYFUNCTION("""COMPUTED_VALUE"""),"মোঃ আরিফুল ইসলাম")</f>
        <v>মোঃ আরিফুল ইসলাম</v>
      </c>
      <c r="D88" s="4">
        <f>IFERROR(__xludf.DUMMYFUNCTION("""COMPUTED_VALUE"""),5.70055000645E11)</f>
        <v>570055000645</v>
      </c>
      <c r="E88" s="4" t="str">
        <f>IFERROR(__xludf.DUMMYFUNCTION("""COMPUTED_VALUE"""),"মোঃ আঃ রহিম")</f>
        <v>মোঃ আঃ রহিম</v>
      </c>
      <c r="F88" s="4" t="str">
        <f>IFERROR(__xludf.DUMMYFUNCTION("""COMPUTED_VALUE"""),"মোছাঃ শুকিরন নেছা")</f>
        <v>মোছাঃ শুকিরন নেছা</v>
      </c>
      <c r="G88" s="4" t="str">
        <f>IFERROR(__xludf.DUMMYFUNCTION("""COMPUTED_VALUE"""),"২৯/০৪/২০০১")</f>
        <v>২৯/০৪/২০০১</v>
      </c>
      <c r="H88" s="4" t="str">
        <f>IFERROR(__xludf.DUMMYFUNCTION("""COMPUTED_VALUE"""),"ছাত্র/ছাত্রী")</f>
        <v>ছাত্র/ছাত্রী</v>
      </c>
      <c r="I88" s="4" t="str">
        <f>IFERROR(__xludf.DUMMYFUNCTION("""COMPUTED_VALUE"""),"""আড়পাড়া")</f>
        <v>"আড়পাড়া</v>
      </c>
      <c r="J88" s="4" t="str">
        <f>IFERROR(__xludf.DUMMYFUNCTION("""COMPUTED_VALUE""")," গাংনী")</f>
        <v> গাংনী</v>
      </c>
      <c r="K88" s="4" t="str">
        <f>IFERROR(__xludf.DUMMYFUNCTION("""COMPUTED_VALUE""")," মেহেরপুর""")</f>
        <v> মেহেরপুর"</v>
      </c>
    </row>
    <row r="89" ht="15.75" customHeight="1">
      <c r="A89" s="5" t="s">
        <v>3444</v>
      </c>
      <c r="B89" s="4">
        <f>IFERROR(__xludf.DUMMYFUNCTION("SPLIT(A89,"","")"),1035.0)</f>
        <v>1035</v>
      </c>
      <c r="C89" s="4" t="str">
        <f>IFERROR(__xludf.DUMMYFUNCTION("""COMPUTED_VALUE"""),"শ্রী সাধন কর্মকার")</f>
        <v>শ্রী সাধন কর্মকার</v>
      </c>
      <c r="D89" s="4">
        <f>IFERROR(__xludf.DUMMYFUNCTION("""COMPUTED_VALUE"""),5.70055000646E11)</f>
        <v>570055000646</v>
      </c>
      <c r="E89" s="4" t="str">
        <f>IFERROR(__xludf.DUMMYFUNCTION("""COMPUTED_VALUE"""),"শ্রী শ্যামল কর্মকার")</f>
        <v>শ্রী শ্যামল কর্মকার</v>
      </c>
      <c r="F89" s="4" t="str">
        <f>IFERROR(__xludf.DUMMYFUNCTION("""COMPUTED_VALUE"""),"শ্রীমতি অনিমা কর্মকার")</f>
        <v>শ্রীমতি অনিমা কর্মকার</v>
      </c>
      <c r="G89" s="4" t="str">
        <f>IFERROR(__xludf.DUMMYFUNCTION("""COMPUTED_VALUE"""),"০৪/০৪/২০০০")</f>
        <v>০৪/০৪/২০০০</v>
      </c>
      <c r="H89" s="4" t="str">
        <f>IFERROR(__xludf.DUMMYFUNCTION("""COMPUTED_VALUE"""),"ছাত্র/ছাত্রী")</f>
        <v>ছাত্র/ছাত্রী</v>
      </c>
      <c r="I89" s="4" t="str">
        <f>IFERROR(__xludf.DUMMYFUNCTION("""COMPUTED_VALUE"""),"""আড়পাড়া")</f>
        <v>"আড়পাড়া</v>
      </c>
      <c r="J89" s="4" t="str">
        <f>IFERROR(__xludf.DUMMYFUNCTION("""COMPUTED_VALUE""")," গাংনী")</f>
        <v> গাংনী</v>
      </c>
      <c r="K89" s="4" t="str">
        <f>IFERROR(__xludf.DUMMYFUNCTION("""COMPUTED_VALUE""")," মেহেরপুর""")</f>
        <v> মেহেরপুর"</v>
      </c>
    </row>
    <row r="90" ht="15.75" customHeight="1">
      <c r="A90" s="5" t="s">
        <v>3445</v>
      </c>
      <c r="B90" s="4">
        <f>IFERROR(__xludf.DUMMYFUNCTION("SPLIT(A90,"","")"),1036.0)</f>
        <v>1036</v>
      </c>
      <c r="C90" s="4" t="str">
        <f>IFERROR(__xludf.DUMMYFUNCTION("""COMPUTED_VALUE"""),"মোঃ মিকাইল হোসেন")</f>
        <v>মোঃ মিকাইল হোসেন</v>
      </c>
      <c r="D90" s="4">
        <f>IFERROR(__xludf.DUMMYFUNCTION("""COMPUTED_VALUE"""),5.70055000649E11)</f>
        <v>570055000649</v>
      </c>
      <c r="E90" s="4" t="str">
        <f>IFERROR(__xludf.DUMMYFUNCTION("""COMPUTED_VALUE"""),"মোঃ রুহুল আমিন")</f>
        <v>মোঃ রুহুল আমিন</v>
      </c>
      <c r="F90" s="4" t="str">
        <f>IFERROR(__xludf.DUMMYFUNCTION("""COMPUTED_VALUE"""),"মোছাঃ শিউলী")</f>
        <v>মোছাঃ শিউলী</v>
      </c>
      <c r="G90" s="4" t="str">
        <f>IFERROR(__xludf.DUMMYFUNCTION("""COMPUTED_VALUE"""),"০৫/০৮/২০০২")</f>
        <v>০৫/০৮/২০০২</v>
      </c>
      <c r="H90" s="4" t="str">
        <f>IFERROR(__xludf.DUMMYFUNCTION("""COMPUTED_VALUE"""),"ছাত্র/ছাত্রী")</f>
        <v>ছাত্র/ছাত্রী</v>
      </c>
      <c r="I90" s="4" t="str">
        <f>IFERROR(__xludf.DUMMYFUNCTION("""COMPUTED_VALUE"""),"""আড়পাড়া")</f>
        <v>"আড়পাড়া</v>
      </c>
      <c r="J90" s="4" t="str">
        <f>IFERROR(__xludf.DUMMYFUNCTION("""COMPUTED_VALUE""")," গাংনী")</f>
        <v> গাংনী</v>
      </c>
      <c r="K90" s="4" t="str">
        <f>IFERROR(__xludf.DUMMYFUNCTION("""COMPUTED_VALUE""")," মেহেরপুর""")</f>
        <v> মেহেরপুর"</v>
      </c>
    </row>
    <row r="91" ht="15.75" customHeight="1">
      <c r="A91" s="5" t="s">
        <v>3446</v>
      </c>
      <c r="B91" s="4">
        <f>IFERROR(__xludf.DUMMYFUNCTION("SPLIT(A91,"","")"),1037.0)</f>
        <v>1037</v>
      </c>
      <c r="C91" s="4" t="str">
        <f>IFERROR(__xludf.DUMMYFUNCTION("""COMPUTED_VALUE"""),"মোঃ সাকিল আহম্মেদ")</f>
        <v>মোঃ সাকিল আহম্মেদ</v>
      </c>
      <c r="D91" s="4">
        <f>IFERROR(__xludf.DUMMYFUNCTION("""COMPUTED_VALUE"""),5.70055000651E11)</f>
        <v>570055000651</v>
      </c>
      <c r="E91" s="4" t="str">
        <f>IFERROR(__xludf.DUMMYFUNCTION("""COMPUTED_VALUE"""),"মোঃ কাওছার আলি")</f>
        <v>মোঃ কাওছার আলি</v>
      </c>
      <c r="F91" s="4" t="str">
        <f>IFERROR(__xludf.DUMMYFUNCTION("""COMPUTED_VALUE"""),"মোছাঃ নাছিমা খাতুন")</f>
        <v>মোছাঃ নাছিমা খাতুন</v>
      </c>
      <c r="G91" s="4" t="str">
        <f>IFERROR(__xludf.DUMMYFUNCTION("""COMPUTED_VALUE"""),"১২/১২/২০০০")</f>
        <v>১২/১২/২০০০</v>
      </c>
      <c r="H91" s="4" t="str">
        <f>IFERROR(__xludf.DUMMYFUNCTION("""COMPUTED_VALUE"""),"কৃষক")</f>
        <v>কৃষক</v>
      </c>
      <c r="I91" s="4" t="str">
        <f>IFERROR(__xludf.DUMMYFUNCTION("""COMPUTED_VALUE"""),"""আড়পাড়া")</f>
        <v>"আড়পাড়া</v>
      </c>
      <c r="J91" s="4" t="str">
        <f>IFERROR(__xludf.DUMMYFUNCTION("""COMPUTED_VALUE""")," গাংনী")</f>
        <v> গাংনী</v>
      </c>
      <c r="K91" s="4" t="str">
        <f>IFERROR(__xludf.DUMMYFUNCTION("""COMPUTED_VALUE""")," মেহেরপুর""")</f>
        <v> মেহেরপুর"</v>
      </c>
    </row>
    <row r="92" ht="15.75" customHeight="1">
      <c r="A92" s="5" t="s">
        <v>3447</v>
      </c>
      <c r="B92" s="4">
        <f>IFERROR(__xludf.DUMMYFUNCTION("SPLIT(A92,"","")"),1038.0)</f>
        <v>1038</v>
      </c>
      <c r="C92" s="4" t="str">
        <f>IFERROR(__xludf.DUMMYFUNCTION("""COMPUTED_VALUE"""),"মোহাঃ আশিক আলী")</f>
        <v>মোহাঃ আশিক আলী</v>
      </c>
      <c r="D92" s="4">
        <f>IFERROR(__xludf.DUMMYFUNCTION("""COMPUTED_VALUE"""),5.70055000653E11)</f>
        <v>570055000653</v>
      </c>
      <c r="E92" s="4" t="str">
        <f>IFERROR(__xludf.DUMMYFUNCTION("""COMPUTED_VALUE"""),"আব্দুস সালাম")</f>
        <v>আব্দুস সালাম</v>
      </c>
      <c r="F92" s="4" t="str">
        <f>IFERROR(__xludf.DUMMYFUNCTION("""COMPUTED_VALUE"""),"শাহিনা খাতুন")</f>
        <v>শাহিনা খাতুন</v>
      </c>
      <c r="G92" s="4" t="str">
        <f>IFERROR(__xludf.DUMMYFUNCTION("""COMPUTED_VALUE"""),"২৫/০৯/২০০১")</f>
        <v>২৫/০৯/২০০১</v>
      </c>
      <c r="H92" s="4" t="str">
        <f>IFERROR(__xludf.DUMMYFUNCTION("""COMPUTED_VALUE"""),"কৃষক")</f>
        <v>কৃষক</v>
      </c>
      <c r="I92" s="4" t="str">
        <f>IFERROR(__xludf.DUMMYFUNCTION("""COMPUTED_VALUE"""),"""আড়পাড়া")</f>
        <v>"আড়পাড়া</v>
      </c>
      <c r="J92" s="4" t="str">
        <f>IFERROR(__xludf.DUMMYFUNCTION("""COMPUTED_VALUE""")," গাংনী")</f>
        <v> গাংনী</v>
      </c>
      <c r="K92" s="4" t="str">
        <f>IFERROR(__xludf.DUMMYFUNCTION("""COMPUTED_VALUE""")," মেহেরপুর""")</f>
        <v> মেহেরপুর"</v>
      </c>
    </row>
    <row r="93" ht="15.75" customHeight="1">
      <c r="A93" s="5" t="s">
        <v>3448</v>
      </c>
      <c r="B93" s="4">
        <f>IFERROR(__xludf.DUMMYFUNCTION("SPLIT(A93,"","")"),1039.0)</f>
        <v>1039</v>
      </c>
      <c r="C93" s="4" t="str">
        <f>IFERROR(__xludf.DUMMYFUNCTION("""COMPUTED_VALUE"""),"মোঃ আরিফ হোসাইন")</f>
        <v>মোঃ আরিফ হোসাইন</v>
      </c>
      <c r="D93" s="4">
        <f>IFERROR(__xludf.DUMMYFUNCTION("""COMPUTED_VALUE"""),5.70055000656E11)</f>
        <v>570055000656</v>
      </c>
      <c r="E93" s="4" t="str">
        <f>IFERROR(__xludf.DUMMYFUNCTION("""COMPUTED_VALUE"""),"মোঃ ঝন্টু আলী")</f>
        <v>মোঃ ঝন্টু আলী</v>
      </c>
      <c r="F93" s="4" t="str">
        <f>IFERROR(__xludf.DUMMYFUNCTION("""COMPUTED_VALUE"""),"মোছাঃ আজমিরা খাতুন")</f>
        <v>মোছাঃ আজমিরা খাতুন</v>
      </c>
      <c r="G93" s="4" t="str">
        <f>IFERROR(__xludf.DUMMYFUNCTION("""COMPUTED_VALUE"""),"০৫/০৯/২০০২")</f>
        <v>০৫/০৯/২০০২</v>
      </c>
      <c r="H93" s="4" t="str">
        <f>IFERROR(__xludf.DUMMYFUNCTION("""COMPUTED_VALUE"""),"ছাত্র/ছাত্রী")</f>
        <v>ছাত্র/ছাত্রী</v>
      </c>
      <c r="I93" s="4" t="str">
        <f>IFERROR(__xludf.DUMMYFUNCTION("""COMPUTED_VALUE"""),"""আড়পাড়া")</f>
        <v>"আড়পাড়া</v>
      </c>
      <c r="J93" s="4" t="str">
        <f>IFERROR(__xludf.DUMMYFUNCTION("""COMPUTED_VALUE""")," গাংনী")</f>
        <v> গাংনী</v>
      </c>
      <c r="K93" s="4" t="str">
        <f>IFERROR(__xludf.DUMMYFUNCTION("""COMPUTED_VALUE""")," মেহেরপুর""")</f>
        <v> মেহেরপুর"</v>
      </c>
    </row>
    <row r="94" ht="15.75" customHeight="1">
      <c r="A94" s="5" t="s">
        <v>3449</v>
      </c>
      <c r="B94" s="4">
        <f>IFERROR(__xludf.DUMMYFUNCTION("SPLIT(A94,"","")"),1040.0)</f>
        <v>1040</v>
      </c>
      <c r="C94" s="4" t="str">
        <f>IFERROR(__xludf.DUMMYFUNCTION("""COMPUTED_VALUE"""),"মোঃ কামরান আলী")</f>
        <v>মোঃ কামরান আলী</v>
      </c>
      <c r="D94" s="4">
        <f>IFERROR(__xludf.DUMMYFUNCTION("""COMPUTED_VALUE"""),5.70055000657E11)</f>
        <v>570055000657</v>
      </c>
      <c r="E94" s="4" t="str">
        <f>IFERROR(__xludf.DUMMYFUNCTION("""COMPUTED_VALUE"""),"মোঃ হেকমত আলী")</f>
        <v>মোঃ হেকমত আলী</v>
      </c>
      <c r="F94" s="4" t="str">
        <f>IFERROR(__xludf.DUMMYFUNCTION("""COMPUTED_VALUE"""),"মোছাঃ জছিরন নেছা")</f>
        <v>মোছাঃ জছিরন নেছা</v>
      </c>
      <c r="G94" s="4" t="str">
        <f>IFERROR(__xludf.DUMMYFUNCTION("""COMPUTED_VALUE"""),"১২/০৬/২০০১")</f>
        <v>১২/০৬/২০০১</v>
      </c>
      <c r="H94" s="4" t="str">
        <f>IFERROR(__xludf.DUMMYFUNCTION("""COMPUTED_VALUE"""),"ব্যবসা")</f>
        <v>ব্যবসা</v>
      </c>
      <c r="I94" s="4" t="str">
        <f>IFERROR(__xludf.DUMMYFUNCTION("""COMPUTED_VALUE"""),"""আড়পাড়া")</f>
        <v>"আড়পাড়া</v>
      </c>
      <c r="J94" s="4" t="str">
        <f>IFERROR(__xludf.DUMMYFUNCTION("""COMPUTED_VALUE""")," গাংনী")</f>
        <v> গাংনী</v>
      </c>
      <c r="K94" s="4" t="str">
        <f>IFERROR(__xludf.DUMMYFUNCTION("""COMPUTED_VALUE""")," মেহেরপুর""")</f>
        <v> মেহেরপুর"</v>
      </c>
    </row>
    <row r="95" ht="15.75" customHeight="1">
      <c r="A95" s="5" t="s">
        <v>3450</v>
      </c>
      <c r="B95" s="4">
        <f>IFERROR(__xludf.DUMMYFUNCTION("SPLIT(A95,"","")"),1041.0)</f>
        <v>1041</v>
      </c>
      <c r="C95" s="4" t="str">
        <f>IFERROR(__xludf.DUMMYFUNCTION("""COMPUTED_VALUE"""),"মোঃ সোহাগ রানা")</f>
        <v>মোঃ সোহাগ রানা</v>
      </c>
      <c r="D95" s="4">
        <f>IFERROR(__xludf.DUMMYFUNCTION("""COMPUTED_VALUE"""),5.70055000659E11)</f>
        <v>570055000659</v>
      </c>
      <c r="E95" s="4" t="str">
        <f>IFERROR(__xludf.DUMMYFUNCTION("""COMPUTED_VALUE"""),"মোঃ পিন্টু আলী")</f>
        <v>মোঃ পিন্টু আলী</v>
      </c>
      <c r="F95" s="4" t="str">
        <f>IFERROR(__xludf.DUMMYFUNCTION("""COMPUTED_VALUE"""),"মোছাঃ রেহেনা খাতুন")</f>
        <v>মোছাঃ রেহেনা খাতুন</v>
      </c>
      <c r="G95" s="4" t="str">
        <f>IFERROR(__xludf.DUMMYFUNCTION("""COMPUTED_VALUE"""),"১৯/১১/২০০১")</f>
        <v>১৯/১১/২০০১</v>
      </c>
      <c r="H95" s="4" t="str">
        <f>IFERROR(__xludf.DUMMYFUNCTION("""COMPUTED_VALUE"""),"ছাত্র/ছাত্রী")</f>
        <v>ছাত্র/ছাত্রী</v>
      </c>
      <c r="I95" s="4" t="str">
        <f>IFERROR(__xludf.DUMMYFUNCTION("""COMPUTED_VALUE"""),"""আড়পাড়া")</f>
        <v>"আড়পাড়া</v>
      </c>
      <c r="J95" s="4" t="str">
        <f>IFERROR(__xludf.DUMMYFUNCTION("""COMPUTED_VALUE""")," গাংনী")</f>
        <v> গাংনী</v>
      </c>
      <c r="K95" s="4" t="str">
        <f>IFERROR(__xludf.DUMMYFUNCTION("""COMPUTED_VALUE""")," মেহেরপুর""")</f>
        <v> মেহেরপুর"</v>
      </c>
    </row>
    <row r="96" ht="15.75" customHeight="1">
      <c r="A96" s="5" t="s">
        <v>3451</v>
      </c>
      <c r="B96" s="4">
        <f>IFERROR(__xludf.DUMMYFUNCTION("SPLIT(A96,"","")"),1042.0)</f>
        <v>1042</v>
      </c>
      <c r="C96" s="4" t="str">
        <f>IFERROR(__xludf.DUMMYFUNCTION("""COMPUTED_VALUE"""),"স্বপন")</f>
        <v>স্বপন</v>
      </c>
      <c r="D96" s="4">
        <f>IFERROR(__xludf.DUMMYFUNCTION("""COMPUTED_VALUE"""),5.7005500066E11)</f>
        <v>570055000660</v>
      </c>
      <c r="E96" s="4" t="str">
        <f>IFERROR(__xludf.DUMMYFUNCTION("""COMPUTED_VALUE"""),"বদর উদ্দিন")</f>
        <v>বদর উদ্দিন</v>
      </c>
      <c r="F96" s="4" t="str">
        <f>IFERROR(__xludf.DUMMYFUNCTION("""COMPUTED_VALUE"""),"পারুলা")</f>
        <v>পারুলা</v>
      </c>
      <c r="G96" s="4" t="str">
        <f>IFERROR(__xludf.DUMMYFUNCTION("""COMPUTED_VALUE"""),"২৬/১০/১৯৯০")</f>
        <v>২৬/১০/১৯৯০</v>
      </c>
      <c r="H96" s="4" t="str">
        <f>IFERROR(__xludf.DUMMYFUNCTION("""COMPUTED_VALUE"""),"প্রবাসী")</f>
        <v>প্রবাসী</v>
      </c>
      <c r="I96" s="4" t="str">
        <f>IFERROR(__xludf.DUMMYFUNCTION("""COMPUTED_VALUE"""),"""আড়পাড়া")</f>
        <v>"আড়পাড়া</v>
      </c>
      <c r="J96" s="4" t="str">
        <f>IFERROR(__xludf.DUMMYFUNCTION("""COMPUTED_VALUE""")," গাংনী")</f>
        <v> গাংনী</v>
      </c>
      <c r="K96" s="4" t="str">
        <f>IFERROR(__xludf.DUMMYFUNCTION("""COMPUTED_VALUE""")," মেহেরপুর""")</f>
        <v> মেহেরপুর"</v>
      </c>
    </row>
    <row r="97" ht="15.75" customHeight="1">
      <c r="A97" s="5" t="s">
        <v>3452</v>
      </c>
      <c r="B97" s="4">
        <f>IFERROR(__xludf.DUMMYFUNCTION("SPLIT(A97,"","")"),1043.0)</f>
        <v>1043</v>
      </c>
      <c r="C97" s="4" t="str">
        <f>IFERROR(__xludf.DUMMYFUNCTION("""COMPUTED_VALUE"""),"মোঃ আশিকুর রহমান")</f>
        <v>মোঃ আশিকুর রহমান</v>
      </c>
      <c r="D97" s="4">
        <f>IFERROR(__xludf.DUMMYFUNCTION("""COMPUTED_VALUE"""),5.70055000664E11)</f>
        <v>570055000664</v>
      </c>
      <c r="E97" s="4" t="str">
        <f>IFERROR(__xludf.DUMMYFUNCTION("""COMPUTED_VALUE"""),"মোঃ বদর উদ্দিন")</f>
        <v>মোঃ বদর উদ্দিন</v>
      </c>
      <c r="F97" s="4" t="str">
        <f>IFERROR(__xludf.DUMMYFUNCTION("""COMPUTED_VALUE"""),"মোছাঃ পারুলা খাতুন")</f>
        <v>মোছাঃ পারুলা খাতুন</v>
      </c>
      <c r="G97" s="4" t="str">
        <f>IFERROR(__xludf.DUMMYFUNCTION("""COMPUTED_VALUE"""),"২৫/০৩/২০০২")</f>
        <v>২৫/০৩/২০০২</v>
      </c>
      <c r="H97" s="4" t="str">
        <f>IFERROR(__xludf.DUMMYFUNCTION("""COMPUTED_VALUE"""),"ছাত্র/ছাত্রী")</f>
        <v>ছাত্র/ছাত্রী</v>
      </c>
      <c r="I97" s="4" t="str">
        <f>IFERROR(__xludf.DUMMYFUNCTION("""COMPUTED_VALUE"""),"""আড়পাড়া")</f>
        <v>"আড়পাড়া</v>
      </c>
      <c r="J97" s="4" t="str">
        <f>IFERROR(__xludf.DUMMYFUNCTION("""COMPUTED_VALUE""")," গাংনী")</f>
        <v> গাংনী</v>
      </c>
      <c r="K97" s="4" t="str">
        <f>IFERROR(__xludf.DUMMYFUNCTION("""COMPUTED_VALUE""")," মেহেরপুর""")</f>
        <v> মেহেরপুর"</v>
      </c>
    </row>
    <row r="98" ht="15.75" customHeight="1">
      <c r="A98" s="5" t="s">
        <v>3453</v>
      </c>
      <c r="B98" s="4">
        <f>IFERROR(__xludf.DUMMYFUNCTION("SPLIT(A98,"","")"),1045.0)</f>
        <v>1045</v>
      </c>
      <c r="C98" s="4" t="str">
        <f>IFERROR(__xludf.DUMMYFUNCTION("""COMPUTED_VALUE"""),"মোঃ ফিরোজুল ইসলাম")</f>
        <v>মোঃ ফিরোজুল ইসলাম</v>
      </c>
      <c r="D98" s="4">
        <f>IFERROR(__xludf.DUMMYFUNCTION("""COMPUTED_VALUE"""),5.70055000671E11)</f>
        <v>570055000671</v>
      </c>
      <c r="E98" s="4" t="str">
        <f>IFERROR(__xludf.DUMMYFUNCTION("""COMPUTED_VALUE"""),"মোঃ শাহাদত আলী")</f>
        <v>মোঃ শাহাদত আলী</v>
      </c>
      <c r="F98" s="4" t="str">
        <f>IFERROR(__xludf.DUMMYFUNCTION("""COMPUTED_VALUE"""),"মোছাঃ আছমা খাতুন")</f>
        <v>মোছাঃ আছমা খাতুন</v>
      </c>
      <c r="G98" s="4" t="str">
        <f>IFERROR(__xludf.DUMMYFUNCTION("""COMPUTED_VALUE"""),"০২/১১/১৯৯৫")</f>
        <v>০২/১১/১৯৯৫</v>
      </c>
      <c r="H98" s="4" t="str">
        <f>IFERROR(__xludf.DUMMYFUNCTION("""COMPUTED_VALUE"""),"সরকারী চাকুরী")</f>
        <v>সরকারী চাকুরী</v>
      </c>
      <c r="I98" s="4" t="str">
        <f>IFERROR(__xludf.DUMMYFUNCTION("""COMPUTED_VALUE"""),"""আড়পাড়া")</f>
        <v>"আড়পাড়া</v>
      </c>
      <c r="J98" s="4" t="str">
        <f>IFERROR(__xludf.DUMMYFUNCTION("""COMPUTED_VALUE""")," গাংনী")</f>
        <v> গাংনী</v>
      </c>
      <c r="K98" s="4" t="str">
        <f>IFERROR(__xludf.DUMMYFUNCTION("""COMPUTED_VALUE""")," মেহেরপুর""")</f>
        <v> মেহেরপুর"</v>
      </c>
    </row>
    <row r="99" ht="15.75" customHeight="1">
      <c r="A99" s="5" t="s">
        <v>3454</v>
      </c>
      <c r="B99" s="4">
        <f>IFERROR(__xludf.DUMMYFUNCTION("SPLIT(A99,"","")"),1046.0)</f>
        <v>1046</v>
      </c>
      <c r="C99" s="4" t="str">
        <f>IFERROR(__xludf.DUMMYFUNCTION("""COMPUTED_VALUE"""),"মুহাঃ খালিদ হোসেন")</f>
        <v>মুহাঃ খালিদ হোসেন</v>
      </c>
      <c r="D99" s="4">
        <f>IFERROR(__xludf.DUMMYFUNCTION("""COMPUTED_VALUE"""),5.70055000496E11)</f>
        <v>570055000496</v>
      </c>
      <c r="E99" s="4" t="str">
        <f>IFERROR(__xludf.DUMMYFUNCTION("""COMPUTED_VALUE"""),"মুহাঃ জাফর আলী")</f>
        <v>মুহাঃ জাফর আলী</v>
      </c>
      <c r="F99" s="4" t="str">
        <f>IFERROR(__xludf.DUMMYFUNCTION("""COMPUTED_VALUE"""),"মোছাঃ খুরশিদা বেগম")</f>
        <v>মোছাঃ খুরশিদা বেগম</v>
      </c>
      <c r="G99" s="4" t="str">
        <f>IFERROR(__xludf.DUMMYFUNCTION("""COMPUTED_VALUE"""),"০১/০১/১৯৭০")</f>
        <v>০১/০১/১৯৭০</v>
      </c>
      <c r="H99" s="4" t="str">
        <f>IFERROR(__xludf.DUMMYFUNCTION("""COMPUTED_VALUE"""),"সরকারী চাকুরী")</f>
        <v>সরকারী চাকুরী</v>
      </c>
      <c r="I99" s="4" t="str">
        <f>IFERROR(__xludf.DUMMYFUNCTION("""COMPUTED_VALUE"""),"""আড়পাড়া")</f>
        <v>"আড়পাড়া</v>
      </c>
      <c r="J99" s="4" t="str">
        <f>IFERROR(__xludf.DUMMYFUNCTION("""COMPUTED_VALUE""")," গাংনী")</f>
        <v> গাংনী</v>
      </c>
      <c r="K99" s="4" t="str">
        <f>IFERROR(__xludf.DUMMYFUNCTION("""COMPUTED_VALUE""")," মেহেরপুর""")</f>
        <v> মেহেরপুর"</v>
      </c>
    </row>
    <row r="100" ht="15.75" customHeight="1">
      <c r="A100" s="5" t="s">
        <v>3455</v>
      </c>
      <c r="B100" s="4">
        <f>IFERROR(__xludf.DUMMYFUNCTION("SPLIT(A100,"","")"),1047.0)</f>
        <v>1047</v>
      </c>
      <c r="C100" s="4" t="str">
        <f>IFERROR(__xludf.DUMMYFUNCTION("""COMPUTED_VALUE"""),"মোঃ আরিফুল ইসলাম")</f>
        <v>মোঃ আরিফুল ইসলাম</v>
      </c>
      <c r="D100" s="4">
        <f>IFERROR(__xludf.DUMMYFUNCTION("""COMPUTED_VALUE"""),5.70055000599E11)</f>
        <v>570055000599</v>
      </c>
      <c r="E100" s="4" t="str">
        <f>IFERROR(__xludf.DUMMYFUNCTION("""COMPUTED_VALUE"""),"রহমান হোসেন")</f>
        <v>রহমান হোসেন</v>
      </c>
      <c r="F100" s="4" t="str">
        <f>IFERROR(__xludf.DUMMYFUNCTION("""COMPUTED_VALUE"""),"মোছাঃ সায়েদা খাতুন")</f>
        <v>মোছাঃ সায়েদা খাতুন</v>
      </c>
      <c r="G100" s="4" t="str">
        <f>IFERROR(__xludf.DUMMYFUNCTION("""COMPUTED_VALUE"""),"১৮/০৭/১৯৮৮")</f>
        <v>১৮/০৭/১৯৮৮</v>
      </c>
      <c r="H100" s="4" t="str">
        <f>IFERROR(__xludf.DUMMYFUNCTION("""COMPUTED_VALUE"""),"কৃষক")</f>
        <v>কৃষক</v>
      </c>
      <c r="I100" s="4" t="str">
        <f>IFERROR(__xludf.DUMMYFUNCTION("""COMPUTED_VALUE"""),"""আড়পাড়া")</f>
        <v>"আড়পাড়া</v>
      </c>
      <c r="J100" s="4" t="str">
        <f>IFERROR(__xludf.DUMMYFUNCTION("""COMPUTED_VALUE""")," গাংনী")</f>
        <v> গাংনী</v>
      </c>
      <c r="K100" s="4" t="str">
        <f>IFERROR(__xludf.DUMMYFUNCTION("""COMPUTED_VALUE""")," মেহেরপুর""")</f>
        <v> মেহেরপুর"</v>
      </c>
    </row>
    <row r="101" ht="15.75" customHeight="1">
      <c r="A101" s="5" t="s">
        <v>3456</v>
      </c>
      <c r="B101" s="4">
        <f>IFERROR(__xludf.DUMMYFUNCTION("SPLIT(A101,"","")"),1048.0)</f>
        <v>1048</v>
      </c>
      <c r="C101" s="4" t="str">
        <f>IFERROR(__xludf.DUMMYFUNCTION("""COMPUTED_VALUE"""),"ঝন্টু")</f>
        <v>ঝন্টু</v>
      </c>
      <c r="D101" s="4">
        <f>IFERROR(__xludf.DUMMYFUNCTION("""COMPUTED_VALUE"""),5.700555544896E12)</f>
        <v>5700555544896</v>
      </c>
      <c r="E101" s="4" t="str">
        <f>IFERROR(__xludf.DUMMYFUNCTION("""COMPUTED_VALUE"""),"ইকারুদ্দীন")</f>
        <v>ইকারুদ্দীন</v>
      </c>
      <c r="F101" s="4" t="str">
        <f>IFERROR(__xludf.DUMMYFUNCTION("""COMPUTED_VALUE"""),"মৃত জাহানারা খাতুন")</f>
        <v>মৃত জাহানারা খাতুন</v>
      </c>
      <c r="G101" s="4" t="str">
        <f>IFERROR(__xludf.DUMMYFUNCTION("""COMPUTED_VALUE"""),"২৫/০২/১৯৭৫")</f>
        <v>২৫/০২/১৯৭৫</v>
      </c>
      <c r="H101" s="4" t="str">
        <f>IFERROR(__xludf.DUMMYFUNCTION("""COMPUTED_VALUE"""),"ব্যবসা")</f>
        <v>ব্যবসা</v>
      </c>
      <c r="I101" s="4" t="str">
        <f>IFERROR(__xludf.DUMMYFUNCTION("""COMPUTED_VALUE"""),"""আড়পাড়া")</f>
        <v>"আড়পাড়া</v>
      </c>
      <c r="J101" s="4" t="str">
        <f>IFERROR(__xludf.DUMMYFUNCTION("""COMPUTED_VALUE""")," গাংনী")</f>
        <v> গাংনী</v>
      </c>
      <c r="K101" s="4" t="str">
        <f>IFERROR(__xludf.DUMMYFUNCTION("""COMPUTED_VALUE""")," মেহেরপুর""")</f>
        <v> মেহেরপুর"</v>
      </c>
    </row>
    <row r="102" ht="15.75" customHeight="1">
      <c r="A102" s="5" t="s">
        <v>3457</v>
      </c>
      <c r="B102" s="4">
        <f>IFERROR(__xludf.DUMMYFUNCTION("SPLIT(A102,"","")"),1049.0)</f>
        <v>1049</v>
      </c>
      <c r="C102" s="4" t="str">
        <f>IFERROR(__xludf.DUMMYFUNCTION("""COMPUTED_VALUE"""),"আঃ আলিম")</f>
        <v>আঃ আলিম</v>
      </c>
      <c r="D102" s="4">
        <f>IFERROR(__xludf.DUMMYFUNCTION("""COMPUTED_VALUE"""),5.700555544897E12)</f>
        <v>5700555544897</v>
      </c>
      <c r="E102" s="4" t="str">
        <f>IFERROR(__xludf.DUMMYFUNCTION("""COMPUTED_VALUE"""),"মোঃ শহিদুল ইসলাম")</f>
        <v>মোঃ শহিদুল ইসলাম</v>
      </c>
      <c r="F102" s="4" t="str">
        <f>IFERROR(__xludf.DUMMYFUNCTION("""COMPUTED_VALUE"""),"মোছাঃ ফেরদৌসি বেগম")</f>
        <v>মোছাঃ ফেরদৌসি বেগম</v>
      </c>
      <c r="G102" s="4" t="str">
        <f>IFERROR(__xludf.DUMMYFUNCTION("""COMPUTED_VALUE"""),"১২/০৭/১৯৯৩")</f>
        <v>১২/০৭/১৯৯৩</v>
      </c>
      <c r="H102" s="4" t="str">
        <f>IFERROR(__xludf.DUMMYFUNCTION("""COMPUTED_VALUE"""),"কৃষক")</f>
        <v>কৃষক</v>
      </c>
      <c r="I102" s="4" t="str">
        <f>IFERROR(__xludf.DUMMYFUNCTION("""COMPUTED_VALUE"""),"""৪৭৯")</f>
        <v>"৪৭৯</v>
      </c>
      <c r="J102" s="4" t="str">
        <f>IFERROR(__xludf.DUMMYFUNCTION("""COMPUTED_VALUE""")," আড়পাড়া")</f>
        <v> আড়পাড়া</v>
      </c>
      <c r="K102" s="4" t="str">
        <f>IFERROR(__xludf.DUMMYFUNCTION("""COMPUTED_VALUE""")," গাংনী")</f>
        <v> গাংনী</v>
      </c>
      <c r="L102" s="4" t="str">
        <f>IFERROR(__xludf.DUMMYFUNCTION("""COMPUTED_VALUE""")," মেহেরপুর""")</f>
        <v> মেহেরপুর"</v>
      </c>
    </row>
    <row r="103" ht="15.75" customHeight="1">
      <c r="A103" s="5" t="s">
        <v>3458</v>
      </c>
      <c r="B103" s="4">
        <f>IFERROR(__xludf.DUMMYFUNCTION("SPLIT(A103,"","")"),1050.0)</f>
        <v>1050</v>
      </c>
      <c r="C103" s="4" t="str">
        <f>IFERROR(__xludf.DUMMYFUNCTION("""COMPUTED_VALUE"""),"মোহাম্মদ মানিক মিয়া")</f>
        <v>মোহাম্মদ মানিক মিয়া</v>
      </c>
      <c r="D103" s="4">
        <f>IFERROR(__xludf.DUMMYFUNCTION("""COMPUTED_VALUE"""),5.7005555449E11)</f>
        <v>570055554490</v>
      </c>
      <c r="E103" s="4" t="str">
        <f>IFERROR(__xludf.DUMMYFUNCTION("""COMPUTED_VALUE"""),"মোঃ আমজাদ")</f>
        <v>মোঃ আমজাদ</v>
      </c>
      <c r="F103" s="4" t="str">
        <f>IFERROR(__xludf.DUMMYFUNCTION("""COMPUTED_VALUE"""),"মোছাঃ ছাকিরন")</f>
        <v>মোছাঃ ছাকিরন</v>
      </c>
      <c r="G103" s="4" t="str">
        <f>IFERROR(__xludf.DUMMYFUNCTION("""COMPUTED_VALUE"""),"১২/০৮/১৯৮৬")</f>
        <v>১২/০৮/১৯৮৬</v>
      </c>
      <c r="H103" s="4" t="str">
        <f>IFERROR(__xludf.DUMMYFUNCTION("""COMPUTED_VALUE"""),"কৃষক")</f>
        <v>কৃষক</v>
      </c>
      <c r="I103" s="4" t="str">
        <f>IFERROR(__xludf.DUMMYFUNCTION("""COMPUTED_VALUE"""),"""আড়পাড়া")</f>
        <v>"আড়পাড়া</v>
      </c>
      <c r="J103" s="4" t="str">
        <f>IFERROR(__xludf.DUMMYFUNCTION("""COMPUTED_VALUE""")," গাংনী")</f>
        <v> গাংনী</v>
      </c>
      <c r="K103" s="4" t="str">
        <f>IFERROR(__xludf.DUMMYFUNCTION("""COMPUTED_VALUE""")," মেহেরপুর""")</f>
        <v> মেহেরপুর"</v>
      </c>
    </row>
    <row r="104" ht="15.75" customHeight="1">
      <c r="A104" s="5" t="s">
        <v>3459</v>
      </c>
      <c r="B104" s="4">
        <f>IFERROR(__xludf.DUMMYFUNCTION("SPLIT(A104,"","")"),1051.0)</f>
        <v>1051</v>
      </c>
      <c r="C104" s="4" t="str">
        <f>IFERROR(__xludf.DUMMYFUNCTION("""COMPUTED_VALUE"""),"মোঃ আবুল বাসার")</f>
        <v>মোঃ আবুল বাসার</v>
      </c>
      <c r="D104" s="4">
        <f>IFERROR(__xludf.DUMMYFUNCTION("""COMPUTED_VALUE"""),5.700555544902E12)</f>
        <v>5700555544902</v>
      </c>
      <c r="E104" s="4" t="str">
        <f>IFERROR(__xludf.DUMMYFUNCTION("""COMPUTED_VALUE"""),"মৃত কালাচাঁদ মন্ডল")</f>
        <v>মৃত কালাচাঁদ মন্ডল</v>
      </c>
      <c r="F104" s="4" t="str">
        <f>IFERROR(__xludf.DUMMYFUNCTION("""COMPUTED_VALUE"""),"ফাজেরা বেগম")</f>
        <v>ফাজেরা বেগম</v>
      </c>
      <c r="G104" s="4" t="str">
        <f>IFERROR(__xludf.DUMMYFUNCTION("""COMPUTED_VALUE"""),"১০/০৪/১৯৮০")</f>
        <v>১০/০৪/১৯৮০</v>
      </c>
      <c r="H104" s="4" t="str">
        <f>IFERROR(__xludf.DUMMYFUNCTION("""COMPUTED_VALUE"""),"প্রবাসী")</f>
        <v>প্রবাসী</v>
      </c>
      <c r="I104" s="4" t="str">
        <f>IFERROR(__xludf.DUMMYFUNCTION("""COMPUTED_VALUE"""),"""আড়পাড়া")</f>
        <v>"আড়পাড়া</v>
      </c>
      <c r="J104" s="4" t="str">
        <f>IFERROR(__xludf.DUMMYFUNCTION("""COMPUTED_VALUE""")," গাংনী")</f>
        <v> গাংনী</v>
      </c>
      <c r="K104" s="4" t="str">
        <f>IFERROR(__xludf.DUMMYFUNCTION("""COMPUTED_VALUE""")," মেহেরপুর""")</f>
        <v> মেহেরপুর"</v>
      </c>
    </row>
    <row r="105" ht="15.75" customHeight="1">
      <c r="A105" s="5" t="s">
        <v>3460</v>
      </c>
      <c r="B105" s="4">
        <f>IFERROR(__xludf.DUMMYFUNCTION("SPLIT(A105,"","")"),1052.0)</f>
        <v>1052</v>
      </c>
      <c r="C105" s="4" t="str">
        <f>IFERROR(__xludf.DUMMYFUNCTION("""COMPUTED_VALUE"""),"মোঃ বাদশা আলী")</f>
        <v>মোঃ বাদশা আলী</v>
      </c>
      <c r="D105" s="4">
        <f>IFERROR(__xludf.DUMMYFUNCTION("""COMPUTED_VALUE"""),5.700555544903E12)</f>
        <v>5700555544903</v>
      </c>
      <c r="E105" s="4" t="str">
        <f>IFERROR(__xludf.DUMMYFUNCTION("""COMPUTED_VALUE"""),"মৃত রবিউল হক")</f>
        <v>মৃত রবিউল হক</v>
      </c>
      <c r="F105" s="4" t="str">
        <f>IFERROR(__xludf.DUMMYFUNCTION("""COMPUTED_VALUE"""),"জানুয়ারা")</f>
        <v>জানুয়ারা</v>
      </c>
      <c r="G105" s="4" t="str">
        <f>IFERROR(__xludf.DUMMYFUNCTION("""COMPUTED_VALUE"""),"০৫/০৮/১৯৯৩")</f>
        <v>০৫/০৮/১৯৯৩</v>
      </c>
      <c r="H105" s="4" t="str">
        <f>IFERROR(__xludf.DUMMYFUNCTION("""COMPUTED_VALUE"""),"শ্রমিক")</f>
        <v>শ্রমিক</v>
      </c>
      <c r="I105" s="4" t="str">
        <f>IFERROR(__xludf.DUMMYFUNCTION("""COMPUTED_VALUE"""),"""আড়পাড়া")</f>
        <v>"আড়পাড়া</v>
      </c>
      <c r="J105" s="4" t="str">
        <f>IFERROR(__xludf.DUMMYFUNCTION("""COMPUTED_VALUE""")," আড়পাড়া")</f>
        <v> আড়পাড়া</v>
      </c>
      <c r="K105" s="4" t="str">
        <f>IFERROR(__xludf.DUMMYFUNCTION("""COMPUTED_VALUE""")," গাংনী")</f>
        <v> গাংনী</v>
      </c>
      <c r="L105" s="4" t="str">
        <f>IFERROR(__xludf.DUMMYFUNCTION("""COMPUTED_VALUE""")," মেহেরপুর""")</f>
        <v> মেহেরপুর"</v>
      </c>
    </row>
    <row r="106" ht="15.75" customHeight="1">
      <c r="A106" s="5" t="s">
        <v>3461</v>
      </c>
      <c r="B106" s="4">
        <f>IFERROR(__xludf.DUMMYFUNCTION("SPLIT(A106,"","")"),1053.0)</f>
        <v>1053</v>
      </c>
      <c r="C106" s="4" t="str">
        <f>IFERROR(__xludf.DUMMYFUNCTION("""COMPUTED_VALUE"""),"পিন্টু")</f>
        <v>পিন্টু</v>
      </c>
      <c r="D106" s="4">
        <f>IFERROR(__xludf.DUMMYFUNCTION("""COMPUTED_VALUE"""),5.700555544909E12)</f>
        <v>5700555544909</v>
      </c>
      <c r="E106" s="4" t="str">
        <f>IFERROR(__xludf.DUMMYFUNCTION("""COMPUTED_VALUE"""),"ফারজাক")</f>
        <v>ফারজাক</v>
      </c>
      <c r="F106" s="4" t="str">
        <f>IFERROR(__xludf.DUMMYFUNCTION("""COMPUTED_VALUE"""),"বেদানা")</f>
        <v>বেদানা</v>
      </c>
      <c r="G106" s="4" t="str">
        <f>IFERROR(__xludf.DUMMYFUNCTION("""COMPUTED_VALUE"""),"০৯/০৭/১৯৮৯")</f>
        <v>০৯/০৭/১৯৮৯</v>
      </c>
      <c r="H106" s="4" t="str">
        <f>IFERROR(__xludf.DUMMYFUNCTION("""COMPUTED_VALUE"""),"কৃষক")</f>
        <v>কৃষক</v>
      </c>
      <c r="I106" s="4" t="str">
        <f>IFERROR(__xludf.DUMMYFUNCTION("""COMPUTED_VALUE"""),"""আড়পাড়া")</f>
        <v>"আড়পাড়া</v>
      </c>
      <c r="J106" s="4" t="str">
        <f>IFERROR(__xludf.DUMMYFUNCTION("""COMPUTED_VALUE""")," গাংনী")</f>
        <v> গাংনী</v>
      </c>
      <c r="K106" s="4" t="str">
        <f>IFERROR(__xludf.DUMMYFUNCTION("""COMPUTED_VALUE""")," মেহেরপুর""")</f>
        <v> মেহেরপুর"</v>
      </c>
    </row>
    <row r="107" ht="15.75" customHeight="1">
      <c r="A107" s="5" t="s">
        <v>3462</v>
      </c>
      <c r="B107" s="4">
        <f>IFERROR(__xludf.DUMMYFUNCTION("SPLIT(A107,"","")"),1054.0)</f>
        <v>1054</v>
      </c>
      <c r="C107" s="4" t="str">
        <f>IFERROR(__xludf.DUMMYFUNCTION("""COMPUTED_VALUE"""),"মোহাম্মদ মিন্টু")</f>
        <v>মোহাম্মদ মিন্টু</v>
      </c>
      <c r="D107" s="4">
        <f>IFERROR(__xludf.DUMMYFUNCTION("""COMPUTED_VALUE"""),5.70055554491E12)</f>
        <v>5700555544910</v>
      </c>
      <c r="E107" s="4" t="str">
        <f>IFERROR(__xludf.DUMMYFUNCTION("""COMPUTED_VALUE"""),"মোহামাদ আবুল হোসেন")</f>
        <v>মোহামাদ আবুল হোসেন</v>
      </c>
      <c r="F107" s="4" t="str">
        <f>IFERROR(__xludf.DUMMYFUNCTION("""COMPUTED_VALUE"""),"মোছাঃ সফুরা খাতুন")</f>
        <v>মোছাঃ সফুরা খাতুন</v>
      </c>
      <c r="G107" s="4" t="str">
        <f>IFERROR(__xludf.DUMMYFUNCTION("""COMPUTED_VALUE"""),"১৫/০৪/১৯৯১")</f>
        <v>১৫/০৪/১৯৯১</v>
      </c>
      <c r="H107" s="4" t="str">
        <f>IFERROR(__xludf.DUMMYFUNCTION("""COMPUTED_VALUE"""),"প্রবাসী")</f>
        <v>প্রবাসী</v>
      </c>
      <c r="I107" s="4" t="str">
        <f>IFERROR(__xludf.DUMMYFUNCTION("""COMPUTED_VALUE"""),"""আড়পাড়া")</f>
        <v>"আড়পাড়া</v>
      </c>
      <c r="J107" s="4" t="str">
        <f>IFERROR(__xludf.DUMMYFUNCTION("""COMPUTED_VALUE""")," গাংনী")</f>
        <v> গাংনী</v>
      </c>
      <c r="K107" s="4" t="str">
        <f>IFERROR(__xludf.DUMMYFUNCTION("""COMPUTED_VALUE""")," মেহেরপুর""")</f>
        <v> মেহেরপুর"</v>
      </c>
    </row>
    <row r="108" ht="15.75" customHeight="1">
      <c r="A108" s="5" t="s">
        <v>3463</v>
      </c>
      <c r="B108" s="4">
        <f>IFERROR(__xludf.DUMMYFUNCTION("SPLIT(A108,"","")"),1055.0)</f>
        <v>1055</v>
      </c>
      <c r="C108" s="4" t="str">
        <f>IFERROR(__xludf.DUMMYFUNCTION("""COMPUTED_VALUE"""),"মোঃ সিপন")</f>
        <v>মোঃ সিপন</v>
      </c>
      <c r="D108" s="4">
        <f>IFERROR(__xludf.DUMMYFUNCTION("""COMPUTED_VALUE"""),5.700555544911E12)</f>
        <v>5700555544911</v>
      </c>
      <c r="E108" s="4" t="str">
        <f>IFERROR(__xludf.DUMMYFUNCTION("""COMPUTED_VALUE"""),"মোঃ আব্দুল্লাহ")</f>
        <v>মোঃ আব্দুল্লাহ</v>
      </c>
      <c r="F108" s="4" t="str">
        <f>IFERROR(__xludf.DUMMYFUNCTION("""COMPUTED_VALUE"""),"মোছাঃ পারুলা")</f>
        <v>মোছাঃ পারুলা</v>
      </c>
      <c r="G108" s="4" t="str">
        <f>IFERROR(__xludf.DUMMYFUNCTION("""COMPUTED_VALUE"""),"১০/১০/১৯৯৮")</f>
        <v>১০/১০/১৯৯৮</v>
      </c>
      <c r="H108" s="4" t="str">
        <f>IFERROR(__xludf.DUMMYFUNCTION("""COMPUTED_VALUE"""),"শ্রমিক")</f>
        <v>শ্রমিক</v>
      </c>
      <c r="I108" s="4" t="str">
        <f>IFERROR(__xludf.DUMMYFUNCTION("""COMPUTED_VALUE"""),"""১১০")</f>
        <v>"১১০</v>
      </c>
      <c r="J108" s="4" t="str">
        <f>IFERROR(__xludf.DUMMYFUNCTION("""COMPUTED_VALUE""")," আড়পাড়া")</f>
        <v> আড়পাড়া</v>
      </c>
      <c r="K108" s="4" t="str">
        <f>IFERROR(__xludf.DUMMYFUNCTION("""COMPUTED_VALUE""")," গাংনী")</f>
        <v> গাংনী</v>
      </c>
      <c r="L108" s="4" t="str">
        <f>IFERROR(__xludf.DUMMYFUNCTION("""COMPUTED_VALUE""")," মেহেরপুর""")</f>
        <v> মেহেরপুর"</v>
      </c>
    </row>
    <row r="109" ht="15.75" customHeight="1">
      <c r="A109" s="5" t="s">
        <v>3464</v>
      </c>
      <c r="B109" s="4">
        <f>IFERROR(__xludf.DUMMYFUNCTION("SPLIT(A109,"","")"),1056.0)</f>
        <v>1056</v>
      </c>
      <c r="C109" s="4" t="str">
        <f>IFERROR(__xludf.DUMMYFUNCTION("""COMPUTED_VALUE"""),"মোঃ রাকিবুল ইসলাম")</f>
        <v>মোঃ রাকিবুল ইসলাম</v>
      </c>
      <c r="D109" s="4">
        <f>IFERROR(__xludf.DUMMYFUNCTION("""COMPUTED_VALUE"""),5.700555544912E12)</f>
        <v>5700555544912</v>
      </c>
      <c r="E109" s="4" t="str">
        <f>IFERROR(__xludf.DUMMYFUNCTION("""COMPUTED_VALUE"""),"মোঃ তমছের আলী")</f>
        <v>মোঃ তমছের আলী</v>
      </c>
      <c r="F109" s="4" t="str">
        <f>IFERROR(__xludf.DUMMYFUNCTION("""COMPUTED_VALUE"""),"মোছাঃ রেখা খাতুন")</f>
        <v>মোছাঃ রেখা খাতুন</v>
      </c>
      <c r="G109" s="4" t="str">
        <f>IFERROR(__xludf.DUMMYFUNCTION("""COMPUTED_VALUE"""),"১১/১১/২০০১")</f>
        <v>১১/১১/২০০১</v>
      </c>
      <c r="H109" s="4" t="str">
        <f>IFERROR(__xludf.DUMMYFUNCTION("""COMPUTED_VALUE"""),"সরকারী চাকুরী")</f>
        <v>সরকারী চাকুরী</v>
      </c>
      <c r="I109" s="4" t="str">
        <f>IFERROR(__xludf.DUMMYFUNCTION("""COMPUTED_VALUE"""),"""আড়পাড়া")</f>
        <v>"আড়পাড়া</v>
      </c>
      <c r="J109" s="4" t="str">
        <f>IFERROR(__xludf.DUMMYFUNCTION("""COMPUTED_VALUE""")," গাংনী")</f>
        <v> গাংনী</v>
      </c>
      <c r="K109" s="4" t="str">
        <f>IFERROR(__xludf.DUMMYFUNCTION("""COMPUTED_VALUE""")," মেহেরপুর""")</f>
        <v> মেহেরপুর"</v>
      </c>
    </row>
    <row r="110" ht="15.75" customHeight="1">
      <c r="A110" s="5" t="s">
        <v>3465</v>
      </c>
      <c r="B110" s="4">
        <f>IFERROR(__xludf.DUMMYFUNCTION("SPLIT(A110,"","")"),1057.0)</f>
        <v>1057</v>
      </c>
      <c r="C110" s="4" t="str">
        <f>IFERROR(__xludf.DUMMYFUNCTION("""COMPUTED_VALUE"""),"মোঃ ফারুক হোসেন")</f>
        <v>মোঃ ফারুক হোসেন</v>
      </c>
      <c r="D110" s="4">
        <f>IFERROR(__xludf.DUMMYFUNCTION("""COMPUTED_VALUE"""),5.7005555449E12)</f>
        <v>5700555544900</v>
      </c>
      <c r="E110" s="4" t="str">
        <f>IFERROR(__xludf.DUMMYFUNCTION("""COMPUTED_VALUE"""),"মোঃ বজলুল হক")</f>
        <v>মোঃ বজলুল হক</v>
      </c>
      <c r="F110" s="4" t="str">
        <f>IFERROR(__xludf.DUMMYFUNCTION("""COMPUTED_VALUE"""),"বিলকিছ বেগম")</f>
        <v>বিলকিছ বেগম</v>
      </c>
      <c r="G110" s="4" t="str">
        <f>IFERROR(__xludf.DUMMYFUNCTION("""COMPUTED_VALUE"""),"১৮/০৬/১৯৯৩")</f>
        <v>১৮/০৬/১৯৯৩</v>
      </c>
      <c r="H110" s="4" t="str">
        <f>IFERROR(__xludf.DUMMYFUNCTION("""COMPUTED_VALUE"""),"তাঁতি")</f>
        <v>তাঁতি</v>
      </c>
      <c r="I110" s="4" t="str">
        <f>IFERROR(__xludf.DUMMYFUNCTION("""COMPUTED_VALUE"""),"""৭১/১")</f>
        <v>"৭১/১</v>
      </c>
      <c r="J110" s="4" t="str">
        <f>IFERROR(__xludf.DUMMYFUNCTION("""COMPUTED_VALUE""")," আড়পাড়া")</f>
        <v> আড়পাড়া</v>
      </c>
      <c r="K110" s="4" t="str">
        <f>IFERROR(__xludf.DUMMYFUNCTION("""COMPUTED_VALUE""")," গাংনী")</f>
        <v> গাংনী</v>
      </c>
      <c r="L110" s="4" t="str">
        <f>IFERROR(__xludf.DUMMYFUNCTION("""COMPUTED_VALUE""")," মেহেরপুর""")</f>
        <v> মেহেরপুর"</v>
      </c>
    </row>
    <row r="111" ht="15.75" customHeight="1">
      <c r="A111" s="5" t="s">
        <v>3466</v>
      </c>
      <c r="B111" s="4">
        <f>IFERROR(__xludf.DUMMYFUNCTION("SPLIT(A111,"","")"),1058.0)</f>
        <v>1058</v>
      </c>
      <c r="C111" s="4" t="str">
        <f>IFERROR(__xludf.DUMMYFUNCTION("""COMPUTED_VALUE"""),"তুষার ইমরান")</f>
        <v>তুষার ইমরান</v>
      </c>
      <c r="D111" s="4">
        <f>IFERROR(__xludf.DUMMYFUNCTION("""COMPUTED_VALUE"""),5.70055000108E11)</f>
        <v>570055000108</v>
      </c>
      <c r="E111" s="4" t="str">
        <f>IFERROR(__xludf.DUMMYFUNCTION("""COMPUTED_VALUE"""),"মোঃ তনছের আলী")</f>
        <v>মোঃ তনছের আলী</v>
      </c>
      <c r="F111" s="4" t="str">
        <f>IFERROR(__xludf.DUMMYFUNCTION("""COMPUTED_VALUE"""),"মোছাঃ মনিরা")</f>
        <v>মোছাঃ মনিরা</v>
      </c>
      <c r="G111" s="4" t="str">
        <f>IFERROR(__xludf.DUMMYFUNCTION("""COMPUTED_VALUE"""),"০৫/১০/২০০৪")</f>
        <v>০৫/১০/২০০৪</v>
      </c>
      <c r="H111" s="4" t="str">
        <f>IFERROR(__xludf.DUMMYFUNCTION("""COMPUTED_VALUE"""),"ছাত্র/ছাত্রী")</f>
        <v>ছাত্র/ছাত্রী</v>
      </c>
      <c r="I111" s="4" t="str">
        <f>IFERROR(__xludf.DUMMYFUNCTION("""COMPUTED_VALUE"""),"""৬৬০")</f>
        <v>"৬৬০</v>
      </c>
      <c r="J111" s="4" t="str">
        <f>IFERROR(__xludf.DUMMYFUNCTION("""COMPUTED_VALUE""")," আড়পাড়া")</f>
        <v> আড়পাড়া</v>
      </c>
      <c r="K111" s="4" t="str">
        <f>IFERROR(__xludf.DUMMYFUNCTION("""COMPUTED_VALUE""")," গাংনী")</f>
        <v> গাংনী</v>
      </c>
      <c r="L111" s="4" t="str">
        <f>IFERROR(__xludf.DUMMYFUNCTION("""COMPUTED_VALUE""")," মেহেরপুর""")</f>
        <v> মেহেরপুর"</v>
      </c>
    </row>
    <row r="112" ht="15.75" customHeight="1">
      <c r="A112" s="5" t="s">
        <v>3467</v>
      </c>
      <c r="B112" s="4">
        <f>IFERROR(__xludf.DUMMYFUNCTION("SPLIT(A112,"","")"),1059.0)</f>
        <v>1059</v>
      </c>
      <c r="C112" s="4" t="str">
        <f>IFERROR(__xludf.DUMMYFUNCTION("""COMPUTED_VALUE"""),"মোঃ আনোয়ার হোসেন")</f>
        <v>মোঃ আনোয়ার হোসেন</v>
      </c>
      <c r="D112" s="4">
        <f>IFERROR(__xludf.DUMMYFUNCTION("""COMPUTED_VALUE"""),5.70055000198E11)</f>
        <v>570055000198</v>
      </c>
      <c r="E112" s="4" t="str">
        <f>IFERROR(__xludf.DUMMYFUNCTION("""COMPUTED_VALUE"""),"মোঃ শরিফুল ইসলাম")</f>
        <v>মোঃ শরিফুল ইসলাম</v>
      </c>
      <c r="F112" s="4" t="str">
        <f>IFERROR(__xludf.DUMMYFUNCTION("""COMPUTED_VALUE"""),"মোছাঃ রেহেনা খাতুন")</f>
        <v>মোছাঃ রেহেনা খাতুন</v>
      </c>
      <c r="G112" s="4" t="str">
        <f>IFERROR(__xludf.DUMMYFUNCTION("""COMPUTED_VALUE"""),"১২/১০/২০০৪")</f>
        <v>১২/১০/২০০৪</v>
      </c>
      <c r="H112" s="4" t="str">
        <f>IFERROR(__xludf.DUMMYFUNCTION("""COMPUTED_VALUE"""),"ছাত্র/ছাত্রী")</f>
        <v>ছাত্র/ছাত্রী</v>
      </c>
      <c r="I112" s="4" t="str">
        <f>IFERROR(__xludf.DUMMYFUNCTION("""COMPUTED_VALUE"""),"""আড়পাড়া")</f>
        <v>"আড়পাড়া</v>
      </c>
      <c r="J112" s="4" t="str">
        <f>IFERROR(__xludf.DUMMYFUNCTION("""COMPUTED_VALUE""")," গাংনী")</f>
        <v> গাংনী</v>
      </c>
      <c r="K112" s="4" t="str">
        <f>IFERROR(__xludf.DUMMYFUNCTION("""COMPUTED_VALUE""")," মেহেরপুর""")</f>
        <v> মেহেরপুর"</v>
      </c>
    </row>
    <row r="113" ht="15.75" customHeight="1">
      <c r="A113" s="5" t="s">
        <v>3468</v>
      </c>
      <c r="B113" s="4">
        <f>IFERROR(__xludf.DUMMYFUNCTION("SPLIT(A113,"","")"),1060.0)</f>
        <v>1060</v>
      </c>
      <c r="C113" s="4" t="str">
        <f>IFERROR(__xludf.DUMMYFUNCTION("""COMPUTED_VALUE"""),"মোঃ মামুন অর রশিদ")</f>
        <v>মোঃ মামুন অর রশিদ</v>
      </c>
      <c r="D113" s="4">
        <f>IFERROR(__xludf.DUMMYFUNCTION("""COMPUTED_VALUE"""),5.70055000212E11)</f>
        <v>570055000212</v>
      </c>
      <c r="E113" s="4" t="str">
        <f>IFERROR(__xludf.DUMMYFUNCTION("""COMPUTED_VALUE"""),"মোঃ বাবু")</f>
        <v>মোঃ বাবু</v>
      </c>
      <c r="F113" s="4" t="str">
        <f>IFERROR(__xludf.DUMMYFUNCTION("""COMPUTED_VALUE"""),"মোছাঃ রেখা খাতুন")</f>
        <v>মোছাঃ রেখা খাতুন</v>
      </c>
      <c r="G113" s="4" t="str">
        <f>IFERROR(__xludf.DUMMYFUNCTION("""COMPUTED_VALUE"""),"১০/০৬/২০০৪")</f>
        <v>১০/০৬/২০০৪</v>
      </c>
      <c r="H113" s="4" t="str">
        <f>IFERROR(__xludf.DUMMYFUNCTION("""COMPUTED_VALUE"""),"কৃষক")</f>
        <v>কৃষক</v>
      </c>
      <c r="I113" s="4" t="str">
        <f>IFERROR(__xludf.DUMMYFUNCTION("""COMPUTED_VALUE"""),"""২৪২")</f>
        <v>"২৪২</v>
      </c>
      <c r="J113" s="4" t="str">
        <f>IFERROR(__xludf.DUMMYFUNCTION("""COMPUTED_VALUE""")," আড়পাড়া")</f>
        <v> আড়পাড়া</v>
      </c>
      <c r="K113" s="4" t="str">
        <f>IFERROR(__xludf.DUMMYFUNCTION("""COMPUTED_VALUE""")," গাংনী")</f>
        <v> গাংনী</v>
      </c>
      <c r="L113" s="4" t="str">
        <f>IFERROR(__xludf.DUMMYFUNCTION("""COMPUTED_VALUE""")," মেহেরপুর""")</f>
        <v> মেহেরপুর"</v>
      </c>
    </row>
    <row r="114" ht="15.75" customHeight="1">
      <c r="A114" s="5" t="s">
        <v>3469</v>
      </c>
      <c r="B114" s="4">
        <f>IFERROR(__xludf.DUMMYFUNCTION("SPLIT(A114,"","")"),1061.0)</f>
        <v>1061</v>
      </c>
      <c r="C114" s="4" t="str">
        <f>IFERROR(__xludf.DUMMYFUNCTION("""COMPUTED_VALUE"""),"মোঃ আরিফ আহমেদ")</f>
        <v>মোঃ আরিফ আহমেদ</v>
      </c>
      <c r="D114" s="4">
        <f>IFERROR(__xludf.DUMMYFUNCTION("""COMPUTED_VALUE"""),5.70055000222E11)</f>
        <v>570055000222</v>
      </c>
      <c r="E114" s="4" t="str">
        <f>IFERROR(__xludf.DUMMYFUNCTION("""COMPUTED_VALUE"""),"মোঃ মজনু আলী")</f>
        <v>মোঃ মজনু আলী</v>
      </c>
      <c r="F114" s="4" t="str">
        <f>IFERROR(__xludf.DUMMYFUNCTION("""COMPUTED_VALUE"""),"মোছাঃ ফেন্সি খাতুন")</f>
        <v>মোছাঃ ফেন্সি খাতুন</v>
      </c>
      <c r="G114" s="4" t="str">
        <f>IFERROR(__xludf.DUMMYFUNCTION("""COMPUTED_VALUE"""),"০১/০১/২০০৭")</f>
        <v>০১/০১/২০০৭</v>
      </c>
      <c r="H114" s="4" t="str">
        <f>IFERROR(__xludf.DUMMYFUNCTION("""COMPUTED_VALUE"""),"ছাত্র/ছাত্রী")</f>
        <v>ছাত্র/ছাত্রী</v>
      </c>
      <c r="I114" s="4" t="str">
        <f>IFERROR(__xludf.DUMMYFUNCTION("""COMPUTED_VALUE"""),"""আড়পাড়া")</f>
        <v>"আড়পাড়া</v>
      </c>
      <c r="J114" s="4" t="str">
        <f>IFERROR(__xludf.DUMMYFUNCTION("""COMPUTED_VALUE""")," গাংনী")</f>
        <v> গাংনী</v>
      </c>
      <c r="K114" s="4" t="str">
        <f>IFERROR(__xludf.DUMMYFUNCTION("""COMPUTED_VALUE""")," মেহেরপুর""")</f>
        <v> মেহেরপুর"</v>
      </c>
    </row>
    <row r="115" ht="15.75" customHeight="1">
      <c r="A115" s="5" t="s">
        <v>3470</v>
      </c>
      <c r="B115" s="4">
        <f>IFERROR(__xludf.DUMMYFUNCTION("SPLIT(A115,"","")"),1062.0)</f>
        <v>1062</v>
      </c>
      <c r="C115" s="4" t="str">
        <f>IFERROR(__xludf.DUMMYFUNCTION("""COMPUTED_VALUE"""),"মোঃ তৌফিক এলাহী")</f>
        <v>মোঃ তৌফিক এলাহী</v>
      </c>
      <c r="D115" s="4">
        <f>IFERROR(__xludf.DUMMYFUNCTION("""COMPUTED_VALUE"""),5.70055000362E11)</f>
        <v>570055000362</v>
      </c>
      <c r="E115" s="4" t="str">
        <f>IFERROR(__xludf.DUMMYFUNCTION("""COMPUTED_VALUE"""),"মোঃ আশরাফুল হক")</f>
        <v>মোঃ আশরাফুল হক</v>
      </c>
      <c r="F115" s="4" t="str">
        <f>IFERROR(__xludf.DUMMYFUNCTION("""COMPUTED_VALUE"""),"মোছাঃ বিউটি খাতুন")</f>
        <v>মোছাঃ বিউটি খাতুন</v>
      </c>
      <c r="G115" s="4" t="str">
        <f>IFERROR(__xludf.DUMMYFUNCTION("""COMPUTED_VALUE"""),"০৫/০১/২০০৬")</f>
        <v>০৫/০১/২০০৬</v>
      </c>
      <c r="H115" s="4" t="str">
        <f>IFERROR(__xludf.DUMMYFUNCTION("""COMPUTED_VALUE"""),"কৃষক")</f>
        <v>কৃষক</v>
      </c>
      <c r="I115" s="4" t="str">
        <f>IFERROR(__xludf.DUMMYFUNCTION("""COMPUTED_VALUE"""),"""৭২")</f>
        <v>"৭২</v>
      </c>
      <c r="J115" s="4" t="str">
        <f>IFERROR(__xludf.DUMMYFUNCTION("""COMPUTED_VALUE""")," আড়পাড়া")</f>
        <v> আড়পাড়া</v>
      </c>
      <c r="K115" s="4" t="str">
        <f>IFERROR(__xludf.DUMMYFUNCTION("""COMPUTED_VALUE""")," গাংনী")</f>
        <v> গাংনী</v>
      </c>
      <c r="L115" s="4" t="str">
        <f>IFERROR(__xludf.DUMMYFUNCTION("""COMPUTED_VALUE""")," মেহেরপুর""")</f>
        <v> মেহেরপুর"</v>
      </c>
    </row>
    <row r="116" ht="15.75" customHeight="1">
      <c r="A116" s="5" t="s">
        <v>3471</v>
      </c>
      <c r="B116" s="4">
        <f>IFERROR(__xludf.DUMMYFUNCTION("SPLIT(A116,"","")"),1063.0)</f>
        <v>1063</v>
      </c>
      <c r="C116" s="4" t="str">
        <f>IFERROR(__xludf.DUMMYFUNCTION("""COMPUTED_VALUE"""),"মোঃ রাসেল খান")</f>
        <v>মোঃ রাসেল খান</v>
      </c>
      <c r="D116" s="4">
        <f>IFERROR(__xludf.DUMMYFUNCTION("""COMPUTED_VALUE"""),5.70055000528E11)</f>
        <v>570055000528</v>
      </c>
      <c r="E116" s="4" t="str">
        <f>IFERROR(__xludf.DUMMYFUNCTION("""COMPUTED_VALUE"""),"মোঃ হামিদুল ইসলাম")</f>
        <v>মোঃ হামিদুল ইসলাম</v>
      </c>
      <c r="F116" s="4" t="str">
        <f>IFERROR(__xludf.DUMMYFUNCTION("""COMPUTED_VALUE"""),"মোছাঃ হাওয়া খাতুন")</f>
        <v>মোছাঃ হাওয়া খাতুন</v>
      </c>
      <c r="G116" s="4" t="str">
        <f>IFERROR(__xludf.DUMMYFUNCTION("""COMPUTED_VALUE"""),"২০/১০/২০০৫")</f>
        <v>২০/১০/২০০৫</v>
      </c>
      <c r="H116" s="4" t="str">
        <f>IFERROR(__xludf.DUMMYFUNCTION("""COMPUTED_VALUE"""),"ছাত্র/ছাত্রী")</f>
        <v>ছাত্র/ছাত্রী</v>
      </c>
      <c r="I116" s="4" t="str">
        <f>IFERROR(__xludf.DUMMYFUNCTION("""COMPUTED_VALUE"""),"""১৪৭")</f>
        <v>"১৪৭</v>
      </c>
      <c r="J116" s="4" t="str">
        <f>IFERROR(__xludf.DUMMYFUNCTION("""COMPUTED_VALUE""")," আড়পাড়া")</f>
        <v> আড়পাড়া</v>
      </c>
      <c r="K116" s="4" t="str">
        <f>IFERROR(__xludf.DUMMYFUNCTION("""COMPUTED_VALUE""")," গাংনী")</f>
        <v> গাংনী</v>
      </c>
      <c r="L116" s="4" t="str">
        <f>IFERROR(__xludf.DUMMYFUNCTION("""COMPUTED_VALUE""")," মেহেরপুর""")</f>
        <v> মেহেরপুর"</v>
      </c>
    </row>
    <row r="117" ht="15.75" customHeight="1">
      <c r="A117" s="5" t="s">
        <v>3472</v>
      </c>
      <c r="B117" s="4">
        <f>IFERROR(__xludf.DUMMYFUNCTION("SPLIT(A117,"","")"),1064.0)</f>
        <v>1064</v>
      </c>
      <c r="C117" s="4" t="str">
        <f>IFERROR(__xludf.DUMMYFUNCTION("""COMPUTED_VALUE"""),"মোঃ আবুল কালাম আজাদ")</f>
        <v>মোঃ আবুল কালাম আজাদ</v>
      </c>
      <c r="D117" s="4">
        <f>IFERROR(__xludf.DUMMYFUNCTION("""COMPUTED_VALUE"""),5.70055000549E11)</f>
        <v>570055000549</v>
      </c>
      <c r="E117" s="4" t="str">
        <f>IFERROR(__xludf.DUMMYFUNCTION("""COMPUTED_VALUE"""),"মোঃ আব্দুল্লাহ আল মেহেদী")</f>
        <v>মোঃ আব্দুল্লাহ আল মেহেদী</v>
      </c>
      <c r="F117" s="4" t="str">
        <f>IFERROR(__xludf.DUMMYFUNCTION("""COMPUTED_VALUE"""),"মোছাঃ সোহেলী আক্তার")</f>
        <v>মোছাঃ সোহেলী আক্তার</v>
      </c>
      <c r="G117" s="4" t="str">
        <f>IFERROR(__xludf.DUMMYFUNCTION("""COMPUTED_VALUE"""),"১৭/০৯/২০০৪")</f>
        <v>১৭/০৯/২০০৪</v>
      </c>
      <c r="H117" s="4" t="str">
        <f>IFERROR(__xludf.DUMMYFUNCTION("""COMPUTED_VALUE"""),"ছাত্র/ছাত্রী")</f>
        <v>ছাত্র/ছাত্রী</v>
      </c>
      <c r="I117" s="4" t="str">
        <f>IFERROR(__xludf.DUMMYFUNCTION("""COMPUTED_VALUE"""),"""আড়পাড়া")</f>
        <v>"আড়পাড়া</v>
      </c>
      <c r="J117" s="4" t="str">
        <f>IFERROR(__xludf.DUMMYFUNCTION("""COMPUTED_VALUE""")," গাংনী")</f>
        <v> গাংনী</v>
      </c>
      <c r="K117" s="4" t="str">
        <f>IFERROR(__xludf.DUMMYFUNCTION("""COMPUTED_VALUE""")," মেহেরপুর""")</f>
        <v> মেহেরপুর"</v>
      </c>
    </row>
    <row r="118" ht="15.75" customHeight="1">
      <c r="A118" s="5" t="s">
        <v>3473</v>
      </c>
      <c r="B118" s="4">
        <f>IFERROR(__xludf.DUMMYFUNCTION("SPLIT(A118,"","")"),1065.0)</f>
        <v>1065</v>
      </c>
      <c r="C118" s="4" t="str">
        <f>IFERROR(__xludf.DUMMYFUNCTION("""COMPUTED_VALUE"""),"মোঃ আলি রাজ হাওলাদার")</f>
        <v>মোঃ আলি রাজ হাওলাদার</v>
      </c>
      <c r="D118" s="4">
        <f>IFERROR(__xludf.DUMMYFUNCTION("""COMPUTED_VALUE"""),5.70055000678E11)</f>
        <v>570055000678</v>
      </c>
      <c r="E118" s="4" t="str">
        <f>IFERROR(__xludf.DUMMYFUNCTION("""COMPUTED_VALUE"""),"মোঃ আহাদুল ইসলাম")</f>
        <v>মোঃ আহাদুল ইসলাম</v>
      </c>
      <c r="F118" s="4" t="str">
        <f>IFERROR(__xludf.DUMMYFUNCTION("""COMPUTED_VALUE"""),"মোছাঃ নাছিরন খাতুন")</f>
        <v>মোছাঃ নাছিরন খাতুন</v>
      </c>
      <c r="G118" s="4" t="str">
        <f>IFERROR(__xludf.DUMMYFUNCTION("""COMPUTED_VALUE"""),"০২/০২/২০০৪")</f>
        <v>০২/০২/২০০৪</v>
      </c>
      <c r="H118" s="4" t="str">
        <f>IFERROR(__xludf.DUMMYFUNCTION("""COMPUTED_VALUE"""),"কৃষক")</f>
        <v>কৃষক</v>
      </c>
      <c r="I118" s="4" t="str">
        <f>IFERROR(__xludf.DUMMYFUNCTION("""COMPUTED_VALUE"""),"""১৭৬")</f>
        <v>"১৭৬</v>
      </c>
      <c r="J118" s="4" t="str">
        <f>IFERROR(__xludf.DUMMYFUNCTION("""COMPUTED_VALUE""")," আড়পাড়া")</f>
        <v> আড়পাড়া</v>
      </c>
      <c r="K118" s="4" t="str">
        <f>IFERROR(__xludf.DUMMYFUNCTION("""COMPUTED_VALUE""")," গাংনী")</f>
        <v> গাংনী</v>
      </c>
      <c r="L118" s="4" t="str">
        <f>IFERROR(__xludf.DUMMYFUNCTION("""COMPUTED_VALUE""")," মেহেরপুর""")</f>
        <v> মেহেরপুর"</v>
      </c>
    </row>
    <row r="119" ht="15.75" customHeight="1">
      <c r="A119" s="5" t="s">
        <v>3474</v>
      </c>
      <c r="B119" s="4">
        <f>IFERROR(__xludf.DUMMYFUNCTION("SPLIT(A119,"","")"),1066.0)</f>
        <v>1066</v>
      </c>
      <c r="C119" s="4" t="str">
        <f>IFERROR(__xludf.DUMMYFUNCTION("""COMPUTED_VALUE"""),"মোঃ সাকলায়েন মোস্তাক")</f>
        <v>মোঃ সাকলায়েন মোস্তাক</v>
      </c>
      <c r="D119" s="4">
        <f>IFERROR(__xludf.DUMMYFUNCTION("""COMPUTED_VALUE"""),5.70055000681E11)</f>
        <v>570055000681</v>
      </c>
      <c r="E119" s="4" t="str">
        <f>IFERROR(__xludf.DUMMYFUNCTION("""COMPUTED_VALUE"""),"মোঃ নজরুল ইসলাম")</f>
        <v>মোঃ নজরুল ইসলাম</v>
      </c>
      <c r="F119" s="4" t="str">
        <f>IFERROR(__xludf.DUMMYFUNCTION("""COMPUTED_VALUE"""),"মোছাঃ সেলিনা পারভিন")</f>
        <v>মোছাঃ সেলিনা পারভিন</v>
      </c>
      <c r="G119" s="4" t="str">
        <f>IFERROR(__xludf.DUMMYFUNCTION("""COMPUTED_VALUE"""),"০৩/০৩/২০০৪")</f>
        <v>০৩/০৩/২০০৪</v>
      </c>
      <c r="H119" s="4" t="str">
        <f>IFERROR(__xludf.DUMMYFUNCTION("""COMPUTED_VALUE"""),"ছাত্র/ছাত্রী")</f>
        <v>ছাত্র/ছাত্রী</v>
      </c>
      <c r="I119" s="4" t="str">
        <f>IFERROR(__xludf.DUMMYFUNCTION("""COMPUTED_VALUE"""),"""আড়পাড়া")</f>
        <v>"আড়পাড়া</v>
      </c>
      <c r="J119" s="4" t="str">
        <f>IFERROR(__xludf.DUMMYFUNCTION("""COMPUTED_VALUE""")," গাংনী")</f>
        <v> গাংনী</v>
      </c>
      <c r="K119" s="4" t="str">
        <f>IFERROR(__xludf.DUMMYFUNCTION("""COMPUTED_VALUE""")," মেহেরপুর""")</f>
        <v> মেহেরপুর"</v>
      </c>
    </row>
    <row r="120" ht="15.75" customHeight="1">
      <c r="A120" s="5" t="s">
        <v>3475</v>
      </c>
      <c r="B120" s="4">
        <f>IFERROR(__xludf.DUMMYFUNCTION("SPLIT(A120,"","")"),1067.0)</f>
        <v>1067</v>
      </c>
      <c r="C120" s="4" t="str">
        <f>IFERROR(__xludf.DUMMYFUNCTION("""COMPUTED_VALUE"""),"মোঃ মুস্তাকিন আলী")</f>
        <v>মোঃ মুস্তাকিন আলী</v>
      </c>
      <c r="D120" s="4">
        <f>IFERROR(__xludf.DUMMYFUNCTION("""COMPUTED_VALUE"""),5.70055000682E11)</f>
        <v>570055000682</v>
      </c>
      <c r="E120" s="4" t="str">
        <f>IFERROR(__xludf.DUMMYFUNCTION("""COMPUTED_VALUE"""),"মোঃ জামাল উদ্দীন")</f>
        <v>মোঃ জামাল উদ্দীন</v>
      </c>
      <c r="F120" s="4" t="str">
        <f>IFERROR(__xludf.DUMMYFUNCTION("""COMPUTED_VALUE"""),"মোছাঃ জুলেখা খাতুন")</f>
        <v>মোছাঃ জুলেখা খাতুন</v>
      </c>
      <c r="G120" s="4" t="str">
        <f>IFERROR(__xludf.DUMMYFUNCTION("""COMPUTED_VALUE"""),"১০/০৭/২০০৪")</f>
        <v>১০/০৭/২০০৪</v>
      </c>
      <c r="H120" s="4" t="str">
        <f>IFERROR(__xludf.DUMMYFUNCTION("""COMPUTED_VALUE"""),"কৃষক")</f>
        <v>কৃষক</v>
      </c>
      <c r="I120" s="4" t="str">
        <f>IFERROR(__xludf.DUMMYFUNCTION("""COMPUTED_VALUE"""),"""আড়পাড়া")</f>
        <v>"আড়পাড়া</v>
      </c>
      <c r="J120" s="4" t="str">
        <f>IFERROR(__xludf.DUMMYFUNCTION("""COMPUTED_VALUE""")," গাংনী")</f>
        <v> গাংনী</v>
      </c>
      <c r="K120" s="4" t="str">
        <f>IFERROR(__xludf.DUMMYFUNCTION("""COMPUTED_VALUE""")," মেহেরপুর""")</f>
        <v> মেহেরপুর"</v>
      </c>
    </row>
    <row r="121" ht="15.75" customHeight="1">
      <c r="A121" s="5" t="s">
        <v>3476</v>
      </c>
      <c r="B121" s="4">
        <f>IFERROR(__xludf.DUMMYFUNCTION("SPLIT(A121,"","")"),1068.0)</f>
        <v>1068</v>
      </c>
      <c r="C121" s="4" t="str">
        <f>IFERROR(__xludf.DUMMYFUNCTION("""COMPUTED_VALUE"""),"মোঃ জাহিদ হাসান")</f>
        <v>মোঃ জাহিদ হাসান</v>
      </c>
      <c r="D121" s="4">
        <f>IFERROR(__xludf.DUMMYFUNCTION("""COMPUTED_VALUE"""),5.70055000683E11)</f>
        <v>570055000683</v>
      </c>
      <c r="E121" s="4" t="str">
        <f>IFERROR(__xludf.DUMMYFUNCTION("""COMPUTED_VALUE"""),"মোঃ জাহাঙ্গীর আলম")</f>
        <v>মোঃ জাহাঙ্গীর আলম</v>
      </c>
      <c r="F121" s="4" t="str">
        <f>IFERROR(__xludf.DUMMYFUNCTION("""COMPUTED_VALUE"""),"মোছাঃ চায়না খাতুন")</f>
        <v>মোছাঃ চায়না খাতুন</v>
      </c>
      <c r="G121" s="4" t="str">
        <f>IFERROR(__xludf.DUMMYFUNCTION("""COMPUTED_VALUE"""),"১২/০৭/২০০৪")</f>
        <v>১২/০৭/২০০৪</v>
      </c>
      <c r="H121" s="4" t="str">
        <f>IFERROR(__xludf.DUMMYFUNCTION("""COMPUTED_VALUE"""),"শ্রমিক")</f>
        <v>শ্রমিক</v>
      </c>
      <c r="I121" s="4" t="str">
        <f>IFERROR(__xludf.DUMMYFUNCTION("""COMPUTED_VALUE"""),"""আড়পাড়া")</f>
        <v>"আড়পাড়া</v>
      </c>
      <c r="J121" s="4" t="str">
        <f>IFERROR(__xludf.DUMMYFUNCTION("""COMPUTED_VALUE""")," গাংনী")</f>
        <v> গাংনী</v>
      </c>
      <c r="K121" s="4" t="str">
        <f>IFERROR(__xludf.DUMMYFUNCTION("""COMPUTED_VALUE""")," মেহেরপুর""")</f>
        <v> মেহেরপুর"</v>
      </c>
    </row>
    <row r="122" ht="15.75" customHeight="1">
      <c r="A122" s="5" t="s">
        <v>3477</v>
      </c>
      <c r="B122" s="4">
        <f>IFERROR(__xludf.DUMMYFUNCTION("SPLIT(A122,"","")"),1069.0)</f>
        <v>1069</v>
      </c>
      <c r="C122" s="4" t="str">
        <f>IFERROR(__xludf.DUMMYFUNCTION("""COMPUTED_VALUE"""),"মোঃ আনারুল ইসলাম")</f>
        <v>মোঃ আনারুল ইসলাম</v>
      </c>
      <c r="D122" s="4">
        <f>IFERROR(__xludf.DUMMYFUNCTION("""COMPUTED_VALUE"""),5.70055000685E11)</f>
        <v>570055000685</v>
      </c>
      <c r="E122" s="4" t="str">
        <f>IFERROR(__xludf.DUMMYFUNCTION("""COMPUTED_VALUE"""),"মোঃ আলী হোসেন")</f>
        <v>মোঃ আলী হোসেন</v>
      </c>
      <c r="F122" s="4" t="str">
        <f>IFERROR(__xludf.DUMMYFUNCTION("""COMPUTED_VALUE"""),"মোছাঃ মুনজিলা খাতুন")</f>
        <v>মোছাঃ মুনজিলা খাতুন</v>
      </c>
      <c r="G122" s="4" t="str">
        <f>IFERROR(__xludf.DUMMYFUNCTION("""COMPUTED_VALUE"""),"০৫/০৮/২০০৪")</f>
        <v>০৫/০৮/২০০৪</v>
      </c>
      <c r="H122" s="4" t="str">
        <f>IFERROR(__xludf.DUMMYFUNCTION("""COMPUTED_VALUE"""),"কৃষক")</f>
        <v>কৃষক</v>
      </c>
      <c r="I122" s="4" t="str">
        <f>IFERROR(__xludf.DUMMYFUNCTION("""COMPUTED_VALUE"""),"""৭০৯")</f>
        <v>"৭০৯</v>
      </c>
      <c r="J122" s="4" t="str">
        <f>IFERROR(__xludf.DUMMYFUNCTION("""COMPUTED_VALUE""")," আড়পাড়া")</f>
        <v> আড়পাড়া</v>
      </c>
      <c r="K122" s="4" t="str">
        <f>IFERROR(__xludf.DUMMYFUNCTION("""COMPUTED_VALUE""")," গাংনী")</f>
        <v> গাংনী</v>
      </c>
      <c r="L122" s="4" t="str">
        <f>IFERROR(__xludf.DUMMYFUNCTION("""COMPUTED_VALUE""")," মেহেরপুর""")</f>
        <v> মেহেরপুর"</v>
      </c>
    </row>
    <row r="123" ht="15.75" customHeight="1">
      <c r="A123" s="5" t="s">
        <v>3478</v>
      </c>
      <c r="B123" s="4">
        <f>IFERROR(__xludf.DUMMYFUNCTION("SPLIT(A123,"","")"),1070.0)</f>
        <v>1070</v>
      </c>
      <c r="C123" s="4" t="str">
        <f>IFERROR(__xludf.DUMMYFUNCTION("""COMPUTED_VALUE"""),"মোঃ গোলাম নবী")</f>
        <v>মোঃ গোলাম নবী</v>
      </c>
      <c r="D123" s="4">
        <f>IFERROR(__xludf.DUMMYFUNCTION("""COMPUTED_VALUE"""),5.70055000688E11)</f>
        <v>570055000688</v>
      </c>
      <c r="E123" s="4" t="str">
        <f>IFERROR(__xludf.DUMMYFUNCTION("""COMPUTED_VALUE"""),"মোঃ বাবুল হোসেন")</f>
        <v>মোঃ বাবুল হোসেন</v>
      </c>
      <c r="F123" s="4" t="str">
        <f>IFERROR(__xludf.DUMMYFUNCTION("""COMPUTED_VALUE"""),"মোছাঃ মালেকা খাতুন")</f>
        <v>মোছাঃ মালেকা খাতুন</v>
      </c>
      <c r="G123" s="4" t="str">
        <f>IFERROR(__xludf.DUMMYFUNCTION("""COMPUTED_VALUE"""),"১৮/০৯/২০০৫")</f>
        <v>১৮/০৯/২০০৫</v>
      </c>
      <c r="H123" s="4" t="str">
        <f>IFERROR(__xludf.DUMMYFUNCTION("""COMPUTED_VALUE"""),"ছাত্র/ছাত্রী")</f>
        <v>ছাত্র/ছাত্রী</v>
      </c>
      <c r="I123" s="4" t="str">
        <f>IFERROR(__xludf.DUMMYFUNCTION("""COMPUTED_VALUE"""),"""আড়পাড়া")</f>
        <v>"আড়পাড়া</v>
      </c>
      <c r="J123" s="4" t="str">
        <f>IFERROR(__xludf.DUMMYFUNCTION("""COMPUTED_VALUE""")," গাংনী")</f>
        <v> গাংনী</v>
      </c>
      <c r="K123" s="4" t="str">
        <f>IFERROR(__xludf.DUMMYFUNCTION("""COMPUTED_VALUE""")," মেহেরপুর""")</f>
        <v> মেহেরপুর"</v>
      </c>
    </row>
    <row r="124" ht="15.75" customHeight="1">
      <c r="A124" s="5" t="s">
        <v>3479</v>
      </c>
      <c r="B124" s="4">
        <f>IFERROR(__xludf.DUMMYFUNCTION("SPLIT(A124,"","")"),1071.0)</f>
        <v>1071</v>
      </c>
      <c r="C124" s="4" t="str">
        <f>IFERROR(__xludf.DUMMYFUNCTION("""COMPUTED_VALUE"""),"মোঃ রাহুল")</f>
        <v>মোঃ রাহুল</v>
      </c>
      <c r="D124" s="4">
        <f>IFERROR(__xludf.DUMMYFUNCTION("""COMPUTED_VALUE"""),5.70055000691E11)</f>
        <v>570055000691</v>
      </c>
      <c r="E124" s="4" t="str">
        <f>IFERROR(__xludf.DUMMYFUNCTION("""COMPUTED_VALUE"""),"মোঃ হামিদুল ইসলাম")</f>
        <v>মোঃ হামিদুল ইসলাম</v>
      </c>
      <c r="F124" s="4" t="str">
        <f>IFERROR(__xludf.DUMMYFUNCTION("""COMPUTED_VALUE"""),"মোছাঃ রুবিনা খাতুন")</f>
        <v>মোছাঃ রুবিনা খাতুন</v>
      </c>
      <c r="G124" s="4" t="str">
        <f>IFERROR(__xludf.DUMMYFUNCTION("""COMPUTED_VALUE"""),"০৯/১১/২০০৫")</f>
        <v>০৯/১১/২০০৫</v>
      </c>
      <c r="H124" s="4" t="str">
        <f>IFERROR(__xludf.DUMMYFUNCTION("""COMPUTED_VALUE"""),"ছাত্র/ছাত্রী")</f>
        <v>ছাত্র/ছাত্রী</v>
      </c>
      <c r="I124" s="4" t="str">
        <f>IFERROR(__xludf.DUMMYFUNCTION("""COMPUTED_VALUE"""),"""৪৫৬")</f>
        <v>"৪৫৬</v>
      </c>
      <c r="J124" s="4" t="str">
        <f>IFERROR(__xludf.DUMMYFUNCTION("""COMPUTED_VALUE""")," আড়পাড়া")</f>
        <v> আড়পাড়া</v>
      </c>
      <c r="K124" s="4" t="str">
        <f>IFERROR(__xludf.DUMMYFUNCTION("""COMPUTED_VALUE""")," গাংনী")</f>
        <v> গাংনী</v>
      </c>
      <c r="L124" s="4" t="str">
        <f>IFERROR(__xludf.DUMMYFUNCTION("""COMPUTED_VALUE""")," মেহেরপুর""")</f>
        <v> মেহেরপুর"</v>
      </c>
    </row>
    <row r="125" ht="15.75" customHeight="1">
      <c r="A125" s="5" t="s">
        <v>3480</v>
      </c>
      <c r="B125" s="4">
        <f>IFERROR(__xludf.DUMMYFUNCTION("SPLIT(A125,"","")"),1072.0)</f>
        <v>1072</v>
      </c>
      <c r="C125" s="4" t="str">
        <f>IFERROR(__xludf.DUMMYFUNCTION("""COMPUTED_VALUE"""),"মোঃ সাজ্জাদ মিয়া")</f>
        <v>মোঃ সাজ্জাদ মিয়া</v>
      </c>
      <c r="D125" s="4">
        <f>IFERROR(__xludf.DUMMYFUNCTION("""COMPUTED_VALUE"""),5.70055000692E11)</f>
        <v>570055000692</v>
      </c>
      <c r="E125" s="4" t="str">
        <f>IFERROR(__xludf.DUMMYFUNCTION("""COMPUTED_VALUE"""),"মোঃ জিবালুর রহমান")</f>
        <v>মোঃ জিবালুর রহমান</v>
      </c>
      <c r="F125" s="4" t="str">
        <f>IFERROR(__xludf.DUMMYFUNCTION("""COMPUTED_VALUE"""),"মোছাঃ আফরোজা")</f>
        <v>মোছাঃ আফরোজা</v>
      </c>
      <c r="G125" s="4" t="str">
        <f>IFERROR(__xludf.DUMMYFUNCTION("""COMPUTED_VALUE"""),"১০/০৯/২০০৫")</f>
        <v>১০/০৯/২০০৫</v>
      </c>
      <c r="H125" s="4" t="str">
        <f>IFERROR(__xludf.DUMMYFUNCTION("""COMPUTED_VALUE"""),"ছাত্র/ছাত্রী")</f>
        <v>ছাত্র/ছাত্রী</v>
      </c>
      <c r="I125" s="4" t="str">
        <f>IFERROR(__xludf.DUMMYFUNCTION("""COMPUTED_VALUE"""),"""-১২২")</f>
        <v>"-১২২</v>
      </c>
      <c r="J125" s="4" t="str">
        <f>IFERROR(__xludf.DUMMYFUNCTION("""COMPUTED_VALUE""")," আড়পাড়া")</f>
        <v> আড়পাড়া</v>
      </c>
      <c r="K125" s="4" t="str">
        <f>IFERROR(__xludf.DUMMYFUNCTION("""COMPUTED_VALUE""")," গাংনী")</f>
        <v> গাংনী</v>
      </c>
      <c r="L125" s="4" t="str">
        <f>IFERROR(__xludf.DUMMYFUNCTION("""COMPUTED_VALUE""")," মেহেরপুর""")</f>
        <v> মেহেরপুর"</v>
      </c>
    </row>
    <row r="126" ht="15.75" customHeight="1">
      <c r="A126" s="5" t="s">
        <v>3481</v>
      </c>
      <c r="B126" s="4">
        <f>IFERROR(__xludf.DUMMYFUNCTION("SPLIT(A126,"","")"),1073.0)</f>
        <v>1073</v>
      </c>
      <c r="C126" s="4" t="str">
        <f>IFERROR(__xludf.DUMMYFUNCTION("""COMPUTED_VALUE"""),"মোঃ জনি আহমেদ")</f>
        <v>মোঃ জনি আহমেদ</v>
      </c>
      <c r="D126" s="4">
        <f>IFERROR(__xludf.DUMMYFUNCTION("""COMPUTED_VALUE"""),5.70055000699E11)</f>
        <v>570055000699</v>
      </c>
      <c r="E126" s="4" t="str">
        <f>IFERROR(__xludf.DUMMYFUNCTION("""COMPUTED_VALUE"""),"মোঃ বাবুর আলী")</f>
        <v>মোঃ বাবুর আলী</v>
      </c>
      <c r="F126" s="4" t="str">
        <f>IFERROR(__xludf.DUMMYFUNCTION("""COMPUTED_VALUE"""),"মোছাঃ রেখা খাতুন")</f>
        <v>মোছাঃ রেখা খাতুন</v>
      </c>
      <c r="G126" s="4" t="str">
        <f>IFERROR(__xludf.DUMMYFUNCTION("""COMPUTED_VALUE"""),"২০/০১/২০০৫")</f>
        <v>২০/০১/২০০৫</v>
      </c>
      <c r="H126" s="4" t="str">
        <f>IFERROR(__xludf.DUMMYFUNCTION("""COMPUTED_VALUE"""),"ছাত্র/ছাত্রী")</f>
        <v>ছাত্র/ছাত্রী</v>
      </c>
      <c r="I126" s="4" t="str">
        <f>IFERROR(__xludf.DUMMYFUNCTION("""COMPUTED_VALUE"""),"""১৬১")</f>
        <v>"১৬১</v>
      </c>
      <c r="J126" s="4" t="str">
        <f>IFERROR(__xludf.DUMMYFUNCTION("""COMPUTED_VALUE""")," আড়পাড়া")</f>
        <v> আড়পাড়া</v>
      </c>
      <c r="K126" s="4" t="str">
        <f>IFERROR(__xludf.DUMMYFUNCTION("""COMPUTED_VALUE""")," গাংনী")</f>
        <v> গাংনী</v>
      </c>
      <c r="L126" s="4" t="str">
        <f>IFERROR(__xludf.DUMMYFUNCTION("""COMPUTED_VALUE""")," মেহেরপুর""")</f>
        <v> মেহেরপুর"</v>
      </c>
    </row>
    <row r="127" ht="15.75" customHeight="1">
      <c r="A127" s="5" t="s">
        <v>3482</v>
      </c>
      <c r="B127" s="4">
        <f>IFERROR(__xludf.DUMMYFUNCTION("SPLIT(A127,"","")"),1074.0)</f>
        <v>1074</v>
      </c>
      <c r="C127" s="4" t="str">
        <f>IFERROR(__xludf.DUMMYFUNCTION("""COMPUTED_VALUE"""),"মোঃ হিরো আলী")</f>
        <v>মোঃ হিরো আলী</v>
      </c>
      <c r="D127" s="4">
        <f>IFERROR(__xludf.DUMMYFUNCTION("""COMPUTED_VALUE"""),5.70055000707E11)</f>
        <v>570055000707</v>
      </c>
      <c r="E127" s="4" t="str">
        <f>IFERROR(__xludf.DUMMYFUNCTION("""COMPUTED_VALUE"""),"মোঃ সাইফুল ইসলাম")</f>
        <v>মোঃ সাইফুল ইসলাম</v>
      </c>
      <c r="F127" s="4" t="str">
        <f>IFERROR(__xludf.DUMMYFUNCTION("""COMPUTED_VALUE"""),"মোছাঃ তাসলিমা খাতুন")</f>
        <v>মোছাঃ তাসলিমা খাতুন</v>
      </c>
      <c r="G127" s="4" t="str">
        <f>IFERROR(__xludf.DUMMYFUNCTION("""COMPUTED_VALUE"""),"০২/০৩/২০০৫")</f>
        <v>০২/০৩/২০০৫</v>
      </c>
      <c r="H127" s="4" t="str">
        <f>IFERROR(__xludf.DUMMYFUNCTION("""COMPUTED_VALUE"""),"ছাত্র/ছাত্রী")</f>
        <v>ছাত্র/ছাত্রী</v>
      </c>
      <c r="I127" s="4" t="str">
        <f>IFERROR(__xludf.DUMMYFUNCTION("""COMPUTED_VALUE"""),"""আড়পাড়া")</f>
        <v>"আড়পাড়া</v>
      </c>
      <c r="J127" s="4" t="str">
        <f>IFERROR(__xludf.DUMMYFUNCTION("""COMPUTED_VALUE""")," গাংনী")</f>
        <v> গাংনী</v>
      </c>
      <c r="K127" s="4" t="str">
        <f>IFERROR(__xludf.DUMMYFUNCTION("""COMPUTED_VALUE""")," মেহেরপুর""")</f>
        <v> মেহেরপুর"</v>
      </c>
    </row>
    <row r="128" ht="15.75" customHeight="1">
      <c r="A128" s="5" t="s">
        <v>3483</v>
      </c>
      <c r="B128" s="4">
        <f>IFERROR(__xludf.DUMMYFUNCTION("SPLIT(A128,"","")"),1075.0)</f>
        <v>1075</v>
      </c>
      <c r="C128" s="4" t="str">
        <f>IFERROR(__xludf.DUMMYFUNCTION("""COMPUTED_VALUE"""),"মোঃ শামিমুজ্জামান")</f>
        <v>মোঃ শামিমুজ্জামান</v>
      </c>
      <c r="D128" s="4">
        <f>IFERROR(__xludf.DUMMYFUNCTION("""COMPUTED_VALUE"""),5.70055000716E11)</f>
        <v>570055000716</v>
      </c>
      <c r="E128" s="4" t="str">
        <f>IFERROR(__xludf.DUMMYFUNCTION("""COMPUTED_VALUE"""),"মোঃ শওকত আলী")</f>
        <v>মোঃ শওকত আলী</v>
      </c>
      <c r="F128" s="4" t="str">
        <f>IFERROR(__xludf.DUMMYFUNCTION("""COMPUTED_VALUE"""),"মোছাঃ বছিরন নেছা")</f>
        <v>মোছাঃ বছিরন নেছা</v>
      </c>
      <c r="G128" s="4" t="str">
        <f>IFERROR(__xludf.DUMMYFUNCTION("""COMPUTED_VALUE"""),"১০/১২/২০০৫")</f>
        <v>১০/১২/২০০৫</v>
      </c>
      <c r="H128" s="4" t="str">
        <f>IFERROR(__xludf.DUMMYFUNCTION("""COMPUTED_VALUE"""),"ছাত্র/ছাত্রী")</f>
        <v>ছাত্র/ছাত্রী</v>
      </c>
      <c r="I128" s="4" t="str">
        <f>IFERROR(__xludf.DUMMYFUNCTION("""COMPUTED_VALUE"""),"""১৮৭")</f>
        <v>"১৮৭</v>
      </c>
      <c r="J128" s="4" t="str">
        <f>IFERROR(__xludf.DUMMYFUNCTION("""COMPUTED_VALUE""")," আড়পাড়া")</f>
        <v> আড়পাড়া</v>
      </c>
      <c r="K128" s="4" t="str">
        <f>IFERROR(__xludf.DUMMYFUNCTION("""COMPUTED_VALUE""")," গাংনী")</f>
        <v> গাংনী</v>
      </c>
      <c r="L128" s="4" t="str">
        <f>IFERROR(__xludf.DUMMYFUNCTION("""COMPUTED_VALUE""")," মেহেরপুর""")</f>
        <v> মেহেরপুর"</v>
      </c>
    </row>
    <row r="129" ht="15.75" customHeight="1">
      <c r="A129" s="5" t="s">
        <v>3484</v>
      </c>
      <c r="B129" s="4">
        <f>IFERROR(__xludf.DUMMYFUNCTION("SPLIT(A129,"","")"),1076.0)</f>
        <v>1076</v>
      </c>
      <c r="C129" s="4" t="str">
        <f>IFERROR(__xludf.DUMMYFUNCTION("""COMPUTED_VALUE"""),"মোঃ মুরছালিন আহমেদ")</f>
        <v>মোঃ মুরছালিন আহমেদ</v>
      </c>
      <c r="D129" s="4">
        <f>IFERROR(__xludf.DUMMYFUNCTION("""COMPUTED_VALUE"""),5.70055000718E11)</f>
        <v>570055000718</v>
      </c>
      <c r="E129" s="4" t="str">
        <f>IFERROR(__xludf.DUMMYFUNCTION("""COMPUTED_VALUE"""),"মোঃ রাশিদুল ইসলাম")</f>
        <v>মোঃ রাশিদুল ইসলাম</v>
      </c>
      <c r="F129" s="4" t="str">
        <f>IFERROR(__xludf.DUMMYFUNCTION("""COMPUTED_VALUE"""),"মোছাঃ বিলকিছ আরা")</f>
        <v>মোছাঃ বিলকিছ আরা</v>
      </c>
      <c r="G129" s="4" t="str">
        <f>IFERROR(__xludf.DUMMYFUNCTION("""COMPUTED_VALUE"""),"০৮/০৭/২০০৫")</f>
        <v>০৮/০৭/২০০৫</v>
      </c>
      <c r="H129" s="4" t="str">
        <f>IFERROR(__xludf.DUMMYFUNCTION("""COMPUTED_VALUE"""),"ছাত্র/ছাত্রী")</f>
        <v>ছাত্র/ছাত্রী</v>
      </c>
      <c r="I129" s="4" t="str">
        <f>IFERROR(__xludf.DUMMYFUNCTION("""COMPUTED_VALUE"""),"""আড়পাড়া")</f>
        <v>"আড়পাড়া</v>
      </c>
      <c r="J129" s="4" t="str">
        <f>IFERROR(__xludf.DUMMYFUNCTION("""COMPUTED_VALUE""")," গাংনী")</f>
        <v> গাংনী</v>
      </c>
      <c r="K129" s="4" t="str">
        <f>IFERROR(__xludf.DUMMYFUNCTION("""COMPUTED_VALUE""")," মেহেরপুর""")</f>
        <v> মেহেরপুর"</v>
      </c>
    </row>
    <row r="130" ht="15.75" customHeight="1">
      <c r="A130" s="5" t="s">
        <v>3485</v>
      </c>
      <c r="B130" s="4">
        <f>IFERROR(__xludf.DUMMYFUNCTION("SPLIT(A130,"","")"),1077.0)</f>
        <v>1077</v>
      </c>
      <c r="C130" s="4" t="str">
        <f>IFERROR(__xludf.DUMMYFUNCTION("""COMPUTED_VALUE"""),"মোঃ সজীব আলী")</f>
        <v>মোঃ সজীব আলী</v>
      </c>
      <c r="D130" s="4">
        <f>IFERROR(__xludf.DUMMYFUNCTION("""COMPUTED_VALUE"""),5.70055000719E11)</f>
        <v>570055000719</v>
      </c>
      <c r="E130" s="4" t="str">
        <f>IFERROR(__xludf.DUMMYFUNCTION("""COMPUTED_VALUE"""),"মোঃ বশিরউদ্দী্ন")</f>
        <v>মোঃ বশিরউদ্দী্ন</v>
      </c>
      <c r="F130" s="4" t="str">
        <f>IFERROR(__xludf.DUMMYFUNCTION("""COMPUTED_VALUE"""),"মোছাঃ সজিরন নেছা")</f>
        <v>মোছাঃ সজিরন নেছা</v>
      </c>
      <c r="G130" s="4" t="str">
        <f>IFERROR(__xludf.DUMMYFUNCTION("""COMPUTED_VALUE"""),"৩১/১২/২০০৫")</f>
        <v>৩১/১২/২০০৫</v>
      </c>
      <c r="H130" s="4" t="str">
        <f>IFERROR(__xludf.DUMMYFUNCTION("""COMPUTED_VALUE"""),"ছাত্র/ছাত্রী")</f>
        <v>ছাত্র/ছাত্রী</v>
      </c>
      <c r="I130" s="4" t="str">
        <f>IFERROR(__xludf.DUMMYFUNCTION("""COMPUTED_VALUE"""),"""৩৪৮")</f>
        <v>"৩৪৮</v>
      </c>
      <c r="J130" s="4" t="str">
        <f>IFERROR(__xludf.DUMMYFUNCTION("""COMPUTED_VALUE""")," আড়পাড়া")</f>
        <v> আড়পাড়া</v>
      </c>
      <c r="K130" s="4" t="str">
        <f>IFERROR(__xludf.DUMMYFUNCTION("""COMPUTED_VALUE""")," গাংনী")</f>
        <v> গাংনী</v>
      </c>
      <c r="L130" s="4" t="str">
        <f>IFERROR(__xludf.DUMMYFUNCTION("""COMPUTED_VALUE""")," মেহেরপুর""")</f>
        <v> মেহেরপুর"</v>
      </c>
    </row>
    <row r="131" ht="15.75" customHeight="1">
      <c r="A131" s="5" t="s">
        <v>3486</v>
      </c>
      <c r="B131" s="4">
        <f>IFERROR(__xludf.DUMMYFUNCTION("SPLIT(A131,"","")"),1078.0)</f>
        <v>1078</v>
      </c>
      <c r="C131" s="4" t="str">
        <f>IFERROR(__xludf.DUMMYFUNCTION("""COMPUTED_VALUE"""),"আসিফ আলী")</f>
        <v>আসিফ আলী</v>
      </c>
      <c r="D131" s="4">
        <f>IFERROR(__xludf.DUMMYFUNCTION("""COMPUTED_VALUE"""),5.7005500072E11)</f>
        <v>570055000720</v>
      </c>
      <c r="E131" s="4" t="str">
        <f>IFERROR(__xludf.DUMMYFUNCTION("""COMPUTED_VALUE"""),"মোঃ আলমগীর হোসেন")</f>
        <v>মোঃ আলমগীর হোসেন</v>
      </c>
      <c r="F131" s="4" t="str">
        <f>IFERROR(__xludf.DUMMYFUNCTION("""COMPUTED_VALUE"""),"মোছাঃ আমেনা খাতুন")</f>
        <v>মোছাঃ আমেনা খাতুন</v>
      </c>
      <c r="G131" s="4" t="str">
        <f>IFERROR(__xludf.DUMMYFUNCTION("""COMPUTED_VALUE"""),"০৫/০৮/২০০৫")</f>
        <v>০৫/০৮/২০০৫</v>
      </c>
      <c r="H131" s="4" t="str">
        <f>IFERROR(__xludf.DUMMYFUNCTION("""COMPUTED_VALUE"""),"ছাত্র/ছাত্রী")</f>
        <v>ছাত্র/ছাত্রী</v>
      </c>
      <c r="I131" s="4" t="str">
        <f>IFERROR(__xludf.DUMMYFUNCTION("""COMPUTED_VALUE"""),"""১৭৭")</f>
        <v>"১৭৭</v>
      </c>
      <c r="J131" s="4" t="str">
        <f>IFERROR(__xludf.DUMMYFUNCTION("""COMPUTED_VALUE""")," আড়পাড়া")</f>
        <v> আড়পাড়া</v>
      </c>
      <c r="K131" s="4" t="str">
        <f>IFERROR(__xludf.DUMMYFUNCTION("""COMPUTED_VALUE""")," গাংনী")</f>
        <v> গাংনী</v>
      </c>
      <c r="L131" s="4" t="str">
        <f>IFERROR(__xludf.DUMMYFUNCTION("""COMPUTED_VALUE""")," মেহেরপুর""")</f>
        <v> মেহেরপুর"</v>
      </c>
    </row>
    <row r="132" ht="15.75" customHeight="1">
      <c r="A132" s="5" t="s">
        <v>3487</v>
      </c>
      <c r="B132" s="4">
        <f>IFERROR(__xludf.DUMMYFUNCTION("SPLIT(A132,"","")"),1079.0)</f>
        <v>1079</v>
      </c>
      <c r="C132" s="4" t="str">
        <f>IFERROR(__xludf.DUMMYFUNCTION("""COMPUTED_VALUE"""),"মোঃ ইমরান ফরহাদ মন্ডল")</f>
        <v>মোঃ ইমরান ফরহাদ মন্ডল</v>
      </c>
      <c r="D132" s="4">
        <f>IFERROR(__xludf.DUMMYFUNCTION("""COMPUTED_VALUE"""),5.70055000724E11)</f>
        <v>570055000724</v>
      </c>
      <c r="E132" s="4" t="str">
        <f>IFERROR(__xludf.DUMMYFUNCTION("""COMPUTED_VALUE"""),"মোঃ ইকরামুল হক")</f>
        <v>মোঃ ইকরামুল হক</v>
      </c>
      <c r="F132" s="4" t="str">
        <f>IFERROR(__xludf.DUMMYFUNCTION("""COMPUTED_VALUE"""),"মোছাঃ রেফা খাতুন")</f>
        <v>মোছাঃ রেফা খাতুন</v>
      </c>
      <c r="G132" s="4" t="str">
        <f>IFERROR(__xludf.DUMMYFUNCTION("""COMPUTED_VALUE"""),"২০/০৪/২০০৬")</f>
        <v>২০/০৪/২০০৬</v>
      </c>
      <c r="H132" s="4" t="str">
        <f>IFERROR(__xludf.DUMMYFUNCTION("""COMPUTED_VALUE"""),"ছাত্র/ছাত্রী")</f>
        <v>ছাত্র/ছাত্রী</v>
      </c>
      <c r="I132" s="4" t="str">
        <f>IFERROR(__xludf.DUMMYFUNCTION("""COMPUTED_VALUE"""),"""৭০")</f>
        <v>"৭০</v>
      </c>
      <c r="J132" s="4" t="str">
        <f>IFERROR(__xludf.DUMMYFUNCTION("""COMPUTED_VALUE""")," আড়পাড়া")</f>
        <v> আড়পাড়া</v>
      </c>
      <c r="K132" s="4" t="str">
        <f>IFERROR(__xludf.DUMMYFUNCTION("""COMPUTED_VALUE""")," গাংনী")</f>
        <v> গাংনী</v>
      </c>
      <c r="L132" s="4" t="str">
        <f>IFERROR(__xludf.DUMMYFUNCTION("""COMPUTED_VALUE""")," মেহেরপুর""")</f>
        <v> মেহেরপুর"</v>
      </c>
    </row>
    <row r="133" ht="15.75" customHeight="1">
      <c r="A133" s="5" t="s">
        <v>3488</v>
      </c>
      <c r="B133" s="4">
        <f>IFERROR(__xludf.DUMMYFUNCTION("SPLIT(A133,"","")"),1080.0)</f>
        <v>1080</v>
      </c>
      <c r="C133" s="4" t="str">
        <f>IFERROR(__xludf.DUMMYFUNCTION("""COMPUTED_VALUE"""),"মোঃ শরিফুল ইসলাম")</f>
        <v>মোঃ শরিফুল ইসলাম</v>
      </c>
      <c r="D133" s="4">
        <f>IFERROR(__xludf.DUMMYFUNCTION("""COMPUTED_VALUE"""),5.70055000725E11)</f>
        <v>570055000725</v>
      </c>
      <c r="E133" s="4" t="str">
        <f>IFERROR(__xludf.DUMMYFUNCTION("""COMPUTED_VALUE"""),"মোঃ মধু")</f>
        <v>মোঃ মধু</v>
      </c>
      <c r="F133" s="4" t="str">
        <f>IFERROR(__xludf.DUMMYFUNCTION("""COMPUTED_VALUE"""),"মোছাঃ শারমিনা")</f>
        <v>মোছাঃ শারমিনা</v>
      </c>
      <c r="G133" s="4" t="str">
        <f>IFERROR(__xludf.DUMMYFUNCTION("""COMPUTED_VALUE"""),"২০/০২/২০০৬")</f>
        <v>২০/০২/২০০৬</v>
      </c>
      <c r="H133" s="4" t="str">
        <f>IFERROR(__xludf.DUMMYFUNCTION("""COMPUTED_VALUE"""),"কৃষক")</f>
        <v>কৃষক</v>
      </c>
      <c r="I133" s="4" t="str">
        <f>IFERROR(__xludf.DUMMYFUNCTION("""COMPUTED_VALUE"""),"""৩৭৬")</f>
        <v>"৩৭৬</v>
      </c>
      <c r="J133" s="4" t="str">
        <f>IFERROR(__xludf.DUMMYFUNCTION("""COMPUTED_VALUE""")," আড়পাড়া")</f>
        <v> আড়পাড়া</v>
      </c>
      <c r="K133" s="4" t="str">
        <f>IFERROR(__xludf.DUMMYFUNCTION("""COMPUTED_VALUE""")," গাংনী")</f>
        <v> গাংনী</v>
      </c>
      <c r="L133" s="4" t="str">
        <f>IFERROR(__xludf.DUMMYFUNCTION("""COMPUTED_VALUE""")," মেহেরপুর""")</f>
        <v> মেহেরপুর"</v>
      </c>
    </row>
    <row r="134" ht="15.75" customHeight="1">
      <c r="A134" s="5" t="s">
        <v>3489</v>
      </c>
      <c r="B134" s="4">
        <f>IFERROR(__xludf.DUMMYFUNCTION("SPLIT(A134,"","")"),1081.0)</f>
        <v>1081</v>
      </c>
      <c r="C134" s="4" t="str">
        <f>IFERROR(__xludf.DUMMYFUNCTION("""COMPUTED_VALUE"""),"মোঃ রনি বিশ্বাস")</f>
        <v>মোঃ রনি বিশ্বাস</v>
      </c>
      <c r="D134" s="4">
        <f>IFERROR(__xludf.DUMMYFUNCTION("""COMPUTED_VALUE"""),5.70055000726E11)</f>
        <v>570055000726</v>
      </c>
      <c r="E134" s="4" t="str">
        <f>IFERROR(__xludf.DUMMYFUNCTION("""COMPUTED_VALUE"""),"মোঃ মুন্নাফ আলী")</f>
        <v>মোঃ মুন্নাফ আলী</v>
      </c>
      <c r="F134" s="4" t="str">
        <f>IFERROR(__xludf.DUMMYFUNCTION("""COMPUTED_VALUE"""),"মোছাঃ রশিদা খাতুন")</f>
        <v>মোছাঃ রশিদা খাতুন</v>
      </c>
      <c r="G134" s="4" t="str">
        <f>IFERROR(__xludf.DUMMYFUNCTION("""COMPUTED_VALUE"""),"২০/০২/২০০৬")</f>
        <v>২০/০২/২০০৬</v>
      </c>
      <c r="H134" s="4" t="str">
        <f>IFERROR(__xludf.DUMMYFUNCTION("""COMPUTED_VALUE"""),"কৃষক")</f>
        <v>কৃষক</v>
      </c>
      <c r="I134" s="4" t="str">
        <f>IFERROR(__xludf.DUMMYFUNCTION("""COMPUTED_VALUE"""),"""-২৪২")</f>
        <v>"-২৪২</v>
      </c>
      <c r="J134" s="4" t="str">
        <f>IFERROR(__xludf.DUMMYFUNCTION("""COMPUTED_VALUE""")," আড়পাড়া")</f>
        <v> আড়পাড়া</v>
      </c>
      <c r="K134" s="4" t="str">
        <f>IFERROR(__xludf.DUMMYFUNCTION("""COMPUTED_VALUE""")," গাংনী")</f>
        <v> গাংনী</v>
      </c>
      <c r="L134" s="4" t="str">
        <f>IFERROR(__xludf.DUMMYFUNCTION("""COMPUTED_VALUE""")," মেহেরপুর""")</f>
        <v> মেহেরপুর"</v>
      </c>
    </row>
    <row r="135" ht="15.75" customHeight="1">
      <c r="A135" s="5" t="s">
        <v>3490</v>
      </c>
      <c r="B135" s="4">
        <f>IFERROR(__xludf.DUMMYFUNCTION("SPLIT(A135,"","")"),1082.0)</f>
        <v>1082</v>
      </c>
      <c r="C135" s="4" t="str">
        <f>IFERROR(__xludf.DUMMYFUNCTION("""COMPUTED_VALUE"""),"মোঃ মামুন আলী")</f>
        <v>মোঃ মামুন আলী</v>
      </c>
      <c r="D135" s="4">
        <f>IFERROR(__xludf.DUMMYFUNCTION("""COMPUTED_VALUE"""),5.70055000729E11)</f>
        <v>570055000729</v>
      </c>
      <c r="E135" s="4" t="str">
        <f>IFERROR(__xludf.DUMMYFUNCTION("""COMPUTED_VALUE"""),"মোঃ শাহাদুল ইসলাম")</f>
        <v>মোঃ শাহাদুল ইসলাম</v>
      </c>
      <c r="F135" s="4" t="str">
        <f>IFERROR(__xludf.DUMMYFUNCTION("""COMPUTED_VALUE"""),"মোছাঃ ইন্নাতুন নেছা")</f>
        <v>মোছাঃ ইন্নাতুন নেছা</v>
      </c>
      <c r="G135" s="4" t="str">
        <f>IFERROR(__xludf.DUMMYFUNCTION("""COMPUTED_VALUE"""),"১৮/০৫/২০০৬")</f>
        <v>১৮/০৫/২০০৬</v>
      </c>
      <c r="H135" s="4" t="str">
        <f>IFERROR(__xludf.DUMMYFUNCTION("""COMPUTED_VALUE"""),"ছাত্র/ছাত্রী")</f>
        <v>ছাত্র/ছাত্রী</v>
      </c>
      <c r="I135" s="4" t="str">
        <f>IFERROR(__xludf.DUMMYFUNCTION("""COMPUTED_VALUE"""),"""আড়পাড়া")</f>
        <v>"আড়পাড়া</v>
      </c>
      <c r="J135" s="4" t="str">
        <f>IFERROR(__xludf.DUMMYFUNCTION("""COMPUTED_VALUE""")," গাংনী")</f>
        <v> গাংনী</v>
      </c>
      <c r="K135" s="4" t="str">
        <f>IFERROR(__xludf.DUMMYFUNCTION("""COMPUTED_VALUE""")," মেহেরপুর""")</f>
        <v> মেহেরপুর"</v>
      </c>
    </row>
    <row r="136" ht="15.75" customHeight="1">
      <c r="A136" s="5" t="s">
        <v>3491</v>
      </c>
      <c r="B136" s="4">
        <f>IFERROR(__xludf.DUMMYFUNCTION("SPLIT(A136,"","")"),1083.0)</f>
        <v>1083</v>
      </c>
      <c r="C136" s="4" t="str">
        <f>IFERROR(__xludf.DUMMYFUNCTION("""COMPUTED_VALUE"""),"মোঃ আবু সাঈদ")</f>
        <v>মোঃ আবু সাঈদ</v>
      </c>
      <c r="D136" s="4">
        <f>IFERROR(__xludf.DUMMYFUNCTION("""COMPUTED_VALUE"""),5.70055000732E11)</f>
        <v>570055000732</v>
      </c>
      <c r="E136" s="4" t="str">
        <f>IFERROR(__xludf.DUMMYFUNCTION("""COMPUTED_VALUE"""),"মোঃ আব্দুল মাবুদ")</f>
        <v>মোঃ আব্দুল মাবুদ</v>
      </c>
      <c r="F136" s="4" t="str">
        <f>IFERROR(__xludf.DUMMYFUNCTION("""COMPUTED_VALUE"""),"মোছাঃ তহুরা খাতুন")</f>
        <v>মোছাঃ তহুরা খাতুন</v>
      </c>
      <c r="G136" s="4" t="str">
        <f>IFERROR(__xludf.DUMMYFUNCTION("""COMPUTED_VALUE"""),"১৯/১১/২০০৬")</f>
        <v>১৯/১১/২০০৬</v>
      </c>
      <c r="H136" s="4" t="str">
        <f>IFERROR(__xludf.DUMMYFUNCTION("""COMPUTED_VALUE"""),"ছাত্র/ছাত্রী")</f>
        <v>ছাত্র/ছাত্রী</v>
      </c>
      <c r="I136" s="4" t="str">
        <f>IFERROR(__xludf.DUMMYFUNCTION("""COMPUTED_VALUE"""),"""১৪০")</f>
        <v>"১৪০</v>
      </c>
      <c r="J136" s="4" t="str">
        <f>IFERROR(__xludf.DUMMYFUNCTION("""COMPUTED_VALUE""")," আড়পাড়া")</f>
        <v> আড়পাড়া</v>
      </c>
      <c r="K136" s="4" t="str">
        <f>IFERROR(__xludf.DUMMYFUNCTION("""COMPUTED_VALUE""")," গাংনী")</f>
        <v> গাংনী</v>
      </c>
      <c r="L136" s="4" t="str">
        <f>IFERROR(__xludf.DUMMYFUNCTION("""COMPUTED_VALUE""")," মেহেরপুর""")</f>
        <v> মেহেরপুর"</v>
      </c>
    </row>
    <row r="137" ht="15.75" customHeight="1">
      <c r="A137" s="5" t="s">
        <v>3492</v>
      </c>
      <c r="B137" s="4">
        <f>IFERROR(__xludf.DUMMYFUNCTION("SPLIT(A137,"","")"),1084.0)</f>
        <v>1084</v>
      </c>
      <c r="C137" s="4" t="str">
        <f>IFERROR(__xludf.DUMMYFUNCTION("""COMPUTED_VALUE"""),"মোঃ শিহাব আলী")</f>
        <v>মোঃ শিহাব আলী</v>
      </c>
      <c r="D137" s="4">
        <f>IFERROR(__xludf.DUMMYFUNCTION("""COMPUTED_VALUE"""),5.70055000735E11)</f>
        <v>570055000735</v>
      </c>
      <c r="E137" s="4" t="str">
        <f>IFERROR(__xludf.DUMMYFUNCTION("""COMPUTED_VALUE"""),"মোঃ আশাদুল ইসলাম")</f>
        <v>মোঃ আশাদুল ইসলাম</v>
      </c>
      <c r="F137" s="4" t="str">
        <f>IFERROR(__xludf.DUMMYFUNCTION("""COMPUTED_VALUE"""),"মোছাঃ শিরিনা খাতুন")</f>
        <v>মোছাঃ শিরিনা খাতুন</v>
      </c>
      <c r="G137" s="4" t="str">
        <f>IFERROR(__xludf.DUMMYFUNCTION("""COMPUTED_VALUE"""),"২৫/০৬/২০০৬")</f>
        <v>২৫/০৬/২০০৬</v>
      </c>
      <c r="H137" s="4" t="str">
        <f>IFERROR(__xludf.DUMMYFUNCTION("""COMPUTED_VALUE"""),"ছাত্র/ছাত্রী")</f>
        <v>ছাত্র/ছাত্রী</v>
      </c>
      <c r="I137" s="4" t="str">
        <f>IFERROR(__xludf.DUMMYFUNCTION("""COMPUTED_VALUE"""),"""৫৪৮")</f>
        <v>"৫৪৮</v>
      </c>
      <c r="J137" s="4" t="str">
        <f>IFERROR(__xludf.DUMMYFUNCTION("""COMPUTED_VALUE""")," আড়পাড়া")</f>
        <v> আড়পাড়া</v>
      </c>
      <c r="K137" s="4" t="str">
        <f>IFERROR(__xludf.DUMMYFUNCTION("""COMPUTED_VALUE""")," গাংনী")</f>
        <v> গাংনী</v>
      </c>
      <c r="L137" s="4" t="str">
        <f>IFERROR(__xludf.DUMMYFUNCTION("""COMPUTED_VALUE""")," মেহেরপুর""")</f>
        <v> মেহেরপুর"</v>
      </c>
    </row>
    <row r="138" ht="15.75" customHeight="1">
      <c r="A138" s="5" t="s">
        <v>3493</v>
      </c>
      <c r="B138" s="4">
        <f>IFERROR(__xludf.DUMMYFUNCTION("SPLIT(A138,"","")"),1085.0)</f>
        <v>1085</v>
      </c>
      <c r="C138" s="4" t="str">
        <f>IFERROR(__xludf.DUMMYFUNCTION("""COMPUTED_VALUE"""),"মোঃ রাশিদুল ইসলাম")</f>
        <v>মোঃ রাশিদুল ইসলাম</v>
      </c>
      <c r="D138" s="4">
        <f>IFERROR(__xludf.DUMMYFUNCTION("""COMPUTED_VALUE"""),5.700555544918E12)</f>
        <v>5700555544918</v>
      </c>
      <c r="E138" s="4" t="str">
        <f>IFERROR(__xludf.DUMMYFUNCTION("""COMPUTED_VALUE"""),"মোঃ রেজাউল হক")</f>
        <v>মোঃ রেজাউল হক</v>
      </c>
      <c r="F138" s="4" t="str">
        <f>IFERROR(__xludf.DUMMYFUNCTION("""COMPUTED_VALUE"""),"মোছাঃ জেসমিন আরা")</f>
        <v>মোছাঃ জেসমিন আরা</v>
      </c>
      <c r="G138" s="4" t="str">
        <f>IFERROR(__xludf.DUMMYFUNCTION("""COMPUTED_VALUE"""),"০৬/০২/২০০১")</f>
        <v>০৬/০২/২০০১</v>
      </c>
      <c r="H138" s="4" t="str">
        <f>IFERROR(__xludf.DUMMYFUNCTION("""COMPUTED_VALUE"""),"বেকার")</f>
        <v>বেকার</v>
      </c>
      <c r="I138" s="4" t="str">
        <f>IFERROR(__xludf.DUMMYFUNCTION("""COMPUTED_VALUE"""),"""আড়পাড়া")</f>
        <v>"আড়পাড়া</v>
      </c>
      <c r="J138" s="4" t="str">
        <f>IFERROR(__xludf.DUMMYFUNCTION("""COMPUTED_VALUE""")," গাংনী")</f>
        <v> গাংনী</v>
      </c>
      <c r="K138" s="4" t="str">
        <f>IFERROR(__xludf.DUMMYFUNCTION("""COMPUTED_VALUE""")," মেহেরপুর""")</f>
        <v> মেহেরপুর"</v>
      </c>
    </row>
    <row r="139" ht="15.75" customHeight="1">
      <c r="A139" s="5" t="s">
        <v>3494</v>
      </c>
      <c r="B139" s="4">
        <f>IFERROR(__xludf.DUMMYFUNCTION("SPLIT(A139,"","")"),1086.0)</f>
        <v>1086</v>
      </c>
      <c r="C139" s="4" t="str">
        <f>IFERROR(__xludf.DUMMYFUNCTION("""COMPUTED_VALUE"""),"মোঃ ইমরান আলী")</f>
        <v>মোঃ ইমরান আলী</v>
      </c>
      <c r="D139" s="4">
        <f>IFERROR(__xludf.DUMMYFUNCTION("""COMPUTED_VALUE"""),5.700555544921E12)</f>
        <v>5700555544921</v>
      </c>
      <c r="E139" s="4" t="str">
        <f>IFERROR(__xludf.DUMMYFUNCTION("""COMPUTED_VALUE"""),"মোঃ জান্টু")</f>
        <v>মোঃ জান্টু</v>
      </c>
      <c r="F139" s="4" t="str">
        <f>IFERROR(__xludf.DUMMYFUNCTION("""COMPUTED_VALUE"""),"মোছাঃ ছকিনা খাতুন")</f>
        <v>মোছাঃ ছকিনা খাতুন</v>
      </c>
      <c r="G139" s="4" t="str">
        <f>IFERROR(__xludf.DUMMYFUNCTION("""COMPUTED_VALUE"""),"০৮/০৬/২০০৩")</f>
        <v>০৮/০৬/২০০৩</v>
      </c>
      <c r="H139" s="4" t="str">
        <f>IFERROR(__xludf.DUMMYFUNCTION("""COMPUTED_VALUE"""),"শ্রমিক")</f>
        <v>শ্রমিক</v>
      </c>
      <c r="I139" s="4" t="str">
        <f>IFERROR(__xludf.DUMMYFUNCTION("""COMPUTED_VALUE"""),"""আড়পাড়া")</f>
        <v>"আড়পাড়া</v>
      </c>
      <c r="J139" s="4" t="str">
        <f>IFERROR(__xludf.DUMMYFUNCTION("""COMPUTED_VALUE""")," গাংনী")</f>
        <v> গাংনী</v>
      </c>
      <c r="K139" s="4" t="str">
        <f>IFERROR(__xludf.DUMMYFUNCTION("""COMPUTED_VALUE""")," মেহেরপুর""")</f>
        <v> মেহেরপুর"</v>
      </c>
    </row>
    <row r="140" ht="15.75" customHeight="1">
      <c r="A140" s="5" t="s">
        <v>3495</v>
      </c>
      <c r="B140" s="4">
        <f>IFERROR(__xludf.DUMMYFUNCTION("SPLIT(A140,"","")"),1087.0)</f>
        <v>1087</v>
      </c>
      <c r="C140" s="4" t="str">
        <f>IFERROR(__xludf.DUMMYFUNCTION("""COMPUTED_VALUE"""),"মোঃ মাসুদ হোসেন")</f>
        <v>মোঃ মাসুদ হোসেন</v>
      </c>
      <c r="D140" s="4">
        <f>IFERROR(__xludf.DUMMYFUNCTION("""COMPUTED_VALUE"""),5.700555544922E12)</f>
        <v>5700555544922</v>
      </c>
      <c r="E140" s="4" t="str">
        <f>IFERROR(__xludf.DUMMYFUNCTION("""COMPUTED_VALUE"""),"মৃত রহমান")</f>
        <v>মৃত রহমান</v>
      </c>
      <c r="F140" s="4" t="str">
        <f>IFERROR(__xludf.DUMMYFUNCTION("""COMPUTED_VALUE"""),"মোছাঃ সহিদা খাতুন")</f>
        <v>মোছাঃ সহিদা খাতুন</v>
      </c>
      <c r="G140" s="4" t="str">
        <f>IFERROR(__xludf.DUMMYFUNCTION("""COMPUTED_VALUE"""),"২০/০৬/১৯৯৪")</f>
        <v>২০/০৬/১৯৯৪</v>
      </c>
      <c r="H140" s="4" t="str">
        <f>IFERROR(__xludf.DUMMYFUNCTION("""COMPUTED_VALUE"""),"শ্রমিক")</f>
        <v>শ্রমিক</v>
      </c>
      <c r="I140" s="4" t="str">
        <f>IFERROR(__xludf.DUMMYFUNCTION("""COMPUTED_VALUE"""),"""আড়পাড়া")</f>
        <v>"আড়পাড়া</v>
      </c>
      <c r="J140" s="4" t="str">
        <f>IFERROR(__xludf.DUMMYFUNCTION("""COMPUTED_VALUE""")," গাংনী")</f>
        <v> গাংনী</v>
      </c>
      <c r="K140" s="4" t="str">
        <f>IFERROR(__xludf.DUMMYFUNCTION("""COMPUTED_VALUE""")," মেহেরপুর""")</f>
        <v> মেহেরপুর"</v>
      </c>
    </row>
    <row r="141" ht="15.75" customHeight="1">
      <c r="A141" s="5" t="s">
        <v>3496</v>
      </c>
      <c r="B141" s="4">
        <f>IFERROR(__xludf.DUMMYFUNCTION("SPLIT(A141,"","")"),1088.0)</f>
        <v>1088</v>
      </c>
      <c r="C141" s="4" t="str">
        <f>IFERROR(__xludf.DUMMYFUNCTION("""COMPUTED_VALUE"""),"মোঃ শাহাবুদ্দিন")</f>
        <v>মোঃ শাহাবুদ্দিন</v>
      </c>
      <c r="D141" s="4">
        <f>IFERROR(__xludf.DUMMYFUNCTION("""COMPUTED_VALUE"""),5.700555544923E12)</f>
        <v>5700555544923</v>
      </c>
      <c r="E141" s="4" t="str">
        <f>IFERROR(__xludf.DUMMYFUNCTION("""COMPUTED_VALUE"""),"মোঃ আবু বাক্কার")</f>
        <v>মোঃ আবু বাক্কার</v>
      </c>
      <c r="F141" s="4" t="str">
        <f>IFERROR(__xludf.DUMMYFUNCTION("""COMPUTED_VALUE"""),"মোছাঃ জামেনা খাতুন")</f>
        <v>মোছাঃ জামেনা খাতুন</v>
      </c>
      <c r="G141" s="4" t="str">
        <f>IFERROR(__xludf.DUMMYFUNCTION("""COMPUTED_VALUE"""),"১৮/০৭/২০০২")</f>
        <v>১৮/০৭/২০০২</v>
      </c>
      <c r="H141" s="4" t="str">
        <f>IFERROR(__xludf.DUMMYFUNCTION("""COMPUTED_VALUE"""),"বেকার")</f>
        <v>বেকার</v>
      </c>
      <c r="I141" s="4" t="str">
        <f>IFERROR(__xludf.DUMMYFUNCTION("""COMPUTED_VALUE"""),"""আড়পাড়া")</f>
        <v>"আড়পাড়া</v>
      </c>
      <c r="J141" s="4" t="str">
        <f>IFERROR(__xludf.DUMMYFUNCTION("""COMPUTED_VALUE""")," গাংনী")</f>
        <v> গাংনী</v>
      </c>
      <c r="K141" s="4" t="str">
        <f>IFERROR(__xludf.DUMMYFUNCTION("""COMPUTED_VALUE""")," মেহেরপুর""")</f>
        <v> মেহেরপুর"</v>
      </c>
    </row>
    <row r="142" ht="15.75" customHeight="1">
      <c r="A142" s="5" t="s">
        <v>3497</v>
      </c>
      <c r="B142" s="4">
        <f>IFERROR(__xludf.DUMMYFUNCTION("SPLIT(A142,"","")"),1089.0)</f>
        <v>1089</v>
      </c>
      <c r="C142" s="4" t="str">
        <f>IFERROR(__xludf.DUMMYFUNCTION("""COMPUTED_VALUE"""),"মোহাম্মদ আজিজুল হক")</f>
        <v>মোহাম্মদ আজিজুল হক</v>
      </c>
      <c r="D142" s="4">
        <f>IFERROR(__xludf.DUMMYFUNCTION("""COMPUTED_VALUE"""),5.700555544925E12)</f>
        <v>5700555544925</v>
      </c>
      <c r="E142" s="4" t="str">
        <f>IFERROR(__xludf.DUMMYFUNCTION("""COMPUTED_VALUE"""),"মৃত মোঃ ফকির মন্ডল")</f>
        <v>মৃত মোঃ ফকির মন্ডল</v>
      </c>
      <c r="F142" s="4" t="str">
        <f>IFERROR(__xludf.DUMMYFUNCTION("""COMPUTED_VALUE"""),"মৃত মোছাঃ মোলামজান")</f>
        <v>মৃত মোছাঃ মোলামজান</v>
      </c>
      <c r="G142" s="4" t="str">
        <f>IFERROR(__xludf.DUMMYFUNCTION("""COMPUTED_VALUE"""),"১৯/০৩/১৯৮৭")</f>
        <v>১৯/০৩/১৯৮৭</v>
      </c>
      <c r="H142" s="4" t="str">
        <f>IFERROR(__xludf.DUMMYFUNCTION("""COMPUTED_VALUE"""),"কৃষক")</f>
        <v>কৃষক</v>
      </c>
      <c r="I142" s="4" t="str">
        <f>IFERROR(__xludf.DUMMYFUNCTION("""COMPUTED_VALUE"""),"""আড়পাড়া")</f>
        <v>"আড়পাড়া</v>
      </c>
      <c r="J142" s="4" t="str">
        <f>IFERROR(__xludf.DUMMYFUNCTION("""COMPUTED_VALUE""")," গাংনী")</f>
        <v> গাংনী</v>
      </c>
      <c r="K142" s="4" t="str">
        <f>IFERROR(__xludf.DUMMYFUNCTION("""COMPUTED_VALUE""")," মেহেরপুর""")</f>
        <v> মেহেরপুর"</v>
      </c>
    </row>
    <row r="143" ht="15.75" customHeight="1">
      <c r="A143" s="5" t="s">
        <v>3498</v>
      </c>
      <c r="B143" s="4">
        <f>IFERROR(__xludf.DUMMYFUNCTION("SPLIT(A143,"","")"),1090.0)</f>
        <v>1090</v>
      </c>
      <c r="C143" s="4" t="str">
        <f>IFERROR(__xludf.DUMMYFUNCTION("""COMPUTED_VALUE"""),"মোঃ স্বপন আলী")</f>
        <v>মোঃ স্বপন আলী</v>
      </c>
      <c r="D143" s="4">
        <f>IFERROR(__xludf.DUMMYFUNCTION("""COMPUTED_VALUE"""),5.700555544926E12)</f>
        <v>5700555544926</v>
      </c>
      <c r="E143" s="4" t="str">
        <f>IFERROR(__xludf.DUMMYFUNCTION("""COMPUTED_VALUE"""),"মোঃ আশরাফুল")</f>
        <v>মোঃ আশরাফুল</v>
      </c>
      <c r="F143" s="4" t="str">
        <f>IFERROR(__xludf.DUMMYFUNCTION("""COMPUTED_VALUE"""),"মোছাঃ রুপিয়া খাতুন")</f>
        <v>মোছাঃ রুপিয়া খাতুন</v>
      </c>
      <c r="G143" s="4" t="str">
        <f>IFERROR(__xludf.DUMMYFUNCTION("""COMPUTED_VALUE"""),"০৫/১২/২০০১")</f>
        <v>০৫/১২/২০০১</v>
      </c>
      <c r="H143" s="4" t="str">
        <f>IFERROR(__xludf.DUMMYFUNCTION("""COMPUTED_VALUE"""),"কৃষক")</f>
        <v>কৃষক</v>
      </c>
      <c r="I143" s="4" t="str">
        <f>IFERROR(__xludf.DUMMYFUNCTION("""COMPUTED_VALUE"""),"""১৩৫")</f>
        <v>"১৩৫</v>
      </c>
      <c r="J143" s="4" t="str">
        <f>IFERROR(__xludf.DUMMYFUNCTION("""COMPUTED_VALUE""")," আড়পাড়া")</f>
        <v> আড়পাড়া</v>
      </c>
      <c r="K143" s="4" t="str">
        <f>IFERROR(__xludf.DUMMYFUNCTION("""COMPUTED_VALUE""")," গাংনী")</f>
        <v> গাংনী</v>
      </c>
      <c r="L143" s="4" t="str">
        <f>IFERROR(__xludf.DUMMYFUNCTION("""COMPUTED_VALUE""")," মেহেরপুর""")</f>
        <v> মেহেরপুর"</v>
      </c>
    </row>
    <row r="144" ht="15.75" customHeight="1">
      <c r="A144" s="5" t="s">
        <v>3499</v>
      </c>
      <c r="B144" s="4">
        <f>IFERROR(__xludf.DUMMYFUNCTION("SPLIT(A144,"","")"),1091.0)</f>
        <v>1091</v>
      </c>
      <c r="C144" s="4" t="str">
        <f>IFERROR(__xludf.DUMMYFUNCTION("""COMPUTED_VALUE"""),"মোঃ গাফফার আলী")</f>
        <v>মোঃ গাফফার আলী</v>
      </c>
      <c r="D144" s="4">
        <f>IFERROR(__xludf.DUMMYFUNCTION("""COMPUTED_VALUE"""),5.700555544927E12)</f>
        <v>5700555544927</v>
      </c>
      <c r="E144" s="4" t="str">
        <f>IFERROR(__xludf.DUMMYFUNCTION("""COMPUTED_VALUE"""),"মোঃ দ্বীন ইসলাম")</f>
        <v>মোঃ দ্বীন ইসলাম</v>
      </c>
      <c r="F144" s="4" t="str">
        <f>IFERROR(__xludf.DUMMYFUNCTION("""COMPUTED_VALUE"""),"মোছাঃ হেমেলা খাতুন")</f>
        <v>মোছাঃ হেমেলা খাতুন</v>
      </c>
      <c r="G144" s="4" t="str">
        <f>IFERROR(__xludf.DUMMYFUNCTION("""COMPUTED_VALUE"""),"০৫/০৩/২০০৩")</f>
        <v>০৫/০৩/২০০৩</v>
      </c>
      <c r="H144" s="4" t="str">
        <f>IFERROR(__xludf.DUMMYFUNCTION("""COMPUTED_VALUE"""),"কৃষক")</f>
        <v>কৃষক</v>
      </c>
      <c r="I144" s="4" t="str">
        <f>IFERROR(__xludf.DUMMYFUNCTION("""COMPUTED_VALUE"""),"""আড়পাড়া")</f>
        <v>"আড়পাড়া</v>
      </c>
      <c r="J144" s="4" t="str">
        <f>IFERROR(__xludf.DUMMYFUNCTION("""COMPUTED_VALUE""")," গাংনী")</f>
        <v> গাংনী</v>
      </c>
      <c r="K144" s="4" t="str">
        <f>IFERROR(__xludf.DUMMYFUNCTION("""COMPUTED_VALUE""")," মেহেরপুর""")</f>
        <v> মেহেরপুর"</v>
      </c>
    </row>
    <row r="145" ht="15.75" customHeight="1">
      <c r="A145" s="5" t="s">
        <v>3500</v>
      </c>
      <c r="B145" s="4">
        <f>IFERROR(__xludf.DUMMYFUNCTION("SPLIT(A145,"","")"),1092.0)</f>
        <v>1092</v>
      </c>
      <c r="C145" s="4" t="str">
        <f>IFERROR(__xludf.DUMMYFUNCTION("""COMPUTED_VALUE"""),"মোঃ আজমাইল")</f>
        <v>মোঃ আজমাইল</v>
      </c>
      <c r="D145" s="4">
        <f>IFERROR(__xludf.DUMMYFUNCTION("""COMPUTED_VALUE"""),5.700555544928E12)</f>
        <v>5700555544928</v>
      </c>
      <c r="E145" s="4" t="str">
        <f>IFERROR(__xludf.DUMMYFUNCTION("""COMPUTED_VALUE"""),"মোঃ রবগুল")</f>
        <v>মোঃ রবগুল</v>
      </c>
      <c r="F145" s="4" t="str">
        <f>IFERROR(__xludf.DUMMYFUNCTION("""COMPUTED_VALUE"""),"মোছাঃ আসুরা")</f>
        <v>মোছাঃ আসুরা</v>
      </c>
      <c r="G145" s="4" t="str">
        <f>IFERROR(__xludf.DUMMYFUNCTION("""COMPUTED_VALUE"""),"০৭/০৪/১৯৯৬")</f>
        <v>০৭/০৪/১৯৯৬</v>
      </c>
      <c r="H145" s="4" t="str">
        <f>IFERROR(__xludf.DUMMYFUNCTION("""COMPUTED_VALUE"""),"মিস্ত্রী")</f>
        <v>মিস্ত্রী</v>
      </c>
      <c r="I145" s="4" t="str">
        <f>IFERROR(__xludf.DUMMYFUNCTION("""COMPUTED_VALUE"""),"""আড়পাড়া")</f>
        <v>"আড়পাড়া</v>
      </c>
      <c r="J145" s="4" t="str">
        <f>IFERROR(__xludf.DUMMYFUNCTION("""COMPUTED_VALUE""")," গাংনী")</f>
        <v> গাংনী</v>
      </c>
      <c r="K145" s="4" t="str">
        <f>IFERROR(__xludf.DUMMYFUNCTION("""COMPUTED_VALUE""")," মেহেরপুর""")</f>
        <v> মেহেরপুর"</v>
      </c>
    </row>
    <row r="146" ht="15.75" customHeight="1">
      <c r="A146" s="5" t="s">
        <v>3501</v>
      </c>
      <c r="B146" s="4">
        <f>IFERROR(__xludf.DUMMYFUNCTION("SPLIT(A146,"","")"),1093.0)</f>
        <v>1093</v>
      </c>
      <c r="C146" s="4" t="str">
        <f>IFERROR(__xludf.DUMMYFUNCTION("""COMPUTED_VALUE"""),"মোঃ সুলতান আলী")</f>
        <v>মোঃ সুলতান আলী</v>
      </c>
      <c r="D146" s="4">
        <f>IFERROR(__xludf.DUMMYFUNCTION("""COMPUTED_VALUE"""),5.700555544929E12)</f>
        <v>5700555544929</v>
      </c>
      <c r="E146" s="4" t="str">
        <f>IFERROR(__xludf.DUMMYFUNCTION("""COMPUTED_VALUE"""),"মোঃ আবু হাসেম")</f>
        <v>মোঃ আবু হাসেম</v>
      </c>
      <c r="F146" s="4" t="str">
        <f>IFERROR(__xludf.DUMMYFUNCTION("""COMPUTED_VALUE"""),"মোছাঃ মনোয়ারা বেগম")</f>
        <v>মোছাঃ মনোয়ারা বেগম</v>
      </c>
      <c r="G146" s="4" t="str">
        <f>IFERROR(__xludf.DUMMYFUNCTION("""COMPUTED_VALUE"""),"২৭/১১/২০০২")</f>
        <v>২৭/১১/২০০২</v>
      </c>
      <c r="H146" s="4" t="str">
        <f>IFERROR(__xludf.DUMMYFUNCTION("""COMPUTED_VALUE"""),"কৃষক")</f>
        <v>কৃষক</v>
      </c>
      <c r="I146" s="4" t="str">
        <f>IFERROR(__xludf.DUMMYFUNCTION("""COMPUTED_VALUE"""),"""আড়পাড়া")</f>
        <v>"আড়পাড়া</v>
      </c>
      <c r="J146" s="4" t="str">
        <f>IFERROR(__xludf.DUMMYFUNCTION("""COMPUTED_VALUE""")," গাংনী")</f>
        <v> গাংনী</v>
      </c>
      <c r="K146" s="4" t="str">
        <f>IFERROR(__xludf.DUMMYFUNCTION("""COMPUTED_VALUE""")," মেহেরপুর""")</f>
        <v> মেহেরপুর"</v>
      </c>
    </row>
    <row r="147" ht="15.75" customHeight="1">
      <c r="A147" s="5" t="s">
        <v>3502</v>
      </c>
      <c r="B147" s="4">
        <f>IFERROR(__xludf.DUMMYFUNCTION("SPLIT(A147,"","")"),1094.0)</f>
        <v>1094</v>
      </c>
      <c r="C147" s="4" t="str">
        <f>IFERROR(__xludf.DUMMYFUNCTION("""COMPUTED_VALUE"""),"মোঃ মানিক মিয়া")</f>
        <v>মোঃ মানিক মিয়া</v>
      </c>
      <c r="D147" s="4">
        <f>IFERROR(__xludf.DUMMYFUNCTION("""COMPUTED_VALUE"""),5.70055554493E12)</f>
        <v>5700555544930</v>
      </c>
      <c r="E147" s="4" t="str">
        <f>IFERROR(__xludf.DUMMYFUNCTION("""COMPUTED_VALUE"""),"মোঃ আব্দুল লতিব")</f>
        <v>মোঃ আব্দুল লতিব</v>
      </c>
      <c r="F147" s="4" t="str">
        <f>IFERROR(__xludf.DUMMYFUNCTION("""COMPUTED_VALUE"""),"মোছাঃ মালা খাতুন")</f>
        <v>মোছাঃ মালা খাতুন</v>
      </c>
      <c r="G147" s="4" t="str">
        <f>IFERROR(__xludf.DUMMYFUNCTION("""COMPUTED_VALUE"""),"১২/০৮/২০০৩")</f>
        <v>১২/০৮/২০০৩</v>
      </c>
      <c r="H147" s="4" t="str">
        <f>IFERROR(__xludf.DUMMYFUNCTION("""COMPUTED_VALUE"""),"কৃষক")</f>
        <v>কৃষক</v>
      </c>
      <c r="I147" s="4" t="str">
        <f>IFERROR(__xludf.DUMMYFUNCTION("""COMPUTED_VALUE"""),"""আড়পাড়া")</f>
        <v>"আড়পাড়া</v>
      </c>
      <c r="J147" s="4" t="str">
        <f>IFERROR(__xludf.DUMMYFUNCTION("""COMPUTED_VALUE""")," গাংনী")</f>
        <v> গাংনী</v>
      </c>
      <c r="K147" s="4" t="str">
        <f>IFERROR(__xludf.DUMMYFUNCTION("""COMPUTED_VALUE""")," মেহেরপুর""")</f>
        <v> মেহেরপুর"</v>
      </c>
    </row>
    <row r="148" ht="15.75" customHeight="1">
      <c r="A148" s="5" t="s">
        <v>3503</v>
      </c>
      <c r="B148" s="4">
        <f>IFERROR(__xludf.DUMMYFUNCTION("SPLIT(A148,"","")"),1095.0)</f>
        <v>1095</v>
      </c>
      <c r="C148" s="4" t="str">
        <f>IFERROR(__xludf.DUMMYFUNCTION("""COMPUTED_VALUE"""),"মোঃ সোহেল রানা")</f>
        <v>মোঃ সোহেল রানা</v>
      </c>
      <c r="D148" s="4">
        <f>IFERROR(__xludf.DUMMYFUNCTION("""COMPUTED_VALUE"""),5.700555544938E12)</f>
        <v>5700555544938</v>
      </c>
      <c r="E148" s="4" t="str">
        <f>IFERROR(__xludf.DUMMYFUNCTION("""COMPUTED_VALUE"""),"মোঃ আব্দুল লতিব")</f>
        <v>মোঃ আব্দুল লতিব</v>
      </c>
      <c r="F148" s="4" t="str">
        <f>IFERROR(__xludf.DUMMYFUNCTION("""COMPUTED_VALUE"""),"মোছাঃ মনোয়ারা খাতুন")</f>
        <v>মোছাঃ মনোয়ারা খাতুন</v>
      </c>
      <c r="G148" s="4" t="str">
        <f>IFERROR(__xludf.DUMMYFUNCTION("""COMPUTED_VALUE"""),"১০/০১/২০০২")</f>
        <v>১০/০১/২০০২</v>
      </c>
      <c r="H148" s="4" t="str">
        <f>IFERROR(__xludf.DUMMYFUNCTION("""COMPUTED_VALUE"""),"কৃষক")</f>
        <v>কৃষক</v>
      </c>
      <c r="I148" s="4" t="str">
        <f>IFERROR(__xludf.DUMMYFUNCTION("""COMPUTED_VALUE"""),"""আড়পাড়া")</f>
        <v>"আড়পাড়া</v>
      </c>
      <c r="J148" s="4" t="str">
        <f>IFERROR(__xludf.DUMMYFUNCTION("""COMPUTED_VALUE""")," গাংনী")</f>
        <v> গাংনী</v>
      </c>
      <c r="K148" s="4" t="str">
        <f>IFERROR(__xludf.DUMMYFUNCTION("""COMPUTED_VALUE""")," মেহেরপুর""")</f>
        <v> মেহেরপুর"</v>
      </c>
    </row>
    <row r="149" ht="15.75" customHeight="1">
      <c r="A149" s="5" t="s">
        <v>3504</v>
      </c>
      <c r="B149" s="4">
        <f>IFERROR(__xludf.DUMMYFUNCTION("SPLIT(A149,"","")"),1096.0)</f>
        <v>1096</v>
      </c>
      <c r="C149" s="4" t="str">
        <f>IFERROR(__xludf.DUMMYFUNCTION("""COMPUTED_VALUE"""),"মোঃ বিপ্লব আলী")</f>
        <v>মোঃ বিপ্লব আলী</v>
      </c>
      <c r="D149" s="4">
        <f>IFERROR(__xludf.DUMMYFUNCTION("""COMPUTED_VALUE"""),5.700555544951E12)</f>
        <v>5700555544951</v>
      </c>
      <c r="E149" s="4" t="str">
        <f>IFERROR(__xludf.DUMMYFUNCTION("""COMPUTED_VALUE"""),"মহলেছুর রহমান")</f>
        <v>মহলেছুর রহমান</v>
      </c>
      <c r="F149" s="4" t="str">
        <f>IFERROR(__xludf.DUMMYFUNCTION("""COMPUTED_VALUE"""),"মৃত সেলিনা খাতুন")</f>
        <v>মৃত সেলিনা খাতুন</v>
      </c>
      <c r="G149" s="4" t="str">
        <f>IFERROR(__xludf.DUMMYFUNCTION("""COMPUTED_VALUE"""),"২২/০৮/২০০১")</f>
        <v>২২/০৮/২০০১</v>
      </c>
      <c r="H149" s="4" t="str">
        <f>IFERROR(__xludf.DUMMYFUNCTION("""COMPUTED_VALUE"""),"কৃষক")</f>
        <v>কৃষক</v>
      </c>
      <c r="I149" s="4" t="str">
        <f>IFERROR(__xludf.DUMMYFUNCTION("""COMPUTED_VALUE"""),"""১২৭")</f>
        <v>"১২৭</v>
      </c>
      <c r="J149" s="4" t="str">
        <f>IFERROR(__xludf.DUMMYFUNCTION("""COMPUTED_VALUE""")," আড়পাড়া")</f>
        <v> আড়পাড়া</v>
      </c>
      <c r="K149" s="4" t="str">
        <f>IFERROR(__xludf.DUMMYFUNCTION("""COMPUTED_VALUE""")," গাংনী")</f>
        <v> গাংনী</v>
      </c>
      <c r="L149" s="4" t="str">
        <f>IFERROR(__xludf.DUMMYFUNCTION("""COMPUTED_VALUE""")," মেহেরপুর""")</f>
        <v> মেহেরপুর"</v>
      </c>
    </row>
    <row r="150" ht="15.75" customHeight="1">
      <c r="A150" s="5" t="s">
        <v>3505</v>
      </c>
      <c r="B150" s="4">
        <f>IFERROR(__xludf.DUMMYFUNCTION("SPLIT(A150,"","")"),1097.0)</f>
        <v>1097</v>
      </c>
      <c r="C150" s="4" t="str">
        <f>IFERROR(__xludf.DUMMYFUNCTION("""COMPUTED_VALUE"""),"মোঃ আকাশ আলী")</f>
        <v>মোঃ আকাশ আলী</v>
      </c>
      <c r="D150" s="4">
        <f>IFERROR(__xludf.DUMMYFUNCTION("""COMPUTED_VALUE"""),5.700555544952E12)</f>
        <v>5700555544952</v>
      </c>
      <c r="E150" s="4" t="str">
        <f>IFERROR(__xludf.DUMMYFUNCTION("""COMPUTED_VALUE"""),"মোঃ ইসমাইল হোসেন")</f>
        <v>মোঃ ইসমাইল হোসেন</v>
      </c>
      <c r="F150" s="4" t="str">
        <f>IFERROR(__xludf.DUMMYFUNCTION("""COMPUTED_VALUE"""),"মোছাঃ জাহানারা খাতুন")</f>
        <v>মোছাঃ জাহানারা খাতুন</v>
      </c>
      <c r="G150" s="4" t="str">
        <f>IFERROR(__xludf.DUMMYFUNCTION("""COMPUTED_VALUE"""),"১৫/১১/২০০০")</f>
        <v>১৫/১১/২০০০</v>
      </c>
      <c r="H150" s="4" t="str">
        <f>IFERROR(__xludf.DUMMYFUNCTION("""COMPUTED_VALUE"""),"ছাত্র/ছাত্রী")</f>
        <v>ছাত্র/ছাত্রী</v>
      </c>
      <c r="I150" s="4" t="str">
        <f>IFERROR(__xludf.DUMMYFUNCTION("""COMPUTED_VALUE"""),"""২৯০")</f>
        <v>"২৯০</v>
      </c>
      <c r="J150" s="4" t="str">
        <f>IFERROR(__xludf.DUMMYFUNCTION("""COMPUTED_VALUE""")," আড়পাড়া")</f>
        <v> আড়পাড়া</v>
      </c>
      <c r="K150" s="4" t="str">
        <f>IFERROR(__xludf.DUMMYFUNCTION("""COMPUTED_VALUE""")," গাংনী")</f>
        <v> গাংনী</v>
      </c>
      <c r="L150" s="4" t="str">
        <f>IFERROR(__xludf.DUMMYFUNCTION("""COMPUTED_VALUE""")," মেহেরপুর""")</f>
        <v> মেহেরপুর"</v>
      </c>
    </row>
    <row r="151" ht="15.75" customHeight="1">
      <c r="A151" s="5" t="s">
        <v>3506</v>
      </c>
      <c r="B151" s="4">
        <f>IFERROR(__xludf.DUMMYFUNCTION("SPLIT(A151,"","")"),1098.0)</f>
        <v>1098</v>
      </c>
      <c r="C151" s="4" t="str">
        <f>IFERROR(__xludf.DUMMYFUNCTION("""COMPUTED_VALUE"""),"মোঃ তরিকুল ইসলাম")</f>
        <v>মোঃ তরিকুল ইসলাম</v>
      </c>
      <c r="D151" s="4">
        <f>IFERROR(__xludf.DUMMYFUNCTION("""COMPUTED_VALUE"""),5.700555544953E12)</f>
        <v>5700555544953</v>
      </c>
      <c r="E151" s="4" t="str">
        <f>IFERROR(__xludf.DUMMYFUNCTION("""COMPUTED_VALUE"""),"মোঃ রাশিদুল ইসলাম")</f>
        <v>মোঃ রাশিদুল ইসলাম</v>
      </c>
      <c r="F151" s="4" t="str">
        <f>IFERROR(__xludf.DUMMYFUNCTION("""COMPUTED_VALUE"""),"মোছাঃ সুন্দরী খাতুন")</f>
        <v>মোছাঃ সুন্দরী খাতুন</v>
      </c>
      <c r="G151" s="4" t="str">
        <f>IFERROR(__xludf.DUMMYFUNCTION("""COMPUTED_VALUE"""),"১৬/০৮/২০০১")</f>
        <v>১৬/০৮/২০০১</v>
      </c>
      <c r="H151" s="4" t="str">
        <f>IFERROR(__xludf.DUMMYFUNCTION("""COMPUTED_VALUE"""),"কৃষক")</f>
        <v>কৃষক</v>
      </c>
      <c r="I151" s="4" t="str">
        <f>IFERROR(__xludf.DUMMYFUNCTION("""COMPUTED_VALUE"""),"""০৬")</f>
        <v>"০৬</v>
      </c>
      <c r="J151" s="4" t="str">
        <f>IFERROR(__xludf.DUMMYFUNCTION("""COMPUTED_VALUE""")," আড়পাড়া")</f>
        <v> আড়পাড়া</v>
      </c>
      <c r="K151" s="4" t="str">
        <f>IFERROR(__xludf.DUMMYFUNCTION("""COMPUTED_VALUE""")," গাংনী")</f>
        <v> গাংনী</v>
      </c>
      <c r="L151" s="4" t="str">
        <f>IFERROR(__xludf.DUMMYFUNCTION("""COMPUTED_VALUE""")," মেহেরপুর""")</f>
        <v> মেহেরপুর"</v>
      </c>
    </row>
    <row r="152" ht="15.75" customHeight="1">
      <c r="A152" s="5" t="s">
        <v>3507</v>
      </c>
      <c r="B152" s="4">
        <f>IFERROR(__xludf.DUMMYFUNCTION("SPLIT(A152,"","")"),1099.0)</f>
        <v>1099</v>
      </c>
      <c r="C152" s="4" t="str">
        <f>IFERROR(__xludf.DUMMYFUNCTION("""COMPUTED_VALUE"""),"মোঃ সাইফুল ইসলাম")</f>
        <v>মোঃ সাইফুল ইসলাম</v>
      </c>
      <c r="D152" s="4">
        <f>IFERROR(__xludf.DUMMYFUNCTION("""COMPUTED_VALUE"""),5.700555544955E12)</f>
        <v>5700555544955</v>
      </c>
      <c r="E152" s="4" t="str">
        <f>IFERROR(__xludf.DUMMYFUNCTION("""COMPUTED_VALUE"""),"মৃত বদর উদ্দীন")</f>
        <v>মৃত বদর উদ্দীন</v>
      </c>
      <c r="F152" s="4" t="str">
        <f>IFERROR(__xludf.DUMMYFUNCTION("""COMPUTED_VALUE"""),"মোছাঃ লালন খাতুন")</f>
        <v>মোছাঃ লালন খাতুন</v>
      </c>
      <c r="G152" s="4" t="str">
        <f>IFERROR(__xludf.DUMMYFUNCTION("""COMPUTED_VALUE"""),"০৮/০৫/১৯৯৭")</f>
        <v>০৮/০৫/১৯৯৭</v>
      </c>
      <c r="H152" s="4" t="str">
        <f>IFERROR(__xludf.DUMMYFUNCTION("""COMPUTED_VALUE"""),"কৃষক")</f>
        <v>কৃষক</v>
      </c>
      <c r="I152" s="4" t="str">
        <f>IFERROR(__xludf.DUMMYFUNCTION("""COMPUTED_VALUE"""),"""১২২")</f>
        <v>"১২২</v>
      </c>
      <c r="J152" s="4" t="str">
        <f>IFERROR(__xludf.DUMMYFUNCTION("""COMPUTED_VALUE""")," আড়পাড়া")</f>
        <v> আড়পাড়া</v>
      </c>
      <c r="K152" s="4" t="str">
        <f>IFERROR(__xludf.DUMMYFUNCTION("""COMPUTED_VALUE""")," গাংনী")</f>
        <v> গাংনী</v>
      </c>
      <c r="L152" s="4" t="str">
        <f>IFERROR(__xludf.DUMMYFUNCTION("""COMPUTED_VALUE""")," মেহেরপুর""")</f>
        <v> মেহেরপুর"</v>
      </c>
    </row>
    <row r="153" ht="15.75" customHeight="1">
      <c r="A153" s="5" t="s">
        <v>3508</v>
      </c>
      <c r="B153" s="4">
        <f>IFERROR(__xludf.DUMMYFUNCTION("SPLIT(A153,"","")"),1100.0)</f>
        <v>1100</v>
      </c>
      <c r="C153" s="4" t="str">
        <f>IFERROR(__xludf.DUMMYFUNCTION("""COMPUTED_VALUE"""),"হাফিজুর রহমান")</f>
        <v>হাফিজুর রহমান</v>
      </c>
      <c r="D153" s="4">
        <f>IFERROR(__xludf.DUMMYFUNCTION("""COMPUTED_VALUE"""),5.700555544956E12)</f>
        <v>5700555544956</v>
      </c>
      <c r="E153" s="4" t="str">
        <f>IFERROR(__xludf.DUMMYFUNCTION("""COMPUTED_VALUE"""),"মৃত আকমান আলী")</f>
        <v>মৃত আকমান আলী</v>
      </c>
      <c r="F153" s="4" t="str">
        <f>IFERROR(__xludf.DUMMYFUNCTION("""COMPUTED_VALUE"""),"মোছাঃ মালেজান")</f>
        <v>মোছাঃ মালেজান</v>
      </c>
      <c r="G153" s="4" t="str">
        <f>IFERROR(__xludf.DUMMYFUNCTION("""COMPUTED_VALUE"""),"০১/০২/১৯৯১")</f>
        <v>০১/০২/১৯৯১</v>
      </c>
      <c r="H153" s="4" t="str">
        <f>IFERROR(__xludf.DUMMYFUNCTION("""COMPUTED_VALUE"""),"কৃষক")</f>
        <v>কৃষক</v>
      </c>
      <c r="I153" s="4" t="str">
        <f>IFERROR(__xludf.DUMMYFUNCTION("""COMPUTED_VALUE"""),"""১০২")</f>
        <v>"১০২</v>
      </c>
      <c r="J153" s="4" t="str">
        <f>IFERROR(__xludf.DUMMYFUNCTION("""COMPUTED_VALUE""")," আড়পাড়া")</f>
        <v> আড়পাড়া</v>
      </c>
      <c r="K153" s="4" t="str">
        <f>IFERROR(__xludf.DUMMYFUNCTION("""COMPUTED_VALUE""")," গাংনী")</f>
        <v> গাংনী</v>
      </c>
      <c r="L153" s="4" t="str">
        <f>IFERROR(__xludf.DUMMYFUNCTION("""COMPUTED_VALUE""")," মেহেরপুর""")</f>
        <v> মেহেরপুর"</v>
      </c>
    </row>
    <row r="154" ht="15.75" customHeight="1">
      <c r="A154" s="5" t="s">
        <v>3509</v>
      </c>
      <c r="B154" s="4">
        <f>IFERROR(__xludf.DUMMYFUNCTION("SPLIT(A154,"","")"),1101.0)</f>
        <v>1101</v>
      </c>
      <c r="C154" s="4" t="str">
        <f>IFERROR(__xludf.DUMMYFUNCTION("""COMPUTED_VALUE"""),"মোঃ আশিক আলী")</f>
        <v>মোঃ আশিক আলী</v>
      </c>
      <c r="D154" s="4">
        <f>IFERROR(__xludf.DUMMYFUNCTION("""COMPUTED_VALUE"""),5.700555544957E12)</f>
        <v>5700555544957</v>
      </c>
      <c r="E154" s="4" t="str">
        <f>IFERROR(__xludf.DUMMYFUNCTION("""COMPUTED_VALUE"""),"মনিরুল হক")</f>
        <v>মনিরুল হক</v>
      </c>
      <c r="F154" s="4" t="str">
        <f>IFERROR(__xludf.DUMMYFUNCTION("""COMPUTED_VALUE"""),"মোছাঃ মুর্সিদা খাতুন")</f>
        <v>মোছাঃ মুর্সিদা খাতুন</v>
      </c>
      <c r="G154" s="4" t="str">
        <f>IFERROR(__xludf.DUMMYFUNCTION("""COMPUTED_VALUE"""),"০১/০১/২০০০")</f>
        <v>০১/০১/২০০০</v>
      </c>
      <c r="H154" s="4" t="str">
        <f>IFERROR(__xludf.DUMMYFUNCTION("""COMPUTED_VALUE"""),"কৃষক")</f>
        <v>কৃষক</v>
      </c>
      <c r="I154" s="4" t="str">
        <f>IFERROR(__xludf.DUMMYFUNCTION("""COMPUTED_VALUE"""),"""আড়পাড়া")</f>
        <v>"আড়পাড়া</v>
      </c>
      <c r="J154" s="4" t="str">
        <f>IFERROR(__xludf.DUMMYFUNCTION("""COMPUTED_VALUE""")," গাংনী")</f>
        <v> গাংনী</v>
      </c>
      <c r="K154" s="4" t="str">
        <f>IFERROR(__xludf.DUMMYFUNCTION("""COMPUTED_VALUE""")," মেহেরপুর""")</f>
        <v> মেহেরপুর"</v>
      </c>
    </row>
    <row r="155" ht="15.75" customHeight="1">
      <c r="A155" s="5" t="s">
        <v>3510</v>
      </c>
      <c r="B155" s="4">
        <f>IFERROR(__xludf.DUMMYFUNCTION("SPLIT(A155,"","")"),1102.0)</f>
        <v>1102</v>
      </c>
      <c r="C155" s="4" t="str">
        <f>IFERROR(__xludf.DUMMYFUNCTION("""COMPUTED_VALUE"""),"মোঃ মিনারুল ইসলাম")</f>
        <v>মোঃ মিনারুল ইসলাম</v>
      </c>
      <c r="D155" s="4">
        <f>IFERROR(__xludf.DUMMYFUNCTION("""COMPUTED_VALUE"""),5.700555544958E12)</f>
        <v>5700555544958</v>
      </c>
      <c r="E155" s="4" t="str">
        <f>IFERROR(__xludf.DUMMYFUNCTION("""COMPUTED_VALUE"""),"মৃত মোঃ এরশাদ আলী")</f>
        <v>মৃত মোঃ এরশাদ আলী</v>
      </c>
      <c r="F155" s="4" t="str">
        <f>IFERROR(__xludf.DUMMYFUNCTION("""COMPUTED_VALUE"""),"মোছাঃ রেকছনা খাতুন")</f>
        <v>মোছাঃ রেকছনা খাতুন</v>
      </c>
      <c r="G155" s="4" t="str">
        <f>IFERROR(__xludf.DUMMYFUNCTION("""COMPUTED_VALUE"""),"০৬/০৩/২০০২")</f>
        <v>০৬/০৩/২০০২</v>
      </c>
      <c r="H155" s="4" t="str">
        <f>IFERROR(__xludf.DUMMYFUNCTION("""COMPUTED_VALUE"""),"কৃষক")</f>
        <v>কৃষক</v>
      </c>
      <c r="I155" s="4" t="str">
        <f>IFERROR(__xludf.DUMMYFUNCTION("""COMPUTED_VALUE"""),"""-১০৪")</f>
        <v>"-১০৪</v>
      </c>
      <c r="J155" s="4" t="str">
        <f>IFERROR(__xludf.DUMMYFUNCTION("""COMPUTED_VALUE""")," আড়পাড়া")</f>
        <v> আড়পাড়া</v>
      </c>
      <c r="K155" s="4" t="str">
        <f>IFERROR(__xludf.DUMMYFUNCTION("""COMPUTED_VALUE""")," গাংনী")</f>
        <v> গাংনী</v>
      </c>
      <c r="L155" s="4" t="str">
        <f>IFERROR(__xludf.DUMMYFUNCTION("""COMPUTED_VALUE""")," মেহেরপুর""")</f>
        <v> মেহেরপুর"</v>
      </c>
    </row>
    <row r="156" ht="15.75" customHeight="1">
      <c r="A156" s="5" t="s">
        <v>3511</v>
      </c>
      <c r="B156" s="4">
        <f>IFERROR(__xludf.DUMMYFUNCTION("SPLIT(A156,"","")"),1103.0)</f>
        <v>1103</v>
      </c>
      <c r="C156" s="4" t="str">
        <f>IFERROR(__xludf.DUMMYFUNCTION("""COMPUTED_VALUE"""),"মোঃ আজিমুদ্দীন")</f>
        <v>মোঃ আজিমুদ্দীন</v>
      </c>
      <c r="D156" s="4">
        <f>IFERROR(__xludf.DUMMYFUNCTION("""COMPUTED_VALUE"""),5.70055554496E12)</f>
        <v>5700555544960</v>
      </c>
      <c r="E156" s="4" t="str">
        <f>IFERROR(__xludf.DUMMYFUNCTION("""COMPUTED_VALUE"""),"মৃত লালচাঁদ")</f>
        <v>মৃত লালচাঁদ</v>
      </c>
      <c r="F156" s="4" t="str">
        <f>IFERROR(__xludf.DUMMYFUNCTION("""COMPUTED_VALUE"""),"ইলাজান")</f>
        <v>ইলাজান</v>
      </c>
      <c r="G156" s="4" t="str">
        <f>IFERROR(__xludf.DUMMYFUNCTION("""COMPUTED_VALUE"""),"০৫/০১/১৯৭৫")</f>
        <v>০৫/০১/১৯৭৫</v>
      </c>
      <c r="H156" s="4" t="str">
        <f>IFERROR(__xludf.DUMMYFUNCTION("""COMPUTED_VALUE"""),"কৃষক")</f>
        <v>কৃষক</v>
      </c>
      <c r="I156" s="4" t="str">
        <f>IFERROR(__xludf.DUMMYFUNCTION("""COMPUTED_VALUE"""),"""১৭১")</f>
        <v>"১৭১</v>
      </c>
      <c r="J156" s="4" t="str">
        <f>IFERROR(__xludf.DUMMYFUNCTION("""COMPUTED_VALUE""")," আড়পাড়া")</f>
        <v> আড়পাড়া</v>
      </c>
      <c r="K156" s="4" t="str">
        <f>IFERROR(__xludf.DUMMYFUNCTION("""COMPUTED_VALUE""")," গাংনী")</f>
        <v> গাংনী</v>
      </c>
      <c r="L156" s="4" t="str">
        <f>IFERROR(__xludf.DUMMYFUNCTION("""COMPUTED_VALUE""")," মেহেরপুর""")</f>
        <v> মেহেরপুর"</v>
      </c>
    </row>
    <row r="157" ht="15.75" customHeight="1">
      <c r="A157" s="5" t="s">
        <v>3512</v>
      </c>
      <c r="B157" s="4">
        <f>IFERROR(__xludf.DUMMYFUNCTION("SPLIT(A157,"","")"),1104.0)</f>
        <v>1104</v>
      </c>
      <c r="C157" s="4" t="str">
        <f>IFERROR(__xludf.DUMMYFUNCTION("""COMPUTED_VALUE"""),"মোঃ শিমুল আলী")</f>
        <v>মোঃ শিমুল আলী</v>
      </c>
      <c r="D157" s="4">
        <f>IFERROR(__xludf.DUMMYFUNCTION("""COMPUTED_VALUE"""),5.700555544963E12)</f>
        <v>5700555544963</v>
      </c>
      <c r="E157" s="4" t="str">
        <f>IFERROR(__xludf.DUMMYFUNCTION("""COMPUTED_VALUE"""),"মোঃ কামাল উদ্দীন")</f>
        <v>মোঃ কামাল উদ্দীন</v>
      </c>
      <c r="F157" s="4" t="str">
        <f>IFERROR(__xludf.DUMMYFUNCTION("""COMPUTED_VALUE"""),"মোছাঃ শিউলী খাতুন")</f>
        <v>মোছাঃ শিউলী খাতুন</v>
      </c>
      <c r="G157" s="4" t="str">
        <f>IFERROR(__xludf.DUMMYFUNCTION("""COMPUTED_VALUE"""),"০৯/০৪/২০০২")</f>
        <v>০৯/০৪/২০০২</v>
      </c>
      <c r="H157" s="4" t="str">
        <f>IFERROR(__xludf.DUMMYFUNCTION("""COMPUTED_VALUE"""),"কৃষক")</f>
        <v>কৃষক</v>
      </c>
      <c r="I157" s="4" t="str">
        <f>IFERROR(__xludf.DUMMYFUNCTION("""COMPUTED_VALUE"""),"""২৮৮")</f>
        <v>"২৮৮</v>
      </c>
      <c r="J157" s="4" t="str">
        <f>IFERROR(__xludf.DUMMYFUNCTION("""COMPUTED_VALUE""")," আড়পাড়া")</f>
        <v> আড়পাড়া</v>
      </c>
      <c r="K157" s="4" t="str">
        <f>IFERROR(__xludf.DUMMYFUNCTION("""COMPUTED_VALUE""")," গাংনী")</f>
        <v> গাংনী</v>
      </c>
      <c r="L157" s="4" t="str">
        <f>IFERROR(__xludf.DUMMYFUNCTION("""COMPUTED_VALUE""")," মেহেরপুর""")</f>
        <v> মেহেরপুর"</v>
      </c>
    </row>
    <row r="158" ht="15.75" customHeight="1">
      <c r="A158" s="5" t="s">
        <v>3513</v>
      </c>
      <c r="B158" s="4">
        <f>IFERROR(__xludf.DUMMYFUNCTION("SPLIT(A158,"","")"),1105.0)</f>
        <v>1105</v>
      </c>
      <c r="C158" s="4" t="str">
        <f>IFERROR(__xludf.DUMMYFUNCTION("""COMPUTED_VALUE"""),"মোঃ আশরাফুল ইসলাম")</f>
        <v>মোঃ আশরাফুল ইসলাম</v>
      </c>
      <c r="D158" s="4">
        <f>IFERROR(__xludf.DUMMYFUNCTION("""COMPUTED_VALUE"""),5.700555544969E12)</f>
        <v>5700555544969</v>
      </c>
      <c r="E158" s="4" t="str">
        <f>IFERROR(__xludf.DUMMYFUNCTION("""COMPUTED_VALUE"""),"মোঃ মহাসিন মালিথা")</f>
        <v>মোঃ মহাসিন মালিথা</v>
      </c>
      <c r="F158" s="4" t="str">
        <f>IFERROR(__xludf.DUMMYFUNCTION("""COMPUTED_VALUE"""),"মোছাঃ রুসিয়া খাতুন")</f>
        <v>মোছাঃ রুসিয়া খাতুন</v>
      </c>
      <c r="G158" s="4" t="str">
        <f>IFERROR(__xludf.DUMMYFUNCTION("""COMPUTED_VALUE"""),"১৫/০২/১৯৮৯")</f>
        <v>১৫/০২/১৯৮৯</v>
      </c>
      <c r="H158" s="4" t="str">
        <f>IFERROR(__xludf.DUMMYFUNCTION("""COMPUTED_VALUE"""),"কৃষক")</f>
        <v>কৃষক</v>
      </c>
      <c r="I158" s="4" t="str">
        <f>IFERROR(__xludf.DUMMYFUNCTION("""COMPUTED_VALUE"""),"""১২৫")</f>
        <v>"১২৫</v>
      </c>
      <c r="J158" s="4" t="str">
        <f>IFERROR(__xludf.DUMMYFUNCTION("""COMPUTED_VALUE""")," আড়পাড়া")</f>
        <v> আড়পাড়া</v>
      </c>
      <c r="K158" s="4" t="str">
        <f>IFERROR(__xludf.DUMMYFUNCTION("""COMPUTED_VALUE""")," গাংনী")</f>
        <v> গাংনী</v>
      </c>
      <c r="L158" s="4" t="str">
        <f>IFERROR(__xludf.DUMMYFUNCTION("""COMPUTED_VALUE""")," মেহেরপুর""")</f>
        <v> মেহেরপুর"</v>
      </c>
    </row>
    <row r="159" ht="15.75" customHeight="1">
      <c r="A159" s="5" t="s">
        <v>3514</v>
      </c>
      <c r="B159" s="4">
        <f>IFERROR(__xludf.DUMMYFUNCTION("SPLIT(A159,"","")"),1106.0)</f>
        <v>1106</v>
      </c>
      <c r="C159" s="4" t="str">
        <f>IFERROR(__xludf.DUMMYFUNCTION("""COMPUTED_VALUE"""),"মোঃ সবুজ আলী")</f>
        <v>মোঃ সবুজ আলী</v>
      </c>
      <c r="D159" s="4">
        <f>IFERROR(__xludf.DUMMYFUNCTION("""COMPUTED_VALUE"""),5.70055554497E12)</f>
        <v>5700555544970</v>
      </c>
      <c r="E159" s="4" t="str">
        <f>IFERROR(__xludf.DUMMYFUNCTION("""COMPUTED_VALUE"""),"মোঃ মহিদুল হক")</f>
        <v>মোঃ মহিদুল হক</v>
      </c>
      <c r="F159" s="4" t="str">
        <f>IFERROR(__xludf.DUMMYFUNCTION("""COMPUTED_VALUE"""),"মোছাঃ কুলছুম খাতুন")</f>
        <v>মোছাঃ কুলছুম খাতুন</v>
      </c>
      <c r="G159" s="4" t="str">
        <f>IFERROR(__xludf.DUMMYFUNCTION("""COMPUTED_VALUE"""),"০৩/০১/২০০০")</f>
        <v>০৩/০১/২০০০</v>
      </c>
      <c r="H159" s="4" t="str">
        <f>IFERROR(__xludf.DUMMYFUNCTION("""COMPUTED_VALUE"""),"কৃষক")</f>
        <v>কৃষক</v>
      </c>
      <c r="I159" s="4" t="str">
        <f>IFERROR(__xludf.DUMMYFUNCTION("""COMPUTED_VALUE"""),"""১০০")</f>
        <v>"১০০</v>
      </c>
      <c r="J159" s="4" t="str">
        <f>IFERROR(__xludf.DUMMYFUNCTION("""COMPUTED_VALUE""")," আড়পাড়া")</f>
        <v> আড়পাড়া</v>
      </c>
      <c r="K159" s="4" t="str">
        <f>IFERROR(__xludf.DUMMYFUNCTION("""COMPUTED_VALUE""")," গাংনী")</f>
        <v> গাংনী</v>
      </c>
      <c r="L159" s="4" t="str">
        <f>IFERROR(__xludf.DUMMYFUNCTION("""COMPUTED_VALUE""")," মেহেরপুর""")</f>
        <v> মেহেরপুর"</v>
      </c>
    </row>
    <row r="160" ht="15.75" customHeight="1">
      <c r="A160" s="5" t="s">
        <v>3515</v>
      </c>
      <c r="B160" s="4">
        <f>IFERROR(__xludf.DUMMYFUNCTION("SPLIT(A160,"","")"),1107.0)</f>
        <v>1107</v>
      </c>
      <c r="C160" s="4" t="str">
        <f>IFERROR(__xludf.DUMMYFUNCTION("""COMPUTED_VALUE"""),"মোঃ তরিকুল ইসলাম")</f>
        <v>মোঃ তরিকুল ইসলাম</v>
      </c>
      <c r="D160" s="4">
        <f>IFERROR(__xludf.DUMMYFUNCTION("""COMPUTED_VALUE"""),5.700555544971E12)</f>
        <v>5700555544971</v>
      </c>
      <c r="E160" s="4" t="str">
        <f>IFERROR(__xludf.DUMMYFUNCTION("""COMPUTED_VALUE"""),"মোঃ আবুর কালাম")</f>
        <v>মোঃ আবুর কালাম</v>
      </c>
      <c r="F160" s="4" t="str">
        <f>IFERROR(__xludf.DUMMYFUNCTION("""COMPUTED_VALUE"""),"মোছাঃ ফরিদা খাতুন")</f>
        <v>মোছাঃ ফরিদা খাতুন</v>
      </c>
      <c r="G160" s="4" t="str">
        <f>IFERROR(__xludf.DUMMYFUNCTION("""COMPUTED_VALUE"""),"১০/০৯/২০০১")</f>
        <v>১০/০৯/২০০১</v>
      </c>
      <c r="H160" s="4" t="str">
        <f>IFERROR(__xludf.DUMMYFUNCTION("""COMPUTED_VALUE"""),"কৃষক")</f>
        <v>কৃষক</v>
      </c>
      <c r="I160" s="4" t="str">
        <f>IFERROR(__xludf.DUMMYFUNCTION("""COMPUTED_VALUE"""),"""আড়পাড়া")</f>
        <v>"আড়পাড়া</v>
      </c>
      <c r="J160" s="4" t="str">
        <f>IFERROR(__xludf.DUMMYFUNCTION("""COMPUTED_VALUE""")," গাংনী")</f>
        <v> গাংনী</v>
      </c>
      <c r="K160" s="4" t="str">
        <f>IFERROR(__xludf.DUMMYFUNCTION("""COMPUTED_VALUE""")," মেহেরপুর""")</f>
        <v> মেহেরপুর"</v>
      </c>
    </row>
    <row r="161" ht="15.75" customHeight="1">
      <c r="A161" s="5" t="s">
        <v>3516</v>
      </c>
      <c r="B161" s="4">
        <f>IFERROR(__xludf.DUMMYFUNCTION("SPLIT(A161,"","")"),1108.0)</f>
        <v>1108</v>
      </c>
      <c r="C161" s="4" t="str">
        <f>IFERROR(__xludf.DUMMYFUNCTION("""COMPUTED_VALUE"""),"মোঃ ইব্রাহিম আলী")</f>
        <v>মোঃ ইব্রাহিম আলী</v>
      </c>
      <c r="D161" s="4">
        <f>IFERROR(__xludf.DUMMYFUNCTION("""COMPUTED_VALUE"""),5.700555544974E12)</f>
        <v>5700555544974</v>
      </c>
      <c r="E161" s="4" t="str">
        <f>IFERROR(__xludf.DUMMYFUNCTION("""COMPUTED_VALUE"""),"মোঃ রবগুল")</f>
        <v>মোঃ রবগুল</v>
      </c>
      <c r="F161" s="4" t="str">
        <f>IFERROR(__xludf.DUMMYFUNCTION("""COMPUTED_VALUE"""),"মোছাঃ আসুরা")</f>
        <v>মোছাঃ আসুরা</v>
      </c>
      <c r="G161" s="4" t="str">
        <f>IFERROR(__xludf.DUMMYFUNCTION("""COMPUTED_VALUE"""),"১০/১২/১৯৯৩")</f>
        <v>১০/১২/১৯৯৩</v>
      </c>
      <c r="H161" s="4" t="str">
        <f>IFERROR(__xludf.DUMMYFUNCTION("""COMPUTED_VALUE"""),"কৃষক")</f>
        <v>কৃষক</v>
      </c>
      <c r="I161" s="4" t="str">
        <f>IFERROR(__xludf.DUMMYFUNCTION("""COMPUTED_VALUE"""),"""আড়পাড়া")</f>
        <v>"আড়পাড়া</v>
      </c>
      <c r="J161" s="4" t="str">
        <f>IFERROR(__xludf.DUMMYFUNCTION("""COMPUTED_VALUE""")," গাংনী")</f>
        <v> গাংনী</v>
      </c>
      <c r="K161" s="4" t="str">
        <f>IFERROR(__xludf.DUMMYFUNCTION("""COMPUTED_VALUE""")," মেহেরপুর""")</f>
        <v> মেহেরপুর"</v>
      </c>
    </row>
    <row r="162" ht="15.75" customHeight="1">
      <c r="A162" s="5" t="s">
        <v>3517</v>
      </c>
      <c r="B162" s="4">
        <f>IFERROR(__xludf.DUMMYFUNCTION("SPLIT(A162,"","")"),1109.0)</f>
        <v>1109</v>
      </c>
      <c r="C162" s="4" t="str">
        <f>IFERROR(__xludf.DUMMYFUNCTION("""COMPUTED_VALUE"""),"মোঃ সাগর আলী")</f>
        <v>মোঃ সাগর আলী</v>
      </c>
      <c r="D162" s="4">
        <f>IFERROR(__xludf.DUMMYFUNCTION("""COMPUTED_VALUE"""),5.70055000672E11)</f>
        <v>570055000672</v>
      </c>
      <c r="E162" s="4" t="str">
        <f>IFERROR(__xludf.DUMMYFUNCTION("""COMPUTED_VALUE"""),"মোঃ জয়নাল আবেদীন")</f>
        <v>মোঃ জয়নাল আবেদীন</v>
      </c>
      <c r="F162" s="4" t="str">
        <f>IFERROR(__xludf.DUMMYFUNCTION("""COMPUTED_VALUE"""),"মোছাঃ সুরাইয়া খাতুন")</f>
        <v>মোছাঃ সুরাইয়া খাতুন</v>
      </c>
      <c r="G162" s="4" t="str">
        <f>IFERROR(__xludf.DUMMYFUNCTION("""COMPUTED_VALUE"""),"০৪/০৫/২০০৪")</f>
        <v>০৪/০৫/২০০৪</v>
      </c>
      <c r="H162" s="4" t="str">
        <f>IFERROR(__xludf.DUMMYFUNCTION("""COMPUTED_VALUE"""),"কৃষক")</f>
        <v>কৃষক</v>
      </c>
      <c r="I162" s="4" t="str">
        <f>IFERROR(__xludf.DUMMYFUNCTION("""COMPUTED_VALUE"""),"""-")</f>
        <v>"-</v>
      </c>
      <c r="J162" s="4" t="str">
        <f>IFERROR(__xludf.DUMMYFUNCTION("""COMPUTED_VALUE""")," আড়পাড়া")</f>
        <v> আড়পাড়া</v>
      </c>
      <c r="K162" s="4" t="str">
        <f>IFERROR(__xludf.DUMMYFUNCTION("""COMPUTED_VALUE""")," গাংনী")</f>
        <v> গাংনী</v>
      </c>
      <c r="L162" s="4" t="str">
        <f>IFERROR(__xludf.DUMMYFUNCTION("""COMPUTED_VALUE""")," মেহেরপুর""")</f>
        <v> মেহেরপুর"</v>
      </c>
    </row>
    <row r="163" ht="15.75" customHeight="1">
      <c r="A163" s="5" t="s">
        <v>3518</v>
      </c>
      <c r="B163" s="4">
        <f>IFERROR(__xludf.DUMMYFUNCTION("SPLIT(A163,"","")"),1110.0)</f>
        <v>1110</v>
      </c>
      <c r="C163" s="4" t="str">
        <f>IFERROR(__xludf.DUMMYFUNCTION("""COMPUTED_VALUE"""),"মোঃ বিপুল হোসেন")</f>
        <v>মোঃ বিপুল হোসেন</v>
      </c>
      <c r="D163" s="4">
        <f>IFERROR(__xludf.DUMMYFUNCTION("""COMPUTED_VALUE"""),5.70055000675E11)</f>
        <v>570055000675</v>
      </c>
      <c r="E163" s="4" t="str">
        <f>IFERROR(__xludf.DUMMYFUNCTION("""COMPUTED_VALUE"""),"মোঃ কিতাব আলী")</f>
        <v>মোঃ কিতাব আলী</v>
      </c>
      <c r="F163" s="4" t="str">
        <f>IFERROR(__xludf.DUMMYFUNCTION("""COMPUTED_VALUE"""),"মোছাঃ বুলবুলি খাতুন")</f>
        <v>মোছাঃ বুলবুলি খাতুন</v>
      </c>
      <c r="G163" s="4" t="str">
        <f>IFERROR(__xludf.DUMMYFUNCTION("""COMPUTED_VALUE"""),"১২/০৪/২০০৪")</f>
        <v>১২/০৪/২০০৪</v>
      </c>
      <c r="H163" s="4" t="str">
        <f>IFERROR(__xludf.DUMMYFUNCTION("""COMPUTED_VALUE"""),"কৃষক")</f>
        <v>কৃষক</v>
      </c>
      <c r="I163" s="4" t="str">
        <f>IFERROR(__xludf.DUMMYFUNCTION("""COMPUTED_VALUE"""),"""আড়পাড়া")</f>
        <v>"আড়পাড়া</v>
      </c>
      <c r="J163" s="4" t="str">
        <f>IFERROR(__xludf.DUMMYFUNCTION("""COMPUTED_VALUE""")," গাংনী")</f>
        <v> গাংনী</v>
      </c>
      <c r="K163" s="4" t="str">
        <f>IFERROR(__xludf.DUMMYFUNCTION("""COMPUTED_VALUE""")," মেহেরপুর""")</f>
        <v> মেহেরপুর"</v>
      </c>
    </row>
    <row r="164" ht="15.75" customHeight="1">
      <c r="A164" s="5" t="s">
        <v>3519</v>
      </c>
      <c r="B164" s="4">
        <f>IFERROR(__xludf.DUMMYFUNCTION("SPLIT(A164,"","")"),1111.0)</f>
        <v>1111</v>
      </c>
      <c r="C164" s="4" t="str">
        <f>IFERROR(__xludf.DUMMYFUNCTION("""COMPUTED_VALUE"""),"মোঃ শাহিন আলী")</f>
        <v>মোঃ শাহিন আলী</v>
      </c>
      <c r="D164" s="4">
        <f>IFERROR(__xludf.DUMMYFUNCTION("""COMPUTED_VALUE"""),5.70055000709E11)</f>
        <v>570055000709</v>
      </c>
      <c r="E164" s="4" t="str">
        <f>IFERROR(__xludf.DUMMYFUNCTION("""COMPUTED_VALUE"""),"শুকুর আলী")</f>
        <v>শুকুর আলী</v>
      </c>
      <c r="F164" s="4" t="str">
        <f>IFERROR(__xludf.DUMMYFUNCTION("""COMPUTED_VALUE"""),"মোছাঃ আসরা")</f>
        <v>মোছাঃ আসরা</v>
      </c>
      <c r="G164" s="4" t="str">
        <f>IFERROR(__xludf.DUMMYFUNCTION("""COMPUTED_VALUE"""),"২৬/০২/২০০৫")</f>
        <v>২৬/০২/২০০৫</v>
      </c>
      <c r="H164" s="4" t="str">
        <f>IFERROR(__xludf.DUMMYFUNCTION("""COMPUTED_VALUE"""),"ছাত্র/ছাত্রী")</f>
        <v>ছাত্র/ছাত্রী</v>
      </c>
      <c r="I164" s="4" t="str">
        <f>IFERROR(__xludf.DUMMYFUNCTION("""COMPUTED_VALUE"""),"""আড়পাড়া")</f>
        <v>"আড়পাড়া</v>
      </c>
      <c r="J164" s="4" t="str">
        <f>IFERROR(__xludf.DUMMYFUNCTION("""COMPUTED_VALUE""")," গাংনী")</f>
        <v> গাংনী</v>
      </c>
      <c r="K164" s="4" t="str">
        <f>IFERROR(__xludf.DUMMYFUNCTION("""COMPUTED_VALUE""")," মেহেরপুর""")</f>
        <v> মেহেরপুর"</v>
      </c>
    </row>
    <row r="165" ht="15.75" customHeight="1">
      <c r="A165" s="5" t="s">
        <v>3520</v>
      </c>
      <c r="B165" s="4">
        <f>IFERROR(__xludf.DUMMYFUNCTION("SPLIT(A165,"","")"),1112.0)</f>
        <v>1112</v>
      </c>
      <c r="C165" s="4" t="str">
        <f>IFERROR(__xludf.DUMMYFUNCTION("""COMPUTED_VALUE"""),"মোঃ তুহিন আলী")</f>
        <v>মোঃ তুহিন আলী</v>
      </c>
      <c r="D165" s="4">
        <f>IFERROR(__xludf.DUMMYFUNCTION("""COMPUTED_VALUE"""),5.70055000715E11)</f>
        <v>570055000715</v>
      </c>
      <c r="E165" s="4" t="str">
        <f>IFERROR(__xludf.DUMMYFUNCTION("""COMPUTED_VALUE"""),"মোঃ আজিজুল হক")</f>
        <v>মোঃ আজিজুল হক</v>
      </c>
      <c r="F165" s="4" t="str">
        <f>IFERROR(__xludf.DUMMYFUNCTION("""COMPUTED_VALUE"""),"মোছাঃ মদিনা খাতুন")</f>
        <v>মোছাঃ মদিনা খাতুন</v>
      </c>
      <c r="G165" s="4" t="str">
        <f>IFERROR(__xludf.DUMMYFUNCTION("""COMPUTED_VALUE"""),"১০/১২/২০০৫")</f>
        <v>১০/১২/২০০৫</v>
      </c>
      <c r="H165" s="4" t="str">
        <f>IFERROR(__xludf.DUMMYFUNCTION("""COMPUTED_VALUE"""),"কৃষক")</f>
        <v>কৃষক</v>
      </c>
      <c r="I165" s="4" t="str">
        <f>IFERROR(__xludf.DUMMYFUNCTION("""COMPUTED_VALUE"""),"""আড়পাড়া")</f>
        <v>"আড়পাড়া</v>
      </c>
      <c r="J165" s="4" t="str">
        <f>IFERROR(__xludf.DUMMYFUNCTION("""COMPUTED_VALUE""")," গাংনী")</f>
        <v> গাংনী</v>
      </c>
      <c r="K165" s="4" t="str">
        <f>IFERROR(__xludf.DUMMYFUNCTION("""COMPUTED_VALUE""")," মেহেরপুর""")</f>
        <v> মেহেরপুর"</v>
      </c>
    </row>
    <row r="166" ht="15.75" customHeight="1">
      <c r="A166" s="5" t="s">
        <v>3521</v>
      </c>
      <c r="B166" s="4">
        <f>IFERROR(__xludf.DUMMYFUNCTION("SPLIT(A166,"","")"),1113.0)</f>
        <v>1113</v>
      </c>
      <c r="C166" s="4" t="str">
        <f>IFERROR(__xludf.DUMMYFUNCTION("""COMPUTED_VALUE"""),"মোঃ রতন আলী")</f>
        <v>মোঃ রতন আলী</v>
      </c>
      <c r="D166" s="4">
        <f>IFERROR(__xludf.DUMMYFUNCTION("""COMPUTED_VALUE"""),5.70055000717E11)</f>
        <v>570055000717</v>
      </c>
      <c r="E166" s="4" t="str">
        <f>IFERROR(__xludf.DUMMYFUNCTION("""COMPUTED_VALUE"""),"মোঃ মুক্তার আলী")</f>
        <v>মোঃ মুক্তার আলী</v>
      </c>
      <c r="F166" s="4" t="str">
        <f>IFERROR(__xludf.DUMMYFUNCTION("""COMPUTED_VALUE"""),"মোছাঃ রিতা খাতুন")</f>
        <v>মোছাঃ রিতা খাতুন</v>
      </c>
      <c r="G166" s="4" t="str">
        <f>IFERROR(__xludf.DUMMYFUNCTION("""COMPUTED_VALUE"""),"১০/১০/২০০৫")</f>
        <v>১০/১০/২০০৫</v>
      </c>
      <c r="H166" s="4" t="str">
        <f>IFERROR(__xludf.DUMMYFUNCTION("""COMPUTED_VALUE"""),"ছাত্র/ছাত্রী")</f>
        <v>ছাত্র/ছাত্রী</v>
      </c>
      <c r="I166" s="4" t="str">
        <f>IFERROR(__xludf.DUMMYFUNCTION("""COMPUTED_VALUE"""),"""আড়পাড়া")</f>
        <v>"আড়পাড়া</v>
      </c>
      <c r="J166" s="4" t="str">
        <f>IFERROR(__xludf.DUMMYFUNCTION("""COMPUTED_VALUE""")," গাংনী")</f>
        <v> গাংনী</v>
      </c>
      <c r="K166" s="4" t="str">
        <f>IFERROR(__xludf.DUMMYFUNCTION("""COMPUTED_VALUE""")," মেহেরপুর""")</f>
        <v> মেহেরপুর"</v>
      </c>
    </row>
    <row r="167" ht="15.75" customHeight="1">
      <c r="A167" s="5" t="s">
        <v>3522</v>
      </c>
      <c r="B167" s="4">
        <f>IFERROR(__xludf.DUMMYFUNCTION("SPLIT(A167,"","")"),1114.0)</f>
        <v>1114</v>
      </c>
      <c r="C167" s="4" t="str">
        <f>IFERROR(__xludf.DUMMYFUNCTION("""COMPUTED_VALUE"""),"মোঃ তামিম ইসলাম")</f>
        <v>মোঃ তামিম ইসলাম</v>
      </c>
      <c r="D167" s="4">
        <f>IFERROR(__xludf.DUMMYFUNCTION("""COMPUTED_VALUE"""),5.70055000727E11)</f>
        <v>570055000727</v>
      </c>
      <c r="E167" s="4" t="str">
        <f>IFERROR(__xludf.DUMMYFUNCTION("""COMPUTED_VALUE"""),"মোঃ জাহিদুল ইসলাম")</f>
        <v>মোঃ জাহিদুল ইসলাম</v>
      </c>
      <c r="F167" s="4" t="str">
        <f>IFERROR(__xludf.DUMMYFUNCTION("""COMPUTED_VALUE"""),"মোছাঃ শামজুন্নাহার")</f>
        <v>মোছাঃ শামজুন্নাহার</v>
      </c>
      <c r="G167" s="4" t="str">
        <f>IFERROR(__xludf.DUMMYFUNCTION("""COMPUTED_VALUE"""),"২৩/০৭/২০০৬")</f>
        <v>২৩/০৭/২০০৬</v>
      </c>
      <c r="H167" s="4" t="str">
        <f>IFERROR(__xludf.DUMMYFUNCTION("""COMPUTED_VALUE"""),"ছাত্র/ছাত্রী")</f>
        <v>ছাত্র/ছাত্রী</v>
      </c>
      <c r="I167" s="4" t="str">
        <f>IFERROR(__xludf.DUMMYFUNCTION("""COMPUTED_VALUE"""),"""আড়পাড়া")</f>
        <v>"আড়পাড়া</v>
      </c>
      <c r="J167" s="4" t="str">
        <f>IFERROR(__xludf.DUMMYFUNCTION("""COMPUTED_VALUE""")," গাংনী")</f>
        <v> গাংনী</v>
      </c>
      <c r="K167" s="4" t="str">
        <f>IFERROR(__xludf.DUMMYFUNCTION("""COMPUTED_VALUE""")," মেহেরপুর""")</f>
        <v> মেহেরপুর"</v>
      </c>
    </row>
    <row r="168" ht="15.75" customHeight="1">
      <c r="A168" s="5" t="s">
        <v>3523</v>
      </c>
      <c r="B168" s="4">
        <f>IFERROR(__xludf.DUMMYFUNCTION("SPLIT(A168,"","")"),1115.0)</f>
        <v>1115</v>
      </c>
      <c r="C168" s="4" t="str">
        <f>IFERROR(__xludf.DUMMYFUNCTION("""COMPUTED_VALUE"""),"মোঃ কিনার উদ্দীন আহাম্মেদ")</f>
        <v>মোঃ কিনার উদ্দীন আহাম্মেদ</v>
      </c>
      <c r="D168" s="4">
        <f>IFERROR(__xludf.DUMMYFUNCTION("""COMPUTED_VALUE"""),5.7005500073E11)</f>
        <v>570055000730</v>
      </c>
      <c r="E168" s="4" t="str">
        <f>IFERROR(__xludf.DUMMYFUNCTION("""COMPUTED_VALUE"""),"মোঃ বজলুল হক")</f>
        <v>মোঃ বজলুল হক</v>
      </c>
      <c r="F168" s="4" t="str">
        <f>IFERROR(__xludf.DUMMYFUNCTION("""COMPUTED_VALUE"""),"মোছাঃ শাহানাজ পারভীন")</f>
        <v>মোছাঃ শাহানাজ পারভীন</v>
      </c>
      <c r="G168" s="4" t="str">
        <f>IFERROR(__xludf.DUMMYFUNCTION("""COMPUTED_VALUE"""),"০৮/০৯/২০০৬")</f>
        <v>০৮/০৯/২০০৬</v>
      </c>
      <c r="H168" s="4" t="str">
        <f>IFERROR(__xludf.DUMMYFUNCTION("""COMPUTED_VALUE"""),"ছাত্র/ছাত্রী")</f>
        <v>ছাত্র/ছাত্রী</v>
      </c>
      <c r="I168" s="4" t="str">
        <f>IFERROR(__xludf.DUMMYFUNCTION("""COMPUTED_VALUE"""),"""আড়পাড়া")</f>
        <v>"আড়পাড়া</v>
      </c>
      <c r="J168" s="4" t="str">
        <f>IFERROR(__xludf.DUMMYFUNCTION("""COMPUTED_VALUE""")," গাংনী")</f>
        <v> গাংনী</v>
      </c>
      <c r="K168" s="4" t="str">
        <f>IFERROR(__xludf.DUMMYFUNCTION("""COMPUTED_VALUE""")," মেহেরপুর""")</f>
        <v> মেহেরপুর"</v>
      </c>
    </row>
    <row r="169" ht="15.75" customHeight="1">
      <c r="A169" s="5" t="s">
        <v>3524</v>
      </c>
      <c r="B169" s="4">
        <f>IFERROR(__xludf.DUMMYFUNCTION("SPLIT(A169,"","")"),1116.0)</f>
        <v>1116</v>
      </c>
      <c r="C169" s="4" t="str">
        <f>IFERROR(__xludf.DUMMYFUNCTION("""COMPUTED_VALUE"""),"মোঃ আবু জাহিদ")</f>
        <v>মোঃ আবু জাহিদ</v>
      </c>
      <c r="D169" s="4">
        <f>IFERROR(__xludf.DUMMYFUNCTION("""COMPUTED_VALUE"""),5.700555544976E12)</f>
        <v>5700555544976</v>
      </c>
      <c r="E169" s="4" t="str">
        <f>IFERROR(__xludf.DUMMYFUNCTION("""COMPUTED_VALUE"""),"মোঃ ইয়ার আলী")</f>
        <v>মোঃ ইয়ার আলী</v>
      </c>
      <c r="F169" s="4" t="str">
        <f>IFERROR(__xludf.DUMMYFUNCTION("""COMPUTED_VALUE"""),"মোছাঃ তহমিনা খাতুন")</f>
        <v>মোছাঃ তহমিনা খাতুন</v>
      </c>
      <c r="G169" s="4" t="str">
        <f>IFERROR(__xludf.DUMMYFUNCTION("""COMPUTED_VALUE"""),"০১/০১/২০০৪")</f>
        <v>০১/০১/২০০৪</v>
      </c>
      <c r="H169" s="4" t="str">
        <f>IFERROR(__xludf.DUMMYFUNCTION("""COMPUTED_VALUE"""),"ছাত্র/ছাত্রী")</f>
        <v>ছাত্র/ছাত্রী</v>
      </c>
      <c r="I169" s="4" t="str">
        <f>IFERROR(__xludf.DUMMYFUNCTION("""COMPUTED_VALUE"""),"""আড়পাড়া")</f>
        <v>"আড়পাড়া</v>
      </c>
      <c r="J169" s="4" t="str">
        <f>IFERROR(__xludf.DUMMYFUNCTION("""COMPUTED_VALUE""")," গাংনী")</f>
        <v> গাংনী</v>
      </c>
      <c r="K169" s="4" t="str">
        <f>IFERROR(__xludf.DUMMYFUNCTION("""COMPUTED_VALUE""")," মেহেরপুর""")</f>
        <v> মেহেরপুর"</v>
      </c>
    </row>
    <row r="170" ht="15.75" customHeight="1">
      <c r="A170" s="5" t="s">
        <v>3525</v>
      </c>
      <c r="B170" s="4">
        <f>IFERROR(__xludf.DUMMYFUNCTION("SPLIT(A170,"","")"),1117.0)</f>
        <v>1117</v>
      </c>
      <c r="C170" s="4" t="str">
        <f>IFERROR(__xludf.DUMMYFUNCTION("""COMPUTED_VALUE"""),"মোঃ আখিরুল ইসলাম")</f>
        <v>মোঃ আখিরুল ইসলাম</v>
      </c>
      <c r="D170" s="4">
        <f>IFERROR(__xludf.DUMMYFUNCTION("""COMPUTED_VALUE"""),5.700555544977E12)</f>
        <v>5700555544977</v>
      </c>
      <c r="E170" s="4" t="str">
        <f>IFERROR(__xludf.DUMMYFUNCTION("""COMPUTED_VALUE"""),"মোঃ খাকচার আলী")</f>
        <v>মোঃ খাকচার আলী</v>
      </c>
      <c r="F170" s="4" t="str">
        <f>IFERROR(__xludf.DUMMYFUNCTION("""COMPUTED_VALUE"""),"মোছাঃ কামরুন্নাহার")</f>
        <v>মোছাঃ কামরুন্নাহার</v>
      </c>
      <c r="G170" s="4" t="str">
        <f>IFERROR(__xludf.DUMMYFUNCTION("""COMPUTED_VALUE"""),"২০/০৫/২০০২")</f>
        <v>২০/০৫/২০০২</v>
      </c>
      <c r="H170" s="4" t="str">
        <f>IFERROR(__xludf.DUMMYFUNCTION("""COMPUTED_VALUE"""),"ছাত্র/ছাত্রী")</f>
        <v>ছাত্র/ছাত্রী</v>
      </c>
      <c r="I170" s="4" t="str">
        <f>IFERROR(__xludf.DUMMYFUNCTION("""COMPUTED_VALUE"""),"""আড়পাড়া")</f>
        <v>"আড়পাড়া</v>
      </c>
      <c r="J170" s="4" t="str">
        <f>IFERROR(__xludf.DUMMYFUNCTION("""COMPUTED_VALUE""")," গাংনী")</f>
        <v> গাংনী</v>
      </c>
      <c r="K170" s="4" t="str">
        <f>IFERROR(__xludf.DUMMYFUNCTION("""COMPUTED_VALUE""")," মেহেরপুর""")</f>
        <v> মেহেরপুর"</v>
      </c>
    </row>
    <row r="171" ht="15.75" customHeight="1">
      <c r="A171" s="5" t="s">
        <v>3526</v>
      </c>
      <c r="B171" s="4">
        <f>IFERROR(__xludf.DUMMYFUNCTION("SPLIT(A171,"","")"),1118.0)</f>
        <v>1118</v>
      </c>
      <c r="C171" s="4" t="str">
        <f>IFERROR(__xludf.DUMMYFUNCTION("""COMPUTED_VALUE"""),"আরিফুল")</f>
        <v>আরিফুল</v>
      </c>
      <c r="D171" s="4">
        <f>IFERROR(__xludf.DUMMYFUNCTION("""COMPUTED_VALUE"""),5.700555544978E12)</f>
        <v>5700555544978</v>
      </c>
      <c r="E171" s="4" t="str">
        <f>IFERROR(__xludf.DUMMYFUNCTION("""COMPUTED_VALUE"""),"মোঃ মহসিন মালিথা")</f>
        <v>মোঃ মহসিন মালিথা</v>
      </c>
      <c r="F171" s="4" t="str">
        <f>IFERROR(__xludf.DUMMYFUNCTION("""COMPUTED_VALUE"""),"মৃত রুমিয়া খাতুন")</f>
        <v>মৃত রুমিয়া খাতুন</v>
      </c>
      <c r="G171" s="4" t="str">
        <f>IFERROR(__xludf.DUMMYFUNCTION("""COMPUTED_VALUE"""),"২১/১১/১৯৮৮")</f>
        <v>২১/১১/১৯৮৮</v>
      </c>
      <c r="H171" s="4" t="str">
        <f>IFERROR(__xludf.DUMMYFUNCTION("""COMPUTED_VALUE"""),"কৃষক")</f>
        <v>কৃষক</v>
      </c>
      <c r="I171" s="4" t="str">
        <f>IFERROR(__xludf.DUMMYFUNCTION("""COMPUTED_VALUE"""),"""-")</f>
        <v>"-</v>
      </c>
      <c r="J171" s="4" t="str">
        <f>IFERROR(__xludf.DUMMYFUNCTION("""COMPUTED_VALUE""")," আড়পাড়া")</f>
        <v> আড়পাড়া</v>
      </c>
      <c r="K171" s="4" t="str">
        <f>IFERROR(__xludf.DUMMYFUNCTION("""COMPUTED_VALUE""")," গাংনী")</f>
        <v> গাংনী</v>
      </c>
      <c r="L171" s="4" t="str">
        <f>IFERROR(__xludf.DUMMYFUNCTION("""COMPUTED_VALUE""")," মেহেরপুর""")</f>
        <v> মেহেরপুর"</v>
      </c>
    </row>
    <row r="172" ht="15.75" customHeight="1">
      <c r="A172" s="5" t="s">
        <v>3527</v>
      </c>
      <c r="B172" s="4">
        <f>IFERROR(__xludf.DUMMYFUNCTION("SPLIT(A172,"","")"),1119.0)</f>
        <v>1119</v>
      </c>
      <c r="C172" s="4" t="str">
        <f>IFERROR(__xludf.DUMMYFUNCTION("""COMPUTED_VALUE"""),"মোঃ রিমন আলী")</f>
        <v>মোঃ রিমন আলী</v>
      </c>
      <c r="D172" s="4">
        <f>IFERROR(__xludf.DUMMYFUNCTION("""COMPUTED_VALUE"""),5.700555544979E12)</f>
        <v>5700555544979</v>
      </c>
      <c r="E172" s="4" t="str">
        <f>IFERROR(__xludf.DUMMYFUNCTION("""COMPUTED_VALUE"""),"মোঃ ইমারত আলী")</f>
        <v>মোঃ ইমারত আলী</v>
      </c>
      <c r="F172" s="4" t="str">
        <f>IFERROR(__xludf.DUMMYFUNCTION("""COMPUTED_VALUE"""),"মোছাঃ নুরজাহান বেগম")</f>
        <v>মোছাঃ নুরজাহান বেগম</v>
      </c>
      <c r="G172" s="4" t="str">
        <f>IFERROR(__xludf.DUMMYFUNCTION("""COMPUTED_VALUE"""),"০৯/০১/২০০০")</f>
        <v>০৯/০১/২০০০</v>
      </c>
      <c r="H172" s="4" t="str">
        <f>IFERROR(__xludf.DUMMYFUNCTION("""COMPUTED_VALUE"""),"কৃষক")</f>
        <v>কৃষক</v>
      </c>
      <c r="I172" s="4" t="str">
        <f>IFERROR(__xludf.DUMMYFUNCTION("""COMPUTED_VALUE"""),"""আড়পাড়া")</f>
        <v>"আড়পাড়া</v>
      </c>
      <c r="J172" s="4" t="str">
        <f>IFERROR(__xludf.DUMMYFUNCTION("""COMPUTED_VALUE""")," গাংনী")</f>
        <v> গাংনী</v>
      </c>
      <c r="K172" s="4" t="str">
        <f>IFERROR(__xludf.DUMMYFUNCTION("""COMPUTED_VALUE""")," মেহেরপুর""")</f>
        <v> মেহেরপুর"</v>
      </c>
    </row>
    <row r="173" ht="15.75" customHeight="1">
      <c r="A173" s="5" t="s">
        <v>3528</v>
      </c>
      <c r="B173" s="4">
        <f>IFERROR(__xludf.DUMMYFUNCTION("SPLIT(A173,"","")"),1120.0)</f>
        <v>1120</v>
      </c>
      <c r="C173" s="4" t="str">
        <f>IFERROR(__xludf.DUMMYFUNCTION("""COMPUTED_VALUE"""),"মোঃ আব্দুল্লাহ আল মামুন")</f>
        <v>মোঃ আব্দুল্লাহ আল মামুন</v>
      </c>
      <c r="D173" s="4">
        <f>IFERROR(__xludf.DUMMYFUNCTION("""COMPUTED_VALUE"""),5.70055554498E12)</f>
        <v>5700555544980</v>
      </c>
      <c r="E173" s="4" t="str">
        <f>IFERROR(__xludf.DUMMYFUNCTION("""COMPUTED_VALUE"""),"মোঃ রফিকুল ইসলাম")</f>
        <v>মোঃ রফিকুল ইসলাম</v>
      </c>
      <c r="F173" s="4" t="str">
        <f>IFERROR(__xludf.DUMMYFUNCTION("""COMPUTED_VALUE"""),"মোছাঃ সানোয়ারা")</f>
        <v>মোছাঃ সানোয়ারা</v>
      </c>
      <c r="G173" s="4" t="str">
        <f>IFERROR(__xludf.DUMMYFUNCTION("""COMPUTED_VALUE"""),"০৪/০৩/১৯৯২")</f>
        <v>০৪/০৩/১৯৯২</v>
      </c>
      <c r="H173" s="4" t="str">
        <f>IFERROR(__xludf.DUMMYFUNCTION("""COMPUTED_VALUE"""),"ব্যবসা")</f>
        <v>ব্যবসা</v>
      </c>
      <c r="I173" s="4" t="str">
        <f>IFERROR(__xludf.DUMMYFUNCTION("""COMPUTED_VALUE"""),"""আড়পাড়া")</f>
        <v>"আড়পাড়া</v>
      </c>
      <c r="J173" s="4" t="str">
        <f>IFERROR(__xludf.DUMMYFUNCTION("""COMPUTED_VALUE""")," গাংনী")</f>
        <v> গাংনী</v>
      </c>
      <c r="K173" s="4" t="str">
        <f>IFERROR(__xludf.DUMMYFUNCTION("""COMPUTED_VALUE""")," মেহেরপুর""")</f>
        <v> মেহেরপুর"</v>
      </c>
    </row>
    <row r="174" ht="15.75" customHeight="1">
      <c r="A174" s="5" t="s">
        <v>3529</v>
      </c>
      <c r="B174" s="4">
        <f>IFERROR(__xludf.DUMMYFUNCTION("SPLIT(A174,"","")"),1121.0)</f>
        <v>1121</v>
      </c>
      <c r="C174" s="4" t="str">
        <f>IFERROR(__xludf.DUMMYFUNCTION("""COMPUTED_VALUE"""),"মোঃ রাজা মিয়া")</f>
        <v>মোঃ রাজা মিয়া</v>
      </c>
      <c r="D174" s="4">
        <f>IFERROR(__xludf.DUMMYFUNCTION("""COMPUTED_VALUE"""),5.700555544981E12)</f>
        <v>5700555544981</v>
      </c>
      <c r="E174" s="4" t="str">
        <f>IFERROR(__xludf.DUMMYFUNCTION("""COMPUTED_VALUE"""),"মোঃ আব্দুর রাজ্জাক")</f>
        <v>মোঃ আব্দুর রাজ্জাক</v>
      </c>
      <c r="F174" s="4" t="str">
        <f>IFERROR(__xludf.DUMMYFUNCTION("""COMPUTED_VALUE"""),"মৃত নিশপতি খাতুন")</f>
        <v>মৃত নিশপতি খাতুন</v>
      </c>
      <c r="G174" s="4" t="str">
        <f>IFERROR(__xludf.DUMMYFUNCTION("""COMPUTED_VALUE"""),"০১/০১/২০০৪")</f>
        <v>০১/০১/২০০৪</v>
      </c>
      <c r="H174" s="4" t="str">
        <f>IFERROR(__xludf.DUMMYFUNCTION("""COMPUTED_VALUE"""),"ব্যবসা")</f>
        <v>ব্যবসা</v>
      </c>
      <c r="I174" s="4" t="str">
        <f>IFERROR(__xludf.DUMMYFUNCTION("""COMPUTED_VALUE"""),"""২৩০")</f>
        <v>"২৩০</v>
      </c>
      <c r="J174" s="4" t="str">
        <f>IFERROR(__xludf.DUMMYFUNCTION("""COMPUTED_VALUE""")," আড়পাড়া")</f>
        <v> আড়পাড়া</v>
      </c>
      <c r="K174" s="4" t="str">
        <f>IFERROR(__xludf.DUMMYFUNCTION("""COMPUTED_VALUE""")," গাংনী")</f>
        <v> গাংনী</v>
      </c>
      <c r="L174" s="4" t="str">
        <f>IFERROR(__xludf.DUMMYFUNCTION("""COMPUTED_VALUE""")," মেহেরপুর""")</f>
        <v> মেহেরপুর"</v>
      </c>
    </row>
    <row r="175" ht="15.75" customHeight="1">
      <c r="A175" s="5" t="s">
        <v>3530</v>
      </c>
      <c r="B175" s="4">
        <f>IFERROR(__xludf.DUMMYFUNCTION("SPLIT(A175,"","")"),1122.0)</f>
        <v>1122</v>
      </c>
      <c r="C175" s="4" t="str">
        <f>IFERROR(__xludf.DUMMYFUNCTION("""COMPUTED_VALUE"""),"মোঃ সাকির আহমেদ")</f>
        <v>মোঃ সাকির আহমেদ</v>
      </c>
      <c r="D175" s="4">
        <f>IFERROR(__xludf.DUMMYFUNCTION("""COMPUTED_VALUE"""),5.700555544982E12)</f>
        <v>5700555544982</v>
      </c>
      <c r="E175" s="4" t="str">
        <f>IFERROR(__xludf.DUMMYFUNCTION("""COMPUTED_VALUE"""),"মুক্তার আলী")</f>
        <v>মুক্তার আলী</v>
      </c>
      <c r="F175" s="4" t="str">
        <f>IFERROR(__xludf.DUMMYFUNCTION("""COMPUTED_VALUE"""),"মোছাঃ রিতা খাতুন")</f>
        <v>মোছাঃ রিতা খাতুন</v>
      </c>
      <c r="G175" s="4" t="str">
        <f>IFERROR(__xludf.DUMMYFUNCTION("""COMPUTED_VALUE"""),"০১/১০/২০০২")</f>
        <v>০১/১০/২০০২</v>
      </c>
      <c r="H175" s="4" t="str">
        <f>IFERROR(__xludf.DUMMYFUNCTION("""COMPUTED_VALUE"""),"ছাত্র/ছাত্রী")</f>
        <v>ছাত্র/ছাত্রী</v>
      </c>
      <c r="I175" s="4" t="str">
        <f>IFERROR(__xludf.DUMMYFUNCTION("""COMPUTED_VALUE"""),"""আড়পাড়া")</f>
        <v>"আড়পাড়া</v>
      </c>
      <c r="J175" s="4" t="str">
        <f>IFERROR(__xludf.DUMMYFUNCTION("""COMPUTED_VALUE""")," গাংনী")</f>
        <v> গাংনী</v>
      </c>
      <c r="K175" s="4" t="str">
        <f>IFERROR(__xludf.DUMMYFUNCTION("""COMPUTED_VALUE""")," মেহেরপুর""")</f>
        <v> মেহেরপুর"</v>
      </c>
    </row>
    <row r="176" ht="15.75" customHeight="1">
      <c r="A176" s="5" t="s">
        <v>3531</v>
      </c>
      <c r="B176" s="4">
        <f>IFERROR(__xludf.DUMMYFUNCTION("SPLIT(A176,"","")"),1123.0)</f>
        <v>1123</v>
      </c>
      <c r="C176" s="4" t="str">
        <f>IFERROR(__xludf.DUMMYFUNCTION("""COMPUTED_VALUE"""),"মোঃ বিল্লাল হোসেন")</f>
        <v>মোঃ বিল্লাল হোসেন</v>
      </c>
      <c r="D176" s="4">
        <f>IFERROR(__xludf.DUMMYFUNCTION("""COMPUTED_VALUE"""),5.700555544983E12)</f>
        <v>5700555544983</v>
      </c>
      <c r="E176" s="4" t="str">
        <f>IFERROR(__xludf.DUMMYFUNCTION("""COMPUTED_VALUE"""),"মোঃ তমছের আলী")</f>
        <v>মোঃ তমছের আলী</v>
      </c>
      <c r="F176" s="4" t="str">
        <f>IFERROR(__xludf.DUMMYFUNCTION("""COMPUTED_VALUE"""),"বিউটি খাতুন")</f>
        <v>বিউটি খাতুন</v>
      </c>
      <c r="G176" s="4" t="str">
        <f>IFERROR(__xludf.DUMMYFUNCTION("""COMPUTED_VALUE"""),"০৫/০২/১৯৯০")</f>
        <v>০৫/০২/১৯৯০</v>
      </c>
      <c r="H176" s="4" t="str">
        <f>IFERROR(__xludf.DUMMYFUNCTION("""COMPUTED_VALUE"""),"ব্যবসা")</f>
        <v>ব্যবসা</v>
      </c>
      <c r="I176" s="4" t="str">
        <f>IFERROR(__xludf.DUMMYFUNCTION("""COMPUTED_VALUE"""),"""আড়পাড়া")</f>
        <v>"আড়পাড়া</v>
      </c>
      <c r="J176" s="4" t="str">
        <f>IFERROR(__xludf.DUMMYFUNCTION("""COMPUTED_VALUE""")," গাংনী")</f>
        <v> গাংনী</v>
      </c>
      <c r="K176" s="4" t="str">
        <f>IFERROR(__xludf.DUMMYFUNCTION("""COMPUTED_VALUE""")," মেহেরপুর""")</f>
        <v> মেহেরপুর"</v>
      </c>
    </row>
    <row r="177" ht="15.75" customHeight="1">
      <c r="A177" s="5" t="s">
        <v>3532</v>
      </c>
      <c r="B177" s="4">
        <f>IFERROR(__xludf.DUMMYFUNCTION("SPLIT(A177,"","")"),1124.0)</f>
        <v>1124</v>
      </c>
      <c r="C177" s="4" t="str">
        <f>IFERROR(__xludf.DUMMYFUNCTION("""COMPUTED_VALUE"""),"মোঃ মাসুদ রানা")</f>
        <v>মোঃ মাসুদ রানা</v>
      </c>
      <c r="D177" s="4">
        <f>IFERROR(__xludf.DUMMYFUNCTION("""COMPUTED_VALUE"""),5.700555544984E12)</f>
        <v>5700555544984</v>
      </c>
      <c r="E177" s="4" t="str">
        <f>IFERROR(__xludf.DUMMYFUNCTION("""COMPUTED_VALUE"""),"মোঃ নায়ের শেখ")</f>
        <v>মোঃ নায়ের শেখ</v>
      </c>
      <c r="F177" s="4" t="str">
        <f>IFERROR(__xludf.DUMMYFUNCTION("""COMPUTED_VALUE"""),"মোছাঃ রেজিয়া খাতুন")</f>
        <v>মোছাঃ রেজিয়া খাতুন</v>
      </c>
      <c r="G177" s="4" t="str">
        <f>IFERROR(__xludf.DUMMYFUNCTION("""COMPUTED_VALUE"""),"২১/০১/১৯৯৫")</f>
        <v>২১/০১/১৯৯৫</v>
      </c>
      <c r="H177" s="4" t="str">
        <f>IFERROR(__xludf.DUMMYFUNCTION("""COMPUTED_VALUE"""),"কৃষক")</f>
        <v>কৃষক</v>
      </c>
      <c r="I177" s="4" t="str">
        <f>IFERROR(__xludf.DUMMYFUNCTION("""COMPUTED_VALUE"""),"""আড়পাড়া")</f>
        <v>"আড়পাড়া</v>
      </c>
      <c r="J177" s="4" t="str">
        <f>IFERROR(__xludf.DUMMYFUNCTION("""COMPUTED_VALUE""")," গাংনী")</f>
        <v> গাংনী</v>
      </c>
      <c r="K177" s="4" t="str">
        <f>IFERROR(__xludf.DUMMYFUNCTION("""COMPUTED_VALUE""")," মেহেরপুর""")</f>
        <v> মেহেরপুর"</v>
      </c>
    </row>
    <row r="178" ht="15.75" customHeight="1">
      <c r="A178" s="5" t="s">
        <v>3533</v>
      </c>
      <c r="B178" s="4">
        <f>IFERROR(__xludf.DUMMYFUNCTION("SPLIT(A178,"","")"),1125.0)</f>
        <v>1125</v>
      </c>
      <c r="C178" s="4" t="str">
        <f>IFERROR(__xludf.DUMMYFUNCTION("""COMPUTED_VALUE"""),"মোঃ মিলন হোসেন")</f>
        <v>মোঃ মিলন হোসেন</v>
      </c>
      <c r="D178" s="4">
        <f>IFERROR(__xludf.DUMMYFUNCTION("""COMPUTED_VALUE"""),5.700555544985E12)</f>
        <v>5700555544985</v>
      </c>
      <c r="E178" s="4" t="str">
        <f>IFERROR(__xludf.DUMMYFUNCTION("""COMPUTED_VALUE"""),"মোঃ খলিলুর রহমান")</f>
        <v>মোঃ খলিলুর রহমান</v>
      </c>
      <c r="F178" s="4" t="str">
        <f>IFERROR(__xludf.DUMMYFUNCTION("""COMPUTED_VALUE"""),"মোছাঃ রুপিয়া খাতুন")</f>
        <v>মোছাঃ রুপিয়া খাতুন</v>
      </c>
      <c r="G178" s="4" t="str">
        <f>IFERROR(__xludf.DUMMYFUNCTION("""COMPUTED_VALUE"""),"০১/০২/২০০১")</f>
        <v>০১/০২/২০০১</v>
      </c>
      <c r="H178" s="4" t="str">
        <f>IFERROR(__xludf.DUMMYFUNCTION("""COMPUTED_VALUE"""),"শ্রমিক")</f>
        <v>শ্রমিক</v>
      </c>
      <c r="I178" s="4" t="str">
        <f>IFERROR(__xludf.DUMMYFUNCTION("""COMPUTED_VALUE"""),"""আড়পাড়া")</f>
        <v>"আড়পাড়া</v>
      </c>
      <c r="J178" s="4" t="str">
        <f>IFERROR(__xludf.DUMMYFUNCTION("""COMPUTED_VALUE""")," গাংনী")</f>
        <v> গাংনী</v>
      </c>
      <c r="K178" s="4" t="str">
        <f>IFERROR(__xludf.DUMMYFUNCTION("""COMPUTED_VALUE""")," মেহেরপুর""")</f>
        <v> মেহেরপুর"</v>
      </c>
    </row>
    <row r="179" ht="15.75" customHeight="1">
      <c r="A179" s="5" t="s">
        <v>3534</v>
      </c>
      <c r="B179" s="4">
        <f>IFERROR(__xludf.DUMMYFUNCTION("SPLIT(A179,"","")"),1126.0)</f>
        <v>1126</v>
      </c>
      <c r="C179" s="4" t="str">
        <f>IFERROR(__xludf.DUMMYFUNCTION("""COMPUTED_VALUE"""),"মোঃ নাজমুল হুদা")</f>
        <v>মোঃ নাজমুল হুদা</v>
      </c>
      <c r="D179" s="4">
        <f>IFERROR(__xludf.DUMMYFUNCTION("""COMPUTED_VALUE"""),5.700555544986E12)</f>
        <v>5700555544986</v>
      </c>
      <c r="E179" s="4" t="str">
        <f>IFERROR(__xludf.DUMMYFUNCTION("""COMPUTED_VALUE"""),"মোঃ নূর ইসলাম")</f>
        <v>মোঃ নূর ইসলাম</v>
      </c>
      <c r="F179" s="4" t="str">
        <f>IFERROR(__xludf.DUMMYFUNCTION("""COMPUTED_VALUE"""),"মোছাঃ সামিমা আক্তার লিলি")</f>
        <v>মোছাঃ সামিমা আক্তার লিলি</v>
      </c>
      <c r="G179" s="4" t="str">
        <f>IFERROR(__xludf.DUMMYFUNCTION("""COMPUTED_VALUE"""),"০৪/১০/১৯৯৩")</f>
        <v>০৪/১০/১৯৯৩</v>
      </c>
      <c r="H179" s="4" t="str">
        <f>IFERROR(__xludf.DUMMYFUNCTION("""COMPUTED_VALUE"""),"কৃষক")</f>
        <v>কৃষক</v>
      </c>
      <c r="I179" s="4" t="str">
        <f>IFERROR(__xludf.DUMMYFUNCTION("""COMPUTED_VALUE"""),"""আড়পাড়া")</f>
        <v>"আড়পাড়া</v>
      </c>
      <c r="J179" s="4" t="str">
        <f>IFERROR(__xludf.DUMMYFUNCTION("""COMPUTED_VALUE""")," গাংনী")</f>
        <v> গাংনী</v>
      </c>
      <c r="K179" s="4" t="str">
        <f>IFERROR(__xludf.DUMMYFUNCTION("""COMPUTED_VALUE""")," মেহেরপুর""")</f>
        <v> মেহেরপুর"</v>
      </c>
    </row>
    <row r="180" ht="15.75" customHeight="1">
      <c r="A180" s="5" t="s">
        <v>3535</v>
      </c>
      <c r="B180" s="4">
        <f>IFERROR(__xludf.DUMMYFUNCTION("SPLIT(A180,"","")"),1127.0)</f>
        <v>1127</v>
      </c>
      <c r="C180" s="4" t="str">
        <f>IFERROR(__xludf.DUMMYFUNCTION("""COMPUTED_VALUE"""),"মোঃ আরজান মন্ডল")</f>
        <v>মোঃ আরজান মন্ডল</v>
      </c>
      <c r="D180" s="4">
        <f>IFERROR(__xludf.DUMMYFUNCTION("""COMPUTED_VALUE"""),5.700555544988E12)</f>
        <v>5700555544988</v>
      </c>
      <c r="E180" s="4" t="str">
        <f>IFERROR(__xludf.DUMMYFUNCTION("""COMPUTED_VALUE"""),"মোঃ আয়নাল হক")</f>
        <v>মোঃ আয়নাল হক</v>
      </c>
      <c r="F180" s="4" t="str">
        <f>IFERROR(__xludf.DUMMYFUNCTION("""COMPUTED_VALUE"""),"মোছাঃ নুরজাহান")</f>
        <v>মোছাঃ নুরজাহান</v>
      </c>
      <c r="G180" s="4" t="str">
        <f>IFERROR(__xludf.DUMMYFUNCTION("""COMPUTED_VALUE"""),"২৮/০৮/২০০৩")</f>
        <v>২৮/০৮/২০০৩</v>
      </c>
      <c r="H180" s="4" t="str">
        <f>IFERROR(__xludf.DUMMYFUNCTION("""COMPUTED_VALUE"""),"কৃষক")</f>
        <v>কৃষক</v>
      </c>
      <c r="I180" s="4" t="str">
        <f>IFERROR(__xludf.DUMMYFUNCTION("""COMPUTED_VALUE"""),"""আড়পাড়া")</f>
        <v>"আড়পাড়া</v>
      </c>
      <c r="J180" s="4" t="str">
        <f>IFERROR(__xludf.DUMMYFUNCTION("""COMPUTED_VALUE""")," গাংনী")</f>
        <v> গাংনী</v>
      </c>
      <c r="K180" s="4" t="str">
        <f>IFERROR(__xludf.DUMMYFUNCTION("""COMPUTED_VALUE""")," মেহেরপুর""")</f>
        <v> মেহেরপুর"</v>
      </c>
    </row>
    <row r="181" ht="15.75" customHeight="1">
      <c r="A181" s="5" t="s">
        <v>3536</v>
      </c>
      <c r="B181" s="4">
        <f>IFERROR(__xludf.DUMMYFUNCTION("SPLIT(A181,"","")"),1128.0)</f>
        <v>1128</v>
      </c>
      <c r="C181" s="4" t="str">
        <f>IFERROR(__xludf.DUMMYFUNCTION("""COMPUTED_VALUE"""),"মোঃ আলাল হোসেন")</f>
        <v>মোঃ আলাল হোসেন</v>
      </c>
      <c r="D181" s="4">
        <f>IFERROR(__xludf.DUMMYFUNCTION("""COMPUTED_VALUE"""),5.700555544989E12)</f>
        <v>5700555544989</v>
      </c>
      <c r="E181" s="4" t="str">
        <f>IFERROR(__xludf.DUMMYFUNCTION("""COMPUTED_VALUE"""),"আব্দুর রহিম")</f>
        <v>আব্দুর রহিম</v>
      </c>
      <c r="F181" s="4" t="str">
        <f>IFERROR(__xludf.DUMMYFUNCTION("""COMPUTED_VALUE"""),"মোছাঃ ফাহিমা খাতুন")</f>
        <v>মোছাঃ ফাহিমা খাতুন</v>
      </c>
      <c r="G181" s="4" t="str">
        <f>IFERROR(__xludf.DUMMYFUNCTION("""COMPUTED_VALUE"""),"০৩/০৪/১৯৯০")</f>
        <v>০৩/০৪/১৯৯০</v>
      </c>
      <c r="H181" s="4" t="str">
        <f>IFERROR(__xludf.DUMMYFUNCTION("""COMPUTED_VALUE"""),"প্রবাসী")</f>
        <v>প্রবাসী</v>
      </c>
      <c r="I181" s="4" t="str">
        <f>IFERROR(__xludf.DUMMYFUNCTION("""COMPUTED_VALUE"""),"""আড়পাড়া")</f>
        <v>"আড়পাড়া</v>
      </c>
      <c r="J181" s="4" t="str">
        <f>IFERROR(__xludf.DUMMYFUNCTION("""COMPUTED_VALUE""")," গাংনী")</f>
        <v> গাংনী</v>
      </c>
      <c r="K181" s="4" t="str">
        <f>IFERROR(__xludf.DUMMYFUNCTION("""COMPUTED_VALUE""")," মেহেরপুর""")</f>
        <v> মেহেরপুর"</v>
      </c>
    </row>
    <row r="182" ht="15.75" customHeight="1">
      <c r="A182" s="5" t="s">
        <v>3537</v>
      </c>
      <c r="B182" s="4">
        <f>IFERROR(__xludf.DUMMYFUNCTION("SPLIT(A182,"","")"),1129.0)</f>
        <v>1129</v>
      </c>
      <c r="C182" s="4" t="str">
        <f>IFERROR(__xludf.DUMMYFUNCTION("""COMPUTED_VALUE"""),"মোঃ জাকিরুল ইসলাম")</f>
        <v>মোঃ জাকিরুল ইসলাম</v>
      </c>
      <c r="D182" s="4">
        <f>IFERROR(__xludf.DUMMYFUNCTION("""COMPUTED_VALUE"""),5.700555544992E12)</f>
        <v>5700555544992</v>
      </c>
      <c r="E182" s="4" t="str">
        <f>IFERROR(__xludf.DUMMYFUNCTION("""COMPUTED_VALUE"""),"মোঃ জিয়ারুল ইসলাম")</f>
        <v>মোঃ জিয়ারুল ইসলাম</v>
      </c>
      <c r="F182" s="4" t="str">
        <f>IFERROR(__xludf.DUMMYFUNCTION("""COMPUTED_VALUE"""),"মোছাঃ বিলকিছ খাতুন")</f>
        <v>মোছাঃ বিলকিছ খাতুন</v>
      </c>
      <c r="G182" s="4" t="str">
        <f>IFERROR(__xludf.DUMMYFUNCTION("""COMPUTED_VALUE"""),"০৩/০১/২০০০")</f>
        <v>০৩/০১/২০০০</v>
      </c>
      <c r="H182" s="4" t="str">
        <f>IFERROR(__xludf.DUMMYFUNCTION("""COMPUTED_VALUE"""),"শ্রমিক")</f>
        <v>শ্রমিক</v>
      </c>
      <c r="I182" s="4" t="str">
        <f>IFERROR(__xludf.DUMMYFUNCTION("""COMPUTED_VALUE"""),"""আড়পাড়া")</f>
        <v>"আড়পাড়া</v>
      </c>
      <c r="J182" s="4" t="str">
        <f>IFERROR(__xludf.DUMMYFUNCTION("""COMPUTED_VALUE""")," গাংনী")</f>
        <v> গাংনী</v>
      </c>
      <c r="K182" s="4" t="str">
        <f>IFERROR(__xludf.DUMMYFUNCTION("""COMPUTED_VALUE""")," মেহেরপুর""")</f>
        <v> মেহেরপুর"</v>
      </c>
    </row>
    <row r="183" ht="15.75" customHeight="1">
      <c r="A183" s="5" t="s">
        <v>3538</v>
      </c>
      <c r="B183" s="4">
        <f>IFERROR(__xludf.DUMMYFUNCTION("SPLIT(A183,"","")"),1130.0)</f>
        <v>1130</v>
      </c>
      <c r="C183" s="4" t="str">
        <f>IFERROR(__xludf.DUMMYFUNCTION("""COMPUTED_VALUE"""),"মোঃ সুমন আলী")</f>
        <v>মোঃ সুমন আলী</v>
      </c>
      <c r="D183" s="4">
        <f>IFERROR(__xludf.DUMMYFUNCTION("""COMPUTED_VALUE"""),5.700555544994E12)</f>
        <v>5700555544994</v>
      </c>
      <c r="E183" s="4" t="str">
        <f>IFERROR(__xludf.DUMMYFUNCTION("""COMPUTED_VALUE"""),"মোঃ ইনতাজুল")</f>
        <v>মোঃ ইনতাজুল</v>
      </c>
      <c r="F183" s="4" t="str">
        <f>IFERROR(__xludf.DUMMYFUNCTION("""COMPUTED_VALUE"""),"মোছাঃ আসেনা")</f>
        <v>মোছাঃ আসেনা</v>
      </c>
      <c r="G183" s="4" t="str">
        <f>IFERROR(__xludf.DUMMYFUNCTION("""COMPUTED_VALUE"""),"০৯/০৩/২০০১")</f>
        <v>০৯/০৩/২০০১</v>
      </c>
      <c r="H183" s="4" t="str">
        <f>IFERROR(__xludf.DUMMYFUNCTION("""COMPUTED_VALUE"""),"কৃষক")</f>
        <v>কৃষক</v>
      </c>
      <c r="I183" s="4" t="str">
        <f>IFERROR(__xludf.DUMMYFUNCTION("""COMPUTED_VALUE"""),"""আড়পাড়া")</f>
        <v>"আড়পাড়া</v>
      </c>
      <c r="J183" s="4" t="str">
        <f>IFERROR(__xludf.DUMMYFUNCTION("""COMPUTED_VALUE""")," গাংনী")</f>
        <v> গাংনী</v>
      </c>
      <c r="K183" s="4" t="str">
        <f>IFERROR(__xludf.DUMMYFUNCTION("""COMPUTED_VALUE""")," মেহেরপুর""")</f>
        <v> মেহেরপুর"</v>
      </c>
    </row>
    <row r="184" ht="15.75" customHeight="1">
      <c r="A184" s="5" t="s">
        <v>3539</v>
      </c>
      <c r="B184" s="4">
        <f>IFERROR(__xludf.DUMMYFUNCTION("SPLIT(A184,"","")"),1131.0)</f>
        <v>1131</v>
      </c>
      <c r="C184" s="4" t="str">
        <f>IFERROR(__xludf.DUMMYFUNCTION("""COMPUTED_VALUE"""),"মোঃ জাকিরুল ইসলাম")</f>
        <v>মোঃ জাকিরুল ইসলাম</v>
      </c>
      <c r="D184" s="4">
        <f>IFERROR(__xludf.DUMMYFUNCTION("""COMPUTED_VALUE"""),5.700555544996E12)</f>
        <v>5700555544996</v>
      </c>
      <c r="E184" s="4" t="str">
        <f>IFERROR(__xludf.DUMMYFUNCTION("""COMPUTED_VALUE"""),"মোঃ সিদ্দিকুর রহমান")</f>
        <v>মোঃ সিদ্দিকুর রহমান</v>
      </c>
      <c r="F184" s="4" t="str">
        <f>IFERROR(__xludf.DUMMYFUNCTION("""COMPUTED_VALUE"""),"মোছাঃ সরলা খাতুন")</f>
        <v>মোছাঃ সরলা খাতুন</v>
      </c>
      <c r="G184" s="4" t="str">
        <f>IFERROR(__xludf.DUMMYFUNCTION("""COMPUTED_VALUE"""),"০১/০১/২০০২")</f>
        <v>০১/০১/২০০২</v>
      </c>
      <c r="H184" s="4" t="str">
        <f>IFERROR(__xludf.DUMMYFUNCTION("""COMPUTED_VALUE"""),"কৃষক")</f>
        <v>কৃষক</v>
      </c>
      <c r="I184" s="4" t="str">
        <f>IFERROR(__xludf.DUMMYFUNCTION("""COMPUTED_VALUE"""),"""আড়পাড়া")</f>
        <v>"আড়পাড়া</v>
      </c>
      <c r="J184" s="4" t="str">
        <f>IFERROR(__xludf.DUMMYFUNCTION("""COMPUTED_VALUE""")," গাংনী")</f>
        <v> গাংনী</v>
      </c>
      <c r="K184" s="4" t="str">
        <f>IFERROR(__xludf.DUMMYFUNCTION("""COMPUTED_VALUE""")," মেহেরপুর""")</f>
        <v> মেহেরপুর"</v>
      </c>
    </row>
    <row r="185" ht="15.75" customHeight="1">
      <c r="A185" s="5" t="s">
        <v>3540</v>
      </c>
      <c r="B185" s="4">
        <f>IFERROR(__xludf.DUMMYFUNCTION("SPLIT(A185,"","")"),1132.0)</f>
        <v>1132</v>
      </c>
      <c r="C185" s="4" t="str">
        <f>IFERROR(__xludf.DUMMYFUNCTION("""COMPUTED_VALUE"""),"মোহাম্মদ কিবরিয়া")</f>
        <v>মোহাম্মদ কিবরিয়া</v>
      </c>
      <c r="D185" s="4">
        <f>IFERROR(__xludf.DUMMYFUNCTION("""COMPUTED_VALUE"""),5.700555545E12)</f>
        <v>5700555545000</v>
      </c>
      <c r="E185" s="4" t="str">
        <f>IFERROR(__xludf.DUMMYFUNCTION("""COMPUTED_VALUE"""),"পিতা মোহাম্মাদ ইমান আলী")</f>
        <v>পিতা মোহাম্মাদ ইমান আলী</v>
      </c>
      <c r="F185" s="4" t="str">
        <f>IFERROR(__xludf.DUMMYFUNCTION("""COMPUTED_VALUE"""),"মাঃ আকেলা খাতুন")</f>
        <v>মাঃ আকেলা খাতুন</v>
      </c>
      <c r="G185" s="4" t="str">
        <f>IFERROR(__xludf.DUMMYFUNCTION("""COMPUTED_VALUE"""),"১৫/১২/১৯৯১")</f>
        <v>১৫/১২/১৯৯১</v>
      </c>
      <c r="H185" s="4" t="str">
        <f>IFERROR(__xludf.DUMMYFUNCTION("""COMPUTED_VALUE"""),"প্রবাসী")</f>
        <v>প্রবাসী</v>
      </c>
      <c r="I185" s="4" t="str">
        <f>IFERROR(__xludf.DUMMYFUNCTION("""COMPUTED_VALUE"""),"""আড়পাড়া")</f>
        <v>"আড়পাড়া</v>
      </c>
      <c r="J185" s="4" t="str">
        <f>IFERROR(__xludf.DUMMYFUNCTION("""COMPUTED_VALUE""")," গাংনী")</f>
        <v> গাংনী</v>
      </c>
      <c r="K185" s="4" t="str">
        <f>IFERROR(__xludf.DUMMYFUNCTION("""COMPUTED_VALUE""")," মেহেরপুর""")</f>
        <v> মেহেরপুর"</v>
      </c>
    </row>
    <row r="186" ht="15.75" customHeight="1">
      <c r="A186" s="5" t="s">
        <v>3541</v>
      </c>
      <c r="B186" s="4">
        <f>IFERROR(__xludf.DUMMYFUNCTION("SPLIT(A186,"","")"),1133.0)</f>
        <v>1133</v>
      </c>
      <c r="C186" s="4" t="str">
        <f>IFERROR(__xludf.DUMMYFUNCTION("""COMPUTED_VALUE"""),"মোঃ জুয়েল রানা")</f>
        <v>মোঃ জুয়েল রানা</v>
      </c>
      <c r="D186" s="4">
        <f>IFERROR(__xludf.DUMMYFUNCTION("""COMPUTED_VALUE"""),5.700555545002E12)</f>
        <v>5700555545002</v>
      </c>
      <c r="E186" s="4" t="str">
        <f>IFERROR(__xludf.DUMMYFUNCTION("""COMPUTED_VALUE"""),"মোঃ জালালউদ্দিন")</f>
        <v>মোঃ জালালউদ্দিন</v>
      </c>
      <c r="F186" s="4" t="str">
        <f>IFERROR(__xludf.DUMMYFUNCTION("""COMPUTED_VALUE"""),"মোছাঃ মনোয়ারা খাতুন")</f>
        <v>মোছাঃ মনোয়ারা খাতুন</v>
      </c>
      <c r="G186" s="4" t="str">
        <f>IFERROR(__xludf.DUMMYFUNCTION("""COMPUTED_VALUE"""),"৩০/১২/২০০২")</f>
        <v>৩০/১২/২০০২</v>
      </c>
      <c r="H186" s="4" t="str">
        <f>IFERROR(__xludf.DUMMYFUNCTION("""COMPUTED_VALUE"""),"ছাত্র/ছাত্রী")</f>
        <v>ছাত্র/ছাত্রী</v>
      </c>
      <c r="I186" s="4" t="str">
        <f>IFERROR(__xludf.DUMMYFUNCTION("""COMPUTED_VALUE"""),"""আড়পাড়া")</f>
        <v>"আড়পাড়া</v>
      </c>
      <c r="J186" s="4" t="str">
        <f>IFERROR(__xludf.DUMMYFUNCTION("""COMPUTED_VALUE""")," গাংনী")</f>
        <v> গাংনী</v>
      </c>
      <c r="K186" s="4" t="str">
        <f>IFERROR(__xludf.DUMMYFUNCTION("""COMPUTED_VALUE""")," মেহেরপুর""")</f>
        <v> মেহেরপুর"</v>
      </c>
    </row>
    <row r="187" ht="15.75" customHeight="1">
      <c r="A187" s="5" t="s">
        <v>3542</v>
      </c>
      <c r="B187" s="4">
        <f>IFERROR(__xludf.DUMMYFUNCTION("SPLIT(A187,"","")"),1134.0)</f>
        <v>1134</v>
      </c>
      <c r="C187" s="4" t="str">
        <f>IFERROR(__xludf.DUMMYFUNCTION("""COMPUTED_VALUE"""),"মোঃ মুরছালিন খান")</f>
        <v>মোঃ মুরছালিন খান</v>
      </c>
      <c r="D187" s="4">
        <f>IFERROR(__xludf.DUMMYFUNCTION("""COMPUTED_VALUE"""),5.700555545004E12)</f>
        <v>5700555545004</v>
      </c>
      <c r="E187" s="4" t="str">
        <f>IFERROR(__xludf.DUMMYFUNCTION("""COMPUTED_VALUE"""),"মোহাঃ বকুল হোসেন")</f>
        <v>মোহাঃ বকুল হোসেন</v>
      </c>
      <c r="F187" s="4" t="str">
        <f>IFERROR(__xludf.DUMMYFUNCTION("""COMPUTED_VALUE"""),"মোছাঃ রেকছানা খাতুন")</f>
        <v>মোছাঃ রেকছানা খাতুন</v>
      </c>
      <c r="G187" s="4" t="str">
        <f>IFERROR(__xludf.DUMMYFUNCTION("""COMPUTED_VALUE"""),"০৮/০৭/২০০৩")</f>
        <v>০৮/০৭/২০০৩</v>
      </c>
      <c r="H187" s="4" t="str">
        <f>IFERROR(__xludf.DUMMYFUNCTION("""COMPUTED_VALUE"""),"বেকার")</f>
        <v>বেকার</v>
      </c>
      <c r="I187" s="4" t="str">
        <f>IFERROR(__xludf.DUMMYFUNCTION("""COMPUTED_VALUE"""),"""আড়পাড়া")</f>
        <v>"আড়পাড়া</v>
      </c>
      <c r="J187" s="4" t="str">
        <f>IFERROR(__xludf.DUMMYFUNCTION("""COMPUTED_VALUE""")," গাংনী")</f>
        <v> গাংনী</v>
      </c>
      <c r="K187" s="4" t="str">
        <f>IFERROR(__xludf.DUMMYFUNCTION("""COMPUTED_VALUE""")," মেহেরপুর""")</f>
        <v> মেহেরপুর"</v>
      </c>
    </row>
    <row r="188" ht="15.75" customHeight="1">
      <c r="A188" s="5" t="s">
        <v>3543</v>
      </c>
      <c r="B188" s="4">
        <f>IFERROR(__xludf.DUMMYFUNCTION("SPLIT(A188,"","")"),1135.0)</f>
        <v>1135</v>
      </c>
      <c r="C188" s="4" t="str">
        <f>IFERROR(__xludf.DUMMYFUNCTION("""COMPUTED_VALUE"""),"মোঃ সোহেল রানা")</f>
        <v>মোঃ সোহেল রানা</v>
      </c>
      <c r="D188" s="4">
        <f>IFERROR(__xludf.DUMMYFUNCTION("""COMPUTED_VALUE"""),5.700555545006E12)</f>
        <v>5700555545006</v>
      </c>
      <c r="E188" s="4" t="str">
        <f>IFERROR(__xludf.DUMMYFUNCTION("""COMPUTED_VALUE"""),"মোঃ আজিজুল হক মালিথা")</f>
        <v>মোঃ আজিজুল হক মালিথা</v>
      </c>
      <c r="F188" s="4" t="str">
        <f>IFERROR(__xludf.DUMMYFUNCTION("""COMPUTED_VALUE"""),"মোছাঃ হালিমা বেগম")</f>
        <v>মোছাঃ হালিমা বেগম</v>
      </c>
      <c r="G188" s="4" t="str">
        <f>IFERROR(__xludf.DUMMYFUNCTION("""COMPUTED_VALUE"""),"০৩/০৪/২০০০")</f>
        <v>০৩/০৪/২০০০</v>
      </c>
      <c r="H188" s="4" t="str">
        <f>IFERROR(__xludf.DUMMYFUNCTION("""COMPUTED_VALUE"""),"শ্রমিক")</f>
        <v>শ্রমিক</v>
      </c>
      <c r="I188" s="4" t="str">
        <f>IFERROR(__xludf.DUMMYFUNCTION("""COMPUTED_VALUE"""),"""৪৪১")</f>
        <v>"৪৪১</v>
      </c>
      <c r="J188" s="4" t="str">
        <f>IFERROR(__xludf.DUMMYFUNCTION("""COMPUTED_VALUE""")," আড়পাড়া")</f>
        <v> আড়পাড়া</v>
      </c>
      <c r="K188" s="4" t="str">
        <f>IFERROR(__xludf.DUMMYFUNCTION("""COMPUTED_VALUE""")," গাংনী")</f>
        <v> গাংনী</v>
      </c>
      <c r="L188" s="4" t="str">
        <f>IFERROR(__xludf.DUMMYFUNCTION("""COMPUTED_VALUE""")," মেহেরপুর""")</f>
        <v> মেহেরপুর"</v>
      </c>
    </row>
    <row r="189" ht="15.75" customHeight="1">
      <c r="A189" s="5" t="s">
        <v>3544</v>
      </c>
      <c r="B189" s="4">
        <f>IFERROR(__xludf.DUMMYFUNCTION("SPLIT(A189,"","")"),1136.0)</f>
        <v>1136</v>
      </c>
      <c r="C189" s="4" t="str">
        <f>IFERROR(__xludf.DUMMYFUNCTION("""COMPUTED_VALUE"""),"মোঃ বিদ্যুৎ আলী")</f>
        <v>মোঃ বিদ্যুৎ আলী</v>
      </c>
      <c r="D189" s="4">
        <f>IFERROR(__xludf.DUMMYFUNCTION("""COMPUTED_VALUE"""),5.70055000689E11)</f>
        <v>570055000689</v>
      </c>
      <c r="E189" s="4" t="str">
        <f>IFERROR(__xludf.DUMMYFUNCTION("""COMPUTED_VALUE"""),"মোঃ আবুল কালাম")</f>
        <v>মোঃ আবুল কালাম</v>
      </c>
      <c r="F189" s="4" t="str">
        <f>IFERROR(__xludf.DUMMYFUNCTION("""COMPUTED_VALUE"""),"মোছাঃ আছিয়া বেগম")</f>
        <v>মোছাঃ আছিয়া বেগম</v>
      </c>
      <c r="G189" s="4" t="str">
        <f>IFERROR(__xludf.DUMMYFUNCTION("""COMPUTED_VALUE"""),"০৮/০৯/২০০১")</f>
        <v>০৮/০৯/২০০১</v>
      </c>
      <c r="H189" s="4" t="str">
        <f>IFERROR(__xludf.DUMMYFUNCTION("""COMPUTED_VALUE"""),"কৃষক")</f>
        <v>কৃষক</v>
      </c>
      <c r="I189" s="4" t="str">
        <f>IFERROR(__xludf.DUMMYFUNCTION("""COMPUTED_VALUE"""),"""আড়পাড়া")</f>
        <v>"আড়পাড়া</v>
      </c>
      <c r="J189" s="4" t="str">
        <f>IFERROR(__xludf.DUMMYFUNCTION("""COMPUTED_VALUE""")," গাংনী")</f>
        <v> গাংনী</v>
      </c>
      <c r="K189" s="4" t="str">
        <f>IFERROR(__xludf.DUMMYFUNCTION("""COMPUTED_VALUE""")," মেহেরপুর""")</f>
        <v> মেহেরপুর"</v>
      </c>
    </row>
    <row r="190" ht="15.75" customHeight="1">
      <c r="A190" s="5" t="s">
        <v>3545</v>
      </c>
      <c r="B190" s="4">
        <f>IFERROR(__xludf.DUMMYFUNCTION("SPLIT(A190,"","")"),1137.0)</f>
        <v>1137</v>
      </c>
      <c r="C190" s="4" t="str">
        <f>IFERROR(__xludf.DUMMYFUNCTION("""COMPUTED_VALUE"""),"মোঃ সাহাদ আলী")</f>
        <v>মোঃ সাহাদ আলী</v>
      </c>
      <c r="D190" s="4">
        <f>IFERROR(__xludf.DUMMYFUNCTION("""COMPUTED_VALUE"""),5.7005500069E11)</f>
        <v>570055000690</v>
      </c>
      <c r="E190" s="4" t="str">
        <f>IFERROR(__xludf.DUMMYFUNCTION("""COMPUTED_VALUE"""),"মোঃ মিনারুল ইসলাম")</f>
        <v>মোঃ মিনারুল ইসলাম</v>
      </c>
      <c r="F190" s="4" t="str">
        <f>IFERROR(__xludf.DUMMYFUNCTION("""COMPUTED_VALUE"""),"মোছাঃ পারভিনা খাতুন")</f>
        <v>মোছাঃ পারভিনা খাতুন</v>
      </c>
      <c r="G190" s="4" t="str">
        <f>IFERROR(__xludf.DUMMYFUNCTION("""COMPUTED_VALUE"""),"১০/০৫/২০০২")</f>
        <v>১০/০৫/২০০২</v>
      </c>
      <c r="H190" s="4" t="str">
        <f>IFERROR(__xludf.DUMMYFUNCTION("""COMPUTED_VALUE"""),"বেসরকারী চাকুরী")</f>
        <v>বেসরকারী চাকুরী</v>
      </c>
      <c r="I190" s="4" t="str">
        <f>IFERROR(__xludf.DUMMYFUNCTION("""COMPUTED_VALUE"""),"""৭২৭")</f>
        <v>"৭২৭</v>
      </c>
      <c r="J190" s="4" t="str">
        <f>IFERROR(__xludf.DUMMYFUNCTION("""COMPUTED_VALUE""")," আড়পাড়া")</f>
        <v> আড়পাড়া</v>
      </c>
      <c r="K190" s="4" t="str">
        <f>IFERROR(__xludf.DUMMYFUNCTION("""COMPUTED_VALUE""")," গাংনী")</f>
        <v> গাংনী</v>
      </c>
      <c r="L190" s="4" t="str">
        <f>IFERROR(__xludf.DUMMYFUNCTION("""COMPUTED_VALUE""")," মেহেরপুর""")</f>
        <v> মেহেরপুর"</v>
      </c>
    </row>
    <row r="191" ht="15.75" customHeight="1">
      <c r="A191" s="5" t="s">
        <v>3546</v>
      </c>
      <c r="B191" s="4">
        <f>IFERROR(__xludf.DUMMYFUNCTION("SPLIT(A191,"","")"),1138.0)</f>
        <v>1138</v>
      </c>
      <c r="C191" s="4" t="str">
        <f>IFERROR(__xludf.DUMMYFUNCTION("""COMPUTED_VALUE"""),"মোঃ সাদবীন আহাদ")</f>
        <v>মোঃ সাদবীন আহাদ</v>
      </c>
      <c r="D191" s="4">
        <f>IFERROR(__xludf.DUMMYFUNCTION("""COMPUTED_VALUE"""),5.70055000696E11)</f>
        <v>570055000696</v>
      </c>
      <c r="E191" s="4" t="str">
        <f>IFERROR(__xludf.DUMMYFUNCTION("""COMPUTED_VALUE"""),"মৃত মোহাঃ আলীমুজ্জামান")</f>
        <v>মৃত মোহাঃ আলীমুজ্জামান</v>
      </c>
      <c r="F191" s="4" t="str">
        <f>IFERROR(__xludf.DUMMYFUNCTION("""COMPUTED_VALUE"""),"মোছাঃ বিলকিছ আরা")</f>
        <v>মোছাঃ বিলকিছ আরা</v>
      </c>
      <c r="G191" s="4" t="str">
        <f>IFERROR(__xludf.DUMMYFUNCTION("""COMPUTED_VALUE"""),"১৫/০৭/২০০৪")</f>
        <v>১৫/০৭/২০০৪</v>
      </c>
      <c r="H191" s="4" t="str">
        <f>IFERROR(__xludf.DUMMYFUNCTION("""COMPUTED_VALUE"""),"ছাত্র/ছাত্রী")</f>
        <v>ছাত্র/ছাত্রী</v>
      </c>
      <c r="I191" s="4" t="str">
        <f>IFERROR(__xludf.DUMMYFUNCTION("""COMPUTED_VALUE"""),"""৬০২")</f>
        <v>"৬০২</v>
      </c>
      <c r="J191" s="4" t="str">
        <f>IFERROR(__xludf.DUMMYFUNCTION("""COMPUTED_VALUE""")," আড়পাড়া")</f>
        <v> আড়পাড়া</v>
      </c>
      <c r="K191" s="4" t="str">
        <f>IFERROR(__xludf.DUMMYFUNCTION("""COMPUTED_VALUE""")," গাংনী")</f>
        <v> গাংনী</v>
      </c>
      <c r="L191" s="4" t="str">
        <f>IFERROR(__xludf.DUMMYFUNCTION("""COMPUTED_VALUE""")," মেহেরপুর""")</f>
        <v> মেহেরপুর"</v>
      </c>
    </row>
    <row r="192" ht="15.75" customHeight="1">
      <c r="A192" s="5" t="s">
        <v>3547</v>
      </c>
      <c r="B192" s="4">
        <f>IFERROR(__xludf.DUMMYFUNCTION("SPLIT(A192,"","")"),1139.0)</f>
        <v>1139</v>
      </c>
      <c r="C192" s="4" t="str">
        <f>IFERROR(__xludf.DUMMYFUNCTION("""COMPUTED_VALUE"""),"মোঃ আরিফুল ইসলাম")</f>
        <v>মোঃ আরিফুল ইসলাম</v>
      </c>
      <c r="D192" s="4">
        <f>IFERROR(__xludf.DUMMYFUNCTION("""COMPUTED_VALUE"""),5.70055000702E11)</f>
        <v>570055000702</v>
      </c>
      <c r="E192" s="4" t="str">
        <f>IFERROR(__xludf.DUMMYFUNCTION("""COMPUTED_VALUE"""),"রইচ উদ্দীন")</f>
        <v>রইচ উদ্দীন</v>
      </c>
      <c r="F192" s="4" t="str">
        <f>IFERROR(__xludf.DUMMYFUNCTION("""COMPUTED_VALUE"""),"মোছাঃ রেবেকা")</f>
        <v>মোছাঃ রেবেকা</v>
      </c>
      <c r="G192" s="4" t="str">
        <f>IFERROR(__xludf.DUMMYFUNCTION("""COMPUTED_VALUE"""),"০৭/১২/১৯৯৬")</f>
        <v>০৭/১২/১৯৯৬</v>
      </c>
      <c r="H192" s="4" t="str">
        <f>IFERROR(__xludf.DUMMYFUNCTION("""COMPUTED_VALUE"""),"শ্রমিক")</f>
        <v>শ্রমিক</v>
      </c>
      <c r="I192" s="4" t="str">
        <f>IFERROR(__xludf.DUMMYFUNCTION("""COMPUTED_VALUE"""),"""৪১০")</f>
        <v>"৪১০</v>
      </c>
      <c r="J192" s="4" t="str">
        <f>IFERROR(__xludf.DUMMYFUNCTION("""COMPUTED_VALUE""")," আড়পাড়া")</f>
        <v> আড়পাড়া</v>
      </c>
      <c r="K192" s="4" t="str">
        <f>IFERROR(__xludf.DUMMYFUNCTION("""COMPUTED_VALUE""")," গাংনী")</f>
        <v> গাংনী</v>
      </c>
      <c r="L192" s="4" t="str">
        <f>IFERROR(__xludf.DUMMYFUNCTION("""COMPUTED_VALUE""")," মেহেরপুর""")</f>
        <v> মেহেরপুর"</v>
      </c>
    </row>
    <row r="193" ht="15.75" customHeight="1">
      <c r="A193" s="5" t="s">
        <v>3548</v>
      </c>
      <c r="B193" s="4">
        <f>IFERROR(__xludf.DUMMYFUNCTION("SPLIT(A193,"","")"),1140.0)</f>
        <v>1140</v>
      </c>
      <c r="C193" s="4" t="str">
        <f>IFERROR(__xludf.DUMMYFUNCTION("""COMPUTED_VALUE"""),"মোহাম্মদ শান্ত")</f>
        <v>মোহাম্মদ শান্ত</v>
      </c>
      <c r="D193" s="4">
        <f>IFERROR(__xludf.DUMMYFUNCTION("""COMPUTED_VALUE"""),5.70055000703E11)</f>
        <v>570055000703</v>
      </c>
      <c r="E193" s="4" t="str">
        <f>IFERROR(__xludf.DUMMYFUNCTION("""COMPUTED_VALUE"""),"আরসাদ")</f>
        <v>আরসাদ</v>
      </c>
      <c r="F193" s="4" t="str">
        <f>IFERROR(__xludf.DUMMYFUNCTION("""COMPUTED_VALUE"""),"রাশিদা খাতুন")</f>
        <v>রাশিদা খাতুন</v>
      </c>
      <c r="G193" s="4" t="str">
        <f>IFERROR(__xludf.DUMMYFUNCTION("""COMPUTED_VALUE"""),"১০/০২/১৯৯২")</f>
        <v>১০/০২/১৯৯২</v>
      </c>
      <c r="H193" s="4" t="str">
        <f>IFERROR(__xludf.DUMMYFUNCTION("""COMPUTED_VALUE"""),"প্রবাসী")</f>
        <v>প্রবাসী</v>
      </c>
      <c r="I193" s="4" t="str">
        <f>IFERROR(__xludf.DUMMYFUNCTION("""COMPUTED_VALUE"""),"""আড়পাড়া")</f>
        <v>"আড়পাড়া</v>
      </c>
      <c r="J193" s="4" t="str">
        <f>IFERROR(__xludf.DUMMYFUNCTION("""COMPUTED_VALUE""")," গাংনী")</f>
        <v> গাংনী</v>
      </c>
      <c r="K193" s="4" t="str">
        <f>IFERROR(__xludf.DUMMYFUNCTION("""COMPUTED_VALUE""")," মেহেরপুর""")</f>
        <v> মেহেরপুর"</v>
      </c>
    </row>
    <row r="194" ht="15.75" customHeight="1">
      <c r="A194" s="5" t="s">
        <v>3549</v>
      </c>
      <c r="B194" s="4">
        <f>IFERROR(__xludf.DUMMYFUNCTION("SPLIT(A194,"","")"),1141.0)</f>
        <v>1141</v>
      </c>
      <c r="C194" s="4" t="str">
        <f>IFERROR(__xludf.DUMMYFUNCTION("""COMPUTED_VALUE"""),"মোঃ মোহাম্মাদ জুয়েল আলী")</f>
        <v>মোঃ মোহাম্মাদ জুয়েল আলী</v>
      </c>
      <c r="D194" s="4">
        <f>IFERROR(__xludf.DUMMYFUNCTION("""COMPUTED_VALUE"""),5.70055000704E11)</f>
        <v>570055000704</v>
      </c>
      <c r="E194" s="4" t="str">
        <f>IFERROR(__xludf.DUMMYFUNCTION("""COMPUTED_VALUE"""),"মোঃ কুরবান আলী")</f>
        <v>মোঃ কুরবান আলী</v>
      </c>
      <c r="F194" s="4" t="str">
        <f>IFERROR(__xludf.DUMMYFUNCTION("""COMPUTED_VALUE"""),"মোছাঃ রাশিরা খাতুন")</f>
        <v>মোছাঃ রাশিরা খাতুন</v>
      </c>
      <c r="G194" s="4" t="str">
        <f>IFERROR(__xludf.DUMMYFUNCTION("""COMPUTED_VALUE"""),"০৪/০১/১৯৯১")</f>
        <v>০৪/০১/১৯৯১</v>
      </c>
      <c r="H194" s="4" t="str">
        <f>IFERROR(__xludf.DUMMYFUNCTION("""COMPUTED_VALUE"""),"প্রবাসী")</f>
        <v>প্রবাসী</v>
      </c>
      <c r="I194" s="4" t="str">
        <f>IFERROR(__xludf.DUMMYFUNCTION("""COMPUTED_VALUE"""),"""আড়পাড়া")</f>
        <v>"আড়পাড়া</v>
      </c>
      <c r="J194" s="4" t="str">
        <f>IFERROR(__xludf.DUMMYFUNCTION("""COMPUTED_VALUE""")," গাংনী")</f>
        <v> গাংনী</v>
      </c>
      <c r="K194" s="4" t="str">
        <f>IFERROR(__xludf.DUMMYFUNCTION("""COMPUTED_VALUE""")," মেহেরপুর""")</f>
        <v> মেহেরপুর"</v>
      </c>
    </row>
    <row r="195" ht="15.75" customHeight="1">
      <c r="A195" s="5" t="s">
        <v>3550</v>
      </c>
      <c r="B195" s="4">
        <f>IFERROR(__xludf.DUMMYFUNCTION("SPLIT(A195,"","")"),1142.0)</f>
        <v>1142</v>
      </c>
      <c r="C195" s="4" t="str">
        <f>IFERROR(__xludf.DUMMYFUNCTION("""COMPUTED_VALUE"""),"মোঃ নয়ন আহমেদ")</f>
        <v>মোঃ নয়ন আহমেদ</v>
      </c>
      <c r="D195" s="4">
        <f>IFERROR(__xludf.DUMMYFUNCTION("""COMPUTED_VALUE"""),5.70055000705E11)</f>
        <v>570055000705</v>
      </c>
      <c r="E195" s="4" t="str">
        <f>IFERROR(__xludf.DUMMYFUNCTION("""COMPUTED_VALUE"""),"মোঃ মিজানুর রহমান")</f>
        <v>মোঃ মিজানুর রহমান</v>
      </c>
      <c r="F195" s="4" t="str">
        <f>IFERROR(__xludf.DUMMYFUNCTION("""COMPUTED_VALUE"""),"মোছাঃ লিপিআরা")</f>
        <v>মোছাঃ লিপিআরা</v>
      </c>
      <c r="G195" s="4" t="str">
        <f>IFERROR(__xludf.DUMMYFUNCTION("""COMPUTED_VALUE"""),"০৫/১০/১৯৯৭")</f>
        <v>০৫/১০/১৯৯৭</v>
      </c>
      <c r="H195" s="4" t="str">
        <f>IFERROR(__xludf.DUMMYFUNCTION("""COMPUTED_VALUE"""),"শ্রমিক")</f>
        <v>শ্রমিক</v>
      </c>
      <c r="I195" s="4" t="str">
        <f>IFERROR(__xludf.DUMMYFUNCTION("""COMPUTED_VALUE"""),"""আড়পাড়া")</f>
        <v>"আড়পাড়া</v>
      </c>
      <c r="J195" s="4" t="str">
        <f>IFERROR(__xludf.DUMMYFUNCTION("""COMPUTED_VALUE""")," গাংনী")</f>
        <v> গাংনী</v>
      </c>
      <c r="K195" s="4" t="str">
        <f>IFERROR(__xludf.DUMMYFUNCTION("""COMPUTED_VALUE""")," মেহেরপুর""")</f>
        <v> মেহেরপুর"</v>
      </c>
    </row>
    <row r="196" ht="15.75" customHeight="1">
      <c r="A196" s="5" t="s">
        <v>3551</v>
      </c>
      <c r="B196" s="4">
        <f>IFERROR(__xludf.DUMMYFUNCTION("SPLIT(A196,"","")"),1143.0)</f>
        <v>1143</v>
      </c>
      <c r="C196" s="4" t="str">
        <f>IFERROR(__xludf.DUMMYFUNCTION("""COMPUTED_VALUE"""),"শিহাব আলী")</f>
        <v>শিহাব আলী</v>
      </c>
      <c r="D196" s="4">
        <f>IFERROR(__xludf.DUMMYFUNCTION("""COMPUTED_VALUE"""),5.70055000706E11)</f>
        <v>570055000706</v>
      </c>
      <c r="E196" s="4" t="str">
        <f>IFERROR(__xludf.DUMMYFUNCTION("""COMPUTED_VALUE"""),"মোঃ মিজানুর রহমান")</f>
        <v>মোঃ মিজানুর রহমান</v>
      </c>
      <c r="F196" s="4" t="str">
        <f>IFERROR(__xludf.DUMMYFUNCTION("""COMPUTED_VALUE"""),"মোছাঃ পারুলা আক্তার")</f>
        <v>মোছাঃ পারুলা আক্তার</v>
      </c>
      <c r="G196" s="4" t="str">
        <f>IFERROR(__xludf.DUMMYFUNCTION("""COMPUTED_VALUE"""),"১৫/০৮/১৯৯৫")</f>
        <v>১৫/০৮/১৯৯৫</v>
      </c>
      <c r="H196" s="4" t="str">
        <f>IFERROR(__xludf.DUMMYFUNCTION("""COMPUTED_VALUE"""),"শ্রমিক")</f>
        <v>শ্রমিক</v>
      </c>
      <c r="I196" s="4" t="str">
        <f>IFERROR(__xludf.DUMMYFUNCTION("""COMPUTED_VALUE"""),"""৬৫")</f>
        <v>"৬৫</v>
      </c>
      <c r="J196" s="4" t="str">
        <f>IFERROR(__xludf.DUMMYFUNCTION("""COMPUTED_VALUE""")," আড়পাড়া")</f>
        <v> আড়পাড়া</v>
      </c>
      <c r="K196" s="4" t="str">
        <f>IFERROR(__xludf.DUMMYFUNCTION("""COMPUTED_VALUE""")," গাংনী")</f>
        <v> গাংনী</v>
      </c>
      <c r="L196" s="4" t="str">
        <f>IFERROR(__xludf.DUMMYFUNCTION("""COMPUTED_VALUE""")," মেহেরপুর""")</f>
        <v> মেহেরপুর"</v>
      </c>
    </row>
    <row r="197" ht="15.75" customHeight="1">
      <c r="A197" s="5" t="s">
        <v>3552</v>
      </c>
      <c r="B197" s="4">
        <f>IFERROR(__xludf.DUMMYFUNCTION("SPLIT(A197,"","")"),1144.0)</f>
        <v>1144</v>
      </c>
      <c r="C197" s="4" t="str">
        <f>IFERROR(__xludf.DUMMYFUNCTION("""COMPUTED_VALUE"""),"স্বপ্নীল আহাম্মেদ")</f>
        <v>স্বপ্নীল আহাম্মেদ</v>
      </c>
      <c r="D197" s="4">
        <f>IFERROR(__xludf.DUMMYFUNCTION("""COMPUTED_VALUE"""),5.7005500071E11)</f>
        <v>570055000710</v>
      </c>
      <c r="E197" s="4" t="str">
        <f>IFERROR(__xludf.DUMMYFUNCTION("""COMPUTED_VALUE"""),"মোঃ জিম্মত আলী")</f>
        <v>মোঃ জিম্মত আলী</v>
      </c>
      <c r="F197" s="4" t="str">
        <f>IFERROR(__xludf.DUMMYFUNCTION("""COMPUTED_VALUE"""),"মোছাঃ জহুরা")</f>
        <v>মোছাঃ জহুরা</v>
      </c>
      <c r="G197" s="4" t="str">
        <f>IFERROR(__xludf.DUMMYFUNCTION("""COMPUTED_VALUE"""),"০৭/০৯/২০০১")</f>
        <v>০৭/০৯/২০০১</v>
      </c>
      <c r="H197" s="4" t="str">
        <f>IFERROR(__xludf.DUMMYFUNCTION("""COMPUTED_VALUE"""),"শ্রমিক")</f>
        <v>শ্রমিক</v>
      </c>
      <c r="I197" s="4" t="str">
        <f>IFERROR(__xludf.DUMMYFUNCTION("""COMPUTED_VALUE"""),"""৬৮০")</f>
        <v>"৬৮০</v>
      </c>
      <c r="J197" s="4" t="str">
        <f>IFERROR(__xludf.DUMMYFUNCTION("""COMPUTED_VALUE""")," আড়পাড়া")</f>
        <v> আড়পাড়া</v>
      </c>
      <c r="K197" s="4" t="str">
        <f>IFERROR(__xludf.DUMMYFUNCTION("""COMPUTED_VALUE""")," গাংনী")</f>
        <v> গাংনী</v>
      </c>
      <c r="L197" s="4" t="str">
        <f>IFERROR(__xludf.DUMMYFUNCTION("""COMPUTED_VALUE""")," মেহেরপুর""")</f>
        <v> মেহেরপুর"</v>
      </c>
    </row>
    <row r="198" ht="15.75" customHeight="1">
      <c r="A198" s="5" t="s">
        <v>3553</v>
      </c>
      <c r="B198" s="4">
        <f>IFERROR(__xludf.DUMMYFUNCTION("SPLIT(A198,"","")"),1145.0)</f>
        <v>1145</v>
      </c>
      <c r="C198" s="4" t="str">
        <f>IFERROR(__xludf.DUMMYFUNCTION("""COMPUTED_VALUE"""),"মোহাম্মদ রকিবুল ইসলাম")</f>
        <v>মোহাম্মদ রকিবুল ইসলাম</v>
      </c>
      <c r="D198" s="4">
        <f>IFERROR(__xludf.DUMMYFUNCTION("""COMPUTED_VALUE"""),5.700555545005E12)</f>
        <v>5700555545005</v>
      </c>
      <c r="E198" s="4" t="str">
        <f>IFERROR(__xludf.DUMMYFUNCTION("""COMPUTED_VALUE"""),"আবু বক্কর")</f>
        <v>আবু বক্কর</v>
      </c>
      <c r="F198" s="4" t="str">
        <f>IFERROR(__xludf.DUMMYFUNCTION("""COMPUTED_VALUE"""),"মোছাঃ জামেনা")</f>
        <v>মোছাঃ জামেনা</v>
      </c>
      <c r="G198" s="4" t="str">
        <f>IFERROR(__xludf.DUMMYFUNCTION("""COMPUTED_VALUE"""),"১৩/০৬/১৯৯০")</f>
        <v>১৩/০৬/১৯৯০</v>
      </c>
      <c r="H198" s="4" t="str">
        <f>IFERROR(__xludf.DUMMYFUNCTION("""COMPUTED_VALUE"""),"শ্রমিক")</f>
        <v>শ্রমিক</v>
      </c>
      <c r="I198" s="4" t="str">
        <f>IFERROR(__xludf.DUMMYFUNCTION("""COMPUTED_VALUE"""),"""আড়পাড়া")</f>
        <v>"আড়পাড়া</v>
      </c>
      <c r="J198" s="4" t="str">
        <f>IFERROR(__xludf.DUMMYFUNCTION("""COMPUTED_VALUE""")," গাংনী")</f>
        <v> গাংনী</v>
      </c>
      <c r="K198" s="4" t="str">
        <f>IFERROR(__xludf.DUMMYFUNCTION("""COMPUTED_VALUE""")," মেহেরপুর""")</f>
        <v> মেহেরপুর"</v>
      </c>
    </row>
    <row r="199" ht="15.75" customHeight="1">
      <c r="A199" s="5" t="s">
        <v>3554</v>
      </c>
      <c r="B199" s="4">
        <f>IFERROR(__xludf.DUMMYFUNCTION("SPLIT(A199,"","")"),1146.0)</f>
        <v>1146</v>
      </c>
      <c r="C199" s="4" t="str">
        <f>IFERROR(__xludf.DUMMYFUNCTION("""COMPUTED_VALUE"""),"মোঃ মজিবুল হক")</f>
        <v>মোঃ মজিবুল হক</v>
      </c>
      <c r="D199" s="4">
        <f>IFERROR(__xludf.DUMMYFUNCTION("""COMPUTED_VALUE"""),5.700555545007E12)</f>
        <v>5700555545007</v>
      </c>
      <c r="E199" s="4" t="str">
        <f>IFERROR(__xludf.DUMMYFUNCTION("""COMPUTED_VALUE"""),"মোঃ নেমুদ্দীন")</f>
        <v>মোঃ নেমুদ্দীন</v>
      </c>
      <c r="F199" s="4" t="str">
        <f>IFERROR(__xludf.DUMMYFUNCTION("""COMPUTED_VALUE"""),"মোছাঃ আনজিরা খাতুন")</f>
        <v>মোছাঃ আনজিরা খাতুন</v>
      </c>
      <c r="G199" s="4" t="str">
        <f>IFERROR(__xludf.DUMMYFUNCTION("""COMPUTED_VALUE"""),"০৪/১২/২০০২")</f>
        <v>০৪/১২/২০০২</v>
      </c>
      <c r="H199" s="4" t="str">
        <f>IFERROR(__xludf.DUMMYFUNCTION("""COMPUTED_VALUE"""),"বেকার")</f>
        <v>বেকার</v>
      </c>
      <c r="I199" s="4" t="str">
        <f>IFERROR(__xludf.DUMMYFUNCTION("""COMPUTED_VALUE"""),"""আড়পাড়া")</f>
        <v>"আড়পাড়া</v>
      </c>
      <c r="J199" s="4" t="str">
        <f>IFERROR(__xludf.DUMMYFUNCTION("""COMPUTED_VALUE""")," গাংনী")</f>
        <v> গাংনী</v>
      </c>
      <c r="K199" s="4" t="str">
        <f>IFERROR(__xludf.DUMMYFUNCTION("""COMPUTED_VALUE""")," মেহেরপুর""")</f>
        <v> মেহেরপুর"</v>
      </c>
    </row>
    <row r="200" ht="15.75" customHeight="1">
      <c r="A200" s="5" t="s">
        <v>3555</v>
      </c>
      <c r="B200" s="4">
        <f>IFERROR(__xludf.DUMMYFUNCTION("SPLIT(A200,"","")"),1147.0)</f>
        <v>1147</v>
      </c>
      <c r="C200" s="4" t="str">
        <f>IFERROR(__xludf.DUMMYFUNCTION("""COMPUTED_VALUE"""),"মোঃ সায়েম হোসেন রনি")</f>
        <v>মোঃ সায়েম হোসেন রনি</v>
      </c>
      <c r="D200" s="4">
        <f>IFERROR(__xludf.DUMMYFUNCTION("""COMPUTED_VALUE"""),5.700555545008E12)</f>
        <v>5700555545008</v>
      </c>
      <c r="E200" s="4" t="str">
        <f>IFERROR(__xludf.DUMMYFUNCTION("""COMPUTED_VALUE"""),"মোঃ মহিবুল ইসলাম")</f>
        <v>মোঃ মহিবুল ইসলাম</v>
      </c>
      <c r="F200" s="4" t="str">
        <f>IFERROR(__xludf.DUMMYFUNCTION("""COMPUTED_VALUE"""),"মোছাঃ মুসলিমা খাতুন")</f>
        <v>মোছাঃ মুসলিমা খাতুন</v>
      </c>
      <c r="G200" s="4" t="str">
        <f>IFERROR(__xludf.DUMMYFUNCTION("""COMPUTED_VALUE"""),"০১/০৬/২০০২")</f>
        <v>০১/০৬/২০০২</v>
      </c>
      <c r="H200" s="4" t="str">
        <f>IFERROR(__xludf.DUMMYFUNCTION("""COMPUTED_VALUE"""),"ব্যবসা")</f>
        <v>ব্যবসা</v>
      </c>
      <c r="I200" s="4" t="str">
        <f>IFERROR(__xludf.DUMMYFUNCTION("""COMPUTED_VALUE"""),"""আড়পাড়া")</f>
        <v>"আড়পাড়া</v>
      </c>
      <c r="J200" s="4" t="str">
        <f>IFERROR(__xludf.DUMMYFUNCTION("""COMPUTED_VALUE""")," গাংনী")</f>
        <v> গাংনী</v>
      </c>
      <c r="K200" s="4" t="str">
        <f>IFERROR(__xludf.DUMMYFUNCTION("""COMPUTED_VALUE""")," মেহেরপুর""")</f>
        <v> মেহেরপুর"</v>
      </c>
    </row>
    <row r="201" ht="15.75" customHeight="1">
      <c r="A201" s="5" t="s">
        <v>3556</v>
      </c>
      <c r="B201" s="4">
        <f>IFERROR(__xludf.DUMMYFUNCTION("SPLIT(A201,"","")"),1148.0)</f>
        <v>1148</v>
      </c>
      <c r="C201" s="4" t="str">
        <f>IFERROR(__xludf.DUMMYFUNCTION("""COMPUTED_VALUE"""),"দেলোয়ার হোসেন")</f>
        <v>দেলোয়ার হোসেন</v>
      </c>
      <c r="D201" s="4">
        <f>IFERROR(__xludf.DUMMYFUNCTION("""COMPUTED_VALUE"""),5.700555545009E12)</f>
        <v>5700555545009</v>
      </c>
      <c r="E201" s="4" t="str">
        <f>IFERROR(__xludf.DUMMYFUNCTION("""COMPUTED_VALUE"""),"মুরাদ আলী")</f>
        <v>মুরাদ আলী</v>
      </c>
      <c r="F201" s="4" t="str">
        <f>IFERROR(__xludf.DUMMYFUNCTION("""COMPUTED_VALUE"""),"হাফিজা খাতুন")</f>
        <v>হাফিজা খাতুন</v>
      </c>
      <c r="G201" s="4" t="str">
        <f>IFERROR(__xludf.DUMMYFUNCTION("""COMPUTED_VALUE"""),"১২/০৪/১৯৮৪")</f>
        <v>১২/০৪/১৯৮৪</v>
      </c>
      <c r="H201" s="4" t="str">
        <f>IFERROR(__xludf.DUMMYFUNCTION("""COMPUTED_VALUE"""),"প্রবাসী")</f>
        <v>প্রবাসী</v>
      </c>
      <c r="I201" s="4" t="str">
        <f>IFERROR(__xludf.DUMMYFUNCTION("""COMPUTED_VALUE"""),"""আড়পাড়া")</f>
        <v>"আড়পাড়া</v>
      </c>
      <c r="J201" s="4" t="str">
        <f>IFERROR(__xludf.DUMMYFUNCTION("""COMPUTED_VALUE""")," গাংনী")</f>
        <v> গাংনী</v>
      </c>
      <c r="K201" s="4" t="str">
        <f>IFERROR(__xludf.DUMMYFUNCTION("""COMPUTED_VALUE""")," মেহেরপুর""")</f>
        <v> মেহেরপুর"</v>
      </c>
    </row>
    <row r="202" ht="15.75" customHeight="1">
      <c r="A202" s="5" t="s">
        <v>3557</v>
      </c>
      <c r="B202" s="4">
        <f>IFERROR(__xludf.DUMMYFUNCTION("SPLIT(A202,"","")"),1149.0)</f>
        <v>1149</v>
      </c>
      <c r="C202" s="4" t="str">
        <f>IFERROR(__xludf.DUMMYFUNCTION("""COMPUTED_VALUE"""),"মোঃ আছরাফ হোসেন")</f>
        <v>মোঃ আছরাফ হোসেন</v>
      </c>
      <c r="D202" s="4" t="str">
        <f>IFERROR(__xludf.DUMMYFUNCTION("""COMPUTED_VALUE"""),"৫৭০০৫৫৫৫৪৫MDEw")</f>
        <v>৫৭০০৫৫৫৫৪৫MDEw</v>
      </c>
      <c r="E202" s="4" t="str">
        <f>IFERROR(__xludf.DUMMYFUNCTION("""COMPUTED_VALUE"""),"মোঃ রুপচাঁদ")</f>
        <v>মোঃ রুপচাঁদ</v>
      </c>
      <c r="F202" s="4" t="str">
        <f>IFERROR(__xludf.DUMMYFUNCTION("""COMPUTED_VALUE"""),"মোছাঃ পারভীনা খাতুন")</f>
        <v>মোছাঃ পারভীনা খাতুন</v>
      </c>
      <c r="G202" s="4" t="str">
        <f>IFERROR(__xludf.DUMMYFUNCTION("""COMPUTED_VALUE"""),"০১/০৬/২০০৩")</f>
        <v>০১/০৬/২০০৩</v>
      </c>
      <c r="H202" s="4" t="str">
        <f>IFERROR(__xludf.DUMMYFUNCTION("""COMPUTED_VALUE"""),"মিস্ত্রী")</f>
        <v>মিস্ত্রী</v>
      </c>
      <c r="I202" s="4" t="str">
        <f>IFERROR(__xludf.DUMMYFUNCTION("""COMPUTED_VALUE"""),"""আড়পাড়া")</f>
        <v>"আড়পাড়া</v>
      </c>
      <c r="J202" s="4" t="str">
        <f>IFERROR(__xludf.DUMMYFUNCTION("""COMPUTED_VALUE""")," গাংনী")</f>
        <v> গাংনী</v>
      </c>
      <c r="K202" s="4" t="str">
        <f>IFERROR(__xludf.DUMMYFUNCTION("""COMPUTED_VALUE""")," মেহেরপুর""")</f>
        <v> মেহেরপুর"</v>
      </c>
    </row>
    <row r="203" ht="15.75" customHeight="1">
      <c r="A203" s="5" t="s">
        <v>3558</v>
      </c>
      <c r="B203" s="4">
        <f>IFERROR(__xludf.DUMMYFUNCTION("SPLIT(A203,"","")"),1150.0)</f>
        <v>1150</v>
      </c>
      <c r="C203" s="4" t="str">
        <f>IFERROR(__xludf.DUMMYFUNCTION("""COMPUTED_VALUE"""),"মোঃ নাজিব বিশ্বাস")</f>
        <v>মোঃ নাজিব বিশ্বাস</v>
      </c>
      <c r="D203" s="4">
        <f>IFERROR(__xludf.DUMMYFUNCTION("""COMPUTED_VALUE"""),5.700555545011E12)</f>
        <v>5700555545011</v>
      </c>
      <c r="E203" s="4" t="str">
        <f>IFERROR(__xludf.DUMMYFUNCTION("""COMPUTED_VALUE"""),"মোঃ বাবুল হোসেন")</f>
        <v>মোঃ বাবুল হোসেন</v>
      </c>
      <c r="F203" s="4" t="str">
        <f>IFERROR(__xludf.DUMMYFUNCTION("""COMPUTED_VALUE"""),"মোছাঃ নার্গিস আরা")</f>
        <v>মোছাঃ নার্গিস আরা</v>
      </c>
      <c r="G203" s="4" t="str">
        <f>IFERROR(__xludf.DUMMYFUNCTION("""COMPUTED_VALUE"""),"০১/০৮/২০০৪")</f>
        <v>০১/০৮/২০০৪</v>
      </c>
      <c r="H203" s="4" t="str">
        <f>IFERROR(__xludf.DUMMYFUNCTION("""COMPUTED_VALUE"""),"শ্রমিক")</f>
        <v>শ্রমিক</v>
      </c>
      <c r="I203" s="4" t="str">
        <f>IFERROR(__xludf.DUMMYFUNCTION("""COMPUTED_VALUE"""),"""৬৯৮")</f>
        <v>"৬৯৮</v>
      </c>
      <c r="J203" s="4" t="str">
        <f>IFERROR(__xludf.DUMMYFUNCTION("""COMPUTED_VALUE""")," আড়পাড়া")</f>
        <v> আড়পাড়া</v>
      </c>
      <c r="K203" s="4" t="str">
        <f>IFERROR(__xludf.DUMMYFUNCTION("""COMPUTED_VALUE""")," গাংনী")</f>
        <v> গাংনী</v>
      </c>
      <c r="L203" s="4" t="str">
        <f>IFERROR(__xludf.DUMMYFUNCTION("""COMPUTED_VALUE""")," মেহেরপুর""")</f>
        <v> মেহেরপুর"</v>
      </c>
    </row>
    <row r="204" ht="15.75" customHeight="1">
      <c r="A204" s="5" t="s">
        <v>3559</v>
      </c>
      <c r="B204" s="4">
        <f>IFERROR(__xludf.DUMMYFUNCTION("SPLIT(A204,"","")"),1151.0)</f>
        <v>1151</v>
      </c>
      <c r="C204" s="4" t="str">
        <f>IFERROR(__xludf.DUMMYFUNCTION("""COMPUTED_VALUE"""),"মোঃ সজিব আলী")</f>
        <v>মোঃ সজিব আলী</v>
      </c>
      <c r="D204" s="4">
        <f>IFERROR(__xludf.DUMMYFUNCTION("""COMPUTED_VALUE"""),5.700555545012E12)</f>
        <v>5700555545012</v>
      </c>
      <c r="E204" s="4" t="str">
        <f>IFERROR(__xludf.DUMMYFUNCTION("""COMPUTED_VALUE"""),"মোঃ তজিমুদ্দীন")</f>
        <v>মোঃ তজিমুদ্দীন</v>
      </c>
      <c r="F204" s="4" t="str">
        <f>IFERROR(__xludf.DUMMYFUNCTION("""COMPUTED_VALUE"""),"মোছাঃ সাজেদা খাতুন")</f>
        <v>মোছাঃ সাজেদা খাতুন</v>
      </c>
      <c r="G204" s="4" t="str">
        <f>IFERROR(__xludf.DUMMYFUNCTION("""COMPUTED_VALUE"""),"০৯/০৩/২০০৪")</f>
        <v>০৯/০৩/২০০৪</v>
      </c>
      <c r="H204" s="4" t="str">
        <f>IFERROR(__xludf.DUMMYFUNCTION("""COMPUTED_VALUE"""),"কৃষক")</f>
        <v>কৃষক</v>
      </c>
      <c r="I204" s="4" t="str">
        <f>IFERROR(__xludf.DUMMYFUNCTION("""COMPUTED_VALUE"""),"""আড়পাড়া")</f>
        <v>"আড়পাড়া</v>
      </c>
      <c r="J204" s="4" t="str">
        <f>IFERROR(__xludf.DUMMYFUNCTION("""COMPUTED_VALUE""")," গাংনী")</f>
        <v> গাংনী</v>
      </c>
      <c r="K204" s="4" t="str">
        <f>IFERROR(__xludf.DUMMYFUNCTION("""COMPUTED_VALUE""")," মেহেরপুর""")</f>
        <v> মেহেরপুর"</v>
      </c>
    </row>
    <row r="205" ht="15.75" customHeight="1">
      <c r="A205" s="5" t="s">
        <v>3560</v>
      </c>
      <c r="B205" s="4">
        <f>IFERROR(__xludf.DUMMYFUNCTION("SPLIT(A205,"","")"),1152.0)</f>
        <v>1152</v>
      </c>
      <c r="C205" s="4" t="str">
        <f>IFERROR(__xludf.DUMMYFUNCTION("""COMPUTED_VALUE"""),"মোঃ আজিজুল হক")</f>
        <v>মোঃ আজিজুল হক</v>
      </c>
      <c r="D205" s="4">
        <f>IFERROR(__xludf.DUMMYFUNCTION("""COMPUTED_VALUE"""),5.700555545014E12)</f>
        <v>5700555545014</v>
      </c>
      <c r="E205" s="4" t="str">
        <f>IFERROR(__xludf.DUMMYFUNCTION("""COMPUTED_VALUE"""),"ছামছুদ্দীন")</f>
        <v>ছামছুদ্দীন</v>
      </c>
      <c r="F205" s="4" t="str">
        <f>IFERROR(__xludf.DUMMYFUNCTION("""COMPUTED_VALUE"""),"মোছাঃ কমেলা খাতুন")</f>
        <v>মোছাঃ কমেলা খাতুন</v>
      </c>
      <c r="G205" s="4" t="str">
        <f>IFERROR(__xludf.DUMMYFUNCTION("""COMPUTED_VALUE"""),"২০/০২/১৯৮০")</f>
        <v>২০/০২/১৯৮০</v>
      </c>
      <c r="H205" s="4" t="str">
        <f>IFERROR(__xludf.DUMMYFUNCTION("""COMPUTED_VALUE"""),"কৃষক")</f>
        <v>কৃষক</v>
      </c>
      <c r="I205" s="4" t="str">
        <f>IFERROR(__xludf.DUMMYFUNCTION("""COMPUTED_VALUE"""),"""আড়পাড়া")</f>
        <v>"আড়পাড়া</v>
      </c>
      <c r="J205" s="4" t="str">
        <f>IFERROR(__xludf.DUMMYFUNCTION("""COMPUTED_VALUE""")," গাংনী")</f>
        <v> গাংনী</v>
      </c>
      <c r="K205" s="4" t="str">
        <f>IFERROR(__xludf.DUMMYFUNCTION("""COMPUTED_VALUE""")," মেহেরপুর""")</f>
        <v> মেহেরপুর"</v>
      </c>
    </row>
    <row r="206" ht="15.75" customHeight="1">
      <c r="A206" s="5" t="s">
        <v>3561</v>
      </c>
      <c r="B206" s="4">
        <f>IFERROR(__xludf.DUMMYFUNCTION("SPLIT(A206,"","")"),1153.0)</f>
        <v>1153</v>
      </c>
      <c r="C206" s="4" t="str">
        <f>IFERROR(__xludf.DUMMYFUNCTION("""COMPUTED_VALUE"""),"মোঃ একলাচুর রহমান")</f>
        <v>মোঃ একলাচুর রহমান</v>
      </c>
      <c r="D206" s="4">
        <f>IFERROR(__xludf.DUMMYFUNCTION("""COMPUTED_VALUE"""),5.700555545015E12)</f>
        <v>5700555545015</v>
      </c>
      <c r="E206" s="4" t="str">
        <f>IFERROR(__xludf.DUMMYFUNCTION("""COMPUTED_VALUE"""),"মোঃ রেজাউল হক")</f>
        <v>মোঃ রেজাউল হক</v>
      </c>
      <c r="F206" s="4" t="str">
        <f>IFERROR(__xludf.DUMMYFUNCTION("""COMPUTED_VALUE"""),"মোছাঃ সোনাভানু")</f>
        <v>মোছাঃ সোনাভানু</v>
      </c>
      <c r="G206" s="4" t="str">
        <f>IFERROR(__xludf.DUMMYFUNCTION("""COMPUTED_VALUE"""),"১০/০২/১৯৯০")</f>
        <v>১০/০২/১৯৯০</v>
      </c>
      <c r="H206" s="4" t="str">
        <f>IFERROR(__xludf.DUMMYFUNCTION("""COMPUTED_VALUE"""),"বেসরকারী চাকুরী")</f>
        <v>বেসরকারী চাকুরী</v>
      </c>
      <c r="I206" s="4" t="str">
        <f>IFERROR(__xludf.DUMMYFUNCTION("""COMPUTED_VALUE"""),"""আড়পাড়া")</f>
        <v>"আড়পাড়া</v>
      </c>
      <c r="J206" s="4" t="str">
        <f>IFERROR(__xludf.DUMMYFUNCTION("""COMPUTED_VALUE""")," গাংনী")</f>
        <v> গাংনী</v>
      </c>
      <c r="K206" s="4" t="str">
        <f>IFERROR(__xludf.DUMMYFUNCTION("""COMPUTED_VALUE""")," মেহেরপুর""")</f>
        <v> মেহেরপুর"</v>
      </c>
    </row>
    <row r="207" ht="15.75" customHeight="1">
      <c r="A207" s="5" t="s">
        <v>3562</v>
      </c>
      <c r="B207" s="4">
        <f>IFERROR(__xludf.DUMMYFUNCTION("SPLIT(A207,"","")"),1154.0)</f>
        <v>1154</v>
      </c>
      <c r="C207" s="4" t="str">
        <f>IFERROR(__xludf.DUMMYFUNCTION("""COMPUTED_VALUE"""),"মোঃ বাধন আলী")</f>
        <v>মোঃ বাধন আলী</v>
      </c>
      <c r="D207" s="4">
        <f>IFERROR(__xludf.DUMMYFUNCTION("""COMPUTED_VALUE"""),5.700555545025E12)</f>
        <v>5700555545025</v>
      </c>
      <c r="E207" s="4" t="str">
        <f>IFERROR(__xludf.DUMMYFUNCTION("""COMPUTED_VALUE"""),"মোঃ বাবুল হোসেন")</f>
        <v>মোঃ বাবুল হোসেন</v>
      </c>
      <c r="F207" s="4" t="str">
        <f>IFERROR(__xludf.DUMMYFUNCTION("""COMPUTED_VALUE"""),"মোছাঃ কুলছুম খাতুন")</f>
        <v>মোছাঃ কুলছুম খাতুন</v>
      </c>
      <c r="G207" s="4" t="str">
        <f>IFERROR(__xludf.DUMMYFUNCTION("""COMPUTED_VALUE"""),"০৩/১২/২০০৪")</f>
        <v>০৩/১২/২০০৪</v>
      </c>
      <c r="H207" s="4" t="str">
        <f>IFERROR(__xludf.DUMMYFUNCTION("""COMPUTED_VALUE"""),"শ্রমিক")</f>
        <v>শ্রমিক</v>
      </c>
      <c r="I207" s="4" t="str">
        <f>IFERROR(__xludf.DUMMYFUNCTION("""COMPUTED_VALUE"""),"""আড়পাড়া")</f>
        <v>"আড়পাড়া</v>
      </c>
      <c r="J207" s="4" t="str">
        <f>IFERROR(__xludf.DUMMYFUNCTION("""COMPUTED_VALUE""")," গাংনী")</f>
        <v> গাংনী</v>
      </c>
      <c r="K207" s="4" t="str">
        <f>IFERROR(__xludf.DUMMYFUNCTION("""COMPUTED_VALUE""")," মেহেরপুর""")</f>
        <v> মেহেরপুর"</v>
      </c>
    </row>
    <row r="208" ht="15.75" customHeight="1">
      <c r="A208" s="5" t="s">
        <v>3563</v>
      </c>
      <c r="B208" s="4">
        <f>IFERROR(__xludf.DUMMYFUNCTION("SPLIT(A208,"","")"),1155.0)</f>
        <v>1155</v>
      </c>
      <c r="C208" s="4" t="str">
        <f>IFERROR(__xludf.DUMMYFUNCTION("""COMPUTED_VALUE"""),"অনিক শেখ")</f>
        <v>অনিক শেখ</v>
      </c>
      <c r="D208" s="4">
        <f>IFERROR(__xludf.DUMMYFUNCTION("""COMPUTED_VALUE"""),5.70055000721E11)</f>
        <v>570055000721</v>
      </c>
      <c r="E208" s="4" t="str">
        <f>IFERROR(__xludf.DUMMYFUNCTION("""COMPUTED_VALUE"""),"মোঃ জানমোহাম্মদ")</f>
        <v>মোঃ জানমোহাম্মদ</v>
      </c>
      <c r="F208" s="4" t="str">
        <f>IFERROR(__xludf.DUMMYFUNCTION("""COMPUTED_VALUE"""),"মোছাঃ রহিমা বেগম")</f>
        <v>মোছাঃ রহিমা বেগম</v>
      </c>
      <c r="G208" s="4" t="str">
        <f>IFERROR(__xludf.DUMMYFUNCTION("""COMPUTED_VALUE"""),"০৩/০৬/২০০৬")</f>
        <v>০৩/০৬/২০০৬</v>
      </c>
      <c r="H208" s="4" t="str">
        <f>IFERROR(__xludf.DUMMYFUNCTION("""COMPUTED_VALUE"""),"শ্রমিক")</f>
        <v>শ্রমিক</v>
      </c>
      <c r="I208" s="4" t="str">
        <f>IFERROR(__xludf.DUMMYFUNCTION("""COMPUTED_VALUE"""),"""আড়পাড়া")</f>
        <v>"আড়পাড়া</v>
      </c>
      <c r="J208" s="4" t="str">
        <f>IFERROR(__xludf.DUMMYFUNCTION("""COMPUTED_VALUE""")," গাংনী")</f>
        <v> গাংনী</v>
      </c>
      <c r="K208" s="4" t="str">
        <f>IFERROR(__xludf.DUMMYFUNCTION("""COMPUTED_VALUE""")," মেহেরপুর""")</f>
        <v> মেহেরপুর"</v>
      </c>
    </row>
    <row r="209" ht="15.75" customHeight="1">
      <c r="A209" s="5" t="s">
        <v>3564</v>
      </c>
      <c r="B209" s="4">
        <f>IFERROR(__xludf.DUMMYFUNCTION("SPLIT(A209,"","")"),1156.0)</f>
        <v>1156</v>
      </c>
      <c r="C209" s="4" t="str">
        <f>IFERROR(__xludf.DUMMYFUNCTION("""COMPUTED_VALUE"""),"মোঃ হাসিব আলী")</f>
        <v>মোঃ হাসিব আলী</v>
      </c>
      <c r="D209" s="4">
        <f>IFERROR(__xludf.DUMMYFUNCTION("""COMPUTED_VALUE"""),5.700555545034E12)</f>
        <v>5700555545034</v>
      </c>
      <c r="E209" s="4" t="str">
        <f>IFERROR(__xludf.DUMMYFUNCTION("""COMPUTED_VALUE"""),"বাহাদুর")</f>
        <v>বাহাদুর</v>
      </c>
      <c r="F209" s="4" t="str">
        <f>IFERROR(__xludf.DUMMYFUNCTION("""COMPUTED_VALUE"""),"তাছলিমা খাতুন")</f>
        <v>তাছলিমা খাতুন</v>
      </c>
      <c r="G209" s="4" t="str">
        <f>IFERROR(__xludf.DUMMYFUNCTION("""COMPUTED_VALUE"""),"০১/০১/১৯৯৭")</f>
        <v>০১/০১/১৯৯৭</v>
      </c>
      <c r="H209" s="4" t="str">
        <f>IFERROR(__xludf.DUMMYFUNCTION("""COMPUTED_VALUE"""),"শ্রমিক")</f>
        <v>শ্রমিক</v>
      </c>
      <c r="I209" s="4" t="str">
        <f>IFERROR(__xludf.DUMMYFUNCTION("""COMPUTED_VALUE"""),"""১০১")</f>
        <v>"১০১</v>
      </c>
      <c r="J209" s="4" t="str">
        <f>IFERROR(__xludf.DUMMYFUNCTION("""COMPUTED_VALUE""")," আড়পাড়া")</f>
        <v> আড়পাড়া</v>
      </c>
      <c r="K209" s="4" t="str">
        <f>IFERROR(__xludf.DUMMYFUNCTION("""COMPUTED_VALUE""")," গাংনী")</f>
        <v> গাংনী</v>
      </c>
      <c r="L209" s="4" t="str">
        <f>IFERROR(__xludf.DUMMYFUNCTION("""COMPUTED_VALUE""")," মেহেরপুর""")</f>
        <v> মেহেরপুর"</v>
      </c>
    </row>
    <row r="210" ht="15.75" customHeight="1">
      <c r="A210" s="5" t="s">
        <v>3565</v>
      </c>
      <c r="B210" s="4">
        <f>IFERROR(__xludf.DUMMYFUNCTION("SPLIT(A210,"","")"),1157.0)</f>
        <v>1157</v>
      </c>
      <c r="C210" s="4" t="str">
        <f>IFERROR(__xludf.DUMMYFUNCTION("""COMPUTED_VALUE"""),"মোঃ আলফাফ আলী")</f>
        <v>মোঃ আলফাফ আলী</v>
      </c>
      <c r="D210" s="4">
        <f>IFERROR(__xludf.DUMMYFUNCTION("""COMPUTED_VALUE"""),5.700555545035E12)</f>
        <v>5700555545035</v>
      </c>
      <c r="E210" s="4" t="str">
        <f>IFERROR(__xludf.DUMMYFUNCTION("""COMPUTED_VALUE"""),"মোঃ রুপচাঁদ আলী")</f>
        <v>মোঃ রুপচাঁদ আলী</v>
      </c>
      <c r="F210" s="4" t="str">
        <f>IFERROR(__xludf.DUMMYFUNCTION("""COMPUTED_VALUE"""),"মোছাঃ পারভীন খাতুন")</f>
        <v>মোছাঃ পারভীন খাতুন</v>
      </c>
      <c r="G210" s="4" t="str">
        <f>IFERROR(__xludf.DUMMYFUNCTION("""COMPUTED_VALUE"""),"০১/০৯/১৯৯৫")</f>
        <v>০১/০৯/১৯৯৫</v>
      </c>
      <c r="H210" s="4" t="str">
        <f>IFERROR(__xludf.DUMMYFUNCTION("""COMPUTED_VALUE"""),"কৃষক")</f>
        <v>কৃষক</v>
      </c>
      <c r="I210" s="4" t="str">
        <f>IFERROR(__xludf.DUMMYFUNCTION("""COMPUTED_VALUE"""),"""৭৮")</f>
        <v>"৭৮</v>
      </c>
      <c r="J210" s="4" t="str">
        <f>IFERROR(__xludf.DUMMYFUNCTION("""COMPUTED_VALUE""")," আড়পাড়া")</f>
        <v> আড়পাড়া</v>
      </c>
      <c r="K210" s="4" t="str">
        <f>IFERROR(__xludf.DUMMYFUNCTION("""COMPUTED_VALUE""")," গাংনী")</f>
        <v> গাংনী</v>
      </c>
      <c r="L210" s="4" t="str">
        <f>IFERROR(__xludf.DUMMYFUNCTION("""COMPUTED_VALUE""")," মেহেরপুর""")</f>
        <v> মেহেরপুর"</v>
      </c>
    </row>
    <row r="211" ht="15.75" customHeight="1">
      <c r="A211" s="5" t="s">
        <v>3566</v>
      </c>
      <c r="B211" s="4">
        <f>IFERROR(__xludf.DUMMYFUNCTION("SPLIT(A211,"","")"),1158.0)</f>
        <v>1158</v>
      </c>
      <c r="C211" s="4" t="str">
        <f>IFERROR(__xludf.DUMMYFUNCTION("""COMPUTED_VALUE"""),"মোঃ শাহাজান আলী")</f>
        <v>মোঃ শাহাজান আলী</v>
      </c>
      <c r="D211" s="4">
        <f>IFERROR(__xludf.DUMMYFUNCTION("""COMPUTED_VALUE"""),5.700555545037E12)</f>
        <v>5700555545037</v>
      </c>
      <c r="E211" s="4" t="str">
        <f>IFERROR(__xludf.DUMMYFUNCTION("""COMPUTED_VALUE"""),"আয়নাল হক")</f>
        <v>আয়নাল হক</v>
      </c>
      <c r="F211" s="4" t="str">
        <f>IFERROR(__xludf.DUMMYFUNCTION("""COMPUTED_VALUE"""),"নুরজাহান")</f>
        <v>নুরজাহান</v>
      </c>
      <c r="G211" s="4" t="str">
        <f>IFERROR(__xludf.DUMMYFUNCTION("""COMPUTED_VALUE"""),"০৫/১০/১৯৯৭")</f>
        <v>০৫/১০/১৯৯৭</v>
      </c>
      <c r="H211" s="4" t="str">
        <f>IFERROR(__xludf.DUMMYFUNCTION("""COMPUTED_VALUE"""),"শ্রমিক")</f>
        <v>শ্রমিক</v>
      </c>
      <c r="I211" s="4" t="str">
        <f>IFERROR(__xludf.DUMMYFUNCTION("""COMPUTED_VALUE"""),"""৩৫৬")</f>
        <v>"৩৫৬</v>
      </c>
      <c r="J211" s="4" t="str">
        <f>IFERROR(__xludf.DUMMYFUNCTION("""COMPUTED_VALUE""")," আড়পাড়া")</f>
        <v> আড়পাড়া</v>
      </c>
      <c r="K211" s="4" t="str">
        <f>IFERROR(__xludf.DUMMYFUNCTION("""COMPUTED_VALUE""")," গাংনী")</f>
        <v> গাংনী</v>
      </c>
      <c r="L211" s="4" t="str">
        <f>IFERROR(__xludf.DUMMYFUNCTION("""COMPUTED_VALUE""")," মেহেরপুর""")</f>
        <v> মেহেরপুর"</v>
      </c>
    </row>
    <row r="212" ht="15.75" customHeight="1">
      <c r="A212" s="5" t="s">
        <v>3567</v>
      </c>
      <c r="B212" s="4">
        <f>IFERROR(__xludf.DUMMYFUNCTION("SPLIT(A212,"","")"),1159.0)</f>
        <v>1159</v>
      </c>
      <c r="C212" s="4" t="str">
        <f>IFERROR(__xludf.DUMMYFUNCTION("""COMPUTED_VALUE"""),"মুহাম্মদ মাহফুজ আলী")</f>
        <v>মুহাম্মদ মাহফুজ আলী</v>
      </c>
      <c r="D212" s="4">
        <f>IFERROR(__xludf.DUMMYFUNCTION("""COMPUTED_VALUE"""),5.700555545039E12)</f>
        <v>5700555545039</v>
      </c>
      <c r="E212" s="4" t="str">
        <f>IFERROR(__xludf.DUMMYFUNCTION("""COMPUTED_VALUE"""),"মোঃ মিজানুর রহমান")</f>
        <v>মোঃ মিজানুর রহমান</v>
      </c>
      <c r="F212" s="4" t="str">
        <f>IFERROR(__xludf.DUMMYFUNCTION("""COMPUTED_VALUE"""),"মোছাঃ আমেনা খাতুন")</f>
        <v>মোছাঃ আমেনা খাতুন</v>
      </c>
      <c r="G212" s="4" t="str">
        <f>IFERROR(__xludf.DUMMYFUNCTION("""COMPUTED_VALUE"""),"২৪/০২/২০০৪")</f>
        <v>২৪/০২/২০০৪</v>
      </c>
      <c r="H212" s="4" t="str">
        <f>IFERROR(__xludf.DUMMYFUNCTION("""COMPUTED_VALUE"""),"শ্রমিক")</f>
        <v>শ্রমিক</v>
      </c>
      <c r="I212" s="4" t="str">
        <f>IFERROR(__xludf.DUMMYFUNCTION("""COMPUTED_VALUE"""),"""আড়পাড়া")</f>
        <v>"আড়পাড়া</v>
      </c>
      <c r="J212" s="4" t="str">
        <f>IFERROR(__xludf.DUMMYFUNCTION("""COMPUTED_VALUE""")," গাংনী")</f>
        <v> গাংনী</v>
      </c>
      <c r="K212" s="4" t="str">
        <f>IFERROR(__xludf.DUMMYFUNCTION("""COMPUTED_VALUE""")," মেহেরপুর""")</f>
        <v> মেহেরপুর"</v>
      </c>
    </row>
    <row r="213" ht="15.75" customHeight="1">
      <c r="A213" s="5" t="s">
        <v>3568</v>
      </c>
      <c r="B213" s="4">
        <f>IFERROR(__xludf.DUMMYFUNCTION("SPLIT(A213,"","")"),1160.0)</f>
        <v>1160</v>
      </c>
      <c r="C213" s="4" t="str">
        <f>IFERROR(__xludf.DUMMYFUNCTION("""COMPUTED_VALUE"""),"মোঃ মাজহারুল ইসলাম")</f>
        <v>মোঃ মাজহারুল ইসলাম</v>
      </c>
      <c r="D213" s="4">
        <f>IFERROR(__xludf.DUMMYFUNCTION("""COMPUTED_VALUE"""),5.70055554504E12)</f>
        <v>5700555545040</v>
      </c>
      <c r="E213" s="4" t="str">
        <f>IFERROR(__xludf.DUMMYFUNCTION("""COMPUTED_VALUE"""),"মোঃ জহুরুল ইসলাম")</f>
        <v>মোঃ জহুরুল ইসলাম</v>
      </c>
      <c r="F213" s="4" t="str">
        <f>IFERROR(__xludf.DUMMYFUNCTION("""COMPUTED_VALUE"""),"মোছাঃ ডেইজি খাতুন")</f>
        <v>মোছাঃ ডেইজি খাতুন</v>
      </c>
      <c r="G213" s="4" t="str">
        <f>IFERROR(__xludf.DUMMYFUNCTION("""COMPUTED_VALUE"""),"২১/১২/২০০৪")</f>
        <v>২১/১২/২০০৪</v>
      </c>
      <c r="H213" s="4" t="str">
        <f>IFERROR(__xludf.DUMMYFUNCTION("""COMPUTED_VALUE"""),"কৃষক")</f>
        <v>কৃষক</v>
      </c>
      <c r="I213" s="4" t="str">
        <f>IFERROR(__xludf.DUMMYFUNCTION("""COMPUTED_VALUE"""),"""আড়পাড়া")</f>
        <v>"আড়পাড়া</v>
      </c>
      <c r="J213" s="4" t="str">
        <f>IFERROR(__xludf.DUMMYFUNCTION("""COMPUTED_VALUE""")," গাংনী")</f>
        <v> গাংনী</v>
      </c>
      <c r="K213" s="4" t="str">
        <f>IFERROR(__xludf.DUMMYFUNCTION("""COMPUTED_VALUE""")," মেহেরপুর""")</f>
        <v> মেহেরপুর"</v>
      </c>
    </row>
    <row r="214" ht="15.75" customHeight="1">
      <c r="A214" s="5" t="s">
        <v>3569</v>
      </c>
      <c r="B214" s="4">
        <f>IFERROR(__xludf.DUMMYFUNCTION("SPLIT(A214,"","")"),1161.0)</f>
        <v>1161</v>
      </c>
      <c r="C214" s="4" t="str">
        <f>IFERROR(__xludf.DUMMYFUNCTION("""COMPUTED_VALUE"""),"মোঃ সৃজন হাওলাদার")</f>
        <v>মোঃ সৃজন হাওলাদার</v>
      </c>
      <c r="D214" s="4">
        <f>IFERROR(__xludf.DUMMYFUNCTION("""COMPUTED_VALUE"""),5.700555545042E12)</f>
        <v>5700555545042</v>
      </c>
      <c r="E214" s="4" t="str">
        <f>IFERROR(__xludf.DUMMYFUNCTION("""COMPUTED_VALUE"""),"মোঃ শরিফদ্দীন")</f>
        <v>মোঃ শরিফদ্দীন</v>
      </c>
      <c r="F214" s="4" t="str">
        <f>IFERROR(__xludf.DUMMYFUNCTION("""COMPUTED_VALUE"""),"মোছাঃ আনোয়ারা খাতুন")</f>
        <v>মোছাঃ আনোয়ারা খাতুন</v>
      </c>
      <c r="G214" s="4" t="str">
        <f>IFERROR(__xludf.DUMMYFUNCTION("""COMPUTED_VALUE"""),"২০/১২/২০০৫")</f>
        <v>২০/১২/২০০৫</v>
      </c>
      <c r="H214" s="4" t="str">
        <f>IFERROR(__xludf.DUMMYFUNCTION("""COMPUTED_VALUE"""),"শ্রমিক")</f>
        <v>শ্রমিক</v>
      </c>
      <c r="I214" s="4" t="str">
        <f>IFERROR(__xludf.DUMMYFUNCTION("""COMPUTED_VALUE"""),"""৪৭১")</f>
        <v>"৪৭১</v>
      </c>
      <c r="J214" s="4" t="str">
        <f>IFERROR(__xludf.DUMMYFUNCTION("""COMPUTED_VALUE""")," মহিষাখোলা")</f>
        <v> মহিষাখোলা</v>
      </c>
      <c r="K214" s="4" t="str">
        <f>IFERROR(__xludf.DUMMYFUNCTION("""COMPUTED_VALUE""")," গাংনী")</f>
        <v> গাংনী</v>
      </c>
      <c r="L214" s="4" t="str">
        <f>IFERROR(__xludf.DUMMYFUNCTION("""COMPUTED_VALUE""")," মেহেরপুর""")</f>
        <v> মেহেরপুর"</v>
      </c>
    </row>
    <row r="215" ht="15.75" customHeight="1">
      <c r="A215" s="5" t="s">
        <v>3570</v>
      </c>
      <c r="B215" s="4">
        <f>IFERROR(__xludf.DUMMYFUNCTION("SPLIT(A215,"","")"),1162.0)</f>
        <v>1162</v>
      </c>
      <c r="C215" s="4" t="str">
        <f>IFERROR(__xludf.DUMMYFUNCTION("""COMPUTED_VALUE"""),"রূপচাদ আলী")</f>
        <v>রূপচাদ আলী</v>
      </c>
      <c r="D215" s="4">
        <f>IFERROR(__xludf.DUMMYFUNCTION("""COMPUTED_VALUE"""),5.700555545043E12)</f>
        <v>5700555545043</v>
      </c>
      <c r="E215" s="4" t="str">
        <f>IFERROR(__xludf.DUMMYFUNCTION("""COMPUTED_VALUE"""),"ফয়জাল হক")</f>
        <v>ফয়জাল হক</v>
      </c>
      <c r="F215" s="4" t="str">
        <f>IFERROR(__xludf.DUMMYFUNCTION("""COMPUTED_VALUE"""),"নাছিমা খাতুন")</f>
        <v>নাছিমা খাতুন</v>
      </c>
      <c r="G215" s="4" t="str">
        <f>IFERROR(__xludf.DUMMYFUNCTION("""COMPUTED_VALUE"""),"০১/১২/১৯৮৮")</f>
        <v>০১/১২/১৯৮৮</v>
      </c>
      <c r="H215" s="4" t="str">
        <f>IFERROR(__xludf.DUMMYFUNCTION("""COMPUTED_VALUE"""),"শ্রমিক")</f>
        <v>শ্রমিক</v>
      </c>
      <c r="I215" s="4" t="str">
        <f>IFERROR(__xludf.DUMMYFUNCTION("""COMPUTED_VALUE"""),"""৬৭৬")</f>
        <v>"৬৭৬</v>
      </c>
      <c r="J215" s="4" t="str">
        <f>IFERROR(__xludf.DUMMYFUNCTION("""COMPUTED_VALUE""")," আড়পাড়া")</f>
        <v> আড়পাড়া</v>
      </c>
      <c r="K215" s="4" t="str">
        <f>IFERROR(__xludf.DUMMYFUNCTION("""COMPUTED_VALUE""")," গাংনী")</f>
        <v> গাংনী</v>
      </c>
      <c r="L215" s="4" t="str">
        <f>IFERROR(__xludf.DUMMYFUNCTION("""COMPUTED_VALUE""")," মেহেরপুর""")</f>
        <v> মেহেরপুর"</v>
      </c>
    </row>
    <row r="216" ht="15.75" customHeight="1">
      <c r="A216" s="5" t="s">
        <v>3571</v>
      </c>
      <c r="B216" s="4">
        <f>IFERROR(__xludf.DUMMYFUNCTION("SPLIT(A216,"","")"),1163.0)</f>
        <v>1163</v>
      </c>
      <c r="C216" s="4" t="str">
        <f>IFERROR(__xludf.DUMMYFUNCTION("""COMPUTED_VALUE"""),"মোঃ আকাশ আলী")</f>
        <v>মোঃ আকাশ আলী</v>
      </c>
      <c r="D216" s="4">
        <f>IFERROR(__xludf.DUMMYFUNCTION("""COMPUTED_VALUE"""),5.700555545044E12)</f>
        <v>5700555545044</v>
      </c>
      <c r="E216" s="4" t="str">
        <f>IFERROR(__xludf.DUMMYFUNCTION("""COMPUTED_VALUE"""),"মোঃ আক্তারুল")</f>
        <v>মোঃ আক্তারুল</v>
      </c>
      <c r="F216" s="4" t="str">
        <f>IFERROR(__xludf.DUMMYFUNCTION("""COMPUTED_VALUE"""),"মোছাঃ চায়না")</f>
        <v>মোছাঃ চায়না</v>
      </c>
      <c r="G216" s="4" t="str">
        <f>IFERROR(__xludf.DUMMYFUNCTION("""COMPUTED_VALUE"""),"৩০/০১/২০০৪")</f>
        <v>৩০/০১/২০০৪</v>
      </c>
      <c r="H216" s="4" t="str">
        <f>IFERROR(__xludf.DUMMYFUNCTION("""COMPUTED_VALUE"""),"শ্রমিক")</f>
        <v>শ্রমিক</v>
      </c>
      <c r="I216" s="4" t="str">
        <f>IFERROR(__xludf.DUMMYFUNCTION("""COMPUTED_VALUE"""),"""আড়পাড়া")</f>
        <v>"আড়পাড়া</v>
      </c>
      <c r="J216" s="4" t="str">
        <f>IFERROR(__xludf.DUMMYFUNCTION("""COMPUTED_VALUE""")," গাংনী")</f>
        <v> গাংনী</v>
      </c>
      <c r="K216" s="4" t="str">
        <f>IFERROR(__xludf.DUMMYFUNCTION("""COMPUTED_VALUE""")," মেহেরপুর""")</f>
        <v> মেহেরপুর"</v>
      </c>
    </row>
    <row r="217" ht="15.75" customHeight="1">
      <c r="A217" s="5" t="s">
        <v>3572</v>
      </c>
      <c r="B217" s="4">
        <f>IFERROR(__xludf.DUMMYFUNCTION("SPLIT(A217,"","")"),1164.0)</f>
        <v>1164</v>
      </c>
      <c r="C217" s="4" t="str">
        <f>IFERROR(__xludf.DUMMYFUNCTION("""COMPUTED_VALUE"""),"মোঃ ইব্রাহিম খলিল")</f>
        <v>মোঃ ইব্রাহিম খলিল</v>
      </c>
      <c r="D217" s="4">
        <f>IFERROR(__xludf.DUMMYFUNCTION("""COMPUTED_VALUE"""),5.700555545045E12)</f>
        <v>5700555545045</v>
      </c>
      <c r="E217" s="4" t="str">
        <f>IFERROR(__xludf.DUMMYFUNCTION("""COMPUTED_VALUE"""),"মোহাম্মদ আলী")</f>
        <v>মোহাম্মদ আলী</v>
      </c>
      <c r="F217" s="4" t="str">
        <f>IFERROR(__xludf.DUMMYFUNCTION("""COMPUTED_VALUE"""),"মোছাঃ আকলিমা খাতুন")</f>
        <v>মোছাঃ আকলিমা খাতুন</v>
      </c>
      <c r="G217" s="4" t="str">
        <f>IFERROR(__xludf.DUMMYFUNCTION("""COMPUTED_VALUE"""),"১০/০৪/২০০৪")</f>
        <v>১০/০৪/২০০৪</v>
      </c>
      <c r="H217" s="4" t="str">
        <f>IFERROR(__xludf.DUMMYFUNCTION("""COMPUTED_VALUE"""),"কৃষক")</f>
        <v>কৃষক</v>
      </c>
      <c r="I217" s="4" t="str">
        <f>IFERROR(__xludf.DUMMYFUNCTION("""COMPUTED_VALUE"""),"""আড়পাড়া")</f>
        <v>"আড়পাড়া</v>
      </c>
      <c r="J217" s="4" t="str">
        <f>IFERROR(__xludf.DUMMYFUNCTION("""COMPUTED_VALUE""")," গাংনী")</f>
        <v> গাংনী</v>
      </c>
      <c r="K217" s="4" t="str">
        <f>IFERROR(__xludf.DUMMYFUNCTION("""COMPUTED_VALUE""")," মেহেরপুর""")</f>
        <v> মেহেরপুর"</v>
      </c>
    </row>
    <row r="218" ht="15.75" customHeight="1">
      <c r="A218" s="5" t="s">
        <v>3573</v>
      </c>
      <c r="B218" s="4">
        <f>IFERROR(__xludf.DUMMYFUNCTION("SPLIT(A218,"","")"),1165.0)</f>
        <v>1165</v>
      </c>
      <c r="C218" s="4" t="str">
        <f>IFERROR(__xludf.DUMMYFUNCTION("""COMPUTED_VALUE"""),"মোঃ জাহিদুল")</f>
        <v>মোঃ জাহিদুল</v>
      </c>
      <c r="D218" s="4">
        <f>IFERROR(__xludf.DUMMYFUNCTION("""COMPUTED_VALUE"""),5.700555545046E12)</f>
        <v>5700555545046</v>
      </c>
      <c r="E218" s="4" t="str">
        <f>IFERROR(__xludf.DUMMYFUNCTION("""COMPUTED_VALUE"""),"ইউনুস")</f>
        <v>ইউনুস</v>
      </c>
      <c r="F218" s="4" t="str">
        <f>IFERROR(__xludf.DUMMYFUNCTION("""COMPUTED_VALUE"""),"আম্বিয়া")</f>
        <v>আম্বিয়া</v>
      </c>
      <c r="G218" s="4" t="str">
        <f>IFERROR(__xludf.DUMMYFUNCTION("""COMPUTED_VALUE"""),"১০/০৬/১৯৯৮")</f>
        <v>১০/০৬/১৯৯৮</v>
      </c>
      <c r="H218" s="4" t="str">
        <f>IFERROR(__xludf.DUMMYFUNCTION("""COMPUTED_VALUE"""),"শ্রমিক")</f>
        <v>শ্রমিক</v>
      </c>
      <c r="I218" s="4" t="str">
        <f>IFERROR(__xludf.DUMMYFUNCTION("""COMPUTED_VALUE"""),"""৮৬")</f>
        <v>"৮৬</v>
      </c>
      <c r="J218" s="4" t="str">
        <f>IFERROR(__xludf.DUMMYFUNCTION("""COMPUTED_VALUE""")," দক্ষিণ তেঁতুলবাড়িয়া")</f>
        <v> দক্ষিণ তেঁতুলবাড়িয়া</v>
      </c>
      <c r="K218" s="4" t="str">
        <f>IFERROR(__xludf.DUMMYFUNCTION("""COMPUTED_VALUE""")," গাংনী")</f>
        <v> গাংনী</v>
      </c>
      <c r="L218" s="4" t="str">
        <f>IFERROR(__xludf.DUMMYFUNCTION("""COMPUTED_VALUE""")," মেহেরপুর""")</f>
        <v> মেহেরপুর"</v>
      </c>
    </row>
    <row r="219" ht="15.75" customHeight="1">
      <c r="A219" s="5" t="s">
        <v>3574</v>
      </c>
      <c r="B219" s="4">
        <f>IFERROR(__xludf.DUMMYFUNCTION("SPLIT(A219,"","")"),1166.0)</f>
        <v>1166</v>
      </c>
      <c r="C219" s="4" t="str">
        <f>IFERROR(__xludf.DUMMYFUNCTION("""COMPUTED_VALUE"""),"মোঃ উবাইদুল্লাহ")</f>
        <v>মোঃ উবাইদুল্লাহ</v>
      </c>
      <c r="D219" s="4">
        <f>IFERROR(__xludf.DUMMYFUNCTION("""COMPUTED_VALUE"""),5.700555545048E12)</f>
        <v>5700555545048</v>
      </c>
      <c r="E219" s="4" t="str">
        <f>IFERROR(__xludf.DUMMYFUNCTION("""COMPUTED_VALUE"""),"মোঃ শরিয়ত")</f>
        <v>মোঃ শরিয়ত</v>
      </c>
      <c r="F219" s="4" t="str">
        <f>IFERROR(__xludf.DUMMYFUNCTION("""COMPUTED_VALUE"""),"মোছাঃ জালিয়া")</f>
        <v>মোছাঃ জালিয়া</v>
      </c>
      <c r="G219" s="4" t="str">
        <f>IFERROR(__xludf.DUMMYFUNCTION("""COMPUTED_VALUE"""),"০৫/০২/১৯৯৩")</f>
        <v>০৫/০২/১৯৯৩</v>
      </c>
      <c r="H219" s="4" t="str">
        <f>IFERROR(__xludf.DUMMYFUNCTION("""COMPUTED_VALUE"""),"শ্রমিক")</f>
        <v>শ্রমিক</v>
      </c>
      <c r="I219" s="4" t="str">
        <f>IFERROR(__xludf.DUMMYFUNCTION("""COMPUTED_VALUE"""),"""৩৫৩")</f>
        <v>"৩৫৩</v>
      </c>
      <c r="J219" s="4" t="str">
        <f>IFERROR(__xludf.DUMMYFUNCTION("""COMPUTED_VALUE""")," আড়পাড়া")</f>
        <v> আড়পাড়া</v>
      </c>
      <c r="K219" s="4" t="str">
        <f>IFERROR(__xludf.DUMMYFUNCTION("""COMPUTED_VALUE""")," গাংনী")</f>
        <v> গাংনী</v>
      </c>
      <c r="L219" s="4" t="str">
        <f>IFERROR(__xludf.DUMMYFUNCTION("""COMPUTED_VALUE""")," মেহেরপুর""")</f>
        <v> মেহেরপুর"</v>
      </c>
    </row>
    <row r="220" ht="15.75" customHeight="1">
      <c r="A220" s="5" t="s">
        <v>3575</v>
      </c>
      <c r="B220" s="4">
        <f>IFERROR(__xludf.DUMMYFUNCTION("SPLIT(A220,"","")"),1167.0)</f>
        <v>1167</v>
      </c>
      <c r="C220" s="4" t="str">
        <f>IFERROR(__xludf.DUMMYFUNCTION("""COMPUTED_VALUE"""),"মোঃ নাজমুল হোসেন")</f>
        <v>মোঃ নাজমুল হোসেন</v>
      </c>
      <c r="D220" s="4">
        <f>IFERROR(__xludf.DUMMYFUNCTION("""COMPUTED_VALUE"""),5.700555545049E12)</f>
        <v>5700555545049</v>
      </c>
      <c r="E220" s="4" t="str">
        <f>IFERROR(__xludf.DUMMYFUNCTION("""COMPUTED_VALUE"""),"মোঃ মহিবুল ইসলাম")</f>
        <v>মোঃ মহিবুল ইসলাম</v>
      </c>
      <c r="F220" s="4" t="str">
        <f>IFERROR(__xludf.DUMMYFUNCTION("""COMPUTED_VALUE"""),"মোছাঃ নিমরী খাতুন")</f>
        <v>মোছাঃ নিমরী খাতুন</v>
      </c>
      <c r="G220" s="4" t="str">
        <f>IFERROR(__xludf.DUMMYFUNCTION("""COMPUTED_VALUE"""),"১৮/০১/১৯৯৭")</f>
        <v>১৮/০১/১৯৯৭</v>
      </c>
      <c r="H220" s="4" t="str">
        <f>IFERROR(__xludf.DUMMYFUNCTION("""COMPUTED_VALUE"""),"শ্রমিক")</f>
        <v>শ্রমিক</v>
      </c>
      <c r="I220" s="4" t="str">
        <f>IFERROR(__xludf.DUMMYFUNCTION("""COMPUTED_VALUE"""),"""আড়পাড়া")</f>
        <v>"আড়পাড়া</v>
      </c>
      <c r="J220" s="4" t="str">
        <f>IFERROR(__xludf.DUMMYFUNCTION("""COMPUTED_VALUE""")," গাংনী")</f>
        <v> গাংনী</v>
      </c>
      <c r="K220" s="4" t="str">
        <f>IFERROR(__xludf.DUMMYFUNCTION("""COMPUTED_VALUE""")," মেহেরপুর""")</f>
        <v> মেহেরপুর"</v>
      </c>
    </row>
    <row r="221" ht="15.75" customHeight="1">
      <c r="A221" s="5" t="s">
        <v>3576</v>
      </c>
      <c r="B221" s="4">
        <f>IFERROR(__xludf.DUMMYFUNCTION("SPLIT(A221,"","")"),1168.0)</f>
        <v>1168</v>
      </c>
      <c r="C221" s="4" t="str">
        <f>IFERROR(__xludf.DUMMYFUNCTION("""COMPUTED_VALUE"""),"মোঃ রিশাদ আলী")</f>
        <v>মোঃ রিশাদ আলী</v>
      </c>
      <c r="D221" s="4">
        <f>IFERROR(__xludf.DUMMYFUNCTION("""COMPUTED_VALUE"""),5.700555545051E12)</f>
        <v>5700555545051</v>
      </c>
      <c r="E221" s="4" t="str">
        <f>IFERROR(__xludf.DUMMYFUNCTION("""COMPUTED_VALUE"""),"মোঃ রবিউল ইসলাম")</f>
        <v>মোঃ রবিউল ইসলাম</v>
      </c>
      <c r="F221" s="4" t="str">
        <f>IFERROR(__xludf.DUMMYFUNCTION("""COMPUTED_VALUE"""),"মোছাঃ মন্তরা খাতুন")</f>
        <v>মোছাঃ মন্তরা খাতুন</v>
      </c>
      <c r="G221" s="4" t="str">
        <f>IFERROR(__xludf.DUMMYFUNCTION("""COMPUTED_VALUE"""),"০৩/০৬/২০০৪")</f>
        <v>০৩/০৬/২০০৪</v>
      </c>
      <c r="H221" s="4" t="str">
        <f>IFERROR(__xludf.DUMMYFUNCTION("""COMPUTED_VALUE"""),"ছাত্র/ছাত্রী")</f>
        <v>ছাত্র/ছাত্রী</v>
      </c>
      <c r="I221" s="4" t="str">
        <f>IFERROR(__xludf.DUMMYFUNCTION("""COMPUTED_VALUE"""),"""আড়পাড়া")</f>
        <v>"আড়পাড়া</v>
      </c>
      <c r="J221" s="4" t="str">
        <f>IFERROR(__xludf.DUMMYFUNCTION("""COMPUTED_VALUE""")," গাংনী")</f>
        <v> গাংনী</v>
      </c>
      <c r="K221" s="4" t="str">
        <f>IFERROR(__xludf.DUMMYFUNCTION("""COMPUTED_VALUE""")," মেহেরপুর""")</f>
        <v> মেহেরপুর"</v>
      </c>
    </row>
    <row r="222" ht="15.75" customHeight="1">
      <c r="A222" s="5" t="s">
        <v>3577</v>
      </c>
      <c r="B222" s="4">
        <f>IFERROR(__xludf.DUMMYFUNCTION("SPLIT(A222,"","")"),1169.0)</f>
        <v>1169</v>
      </c>
      <c r="C222" s="4" t="str">
        <f>IFERROR(__xludf.DUMMYFUNCTION("""COMPUTED_VALUE"""),"ঠান্ডু আলী")</f>
        <v>ঠান্ডু আলী</v>
      </c>
      <c r="D222" s="4">
        <f>IFERROR(__xludf.DUMMYFUNCTION("""COMPUTED_VALUE"""),5.700555545056E12)</f>
        <v>5700555545056</v>
      </c>
      <c r="E222" s="4" t="str">
        <f>IFERROR(__xludf.DUMMYFUNCTION("""COMPUTED_VALUE"""),"মোঃ গনজের আলী")</f>
        <v>মোঃ গনজের আলী</v>
      </c>
      <c r="F222" s="4" t="str">
        <f>IFERROR(__xludf.DUMMYFUNCTION("""COMPUTED_VALUE"""),"মোছাঃ আছিয়া খাতুন")</f>
        <v>মোছাঃ আছিয়া খাতুন</v>
      </c>
      <c r="G222" s="4" t="str">
        <f>IFERROR(__xludf.DUMMYFUNCTION("""COMPUTED_VALUE"""),"০৭/০৭/১৯৭৭")</f>
        <v>০৭/০৭/১৯৭৭</v>
      </c>
      <c r="H222" s="4" t="str">
        <f>IFERROR(__xludf.DUMMYFUNCTION("""COMPUTED_VALUE"""),"কৃষক")</f>
        <v>কৃষক</v>
      </c>
      <c r="I222" s="4" t="str">
        <f>IFERROR(__xludf.DUMMYFUNCTION("""COMPUTED_VALUE"""),"""৬২৮")</f>
        <v>"৬২৮</v>
      </c>
      <c r="J222" s="4" t="str">
        <f>IFERROR(__xludf.DUMMYFUNCTION("""COMPUTED_VALUE""")," আড়পাড়া")</f>
        <v> আড়পাড়া</v>
      </c>
      <c r="K222" s="4" t="str">
        <f>IFERROR(__xludf.DUMMYFUNCTION("""COMPUTED_VALUE""")," গাংনী")</f>
        <v> গাংনী</v>
      </c>
      <c r="L222" s="4" t="str">
        <f>IFERROR(__xludf.DUMMYFUNCTION("""COMPUTED_VALUE""")," মেহেরপুর""")</f>
        <v> মেহেরপুর"</v>
      </c>
    </row>
    <row r="223" ht="15.75" customHeight="1">
      <c r="A223" s="5" t="s">
        <v>3578</v>
      </c>
      <c r="B223" s="4">
        <f>IFERROR(__xludf.DUMMYFUNCTION("SPLIT(A223,"","")"),1170.0)</f>
        <v>1170</v>
      </c>
      <c r="C223" s="4" t="str">
        <f>IFERROR(__xludf.DUMMYFUNCTION("""COMPUTED_VALUE"""),"মোঃ মজিবুল হক")</f>
        <v>মোঃ মজিবুল হক</v>
      </c>
      <c r="D223" s="4">
        <f>IFERROR(__xludf.DUMMYFUNCTION("""COMPUTED_VALUE"""),5.700555545047E12)</f>
        <v>5700555545047</v>
      </c>
      <c r="E223" s="4" t="str">
        <f>IFERROR(__xludf.DUMMYFUNCTION("""COMPUTED_VALUE"""),"মোঃ ফেলু")</f>
        <v>মোঃ ফেলু</v>
      </c>
      <c r="F223" s="4" t="str">
        <f>IFERROR(__xludf.DUMMYFUNCTION("""COMPUTED_VALUE"""),"মোছাঃ রংফুল")</f>
        <v>মোছাঃ রংফুল</v>
      </c>
      <c r="G223" s="4" t="str">
        <f>IFERROR(__xludf.DUMMYFUNCTION("""COMPUTED_VALUE"""),"৩০/০১/১৯৯১")</f>
        <v>৩০/০১/১৯৯১</v>
      </c>
      <c r="H223" s="4" t="str">
        <f>IFERROR(__xludf.DUMMYFUNCTION("""COMPUTED_VALUE"""),"শ্রমিক")</f>
        <v>শ্রমিক</v>
      </c>
      <c r="I223" s="4" t="str">
        <f>IFERROR(__xludf.DUMMYFUNCTION("""COMPUTED_VALUE"""),"""আড়পাড়া")</f>
        <v>"আড়পাড়া</v>
      </c>
      <c r="J223" s="4" t="str">
        <f>IFERROR(__xludf.DUMMYFUNCTION("""COMPUTED_VALUE""")," গাংনী")</f>
        <v> গাংনী</v>
      </c>
      <c r="K223" s="4" t="str">
        <f>IFERROR(__xludf.DUMMYFUNCTION("""COMPUTED_VALUE""")," মেহেরপুর""")</f>
        <v> মেহেরপুর"</v>
      </c>
    </row>
    <row r="224" ht="15.75" customHeight="1">
      <c r="A224" s="5" t="s">
        <v>3579</v>
      </c>
      <c r="B224" s="4">
        <f>IFERROR(__xludf.DUMMYFUNCTION("SPLIT(A224,"","")"),1171.0)</f>
        <v>1171</v>
      </c>
      <c r="C224" s="4" t="str">
        <f>IFERROR(__xludf.DUMMYFUNCTION("""COMPUTED_VALUE"""),"মোঃ আবু হাসেম")</f>
        <v>মোঃ আবু হাসেম</v>
      </c>
      <c r="D224" s="4">
        <f>IFERROR(__xludf.DUMMYFUNCTION("""COMPUTED_VALUE"""),5.700555545052E12)</f>
        <v>5700555545052</v>
      </c>
      <c r="E224" s="4" t="str">
        <f>IFERROR(__xludf.DUMMYFUNCTION("""COMPUTED_VALUE"""),"মোঃ মজিবার বিশ্বাস")</f>
        <v>মোঃ মজিবার বিশ্বাস</v>
      </c>
      <c r="F224" s="4" t="str">
        <f>IFERROR(__xludf.DUMMYFUNCTION("""COMPUTED_VALUE"""),"মোছাঃ হামিদা খাতুন")</f>
        <v>মোছাঃ হামিদা খাতুন</v>
      </c>
      <c r="G224" s="4" t="str">
        <f>IFERROR(__xludf.DUMMYFUNCTION("""COMPUTED_VALUE"""),"০৬/০৫/১৯৭৭")</f>
        <v>০৬/০৫/১৯৭৭</v>
      </c>
      <c r="H224" s="4" t="str">
        <f>IFERROR(__xludf.DUMMYFUNCTION("""COMPUTED_VALUE"""),"দিনমজুর")</f>
        <v>দিনমজুর</v>
      </c>
      <c r="I224" s="4" t="str">
        <f>IFERROR(__xludf.DUMMYFUNCTION("""COMPUTED_VALUE"""),"""৮৬")</f>
        <v>"৮৬</v>
      </c>
      <c r="J224" s="4" t="str">
        <f>IFERROR(__xludf.DUMMYFUNCTION("""COMPUTED_VALUE""")," আড়পাড়া")</f>
        <v> আড়পাড়া</v>
      </c>
      <c r="K224" s="4" t="str">
        <f>IFERROR(__xludf.DUMMYFUNCTION("""COMPUTED_VALUE""")," গাংনী")</f>
        <v> গাংনী</v>
      </c>
      <c r="L224" s="4" t="str">
        <f>IFERROR(__xludf.DUMMYFUNCTION("""COMPUTED_VALUE""")," মেহেরপুর""")</f>
        <v> মেহেরপুর"</v>
      </c>
    </row>
    <row r="225" ht="15.75" customHeight="1">
      <c r="A225" s="5" t="s">
        <v>3580</v>
      </c>
      <c r="B225" s="4">
        <f>IFERROR(__xludf.DUMMYFUNCTION("SPLIT(A225,"","")"),1172.0)</f>
        <v>1172</v>
      </c>
      <c r="C225" s="4" t="str">
        <f>IFERROR(__xludf.DUMMYFUNCTION("""COMPUTED_VALUE"""),"জজ")</f>
        <v>জজ</v>
      </c>
      <c r="D225" s="4">
        <f>IFERROR(__xludf.DUMMYFUNCTION("""COMPUTED_VALUE"""),5.700555545059E12)</f>
        <v>5700555545059</v>
      </c>
      <c r="E225" s="4" t="str">
        <f>IFERROR(__xludf.DUMMYFUNCTION("""COMPUTED_VALUE"""),"হাকিম")</f>
        <v>হাকিম</v>
      </c>
      <c r="F225" s="4" t="str">
        <f>IFERROR(__xludf.DUMMYFUNCTION("""COMPUTED_VALUE"""),"রওশনারা")</f>
        <v>রওশনারা</v>
      </c>
      <c r="G225" s="4" t="str">
        <f>IFERROR(__xludf.DUMMYFUNCTION("""COMPUTED_VALUE"""),"০২/০২/১৯৯৪")</f>
        <v>০২/০২/১৯৯৪</v>
      </c>
      <c r="H225" s="4" t="str">
        <f>IFERROR(__xludf.DUMMYFUNCTION("""COMPUTED_VALUE"""),"প্রবাসী")</f>
        <v>প্রবাসী</v>
      </c>
      <c r="I225" s="4" t="str">
        <f>IFERROR(__xludf.DUMMYFUNCTION("""COMPUTED_VALUE"""),"""আড়পাড়া")</f>
        <v>"আড়পাড়া</v>
      </c>
      <c r="J225" s="4" t="str">
        <f>IFERROR(__xludf.DUMMYFUNCTION("""COMPUTED_VALUE""")," গাংনী")</f>
        <v> গাংনী</v>
      </c>
      <c r="K225" s="4" t="str">
        <f>IFERROR(__xludf.DUMMYFUNCTION("""COMPUTED_VALUE""")," মেহেরপুর""")</f>
        <v> মেহেরপুর"</v>
      </c>
    </row>
    <row r="226" ht="15.75" customHeight="1">
      <c r="A226" s="5" t="s">
        <v>3581</v>
      </c>
      <c r="B226" s="4">
        <f>IFERROR(__xludf.DUMMYFUNCTION("SPLIT(A226,"","")"),1173.0)</f>
        <v>1173</v>
      </c>
      <c r="C226" s="4" t="str">
        <f>IFERROR(__xludf.DUMMYFUNCTION("""COMPUTED_VALUE"""),"মোঃ লিমন আলী")</f>
        <v>মোঃ লিমন আলী</v>
      </c>
      <c r="D226" s="4">
        <f>IFERROR(__xludf.DUMMYFUNCTION("""COMPUTED_VALUE"""),5.70055554506E12)</f>
        <v>5700555545060</v>
      </c>
      <c r="E226" s="4" t="str">
        <f>IFERROR(__xludf.DUMMYFUNCTION("""COMPUTED_VALUE"""),"মোঃ সুলতান হোসেন")</f>
        <v>মোঃ সুলতান হোসেন</v>
      </c>
      <c r="F226" s="4" t="str">
        <f>IFERROR(__xludf.DUMMYFUNCTION("""COMPUTED_VALUE"""),"মোছাঃ রিনা খাতুন")</f>
        <v>মোছাঃ রিনা খাতুন</v>
      </c>
      <c r="G226" s="4" t="str">
        <f>IFERROR(__xludf.DUMMYFUNCTION("""COMPUTED_VALUE"""),"০১/০১/২০০৭")</f>
        <v>০১/০১/২০০৭</v>
      </c>
      <c r="H226" s="4" t="str">
        <f>IFERROR(__xludf.DUMMYFUNCTION("""COMPUTED_VALUE"""),"ছাত্র/ছাত্রী")</f>
        <v>ছাত্র/ছাত্রী</v>
      </c>
      <c r="I226" s="4" t="str">
        <f>IFERROR(__xludf.DUMMYFUNCTION("""COMPUTED_VALUE"""),"""আড়পাড়া")</f>
        <v>"আড়পাড়া</v>
      </c>
      <c r="J226" s="4" t="str">
        <f>IFERROR(__xludf.DUMMYFUNCTION("""COMPUTED_VALUE""")," গাংনী")</f>
        <v> গাংনী</v>
      </c>
      <c r="K226" s="4" t="str">
        <f>IFERROR(__xludf.DUMMYFUNCTION("""COMPUTED_VALUE""")," মেহেরপুর""")</f>
        <v> মেহেরপুর"</v>
      </c>
    </row>
    <row r="227" ht="15.75" customHeight="1">
      <c r="A227" s="5" t="s">
        <v>3582</v>
      </c>
      <c r="B227" s="4">
        <f>IFERROR(__xludf.DUMMYFUNCTION("SPLIT(A227,"","")"),1174.0)</f>
        <v>1174</v>
      </c>
      <c r="C227" s="4" t="str">
        <f>IFERROR(__xludf.DUMMYFUNCTION("""COMPUTED_VALUE"""),"মোঃ তুহিন আলী")</f>
        <v>মোঃ তুহিন আলী</v>
      </c>
      <c r="D227" s="4">
        <f>IFERROR(__xludf.DUMMYFUNCTION("""COMPUTED_VALUE"""),5.700555545061E12)</f>
        <v>5700555545061</v>
      </c>
      <c r="E227" s="4" t="str">
        <f>IFERROR(__xludf.DUMMYFUNCTION("""COMPUTED_VALUE"""),"মোঃ আবুল বাসার")</f>
        <v>মোঃ আবুল বাসার</v>
      </c>
      <c r="F227" s="4" t="str">
        <f>IFERROR(__xludf.DUMMYFUNCTION("""COMPUTED_VALUE"""),"মোছাঃ নার্গিস আরা")</f>
        <v>মোছাঃ নার্গিস আরা</v>
      </c>
      <c r="G227" s="4" t="str">
        <f>IFERROR(__xludf.DUMMYFUNCTION("""COMPUTED_VALUE"""),"১০/০৮/২০০৪")</f>
        <v>১০/০৮/২০০৪</v>
      </c>
      <c r="H227" s="4" t="str">
        <f>IFERROR(__xludf.DUMMYFUNCTION("""COMPUTED_VALUE"""),"কৃষক")</f>
        <v>কৃষক</v>
      </c>
      <c r="I227" s="4" t="str">
        <f>IFERROR(__xludf.DUMMYFUNCTION("""COMPUTED_VALUE"""),"""আড়পাড়া")</f>
        <v>"আড়পাড়া</v>
      </c>
      <c r="J227" s="4" t="str">
        <f>IFERROR(__xludf.DUMMYFUNCTION("""COMPUTED_VALUE""")," গাংনী")</f>
        <v> গাংনী</v>
      </c>
      <c r="K227" s="4" t="str">
        <f>IFERROR(__xludf.DUMMYFUNCTION("""COMPUTED_VALUE""")," মেহেরপুর""")</f>
        <v> মেহেরপুর"</v>
      </c>
    </row>
    <row r="228" ht="15.75" customHeight="1">
      <c r="A228" s="5" t="s">
        <v>3583</v>
      </c>
      <c r="B228" s="4">
        <f>IFERROR(__xludf.DUMMYFUNCTION("SPLIT(A228,"","")"),1175.0)</f>
        <v>1175</v>
      </c>
      <c r="C228" s="4" t="str">
        <f>IFERROR(__xludf.DUMMYFUNCTION("""COMPUTED_VALUE"""),"মোঃ সালাম আলী")</f>
        <v>মোঃ সালাম আলী</v>
      </c>
      <c r="D228" s="4">
        <f>IFERROR(__xludf.DUMMYFUNCTION("""COMPUTED_VALUE"""),5.700555545062E12)</f>
        <v>5700555545062</v>
      </c>
      <c r="E228" s="4" t="str">
        <f>IFERROR(__xludf.DUMMYFUNCTION("""COMPUTED_VALUE"""),"মোঃ মক্কেল")</f>
        <v>মোঃ মক্কেল</v>
      </c>
      <c r="F228" s="4" t="str">
        <f>IFERROR(__xludf.DUMMYFUNCTION("""COMPUTED_VALUE"""),"মোছাঃ মর্জিনা")</f>
        <v>মোছাঃ মর্জিনা</v>
      </c>
      <c r="G228" s="4" t="str">
        <f>IFERROR(__xludf.DUMMYFUNCTION("""COMPUTED_VALUE"""),"০৫/০৪/১৯৯৭")</f>
        <v>০৫/০৪/১৯৯৭</v>
      </c>
      <c r="H228" s="4" t="str">
        <f>IFERROR(__xludf.DUMMYFUNCTION("""COMPUTED_VALUE"""),"কৃষক")</f>
        <v>কৃষক</v>
      </c>
      <c r="I228" s="4" t="str">
        <f>IFERROR(__xludf.DUMMYFUNCTION("""COMPUTED_VALUE"""),"""আড়পাড়া")</f>
        <v>"আড়পাড়া</v>
      </c>
      <c r="J228" s="4" t="str">
        <f>IFERROR(__xludf.DUMMYFUNCTION("""COMPUTED_VALUE""")," গাংনী")</f>
        <v> গাংনী</v>
      </c>
      <c r="K228" s="4" t="str">
        <f>IFERROR(__xludf.DUMMYFUNCTION("""COMPUTED_VALUE""")," মেহেরপুর""")</f>
        <v> মেহেরপুর"</v>
      </c>
    </row>
    <row r="229" ht="15.75" customHeight="1">
      <c r="A229" s="5" t="s">
        <v>3584</v>
      </c>
      <c r="B229" s="4">
        <f>IFERROR(__xludf.DUMMYFUNCTION("SPLIT(A229,"","")"),1176.0)</f>
        <v>1176</v>
      </c>
      <c r="C229" s="4" t="str">
        <f>IFERROR(__xludf.DUMMYFUNCTION("""COMPUTED_VALUE"""),"মোঃ আবু সাঈদ")</f>
        <v>মোঃ আবু সাঈদ</v>
      </c>
      <c r="D229" s="4">
        <f>IFERROR(__xludf.DUMMYFUNCTION("""COMPUTED_VALUE"""),5.700555545064E12)</f>
        <v>5700555545064</v>
      </c>
      <c r="E229" s="4" t="str">
        <f>IFERROR(__xludf.DUMMYFUNCTION("""COMPUTED_VALUE"""),"মোঃ নাজমুল হক")</f>
        <v>মোঃ নাজমুল হক</v>
      </c>
      <c r="F229" s="4" t="str">
        <f>IFERROR(__xludf.DUMMYFUNCTION("""COMPUTED_VALUE"""),"মোছাঃ মাকছুরা খাতুন")</f>
        <v>মোছাঃ মাকছুরা খাতুন</v>
      </c>
      <c r="G229" s="4" t="str">
        <f>IFERROR(__xludf.DUMMYFUNCTION("""COMPUTED_VALUE"""),"১৪/১০/২০০৬")</f>
        <v>১৪/১০/২০০৬</v>
      </c>
      <c r="H229" s="4" t="str">
        <f>IFERROR(__xludf.DUMMYFUNCTION("""COMPUTED_VALUE"""),"ছাত্র/ছাত্রী")</f>
        <v>ছাত্র/ছাত্রী</v>
      </c>
      <c r="I229" s="4" t="str">
        <f>IFERROR(__xludf.DUMMYFUNCTION("""COMPUTED_VALUE"""),"""আড়পাড়া")</f>
        <v>"আড়পাড়া</v>
      </c>
      <c r="J229" s="4" t="str">
        <f>IFERROR(__xludf.DUMMYFUNCTION("""COMPUTED_VALUE""")," গাংনী")</f>
        <v> গাংনী</v>
      </c>
      <c r="K229" s="4" t="str">
        <f>IFERROR(__xludf.DUMMYFUNCTION("""COMPUTED_VALUE""")," মেহেরপুর""")</f>
        <v> মেহেরপুর"</v>
      </c>
    </row>
    <row r="230" ht="15.75" customHeight="1">
      <c r="A230" s="5" t="s">
        <v>3585</v>
      </c>
      <c r="B230" s="4">
        <f>IFERROR(__xludf.DUMMYFUNCTION("SPLIT(A230,"","")"),1177.0)</f>
        <v>1177</v>
      </c>
      <c r="C230" s="4" t="str">
        <f>IFERROR(__xludf.DUMMYFUNCTION("""COMPUTED_VALUE"""),"শ্রী বিজয় কুমার সাহা")</f>
        <v>শ্রী বিজয় কুমার সাহা</v>
      </c>
      <c r="D230" s="4">
        <f>IFERROR(__xludf.DUMMYFUNCTION("""COMPUTED_VALUE"""),5.700555545066E12)</f>
        <v>5700555545066</v>
      </c>
      <c r="E230" s="4" t="str">
        <f>IFERROR(__xludf.DUMMYFUNCTION("""COMPUTED_VALUE"""),"শ্রী সুনীল কুমার সাহা")</f>
        <v>শ্রী সুনীল কুমার সাহা</v>
      </c>
      <c r="F230" s="4" t="str">
        <f>IFERROR(__xludf.DUMMYFUNCTION("""COMPUTED_VALUE"""),"শ্রীমতি দীপ্তী রানী সাহা")</f>
        <v>শ্রীমতি দীপ্তী রানী সাহা</v>
      </c>
      <c r="G230" s="4" t="str">
        <f>IFERROR(__xludf.DUMMYFUNCTION("""COMPUTED_VALUE"""),"০৪/০৯/২০০৬")</f>
        <v>০৪/০৯/২০০৬</v>
      </c>
      <c r="H230" s="4" t="str">
        <f>IFERROR(__xludf.DUMMYFUNCTION("""COMPUTED_VALUE"""),"ছাত্র/ছাত্রী")</f>
        <v>ছাত্র/ছাত্রী</v>
      </c>
      <c r="I230" s="4" t="str">
        <f>IFERROR(__xludf.DUMMYFUNCTION("""COMPUTED_VALUE"""),"""আড়পাড়া")</f>
        <v>"আড়পাড়া</v>
      </c>
      <c r="J230" s="4" t="str">
        <f>IFERROR(__xludf.DUMMYFUNCTION("""COMPUTED_VALUE""")," গাংনী")</f>
        <v> গাংনী</v>
      </c>
      <c r="K230" s="4" t="str">
        <f>IFERROR(__xludf.DUMMYFUNCTION("""COMPUTED_VALUE""")," মেহেরপুর""")</f>
        <v> মেহেরপুর"</v>
      </c>
    </row>
    <row r="231" ht="15.75" customHeight="1">
      <c r="A231" s="5" t="s">
        <v>3586</v>
      </c>
      <c r="B231" s="4">
        <f>IFERROR(__xludf.DUMMYFUNCTION("SPLIT(A231,"","")"),1178.0)</f>
        <v>1178</v>
      </c>
      <c r="C231" s="4" t="str">
        <f>IFERROR(__xludf.DUMMYFUNCTION("""COMPUTED_VALUE"""),"মোঃ আজাদ আলী")</f>
        <v>মোঃ আজাদ আলী</v>
      </c>
      <c r="D231" s="4">
        <f>IFERROR(__xludf.DUMMYFUNCTION("""COMPUTED_VALUE"""),5.700555545067E12)</f>
        <v>5700555545067</v>
      </c>
      <c r="E231" s="4" t="str">
        <f>IFERROR(__xludf.DUMMYFUNCTION("""COMPUTED_VALUE"""),"মোঃ রেজাউল হক")</f>
        <v>মোঃ রেজাউল হক</v>
      </c>
      <c r="F231" s="4" t="str">
        <f>IFERROR(__xludf.DUMMYFUNCTION("""COMPUTED_VALUE"""),"মোছাঃ হাসেনা বেগম")</f>
        <v>মোছাঃ হাসেনা বেগম</v>
      </c>
      <c r="G231" s="4" t="str">
        <f>IFERROR(__xludf.DUMMYFUNCTION("""COMPUTED_VALUE"""),"১০/০১/২০০০")</f>
        <v>১০/০১/২০০০</v>
      </c>
      <c r="H231" s="4" t="str">
        <f>IFERROR(__xludf.DUMMYFUNCTION("""COMPUTED_VALUE"""),"কৃষক")</f>
        <v>কৃষক</v>
      </c>
      <c r="I231" s="4" t="str">
        <f>IFERROR(__xludf.DUMMYFUNCTION("""COMPUTED_VALUE"""),"""আড়পাড়া")</f>
        <v>"আড়পাড়া</v>
      </c>
      <c r="J231" s="4" t="str">
        <f>IFERROR(__xludf.DUMMYFUNCTION("""COMPUTED_VALUE""")," গাংনী")</f>
        <v> গাংনী</v>
      </c>
      <c r="K231" s="4" t="str">
        <f>IFERROR(__xludf.DUMMYFUNCTION("""COMPUTED_VALUE""")," মেহেরপুর""")</f>
        <v> মেহেরপুর"</v>
      </c>
    </row>
    <row r="232" ht="15.75" customHeight="1">
      <c r="A232" s="5" t="s">
        <v>3587</v>
      </c>
      <c r="B232" s="4">
        <f>IFERROR(__xludf.DUMMYFUNCTION("SPLIT(A232,"","")"),1179.0)</f>
        <v>1179</v>
      </c>
      <c r="C232" s="4" t="str">
        <f>IFERROR(__xludf.DUMMYFUNCTION("""COMPUTED_VALUE"""),"মোঃ রতন আলী")</f>
        <v>মোঃ রতন আলী</v>
      </c>
      <c r="D232" s="4">
        <f>IFERROR(__xludf.DUMMYFUNCTION("""COMPUTED_VALUE"""),5.700555545071E12)</f>
        <v>5700555545071</v>
      </c>
      <c r="E232" s="4" t="str">
        <f>IFERROR(__xludf.DUMMYFUNCTION("""COMPUTED_VALUE"""),"মোঃ আশরাফুল")</f>
        <v>মোঃ আশরাফুল</v>
      </c>
      <c r="F232" s="4" t="str">
        <f>IFERROR(__xludf.DUMMYFUNCTION("""COMPUTED_VALUE"""),"রুপিয়া খাতুন")</f>
        <v>রুপিয়া খাতুন</v>
      </c>
      <c r="G232" s="4" t="str">
        <f>IFERROR(__xludf.DUMMYFUNCTION("""COMPUTED_VALUE"""),"০৬/০৬/১৯৯৭")</f>
        <v>০৬/০৬/১৯৯৭</v>
      </c>
      <c r="H232" s="4" t="str">
        <f>IFERROR(__xludf.DUMMYFUNCTION("""COMPUTED_VALUE"""),"কৃষক")</f>
        <v>কৃষক</v>
      </c>
      <c r="I232" s="4" t="str">
        <f>IFERROR(__xludf.DUMMYFUNCTION("""COMPUTED_VALUE"""),"""আড়পাড়া")</f>
        <v>"আড়পাড়া</v>
      </c>
      <c r="J232" s="4" t="str">
        <f>IFERROR(__xludf.DUMMYFUNCTION("""COMPUTED_VALUE""")," গাংনী")</f>
        <v> গাংনী</v>
      </c>
      <c r="K232" s="4" t="str">
        <f>IFERROR(__xludf.DUMMYFUNCTION("""COMPUTED_VALUE""")," মেহেরপুর""")</f>
        <v> মেহেরপুর"</v>
      </c>
    </row>
    <row r="233" ht="15.75" customHeight="1">
      <c r="A233" s="5" t="s">
        <v>3588</v>
      </c>
      <c r="B233" s="4">
        <f>IFERROR(__xludf.DUMMYFUNCTION("SPLIT(A233,"","")"),1180.0)</f>
        <v>1180</v>
      </c>
      <c r="C233" s="4" t="str">
        <f>IFERROR(__xludf.DUMMYFUNCTION("""COMPUTED_VALUE"""),"মোঃ রাকিব আলী")</f>
        <v>মোঃ রাকিব আলী</v>
      </c>
      <c r="D233" s="4">
        <f>IFERROR(__xludf.DUMMYFUNCTION("""COMPUTED_VALUE"""),5.700555545074E12)</f>
        <v>5700555545074</v>
      </c>
      <c r="E233" s="4" t="str">
        <f>IFERROR(__xludf.DUMMYFUNCTION("""COMPUTED_VALUE"""),"মোঃ ডাবলু হক")</f>
        <v>মোঃ ডাবলু হক</v>
      </c>
      <c r="F233" s="4" t="str">
        <f>IFERROR(__xludf.DUMMYFUNCTION("""COMPUTED_VALUE"""),"মোছাঃ নারগিছ খাতুন")</f>
        <v>মোছাঃ নারগিছ খাতুন</v>
      </c>
      <c r="G233" s="4" t="str">
        <f>IFERROR(__xludf.DUMMYFUNCTION("""COMPUTED_VALUE"""),"১০/০২/২০০৩")</f>
        <v>১০/০২/২০০৩</v>
      </c>
      <c r="H233" s="4" t="str">
        <f>IFERROR(__xludf.DUMMYFUNCTION("""COMPUTED_VALUE"""),"শ্রমিক")</f>
        <v>শ্রমিক</v>
      </c>
      <c r="I233" s="4" t="str">
        <f>IFERROR(__xludf.DUMMYFUNCTION("""COMPUTED_VALUE"""),"""আড়পাড়া")</f>
        <v>"আড়পাড়া</v>
      </c>
      <c r="J233" s="4" t="str">
        <f>IFERROR(__xludf.DUMMYFUNCTION("""COMPUTED_VALUE""")," গাংনী")</f>
        <v> গাংনী</v>
      </c>
      <c r="K233" s="4" t="str">
        <f>IFERROR(__xludf.DUMMYFUNCTION("""COMPUTED_VALUE""")," মেহেরপুর""")</f>
        <v> মেহেরপুর"</v>
      </c>
    </row>
    <row r="234" ht="15.75" customHeight="1">
      <c r="A234" s="5" t="s">
        <v>3589</v>
      </c>
      <c r="B234" s="4">
        <f>IFERROR(__xludf.DUMMYFUNCTION("SPLIT(A234,"","")"),1181.0)</f>
        <v>1181</v>
      </c>
      <c r="C234" s="4" t="str">
        <f>IFERROR(__xludf.DUMMYFUNCTION("""COMPUTED_VALUE"""),"মোঃ নাঈম আলী")</f>
        <v>মোঃ নাঈম আলী</v>
      </c>
      <c r="D234" s="4">
        <f>IFERROR(__xludf.DUMMYFUNCTION("""COMPUTED_VALUE"""),5.700555545075E12)</f>
        <v>5700555545075</v>
      </c>
      <c r="E234" s="4" t="str">
        <f>IFERROR(__xludf.DUMMYFUNCTION("""COMPUTED_VALUE"""),"মোঃ বাবর আলী")</f>
        <v>মোঃ বাবর আলী</v>
      </c>
      <c r="F234" s="4" t="str">
        <f>IFERROR(__xludf.DUMMYFUNCTION("""COMPUTED_VALUE"""),"মোছাঃ ময়না খাতুন")</f>
        <v>মোছাঃ ময়না খাতুন</v>
      </c>
      <c r="G234" s="4" t="str">
        <f>IFERROR(__xludf.DUMMYFUNCTION("""COMPUTED_VALUE"""),"০২/০৫/২০০৬")</f>
        <v>০২/০৫/২০০৬</v>
      </c>
      <c r="H234" s="4" t="str">
        <f>IFERROR(__xludf.DUMMYFUNCTION("""COMPUTED_VALUE"""),"শ্রমিক")</f>
        <v>শ্রমিক</v>
      </c>
      <c r="I234" s="4" t="str">
        <f>IFERROR(__xludf.DUMMYFUNCTION("""COMPUTED_VALUE"""),"""আড়পাড়া")</f>
        <v>"আড়পাড়া</v>
      </c>
      <c r="J234" s="4" t="str">
        <f>IFERROR(__xludf.DUMMYFUNCTION("""COMPUTED_VALUE""")," গাংনী")</f>
        <v> গাংনী</v>
      </c>
      <c r="K234" s="4" t="str">
        <f>IFERROR(__xludf.DUMMYFUNCTION("""COMPUTED_VALUE""")," মেহেরপুর""")</f>
        <v> মেহেরপুর"</v>
      </c>
    </row>
    <row r="235" ht="15.75" customHeight="1">
      <c r="A235" s="5" t="s">
        <v>3590</v>
      </c>
      <c r="B235" s="4">
        <f>IFERROR(__xludf.DUMMYFUNCTION("SPLIT(A235,"","")"),1182.0)</f>
        <v>1182</v>
      </c>
      <c r="C235" s="4" t="str">
        <f>IFERROR(__xludf.DUMMYFUNCTION("""COMPUTED_VALUE"""),"আকরামুল হক")</f>
        <v>আকরামুল হক</v>
      </c>
      <c r="D235" s="4">
        <f>IFERROR(__xludf.DUMMYFUNCTION("""COMPUTED_VALUE"""),5.700555545076E12)</f>
        <v>5700555545076</v>
      </c>
      <c r="E235" s="4" t="str">
        <f>IFERROR(__xludf.DUMMYFUNCTION("""COMPUTED_VALUE"""),"মোঃ মহসিন মালিথা")</f>
        <v>মোঃ মহসিন মালিথা</v>
      </c>
      <c r="F235" s="4" t="str">
        <f>IFERROR(__xludf.DUMMYFUNCTION("""COMPUTED_VALUE"""),"মৃত রুশিরা খাতুন")</f>
        <v>মৃত রুশিরা খাতুন</v>
      </c>
      <c r="G235" s="4" t="str">
        <f>IFERROR(__xludf.DUMMYFUNCTION("""COMPUTED_VALUE"""),"০৯/১২/১৯৮২")</f>
        <v>০৯/১২/১৯৮২</v>
      </c>
      <c r="H235" s="4" t="str">
        <f>IFERROR(__xludf.DUMMYFUNCTION("""COMPUTED_VALUE"""),"কৃষক")</f>
        <v>কৃষক</v>
      </c>
      <c r="I235" s="4" t="str">
        <f>IFERROR(__xludf.DUMMYFUNCTION("""COMPUTED_VALUE"""),"""আড়পাড়া")</f>
        <v>"আড়পাড়া</v>
      </c>
      <c r="J235" s="4" t="str">
        <f>IFERROR(__xludf.DUMMYFUNCTION("""COMPUTED_VALUE""")," গাংনী")</f>
        <v> গাংনী</v>
      </c>
      <c r="K235" s="4" t="str">
        <f>IFERROR(__xludf.DUMMYFUNCTION("""COMPUTED_VALUE""")," মেহেরপুর""")</f>
        <v> মেহেরপুর"</v>
      </c>
    </row>
    <row r="236" ht="15.75" customHeight="1">
      <c r="A236" s="5" t="s">
        <v>3591</v>
      </c>
      <c r="B236" s="4">
        <f>IFERROR(__xludf.DUMMYFUNCTION("SPLIT(A236,"","")"),1183.0)</f>
        <v>1183</v>
      </c>
      <c r="C236" s="4" t="str">
        <f>IFERROR(__xludf.DUMMYFUNCTION("""COMPUTED_VALUE"""),"মোঃ শাওন আলী")</f>
        <v>মোঃ শাওন আলী</v>
      </c>
      <c r="D236" s="4">
        <f>IFERROR(__xludf.DUMMYFUNCTION("""COMPUTED_VALUE"""),5.700555545081E12)</f>
        <v>5700555545081</v>
      </c>
      <c r="E236" s="4" t="str">
        <f>IFERROR(__xludf.DUMMYFUNCTION("""COMPUTED_VALUE"""),"মোঃ মমতাজ আলী")</f>
        <v>মোঃ মমতাজ আলী</v>
      </c>
      <c r="F236" s="4" t="str">
        <f>IFERROR(__xludf.DUMMYFUNCTION("""COMPUTED_VALUE"""),"মোছাঃ হাসিনা খাতুন")</f>
        <v>মোছাঃ হাসিনা খাতুন</v>
      </c>
      <c r="G236" s="4" t="str">
        <f>IFERROR(__xludf.DUMMYFUNCTION("""COMPUTED_VALUE"""),"০১/০১/২০০৭")</f>
        <v>০১/০১/২০০৭</v>
      </c>
      <c r="H236" s="4" t="str">
        <f>IFERROR(__xludf.DUMMYFUNCTION("""COMPUTED_VALUE"""),"ছাত্র/ছাত্রী")</f>
        <v>ছাত্র/ছাত্রী</v>
      </c>
      <c r="I236" s="4" t="str">
        <f>IFERROR(__xludf.DUMMYFUNCTION("""COMPUTED_VALUE"""),"""আড়পাড়া")</f>
        <v>"আড়পাড়া</v>
      </c>
      <c r="J236" s="4" t="str">
        <f>IFERROR(__xludf.DUMMYFUNCTION("""COMPUTED_VALUE""")," গাংনী")</f>
        <v> গাংনী</v>
      </c>
      <c r="K236" s="4" t="str">
        <f>IFERROR(__xludf.DUMMYFUNCTION("""COMPUTED_VALUE""")," মেহেরপুর""")</f>
        <v> মেহেরপুর"</v>
      </c>
    </row>
    <row r="237" ht="15.75" customHeight="1">
      <c r="A237" s="5" t="s">
        <v>3592</v>
      </c>
      <c r="B237" s="4">
        <f>IFERROR(__xludf.DUMMYFUNCTION("SPLIT(A237,"","")"),1184.0)</f>
        <v>1184</v>
      </c>
      <c r="C237" s="4" t="str">
        <f>IFERROR(__xludf.DUMMYFUNCTION("""COMPUTED_VALUE"""),"মোঃ সাব্বির হোসেন")</f>
        <v>মোঃ সাব্বির হোসেন</v>
      </c>
      <c r="D237" s="4">
        <f>IFERROR(__xludf.DUMMYFUNCTION("""COMPUTED_VALUE"""),5.700555545087E12)</f>
        <v>5700555545087</v>
      </c>
      <c r="E237" s="4" t="str">
        <f>IFERROR(__xludf.DUMMYFUNCTION("""COMPUTED_VALUE"""),"মোঃ রিয়াজ উদ্দীন")</f>
        <v>মোঃ রিয়াজ উদ্দীন</v>
      </c>
      <c r="F237" s="4" t="str">
        <f>IFERROR(__xludf.DUMMYFUNCTION("""COMPUTED_VALUE"""),"মোছাঃ শাহানাজ পারভীন")</f>
        <v>মোছাঃ শাহানাজ পারভীন</v>
      </c>
      <c r="G237" s="4" t="str">
        <f>IFERROR(__xludf.DUMMYFUNCTION("""COMPUTED_VALUE"""),"০১/০১/২০০৭")</f>
        <v>০১/০১/২০০৭</v>
      </c>
      <c r="H237" s="4" t="str">
        <f>IFERROR(__xludf.DUMMYFUNCTION("""COMPUTED_VALUE"""),"ছাত্র/ছাত্রী")</f>
        <v>ছাত্র/ছাত্রী</v>
      </c>
      <c r="I237" s="4" t="str">
        <f>IFERROR(__xludf.DUMMYFUNCTION("""COMPUTED_VALUE"""),"""আড়পাড়া")</f>
        <v>"আড়পাড়া</v>
      </c>
      <c r="J237" s="4" t="str">
        <f>IFERROR(__xludf.DUMMYFUNCTION("""COMPUTED_VALUE""")," গাংনী")</f>
        <v> গাংনী</v>
      </c>
      <c r="K237" s="4" t="str">
        <f>IFERROR(__xludf.DUMMYFUNCTION("""COMPUTED_VALUE""")," মেহেরপুর""")</f>
        <v> মেহেরপুর"</v>
      </c>
    </row>
    <row r="238" ht="15.75" customHeight="1">
      <c r="A238" s="5" t="s">
        <v>3593</v>
      </c>
      <c r="B238" s="4">
        <f>IFERROR(__xludf.DUMMYFUNCTION("SPLIT(A238,"","")"),1185.0)</f>
        <v>1185</v>
      </c>
      <c r="C238" s="4" t="str">
        <f>IFERROR(__xludf.DUMMYFUNCTION("""COMPUTED_VALUE"""),"জাহাঙ্গীর আলম")</f>
        <v>জাহাঙ্গীর আলম</v>
      </c>
      <c r="D238" s="4">
        <f>IFERROR(__xludf.DUMMYFUNCTION("""COMPUTED_VALUE"""),5.700555545088E12)</f>
        <v>5700555545088</v>
      </c>
      <c r="E238" s="4" t="str">
        <f>IFERROR(__xludf.DUMMYFUNCTION("""COMPUTED_VALUE"""),"মৃত আঃ রাজ্জাক")</f>
        <v>মৃত আঃ রাজ্জাক</v>
      </c>
      <c r="F238" s="4" t="str">
        <f>IFERROR(__xludf.DUMMYFUNCTION("""COMPUTED_VALUE"""),"মোছাঃ জাহিদা খাতুন")</f>
        <v>মোছাঃ জাহিদা খাতুন</v>
      </c>
      <c r="G238" s="4" t="str">
        <f>IFERROR(__xludf.DUMMYFUNCTION("""COMPUTED_VALUE"""),"১৫/০৩/২০০৪")</f>
        <v>১৫/০৩/২০০৪</v>
      </c>
      <c r="H238" s="4" t="str">
        <f>IFERROR(__xludf.DUMMYFUNCTION("""COMPUTED_VALUE"""),"মিস্ত্রী")</f>
        <v>মিস্ত্রী</v>
      </c>
      <c r="I238" s="4" t="str">
        <f>IFERROR(__xludf.DUMMYFUNCTION("""COMPUTED_VALUE"""),"""আড়পাড়া")</f>
        <v>"আড়পাড়া</v>
      </c>
      <c r="J238" s="4" t="str">
        <f>IFERROR(__xludf.DUMMYFUNCTION("""COMPUTED_VALUE""")," গাংনী")</f>
        <v> গাংনী</v>
      </c>
      <c r="K238" s="4" t="str">
        <f>IFERROR(__xludf.DUMMYFUNCTION("""COMPUTED_VALUE""")," মেহেরপুর""")</f>
        <v> মেহেরপুর"</v>
      </c>
    </row>
    <row r="239" ht="15.75" customHeight="1">
      <c r="A239" s="5" t="s">
        <v>3594</v>
      </c>
      <c r="B239" s="4">
        <f>IFERROR(__xludf.DUMMYFUNCTION("SPLIT(A239,"","")"),1186.0)</f>
        <v>1186</v>
      </c>
      <c r="C239" s="4" t="str">
        <f>IFERROR(__xludf.DUMMYFUNCTION("""COMPUTED_VALUE"""),"মোঃ হামিদুল ইসলাম")</f>
        <v>মোঃ হামিদুল ইসলাম</v>
      </c>
      <c r="D239" s="4">
        <f>IFERROR(__xludf.DUMMYFUNCTION("""COMPUTED_VALUE"""),5.700555545089E12)</f>
        <v>5700555545089</v>
      </c>
      <c r="E239" s="4" t="str">
        <f>IFERROR(__xludf.DUMMYFUNCTION("""COMPUTED_VALUE"""),"মোঃ তাইজেল")</f>
        <v>মোঃ তাইজেল</v>
      </c>
      <c r="F239" s="4" t="str">
        <f>IFERROR(__xludf.DUMMYFUNCTION("""COMPUTED_VALUE"""),"মোছাঃ সাহারন খাতুন")</f>
        <v>মোছাঃ সাহারন খাতুন</v>
      </c>
      <c r="G239" s="4" t="str">
        <f>IFERROR(__xludf.DUMMYFUNCTION("""COMPUTED_VALUE"""),"০১/০১/২০০৬")</f>
        <v>০১/০১/২০০৬</v>
      </c>
      <c r="H239" s="4" t="str">
        <f>IFERROR(__xludf.DUMMYFUNCTION("""COMPUTED_VALUE"""),"ছাত্র/ছাত্রী")</f>
        <v>ছাত্র/ছাত্রী</v>
      </c>
      <c r="I239" s="4" t="str">
        <f>IFERROR(__xludf.DUMMYFUNCTION("""COMPUTED_VALUE"""),"""আড়পাড়া")</f>
        <v>"আড়পাড়া</v>
      </c>
      <c r="J239" s="4" t="str">
        <f>IFERROR(__xludf.DUMMYFUNCTION("""COMPUTED_VALUE""")," গাংনী")</f>
        <v> গাংনী</v>
      </c>
      <c r="K239" s="4" t="str">
        <f>IFERROR(__xludf.DUMMYFUNCTION("""COMPUTED_VALUE""")," মেহেরপুর""")</f>
        <v> মেহেরপুর"</v>
      </c>
    </row>
    <row r="240" ht="15.75" customHeight="1">
      <c r="A240" s="5" t="s">
        <v>3595</v>
      </c>
      <c r="B240" s="4">
        <f>IFERROR(__xludf.DUMMYFUNCTION("SPLIT(A240,"","")"),1187.0)</f>
        <v>1187</v>
      </c>
      <c r="C240" s="4" t="str">
        <f>IFERROR(__xludf.DUMMYFUNCTION("""COMPUTED_VALUE"""),"মোঃ জাবির হোসেন")</f>
        <v>মোঃ জাবির হোসেন</v>
      </c>
      <c r="D240" s="4">
        <f>IFERROR(__xludf.DUMMYFUNCTION("""COMPUTED_VALUE"""),5.700555545091E12)</f>
        <v>5700555545091</v>
      </c>
      <c r="E240" s="4" t="str">
        <f>IFERROR(__xludf.DUMMYFUNCTION("""COMPUTED_VALUE"""),"মোঃ আব্দুল মালেক")</f>
        <v>মোঃ আব্দুল মালেক</v>
      </c>
      <c r="F240" s="4" t="str">
        <f>IFERROR(__xludf.DUMMYFUNCTION("""COMPUTED_VALUE"""),"মোছাঃ জহুরা খাতুন")</f>
        <v>মোছাঃ জহুরা খাতুন</v>
      </c>
      <c r="G240" s="4" t="str">
        <f>IFERROR(__xludf.DUMMYFUNCTION("""COMPUTED_VALUE"""),"০৮/১০/২০০৫")</f>
        <v>০৮/১০/২০০৫</v>
      </c>
      <c r="H240" s="4" t="str">
        <f>IFERROR(__xludf.DUMMYFUNCTION("""COMPUTED_VALUE"""),"কৃষক")</f>
        <v>কৃষক</v>
      </c>
      <c r="I240" s="4" t="str">
        <f>IFERROR(__xludf.DUMMYFUNCTION("""COMPUTED_VALUE"""),"""আড়পাড়া")</f>
        <v>"আড়পাড়া</v>
      </c>
      <c r="J240" s="4" t="str">
        <f>IFERROR(__xludf.DUMMYFUNCTION("""COMPUTED_VALUE""")," গাংনী")</f>
        <v> গাংনী</v>
      </c>
      <c r="K240" s="4" t="str">
        <f>IFERROR(__xludf.DUMMYFUNCTION("""COMPUTED_VALUE""")," মেহেরপুর""")</f>
        <v> মেহেরপুর"</v>
      </c>
    </row>
    <row r="241" ht="15.75" customHeight="1">
      <c r="A241" s="5" t="s">
        <v>3596</v>
      </c>
      <c r="B241" s="4">
        <f>IFERROR(__xludf.DUMMYFUNCTION("SPLIT(A241,"","")"),1188.0)</f>
        <v>1188</v>
      </c>
      <c r="C241" s="4" t="str">
        <f>IFERROR(__xludf.DUMMYFUNCTION("""COMPUTED_VALUE"""),"মোঃ মমিনুল ইসলাম")</f>
        <v>মোঃ মমিনুল ইসলাম</v>
      </c>
      <c r="D241" s="4">
        <f>IFERROR(__xludf.DUMMYFUNCTION("""COMPUTED_VALUE"""),5.700555545093E12)</f>
        <v>5700555545093</v>
      </c>
      <c r="E241" s="4" t="str">
        <f>IFERROR(__xludf.DUMMYFUNCTION("""COMPUTED_VALUE"""),"মোঃ নজিবুল হক")</f>
        <v>মোঃ নজিবুল হক</v>
      </c>
      <c r="F241" s="4" t="str">
        <f>IFERROR(__xludf.DUMMYFUNCTION("""COMPUTED_VALUE"""),"মোছাঃ মোমেনা খাতুন")</f>
        <v>মোছাঃ মোমেনা খাতুন</v>
      </c>
      <c r="G241" s="4" t="str">
        <f>IFERROR(__xludf.DUMMYFUNCTION("""COMPUTED_VALUE"""),"২৩/১০/২০০৪")</f>
        <v>২৩/১০/২০০৪</v>
      </c>
      <c r="H241" s="4" t="str">
        <f>IFERROR(__xludf.DUMMYFUNCTION("""COMPUTED_VALUE"""),"কৃষক")</f>
        <v>কৃষক</v>
      </c>
      <c r="I241" s="4" t="str">
        <f>IFERROR(__xludf.DUMMYFUNCTION("""COMPUTED_VALUE"""),"""আড়পাড়া")</f>
        <v>"আড়পাড়া</v>
      </c>
      <c r="J241" s="4" t="str">
        <f>IFERROR(__xludf.DUMMYFUNCTION("""COMPUTED_VALUE""")," গাংনী")</f>
        <v> গাংনী</v>
      </c>
      <c r="K241" s="4" t="str">
        <f>IFERROR(__xludf.DUMMYFUNCTION("""COMPUTED_VALUE""")," মেহেরপুর""")</f>
        <v> মেহেরপুর"</v>
      </c>
    </row>
    <row r="242" ht="15.75" customHeight="1">
      <c r="A242" s="5" t="s">
        <v>3597</v>
      </c>
      <c r="B242" s="4">
        <f>IFERROR(__xludf.DUMMYFUNCTION("SPLIT(A242,"","")"),1189.0)</f>
        <v>1189</v>
      </c>
      <c r="C242" s="4" t="str">
        <f>IFERROR(__xludf.DUMMYFUNCTION("""COMPUTED_VALUE"""),"মোঃ পারভেজ")</f>
        <v>মোঃ পারভেজ</v>
      </c>
      <c r="D242" s="4">
        <f>IFERROR(__xludf.DUMMYFUNCTION("""COMPUTED_VALUE"""),5.700555545096E12)</f>
        <v>5700555545096</v>
      </c>
      <c r="E242" s="4" t="str">
        <f>IFERROR(__xludf.DUMMYFUNCTION("""COMPUTED_VALUE"""),"মোঃ মিঠু")</f>
        <v>মোঃ মিঠু</v>
      </c>
      <c r="F242" s="4" t="str">
        <f>IFERROR(__xludf.DUMMYFUNCTION("""COMPUTED_VALUE"""),"মোছাঃ পারভিনা খাতুন")</f>
        <v>মোছাঃ পারভিনা খাতুন</v>
      </c>
      <c r="G242" s="4" t="str">
        <f>IFERROR(__xludf.DUMMYFUNCTION("""COMPUTED_VALUE"""),"০১/০১/২০০৫")</f>
        <v>০১/০১/২০০৫</v>
      </c>
      <c r="H242" s="4" t="str">
        <f>IFERROR(__xludf.DUMMYFUNCTION("""COMPUTED_VALUE"""),"ড্রাইভার")</f>
        <v>ড্রাইভার</v>
      </c>
      <c r="I242" s="4" t="str">
        <f>IFERROR(__xludf.DUMMYFUNCTION("""COMPUTED_VALUE"""),"""আড়পাড়া")</f>
        <v>"আড়পাড়া</v>
      </c>
      <c r="J242" s="4" t="str">
        <f>IFERROR(__xludf.DUMMYFUNCTION("""COMPUTED_VALUE""")," গাংনী")</f>
        <v> গাংনী</v>
      </c>
      <c r="K242" s="4" t="str">
        <f>IFERROR(__xludf.DUMMYFUNCTION("""COMPUTED_VALUE""")," মেহেরপুর""")</f>
        <v> মেহেরপুর"</v>
      </c>
    </row>
    <row r="243" ht="15.75" customHeight="1">
      <c r="A243" s="5" t="s">
        <v>3598</v>
      </c>
      <c r="B243" s="4">
        <f>IFERROR(__xludf.DUMMYFUNCTION("SPLIT(A243,"","")"),1190.0)</f>
        <v>1190</v>
      </c>
      <c r="C243" s="4" t="str">
        <f>IFERROR(__xludf.DUMMYFUNCTION("""COMPUTED_VALUE"""),"মোঃ আবির হোসেন")</f>
        <v>মোঃ আবির হোসেন</v>
      </c>
      <c r="D243" s="4">
        <f>IFERROR(__xludf.DUMMYFUNCTION("""COMPUTED_VALUE"""),5.700555545097E12)</f>
        <v>5700555545097</v>
      </c>
      <c r="E243" s="4" t="str">
        <f>IFERROR(__xludf.DUMMYFUNCTION("""COMPUTED_VALUE"""),"মোঃ খাকচার হোসেন")</f>
        <v>মোঃ খাকচার হোসেন</v>
      </c>
      <c r="F243" s="4" t="str">
        <f>IFERROR(__xludf.DUMMYFUNCTION("""COMPUTED_VALUE"""),"মোছাঃ কামরুন্নাহার")</f>
        <v>মোছাঃ কামরুন্নাহার</v>
      </c>
      <c r="G243" s="4" t="str">
        <f>IFERROR(__xludf.DUMMYFUNCTION("""COMPUTED_VALUE"""),"২০/০৮/২০০৩")</f>
        <v>২০/০৮/২০০৩</v>
      </c>
      <c r="H243" s="4" t="str">
        <f>IFERROR(__xludf.DUMMYFUNCTION("""COMPUTED_VALUE"""),"শ্রমিক")</f>
        <v>শ্রমিক</v>
      </c>
      <c r="I243" s="4" t="str">
        <f>IFERROR(__xludf.DUMMYFUNCTION("""COMPUTED_VALUE"""),"""আড়পাড়া")</f>
        <v>"আড়পাড়া</v>
      </c>
      <c r="J243" s="4" t="str">
        <f>IFERROR(__xludf.DUMMYFUNCTION("""COMPUTED_VALUE""")," গাংনী")</f>
        <v> গাংনী</v>
      </c>
      <c r="K243" s="4" t="str">
        <f>IFERROR(__xludf.DUMMYFUNCTION("""COMPUTED_VALUE""")," মেহেরপুর""")</f>
        <v> মেহেরপুর"</v>
      </c>
    </row>
    <row r="244" ht="15.75" customHeight="1">
      <c r="A244" s="5" t="s">
        <v>3599</v>
      </c>
      <c r="B244" s="4">
        <f>IFERROR(__xludf.DUMMYFUNCTION("SPLIT(A244,"","")"),1191.0)</f>
        <v>1191</v>
      </c>
      <c r="C244" s="4" t="str">
        <f>IFERROR(__xludf.DUMMYFUNCTION("""COMPUTED_VALUE"""),"মোঃ মালেক জিহাদী রাজা")</f>
        <v>মোঃ মালেক জিহাদী রাজা</v>
      </c>
      <c r="D244" s="4">
        <f>IFERROR(__xludf.DUMMYFUNCTION("""COMPUTED_VALUE"""),5.700555545099E12)</f>
        <v>5700555545099</v>
      </c>
      <c r="E244" s="4" t="str">
        <f>IFERROR(__xludf.DUMMYFUNCTION("""COMPUTED_VALUE"""),"মোঃ আছেল উদ্দীন")</f>
        <v>মোঃ আছেল উদ্দীন</v>
      </c>
      <c r="F244" s="4" t="str">
        <f>IFERROR(__xludf.DUMMYFUNCTION("""COMPUTED_VALUE"""),"মোছাঃ শিউলী খাতুন")</f>
        <v>মোছাঃ শিউলী খাতুন</v>
      </c>
      <c r="G244" s="4" t="str">
        <f>IFERROR(__xludf.DUMMYFUNCTION("""COMPUTED_VALUE"""),"১১/১২/২০০৫")</f>
        <v>১১/১২/২০০৫</v>
      </c>
      <c r="H244" s="4" t="str">
        <f>IFERROR(__xludf.DUMMYFUNCTION("""COMPUTED_VALUE"""),"ছাত্র/ছাত্রী")</f>
        <v>ছাত্র/ছাত্রী</v>
      </c>
      <c r="I244" s="4" t="str">
        <f>IFERROR(__xludf.DUMMYFUNCTION("""COMPUTED_VALUE"""),"""আড়পাড়া")</f>
        <v>"আড়পাড়া</v>
      </c>
      <c r="J244" s="4" t="str">
        <f>IFERROR(__xludf.DUMMYFUNCTION("""COMPUTED_VALUE""")," গাংনী")</f>
        <v> গাংনী</v>
      </c>
      <c r="K244" s="4" t="str">
        <f>IFERROR(__xludf.DUMMYFUNCTION("""COMPUTED_VALUE""")," মেহেরপুর""")</f>
        <v> মেহেরপুর"</v>
      </c>
    </row>
    <row r="245" ht="15.75" customHeight="1">
      <c r="A245" s="5" t="s">
        <v>3600</v>
      </c>
      <c r="B245" s="4">
        <f>IFERROR(__xludf.DUMMYFUNCTION("SPLIT(A245,"","")"),1192.0)</f>
        <v>1192</v>
      </c>
      <c r="C245" s="4" t="str">
        <f>IFERROR(__xludf.DUMMYFUNCTION("""COMPUTED_VALUE"""),"মোঃ আকাশ আলী")</f>
        <v>মোঃ আকাশ আলী</v>
      </c>
      <c r="D245" s="4">
        <f>IFERROR(__xludf.DUMMYFUNCTION("""COMPUTED_VALUE"""),5.700555545111E12)</f>
        <v>5700555545111</v>
      </c>
      <c r="E245" s="4" t="str">
        <f>IFERROR(__xludf.DUMMYFUNCTION("""COMPUTED_VALUE"""),"মোঃ বিল্লাল হোসেন")</f>
        <v>মোঃ বিল্লাল হোসেন</v>
      </c>
      <c r="F245" s="4" t="str">
        <f>IFERROR(__xludf.DUMMYFUNCTION("""COMPUTED_VALUE"""),"মোছাঃ বিউটি খাতুন")</f>
        <v>মোছাঃ বিউটি খাতুন</v>
      </c>
      <c r="G245" s="4" t="str">
        <f>IFERROR(__xludf.DUMMYFUNCTION("""COMPUTED_VALUE"""),"১৫/১২/২০০১")</f>
        <v>১৫/১২/২০০১</v>
      </c>
      <c r="H245" s="4" t="str">
        <f>IFERROR(__xludf.DUMMYFUNCTION("""COMPUTED_VALUE"""),"কৃষক")</f>
        <v>কৃষক</v>
      </c>
      <c r="I245" s="4" t="str">
        <f>IFERROR(__xludf.DUMMYFUNCTION("""COMPUTED_VALUE"""),"""আড়পাড়া")</f>
        <v>"আড়পাড়া</v>
      </c>
      <c r="J245" s="4" t="str">
        <f>IFERROR(__xludf.DUMMYFUNCTION("""COMPUTED_VALUE""")," গাংনী")</f>
        <v> গাংনী</v>
      </c>
      <c r="K245" s="4" t="str">
        <f>IFERROR(__xludf.DUMMYFUNCTION("""COMPUTED_VALUE""")," মেহেরপুর""")</f>
        <v> মেহেরপুর"</v>
      </c>
    </row>
    <row r="246" ht="15.75" customHeight="1">
      <c r="A246" s="5" t="s">
        <v>3601</v>
      </c>
      <c r="B246" s="4">
        <f>IFERROR(__xludf.DUMMYFUNCTION("SPLIT(A246,"","")"),1193.0)</f>
        <v>1193</v>
      </c>
      <c r="C246" s="4" t="str">
        <f>IFERROR(__xludf.DUMMYFUNCTION("""COMPUTED_VALUE"""),"মোঃ হুমায়ূন আহম্মেদ")</f>
        <v>মোঃ হুমায়ূন আহম্মেদ</v>
      </c>
      <c r="D246" s="4">
        <f>IFERROR(__xludf.DUMMYFUNCTION("""COMPUTED_VALUE"""),5.700555545112E12)</f>
        <v>5700555545112</v>
      </c>
      <c r="E246" s="4" t="str">
        <f>IFERROR(__xludf.DUMMYFUNCTION("""COMPUTED_VALUE"""),"মোঃ আব্দুল হান্নান")</f>
        <v>মোঃ আব্দুল হান্নান</v>
      </c>
      <c r="F246" s="4" t="str">
        <f>IFERROR(__xludf.DUMMYFUNCTION("""COMPUTED_VALUE"""),"মোছাঃ কহিনূর খাতুন")</f>
        <v>মোছাঃ কহিনূর খাতুন</v>
      </c>
      <c r="G246" s="4" t="str">
        <f>IFERROR(__xludf.DUMMYFUNCTION("""COMPUTED_VALUE"""),"০৪/১২/২০০১")</f>
        <v>০৪/১২/২০০১</v>
      </c>
      <c r="H246" s="4" t="str">
        <f>IFERROR(__xludf.DUMMYFUNCTION("""COMPUTED_VALUE"""),"কৃষক")</f>
        <v>কৃষক</v>
      </c>
      <c r="I246" s="4" t="str">
        <f>IFERROR(__xludf.DUMMYFUNCTION("""COMPUTED_VALUE"""),"""আড়পাড়া")</f>
        <v>"আড়পাড়া</v>
      </c>
      <c r="J246" s="4" t="str">
        <f>IFERROR(__xludf.DUMMYFUNCTION("""COMPUTED_VALUE""")," গাংনী")</f>
        <v> গাংনী</v>
      </c>
      <c r="K246" s="4" t="str">
        <f>IFERROR(__xludf.DUMMYFUNCTION("""COMPUTED_VALUE""")," মেহেরপুর""")</f>
        <v> মেহেরপুর"</v>
      </c>
    </row>
    <row r="247" ht="15.75" customHeight="1">
      <c r="A247" s="5" t="s">
        <v>3602</v>
      </c>
      <c r="B247" s="4">
        <f>IFERROR(__xludf.DUMMYFUNCTION("SPLIT(A247,"","")"),1194.0)</f>
        <v>1194</v>
      </c>
      <c r="C247" s="4" t="str">
        <f>IFERROR(__xludf.DUMMYFUNCTION("""COMPUTED_VALUE"""),"মোঃ গোলাম রব্বিন")</f>
        <v>মোঃ গোলাম রব্বিন</v>
      </c>
      <c r="D247" s="4">
        <f>IFERROR(__xludf.DUMMYFUNCTION("""COMPUTED_VALUE"""),5.700555545113E12)</f>
        <v>5700555545113</v>
      </c>
      <c r="E247" s="4" t="str">
        <f>IFERROR(__xludf.DUMMYFUNCTION("""COMPUTED_VALUE"""),"মোঃ আঃ মজিদ")</f>
        <v>মোঃ আঃ মজিদ</v>
      </c>
      <c r="F247" s="4" t="str">
        <f>IFERROR(__xludf.DUMMYFUNCTION("""COMPUTED_VALUE"""),"মোছাঃ আরিবয়া")</f>
        <v>মোছাঃ আরিবয়া</v>
      </c>
      <c r="G247" s="4" t="str">
        <f>IFERROR(__xludf.DUMMYFUNCTION("""COMPUTED_VALUE"""),"০৫/০৬/২০০৪")</f>
        <v>০৫/০৬/২০০৪</v>
      </c>
      <c r="H247" s="4" t="str">
        <f>IFERROR(__xludf.DUMMYFUNCTION("""COMPUTED_VALUE"""),"কৃষক")</f>
        <v>কৃষক</v>
      </c>
      <c r="I247" s="4" t="str">
        <f>IFERROR(__xludf.DUMMYFUNCTION("""COMPUTED_VALUE"""),"""আড়পাড়া")</f>
        <v>"আড়পাড়া</v>
      </c>
      <c r="J247" s="4" t="str">
        <f>IFERROR(__xludf.DUMMYFUNCTION("""COMPUTED_VALUE""")," গাংনী")</f>
        <v> গাংনী</v>
      </c>
      <c r="K247" s="4" t="str">
        <f>IFERROR(__xludf.DUMMYFUNCTION("""COMPUTED_VALUE""")," মেহেরপুর""")</f>
        <v> মেহেরপুর"</v>
      </c>
    </row>
    <row r="248" ht="15.75" customHeight="1">
      <c r="A248" s="5" t="s">
        <v>3603</v>
      </c>
      <c r="B248" s="4">
        <f>IFERROR(__xludf.DUMMYFUNCTION("SPLIT(A248,"","")"),1195.0)</f>
        <v>1195</v>
      </c>
      <c r="C248" s="4" t="str">
        <f>IFERROR(__xludf.DUMMYFUNCTION("""COMPUTED_VALUE"""),"মোঃ আশিক")</f>
        <v>মোঃ আশিক</v>
      </c>
      <c r="D248" s="4">
        <f>IFERROR(__xludf.DUMMYFUNCTION("""COMPUTED_VALUE"""),5.700555545114E12)</f>
        <v>5700555545114</v>
      </c>
      <c r="E248" s="4" t="str">
        <f>IFERROR(__xludf.DUMMYFUNCTION("""COMPUTED_VALUE"""),"মোঃ ইমান আলী")</f>
        <v>মোঃ ইমান আলী</v>
      </c>
      <c r="F248" s="4" t="str">
        <f>IFERROR(__xludf.DUMMYFUNCTION("""COMPUTED_VALUE"""),"মোছাঃ আকেলা")</f>
        <v>মোছাঃ আকেলা</v>
      </c>
      <c r="G248" s="4" t="str">
        <f>IFERROR(__xludf.DUMMYFUNCTION("""COMPUTED_VALUE"""),"০৪/০৫/২০০৬")</f>
        <v>০৪/০৫/২০০৬</v>
      </c>
      <c r="H248" s="4" t="str">
        <f>IFERROR(__xludf.DUMMYFUNCTION("""COMPUTED_VALUE"""),"শ্রমিক")</f>
        <v>শ্রমিক</v>
      </c>
      <c r="I248" s="4" t="str">
        <f>IFERROR(__xludf.DUMMYFUNCTION("""COMPUTED_VALUE"""),"""আড়পাড়া")</f>
        <v>"আড়পাড়া</v>
      </c>
      <c r="J248" s="4" t="str">
        <f>IFERROR(__xludf.DUMMYFUNCTION("""COMPUTED_VALUE""")," গাংনী")</f>
        <v> গাংনী</v>
      </c>
      <c r="K248" s="4" t="str">
        <f>IFERROR(__xludf.DUMMYFUNCTION("""COMPUTED_VALUE""")," মেহেরপুর""")</f>
        <v> মেহেরপুর"</v>
      </c>
    </row>
    <row r="249" ht="15.75" customHeight="1">
      <c r="A249" s="5" t="s">
        <v>3604</v>
      </c>
      <c r="B249" s="4">
        <f>IFERROR(__xludf.DUMMYFUNCTION("SPLIT(A249,"","")"),1196.0)</f>
        <v>1196</v>
      </c>
      <c r="C249" s="4" t="str">
        <f>IFERROR(__xludf.DUMMYFUNCTION("""COMPUTED_VALUE"""),"মোঃ আকাশ আলী")</f>
        <v>মোঃ আকাশ আলী</v>
      </c>
      <c r="D249" s="4">
        <f>IFERROR(__xludf.DUMMYFUNCTION("""COMPUTED_VALUE"""),5.700555545116E12)</f>
        <v>5700555545116</v>
      </c>
      <c r="E249" s="4" t="str">
        <f>IFERROR(__xludf.DUMMYFUNCTION("""COMPUTED_VALUE"""),"মোঃ ওমর আলী")</f>
        <v>মোঃ ওমর আলী</v>
      </c>
      <c r="F249" s="4" t="str">
        <f>IFERROR(__xludf.DUMMYFUNCTION("""COMPUTED_VALUE"""),"মোছাঃ খুরশিদা খাতুন")</f>
        <v>মোছাঃ খুরশিদা খাতুন</v>
      </c>
      <c r="G249" s="4" t="str">
        <f>IFERROR(__xludf.DUMMYFUNCTION("""COMPUTED_VALUE"""),"১২/০৫/২০০৫")</f>
        <v>১২/০৫/২০০৫</v>
      </c>
      <c r="H249" s="4" t="str">
        <f>IFERROR(__xludf.DUMMYFUNCTION("""COMPUTED_VALUE"""),"ছাত্র/ছাত্রী")</f>
        <v>ছাত্র/ছাত্রী</v>
      </c>
      <c r="I249" s="4" t="str">
        <f>IFERROR(__xludf.DUMMYFUNCTION("""COMPUTED_VALUE"""),"""আড়পাড়া")</f>
        <v>"আড়পাড়া</v>
      </c>
      <c r="J249" s="4" t="str">
        <f>IFERROR(__xludf.DUMMYFUNCTION("""COMPUTED_VALUE""")," গাংনী")</f>
        <v> গাংনী</v>
      </c>
      <c r="K249" s="4" t="str">
        <f>IFERROR(__xludf.DUMMYFUNCTION("""COMPUTED_VALUE""")," মেহেরপুর""")</f>
        <v> মেহেরপুর"</v>
      </c>
    </row>
    <row r="250" ht="15.75" customHeight="1">
      <c r="A250" s="5" t="s">
        <v>3605</v>
      </c>
      <c r="B250" s="4">
        <f>IFERROR(__xludf.DUMMYFUNCTION("SPLIT(A250,"","")"),1197.0)</f>
        <v>1197</v>
      </c>
      <c r="C250" s="4" t="str">
        <f>IFERROR(__xludf.DUMMYFUNCTION("""COMPUTED_VALUE"""),"মোঃ নয়ন আলী")</f>
        <v>মোঃ নয়ন আলী</v>
      </c>
      <c r="D250" s="4">
        <f>IFERROR(__xludf.DUMMYFUNCTION("""COMPUTED_VALUE"""),5.700555545117E12)</f>
        <v>5700555545117</v>
      </c>
      <c r="E250" s="4" t="str">
        <f>IFERROR(__xludf.DUMMYFUNCTION("""COMPUTED_VALUE"""),"মোঃ জামাল উদ্দীন")</f>
        <v>মোঃ জামাল উদ্দীন</v>
      </c>
      <c r="F250" s="4" t="str">
        <f>IFERROR(__xludf.DUMMYFUNCTION("""COMPUTED_VALUE"""),"মোছাঃ পারুলা খাতুন")</f>
        <v>মোছাঃ পারুলা খাতুন</v>
      </c>
      <c r="G250" s="4" t="str">
        <f>IFERROR(__xludf.DUMMYFUNCTION("""COMPUTED_VALUE"""),"০৪/০৫/২০০৩")</f>
        <v>০৪/০৫/২০০৩</v>
      </c>
      <c r="H250" s="4" t="str">
        <f>IFERROR(__xludf.DUMMYFUNCTION("""COMPUTED_VALUE"""),"কৃষক")</f>
        <v>কৃষক</v>
      </c>
      <c r="I250" s="4" t="str">
        <f>IFERROR(__xludf.DUMMYFUNCTION("""COMPUTED_VALUE"""),"""আড়পাড়া")</f>
        <v>"আড়পাড়া</v>
      </c>
      <c r="J250" s="4" t="str">
        <f>IFERROR(__xludf.DUMMYFUNCTION("""COMPUTED_VALUE""")," গাংনী")</f>
        <v> গাংনী</v>
      </c>
      <c r="K250" s="4" t="str">
        <f>IFERROR(__xludf.DUMMYFUNCTION("""COMPUTED_VALUE""")," মেহেরপুর""")</f>
        <v> মেহেরপুর"</v>
      </c>
    </row>
    <row r="251" ht="15.75" customHeight="1">
      <c r="A251" s="5" t="s">
        <v>3606</v>
      </c>
      <c r="B251" s="4">
        <f>IFERROR(__xludf.DUMMYFUNCTION("SPLIT(A251,"","")"),1198.0)</f>
        <v>1198</v>
      </c>
      <c r="C251" s="4" t="str">
        <f>IFERROR(__xludf.DUMMYFUNCTION("""COMPUTED_VALUE"""),"মোঃ তরিকুল ইসলাম")</f>
        <v>মোঃ তরিকুল ইসলাম</v>
      </c>
      <c r="D251" s="4">
        <f>IFERROR(__xludf.DUMMYFUNCTION("""COMPUTED_VALUE"""),5.700555545118E12)</f>
        <v>5700555545118</v>
      </c>
      <c r="E251" s="4" t="str">
        <f>IFERROR(__xludf.DUMMYFUNCTION("""COMPUTED_VALUE"""),"মোঃ শহিদুল ইসলাম")</f>
        <v>মোঃ শহিদুল ইসলাম</v>
      </c>
      <c r="F251" s="4" t="str">
        <f>IFERROR(__xludf.DUMMYFUNCTION("""COMPUTED_VALUE"""),"মোছাঃ পিরজিরা খাতুন")</f>
        <v>মোছাঃ পিরজিরা খাতুন</v>
      </c>
      <c r="G251" s="4" t="str">
        <f>IFERROR(__xludf.DUMMYFUNCTION("""COMPUTED_VALUE"""),"০১/০৭/২০০৪")</f>
        <v>০১/০৭/২০০৪</v>
      </c>
      <c r="H251" s="4" t="str">
        <f>IFERROR(__xludf.DUMMYFUNCTION("""COMPUTED_VALUE"""),"গৃহিনী")</f>
        <v>গৃহিনী</v>
      </c>
      <c r="I251" s="4" t="str">
        <f>IFERROR(__xludf.DUMMYFUNCTION("""COMPUTED_VALUE"""),"""আড়পাড়া")</f>
        <v>"আড়পাড়া</v>
      </c>
      <c r="J251" s="4" t="str">
        <f>IFERROR(__xludf.DUMMYFUNCTION("""COMPUTED_VALUE""")," গাংনী")</f>
        <v> গাংনী</v>
      </c>
      <c r="K251" s="4" t="str">
        <f>IFERROR(__xludf.DUMMYFUNCTION("""COMPUTED_VALUE""")," মেহেরপুর""")</f>
        <v> মেহেরপুর"</v>
      </c>
    </row>
    <row r="252" ht="15.75" customHeight="1">
      <c r="A252" s="5" t="s">
        <v>3607</v>
      </c>
      <c r="B252" s="4">
        <f>IFERROR(__xludf.DUMMYFUNCTION("SPLIT(A252,"","")"),1199.0)</f>
        <v>1199</v>
      </c>
      <c r="C252" s="4" t="str">
        <f>IFERROR(__xludf.DUMMYFUNCTION("""COMPUTED_VALUE"""),"মোঃ মহাবুল ইসলাম")</f>
        <v>মোঃ মহাবুল ইসলাম</v>
      </c>
      <c r="D252" s="4">
        <f>IFERROR(__xludf.DUMMYFUNCTION("""COMPUTED_VALUE"""),5.700555545119E12)</f>
        <v>5700555545119</v>
      </c>
      <c r="E252" s="4" t="str">
        <f>IFERROR(__xludf.DUMMYFUNCTION("""COMPUTED_VALUE"""),"মোঃ শরিফুল ইসলাম")</f>
        <v>মোঃ শরিফুল ইসলাম</v>
      </c>
      <c r="F252" s="4" t="str">
        <f>IFERROR(__xludf.DUMMYFUNCTION("""COMPUTED_VALUE"""),"মোছাঃ গুলফুন নেছা")</f>
        <v>মোছাঃ গুলফুন নেছা</v>
      </c>
      <c r="G252" s="4" t="str">
        <f>IFERROR(__xludf.DUMMYFUNCTION("""COMPUTED_VALUE"""),"০৩/০১/২০০৬")</f>
        <v>০৩/০১/২০০৬</v>
      </c>
      <c r="H252" s="4" t="str">
        <f>IFERROR(__xludf.DUMMYFUNCTION("""COMPUTED_VALUE"""),"কৃষক")</f>
        <v>কৃষক</v>
      </c>
      <c r="I252" s="4" t="str">
        <f>IFERROR(__xludf.DUMMYFUNCTION("""COMPUTED_VALUE"""),"""আড়পাড়া")</f>
        <v>"আড়পাড়া</v>
      </c>
      <c r="J252" s="4" t="str">
        <f>IFERROR(__xludf.DUMMYFUNCTION("""COMPUTED_VALUE""")," গাংনী")</f>
        <v> গাংনী</v>
      </c>
      <c r="K252" s="4" t="str">
        <f>IFERROR(__xludf.DUMMYFUNCTION("""COMPUTED_VALUE""")," মেহেরপুর""")</f>
        <v> মেহেরপুর"</v>
      </c>
    </row>
    <row r="253" ht="15.75" customHeight="1">
      <c r="A253" s="5" t="s">
        <v>3608</v>
      </c>
      <c r="B253" s="4">
        <f>IFERROR(__xludf.DUMMYFUNCTION("SPLIT(A253,"","")"),1200.0)</f>
        <v>1200</v>
      </c>
      <c r="C253" s="4" t="str">
        <f>IFERROR(__xludf.DUMMYFUNCTION("""COMPUTED_VALUE"""),"মোঃ তারিকুল")</f>
        <v>মোঃ তারিকুল</v>
      </c>
      <c r="D253" s="4">
        <f>IFERROR(__xludf.DUMMYFUNCTION("""COMPUTED_VALUE"""),5.700555545124E12)</f>
        <v>5700555545124</v>
      </c>
      <c r="E253" s="4" t="str">
        <f>IFERROR(__xludf.DUMMYFUNCTION("""COMPUTED_VALUE"""),"মোঃ মজনু আলী")</f>
        <v>মোঃ মজনু আলী</v>
      </c>
      <c r="F253" s="4" t="str">
        <f>IFERROR(__xludf.DUMMYFUNCTION("""COMPUTED_VALUE"""),"মোছাঃ নাছিমা খাতুন")</f>
        <v>মোছাঃ নাছিমা খাতুন</v>
      </c>
      <c r="G253" s="4" t="str">
        <f>IFERROR(__xludf.DUMMYFUNCTION("""COMPUTED_VALUE"""),"০৫/০৮/২০০৪")</f>
        <v>০৫/০৮/২০০৪</v>
      </c>
      <c r="H253" s="4" t="str">
        <f>IFERROR(__xludf.DUMMYFUNCTION("""COMPUTED_VALUE"""),"শ্রমিক")</f>
        <v>শ্রমিক</v>
      </c>
      <c r="I253" s="4" t="str">
        <f>IFERROR(__xludf.DUMMYFUNCTION("""COMPUTED_VALUE"""),"""আড়পাড়া")</f>
        <v>"আড়পাড়া</v>
      </c>
      <c r="J253" s="4" t="str">
        <f>IFERROR(__xludf.DUMMYFUNCTION("""COMPUTED_VALUE""")," গাংনী")</f>
        <v> গাংনী</v>
      </c>
      <c r="K253" s="4" t="str">
        <f>IFERROR(__xludf.DUMMYFUNCTION("""COMPUTED_VALUE""")," মেহেরপুর""")</f>
        <v> মেহেরপুর"</v>
      </c>
    </row>
    <row r="254" ht="15.75" customHeight="1">
      <c r="A254" s="5" t="s">
        <v>3609</v>
      </c>
      <c r="B254" s="4">
        <f>IFERROR(__xludf.DUMMYFUNCTION("SPLIT(A254,"","")"),1201.0)</f>
        <v>1201</v>
      </c>
      <c r="C254" s="4" t="str">
        <f>IFERROR(__xludf.DUMMYFUNCTION("""COMPUTED_VALUE"""),"মোঃ জাহাঙ্গীর আলী")</f>
        <v>মোঃ জাহাঙ্গীর আলী</v>
      </c>
      <c r="D254" s="4">
        <f>IFERROR(__xludf.DUMMYFUNCTION("""COMPUTED_VALUE"""),5.700555545126E12)</f>
        <v>5700555545126</v>
      </c>
      <c r="E254" s="4" t="str">
        <f>IFERROR(__xludf.DUMMYFUNCTION("""COMPUTED_VALUE"""),"মোঃ ছানুয়ার")</f>
        <v>মোঃ ছানুয়ার</v>
      </c>
      <c r="F254" s="4" t="str">
        <f>IFERROR(__xludf.DUMMYFUNCTION("""COMPUTED_VALUE"""),"মোছাঃ বুলবুলি খাতুন")</f>
        <v>মোছাঃ বুলবুলি খাতুন</v>
      </c>
      <c r="G254" s="4" t="str">
        <f>IFERROR(__xludf.DUMMYFUNCTION("""COMPUTED_VALUE"""),"২০/০৯/১৯৯৮")</f>
        <v>২০/০৯/১৯৯৮</v>
      </c>
      <c r="H254" s="4" t="str">
        <f>IFERROR(__xludf.DUMMYFUNCTION("""COMPUTED_VALUE"""),"শ্রমিক")</f>
        <v>শ্রমিক</v>
      </c>
      <c r="I254" s="4" t="str">
        <f>IFERROR(__xludf.DUMMYFUNCTION("""COMPUTED_VALUE"""),"""আড়পাড়া")</f>
        <v>"আড়পাড়া</v>
      </c>
      <c r="J254" s="4" t="str">
        <f>IFERROR(__xludf.DUMMYFUNCTION("""COMPUTED_VALUE""")," গাংনী")</f>
        <v> গাংনী</v>
      </c>
      <c r="K254" s="4" t="str">
        <f>IFERROR(__xludf.DUMMYFUNCTION("""COMPUTED_VALUE""")," মেহেরপুর""")</f>
        <v> মেহেরপুর"</v>
      </c>
    </row>
    <row r="255" ht="15.75" customHeight="1">
      <c r="A255" s="5" t="s">
        <v>3610</v>
      </c>
      <c r="B255" s="4">
        <f>IFERROR(__xludf.DUMMYFUNCTION("SPLIT(A255,"","")"),1202.0)</f>
        <v>1202</v>
      </c>
      <c r="C255" s="4" t="str">
        <f>IFERROR(__xludf.DUMMYFUNCTION("""COMPUTED_VALUE"""),"মোঃ আসিফ আলী")</f>
        <v>মোঃ আসিফ আলী</v>
      </c>
      <c r="D255" s="4">
        <f>IFERROR(__xludf.DUMMYFUNCTION("""COMPUTED_VALUE"""),5.70055554513E12)</f>
        <v>5700555545130</v>
      </c>
      <c r="E255" s="4" t="str">
        <f>IFERROR(__xludf.DUMMYFUNCTION("""COMPUTED_VALUE"""),"মোঃ ছাবুল আলী")</f>
        <v>মোঃ ছাবুল আলী</v>
      </c>
      <c r="F255" s="4" t="str">
        <f>IFERROR(__xludf.DUMMYFUNCTION("""COMPUTED_VALUE"""),"মোছাঃ আদরি খাতুন")</f>
        <v>মোছাঃ আদরি খাতুন</v>
      </c>
      <c r="G255" s="4" t="str">
        <f>IFERROR(__xludf.DUMMYFUNCTION("""COMPUTED_VALUE"""),"০৫/০৯/২০০৬")</f>
        <v>০৫/০৯/২০০৬</v>
      </c>
      <c r="H255" s="4" t="str">
        <f>IFERROR(__xludf.DUMMYFUNCTION("""COMPUTED_VALUE"""),"কৃষক")</f>
        <v>কৃষক</v>
      </c>
      <c r="I255" s="4" t="str">
        <f>IFERROR(__xludf.DUMMYFUNCTION("""COMPUTED_VALUE"""),"""আড়পাড়া")</f>
        <v>"আড়পাড়া</v>
      </c>
      <c r="J255" s="4" t="str">
        <f>IFERROR(__xludf.DUMMYFUNCTION("""COMPUTED_VALUE""")," ধানখোলা")</f>
        <v> ধানখোলা</v>
      </c>
      <c r="K255" s="4" t="str">
        <f>IFERROR(__xludf.DUMMYFUNCTION("""COMPUTED_VALUE""")," গাংনী")</f>
        <v> গাংনী</v>
      </c>
      <c r="L255" s="4" t="str">
        <f>IFERROR(__xludf.DUMMYFUNCTION("""COMPUTED_VALUE""")," মেহেরপুর""")</f>
        <v> মেহেরপুর"</v>
      </c>
    </row>
    <row r="256" ht="15.75" customHeight="1">
      <c r="A256" s="5" t="s">
        <v>3611</v>
      </c>
      <c r="B256" s="4">
        <f>IFERROR(__xludf.DUMMYFUNCTION("SPLIT(A256,"","")"),1203.0)</f>
        <v>1203</v>
      </c>
      <c r="C256" s="4" t="str">
        <f>IFERROR(__xludf.DUMMYFUNCTION("""COMPUTED_VALUE"""),"রকিবুল ইসলাম")</f>
        <v>রকিবুল ইসলাম</v>
      </c>
      <c r="D256" s="4">
        <f>IFERROR(__xludf.DUMMYFUNCTION("""COMPUTED_VALUE"""),5.700555545131E12)</f>
        <v>5700555545131</v>
      </c>
      <c r="E256" s="4" t="str">
        <f>IFERROR(__xludf.DUMMYFUNCTION("""COMPUTED_VALUE"""),"মোঃ হের আলী")</f>
        <v>মোঃ হের আলী</v>
      </c>
      <c r="F256" s="4" t="str">
        <f>IFERROR(__xludf.DUMMYFUNCTION("""COMPUTED_VALUE"""),"মোছাঃ খদেজা খাতুন")</f>
        <v>মোছাঃ খদেজা খাতুন</v>
      </c>
      <c r="G256" s="4" t="str">
        <f>IFERROR(__xludf.DUMMYFUNCTION("""COMPUTED_VALUE"""),"১০/০৫/১৯৮৭")</f>
        <v>১০/০৫/১৯৮৭</v>
      </c>
      <c r="H256" s="4" t="str">
        <f>IFERROR(__xludf.DUMMYFUNCTION("""COMPUTED_VALUE"""),"কৃষক")</f>
        <v>কৃষক</v>
      </c>
      <c r="I256" s="4" t="str">
        <f>IFERROR(__xludf.DUMMYFUNCTION("""COMPUTED_VALUE"""),"""-")</f>
        <v>"-</v>
      </c>
      <c r="J256" s="4" t="str">
        <f>IFERROR(__xludf.DUMMYFUNCTION("""COMPUTED_VALUE""")," আড়পাড়া")</f>
        <v> আড়পাড়া</v>
      </c>
      <c r="K256" s="4" t="str">
        <f>IFERROR(__xludf.DUMMYFUNCTION("""COMPUTED_VALUE""")," গাংনী")</f>
        <v> গাংনী</v>
      </c>
      <c r="L256" s="4" t="str">
        <f>IFERROR(__xludf.DUMMYFUNCTION("""COMPUTED_VALUE""")," মেহেরপুর""")</f>
        <v> মেহেরপুর"</v>
      </c>
    </row>
    <row r="257" ht="15.75" customHeight="1">
      <c r="A257" s="5" t="s">
        <v>3612</v>
      </c>
      <c r="B257" s="4">
        <f>IFERROR(__xludf.DUMMYFUNCTION("SPLIT(A257,"","")"),1204.0)</f>
        <v>1204</v>
      </c>
      <c r="C257" s="4" t="str">
        <f>IFERROR(__xludf.DUMMYFUNCTION("""COMPUTED_VALUE"""),"মোঃ মকছেদুল ইসলাম")</f>
        <v>মোঃ মকছেদুল ইসলাম</v>
      </c>
      <c r="D257" s="4">
        <f>IFERROR(__xludf.DUMMYFUNCTION("""COMPUTED_VALUE"""),5.700555545135E12)</f>
        <v>5700555545135</v>
      </c>
      <c r="E257" s="4" t="str">
        <f>IFERROR(__xludf.DUMMYFUNCTION("""COMPUTED_VALUE"""),"মোঃ ফয়জাল")</f>
        <v>মোঃ ফয়জাল</v>
      </c>
      <c r="F257" s="4" t="str">
        <f>IFERROR(__xludf.DUMMYFUNCTION("""COMPUTED_VALUE"""),"মোছাঃ নাছিমা")</f>
        <v>মোছাঃ নাছিমা</v>
      </c>
      <c r="G257" s="4" t="str">
        <f>IFERROR(__xludf.DUMMYFUNCTION("""COMPUTED_VALUE"""),"০২/০৬/১৯৯৭")</f>
        <v>০২/০৬/১৯৯৭</v>
      </c>
      <c r="H257" s="4" t="str">
        <f>IFERROR(__xludf.DUMMYFUNCTION("""COMPUTED_VALUE"""),"শ্রমিক")</f>
        <v>শ্রমিক</v>
      </c>
      <c r="I257" s="4" t="str">
        <f>IFERROR(__xludf.DUMMYFUNCTION("""COMPUTED_VALUE"""),"""৬৭৬")</f>
        <v>"৬৭৬</v>
      </c>
      <c r="J257" s="4" t="str">
        <f>IFERROR(__xludf.DUMMYFUNCTION("""COMPUTED_VALUE""")," আড়পাড়া")</f>
        <v> আড়পাড়া</v>
      </c>
      <c r="K257" s="4" t="str">
        <f>IFERROR(__xludf.DUMMYFUNCTION("""COMPUTED_VALUE""")," গাংনী")</f>
        <v> গাংনী</v>
      </c>
      <c r="L257" s="4" t="str">
        <f>IFERROR(__xludf.DUMMYFUNCTION("""COMPUTED_VALUE""")," মেহেরপুর""")</f>
        <v> মেহেরপুর"</v>
      </c>
    </row>
    <row r="258" ht="15.75" customHeight="1">
      <c r="A258" s="5" t="s">
        <v>3613</v>
      </c>
      <c r="B258" s="4">
        <f>IFERROR(__xludf.DUMMYFUNCTION("SPLIT(A258,"","")"),1205.0)</f>
        <v>1205</v>
      </c>
      <c r="C258" s="4" t="str">
        <f>IFERROR(__xludf.DUMMYFUNCTION("""COMPUTED_VALUE"""),"মোঃ আল ইমরান")</f>
        <v>মোঃ আল ইমরান</v>
      </c>
      <c r="D258" s="4">
        <f>IFERROR(__xludf.DUMMYFUNCTION("""COMPUTED_VALUE"""),5.700555545136E12)</f>
        <v>5700555545136</v>
      </c>
      <c r="E258" s="4" t="str">
        <f>IFERROR(__xludf.DUMMYFUNCTION("""COMPUTED_VALUE"""),"মোঃ আনারুল ইসলাম")</f>
        <v>মোঃ আনারুল ইসলাম</v>
      </c>
      <c r="F258" s="4" t="str">
        <f>IFERROR(__xludf.DUMMYFUNCTION("""COMPUTED_VALUE"""),"মোছাঃ জেসমিন খাতুন")</f>
        <v>মোছাঃ জেসমিন খাতুন</v>
      </c>
      <c r="G258" s="4" t="str">
        <f>IFERROR(__xludf.DUMMYFUNCTION("""COMPUTED_VALUE"""),"০১/০৯/২০০১")</f>
        <v>০১/০৯/২০০১</v>
      </c>
      <c r="H258" s="4" t="str">
        <f>IFERROR(__xludf.DUMMYFUNCTION("""COMPUTED_VALUE"""),"শ্রমিক")</f>
        <v>শ্রমিক</v>
      </c>
      <c r="I258" s="4" t="str">
        <f>IFERROR(__xludf.DUMMYFUNCTION("""COMPUTED_VALUE"""),"""আড়পাড়া")</f>
        <v>"আড়পাড়া</v>
      </c>
      <c r="J258" s="4" t="str">
        <f>IFERROR(__xludf.DUMMYFUNCTION("""COMPUTED_VALUE""")," গাংনী")</f>
        <v> গাংনী</v>
      </c>
      <c r="K258" s="4" t="str">
        <f>IFERROR(__xludf.DUMMYFUNCTION("""COMPUTED_VALUE""")," মেহেরপুর""")</f>
        <v> মেহেরপুর"</v>
      </c>
    </row>
    <row r="259" ht="15.75" customHeight="1">
      <c r="A259" s="5" t="s">
        <v>3614</v>
      </c>
      <c r="B259" s="4">
        <f>IFERROR(__xludf.DUMMYFUNCTION("SPLIT(A259,"","")"),1206.0)</f>
        <v>1206</v>
      </c>
      <c r="C259" s="4" t="str">
        <f>IFERROR(__xludf.DUMMYFUNCTION("""COMPUTED_VALUE"""),"মোঃ সাকিব আল হাসান অন্তর")</f>
        <v>মোঃ সাকিব আল হাসান অন্তর</v>
      </c>
      <c r="D259" s="4">
        <f>IFERROR(__xludf.DUMMYFUNCTION("""COMPUTED_VALUE"""),5.70055000738E11)</f>
        <v>570055000738</v>
      </c>
      <c r="E259" s="4" t="str">
        <f>IFERROR(__xludf.DUMMYFUNCTION("""COMPUTED_VALUE"""),"মোঃ লোকমান হোসেন")</f>
        <v>মোঃ লোকমান হোসেন</v>
      </c>
      <c r="F259" s="4" t="str">
        <f>IFERROR(__xludf.DUMMYFUNCTION("""COMPUTED_VALUE"""),"মোছাঃ আফরোজা খাতুন")</f>
        <v>মোছাঃ আফরোজা খাতুন</v>
      </c>
      <c r="G259" s="4" t="str">
        <f>IFERROR(__xludf.DUMMYFUNCTION("""COMPUTED_VALUE"""),"২৪/১০/২০০৭")</f>
        <v>২৪/১০/২০০৭</v>
      </c>
      <c r="H259" s="4" t="str">
        <f>IFERROR(__xludf.DUMMYFUNCTION("""COMPUTED_VALUE"""),"ছাত্র/ছাত্রী")</f>
        <v>ছাত্র/ছাত্রী</v>
      </c>
      <c r="I259" s="4" t="str">
        <f>IFERROR(__xludf.DUMMYFUNCTION("""COMPUTED_VALUE"""),"""আড়পাড়া")</f>
        <v>"আড়পাড়া</v>
      </c>
      <c r="J259" s="4" t="str">
        <f>IFERROR(__xludf.DUMMYFUNCTION("""COMPUTED_VALUE""")," গাংনী")</f>
        <v> গাংনী</v>
      </c>
      <c r="K259" s="4" t="str">
        <f>IFERROR(__xludf.DUMMYFUNCTION("""COMPUTED_VALUE""")," মেহেরপুর""")</f>
        <v> মেহেরপুর"</v>
      </c>
    </row>
    <row r="260" ht="15.75" customHeight="1">
      <c r="A260" s="5" t="s">
        <v>3615</v>
      </c>
      <c r="B260" s="4">
        <f>IFERROR(__xludf.DUMMYFUNCTION("SPLIT(A260,"","")"),1207.0)</f>
        <v>1207</v>
      </c>
      <c r="C260" s="4" t="str">
        <f>IFERROR(__xludf.DUMMYFUNCTION("""COMPUTED_VALUE"""),"মোঃ আবির হোসেন")</f>
        <v>মোঃ আবির হোসেন</v>
      </c>
      <c r="D260" s="4">
        <f>IFERROR(__xludf.DUMMYFUNCTION("""COMPUTED_VALUE"""),5.7005500074E11)</f>
        <v>570055000740</v>
      </c>
      <c r="E260" s="4" t="str">
        <f>IFERROR(__xludf.DUMMYFUNCTION("""COMPUTED_VALUE"""),"মোঃ মোক্তার হোসেন")</f>
        <v>মোঃ মোক্তার হোসেন</v>
      </c>
      <c r="F260" s="4" t="str">
        <f>IFERROR(__xludf.DUMMYFUNCTION("""COMPUTED_VALUE"""),"মোছাঃ জোসনা খাতুন")</f>
        <v>মোছাঃ জোসনা খাতুন</v>
      </c>
      <c r="G260" s="4" t="str">
        <f>IFERROR(__xludf.DUMMYFUNCTION("""COMPUTED_VALUE"""),"০৮/০৫/২০০৭")</f>
        <v>০৮/০৫/২০০৭</v>
      </c>
      <c r="H260" s="4" t="str">
        <f>IFERROR(__xludf.DUMMYFUNCTION("""COMPUTED_VALUE"""),"ছাত্র/ছাত্রী")</f>
        <v>ছাত্র/ছাত্রী</v>
      </c>
      <c r="I260" s="4" t="str">
        <f>IFERROR(__xludf.DUMMYFUNCTION("""COMPUTED_VALUE"""),"""আড়পাড়া")</f>
        <v>"আড়পাড়া</v>
      </c>
      <c r="J260" s="4" t="str">
        <f>IFERROR(__xludf.DUMMYFUNCTION("""COMPUTED_VALUE""")," গাংনী")</f>
        <v> গাংনী</v>
      </c>
      <c r="K260" s="4" t="str">
        <f>IFERROR(__xludf.DUMMYFUNCTION("""COMPUTED_VALUE""")," মেহেরপুর""")</f>
        <v> মেহেরপুর"</v>
      </c>
    </row>
    <row r="261" ht="15.75" customHeight="1">
      <c r="A261" s="5" t="s">
        <v>3616</v>
      </c>
      <c r="B261" s="4">
        <f>IFERROR(__xludf.DUMMYFUNCTION("SPLIT(A261,"","")"),1208.0)</f>
        <v>1208</v>
      </c>
      <c r="C261" s="4" t="str">
        <f>IFERROR(__xludf.DUMMYFUNCTION("""COMPUTED_VALUE"""),"মোঃ নাইম ইসলাম")</f>
        <v>মোঃ নাইম ইসলাম</v>
      </c>
      <c r="D261" s="4">
        <f>IFERROR(__xludf.DUMMYFUNCTION("""COMPUTED_VALUE"""),5.70055000742E11)</f>
        <v>570055000742</v>
      </c>
      <c r="E261" s="4" t="str">
        <f>IFERROR(__xludf.DUMMYFUNCTION("""COMPUTED_VALUE"""),"মোঃ দুলাল হোসেন")</f>
        <v>মোঃ দুলাল হোসেন</v>
      </c>
      <c r="F261" s="4" t="str">
        <f>IFERROR(__xludf.DUMMYFUNCTION("""COMPUTED_VALUE"""),"মোছাঃ মমতাজ খাতুন")</f>
        <v>মোছাঃ মমতাজ খাতুন</v>
      </c>
      <c r="G261" s="4" t="str">
        <f>IFERROR(__xludf.DUMMYFUNCTION("""COMPUTED_VALUE"""),"০২/০৩/২০০৭")</f>
        <v>০২/০৩/২০০৭</v>
      </c>
      <c r="H261" s="4" t="str">
        <f>IFERROR(__xludf.DUMMYFUNCTION("""COMPUTED_VALUE"""),"ছাত্র/ছাত্রী")</f>
        <v>ছাত্র/ছাত্রী</v>
      </c>
      <c r="I261" s="4" t="str">
        <f>IFERROR(__xludf.DUMMYFUNCTION("""COMPUTED_VALUE"""),"""আড়পাড়া")</f>
        <v>"আড়পাড়া</v>
      </c>
      <c r="J261" s="4" t="str">
        <f>IFERROR(__xludf.DUMMYFUNCTION("""COMPUTED_VALUE""")," গাংনী")</f>
        <v> গাংনী</v>
      </c>
      <c r="K261" s="4" t="str">
        <f>IFERROR(__xludf.DUMMYFUNCTION("""COMPUTED_VALUE""")," মেহেরপুর""")</f>
        <v> মেহেরপুর"</v>
      </c>
    </row>
    <row r="262" ht="15.75" customHeight="1">
      <c r="A262" s="5" t="s">
        <v>3617</v>
      </c>
      <c r="B262" s="4">
        <f>IFERROR(__xludf.DUMMYFUNCTION("SPLIT(A262,"","")"),1209.0)</f>
        <v>1209</v>
      </c>
      <c r="C262" s="4" t="str">
        <f>IFERROR(__xludf.DUMMYFUNCTION("""COMPUTED_VALUE"""),"মোঃ শরিফুল ইসলাম")</f>
        <v>মোঃ শরিফুল ইসলাম</v>
      </c>
      <c r="D262" s="4">
        <f>IFERROR(__xludf.DUMMYFUNCTION("""COMPUTED_VALUE"""),5.70055000743E11)</f>
        <v>570055000743</v>
      </c>
      <c r="E262" s="4" t="str">
        <f>IFERROR(__xludf.DUMMYFUNCTION("""COMPUTED_VALUE"""),"মোঃ মজনু আলী")</f>
        <v>মোঃ মজনু আলী</v>
      </c>
      <c r="F262" s="4" t="str">
        <f>IFERROR(__xludf.DUMMYFUNCTION("""COMPUTED_VALUE"""),"মোছাঃ নাছিমা খাতুন")</f>
        <v>মোছাঃ নাছিমা খাতুন</v>
      </c>
      <c r="G262" s="4" t="str">
        <f>IFERROR(__xludf.DUMMYFUNCTION("""COMPUTED_VALUE"""),"০৫/০২/২০০৭")</f>
        <v>০৫/০২/২০০৭</v>
      </c>
      <c r="H262" s="4" t="str">
        <f>IFERROR(__xludf.DUMMYFUNCTION("""COMPUTED_VALUE"""),"শ্রমিক")</f>
        <v>শ্রমিক</v>
      </c>
      <c r="I262" s="4" t="str">
        <f>IFERROR(__xludf.DUMMYFUNCTION("""COMPUTED_VALUE"""),"""আড়পাড়া")</f>
        <v>"আড়পাড়া</v>
      </c>
      <c r="J262" s="4" t="str">
        <f>IFERROR(__xludf.DUMMYFUNCTION("""COMPUTED_VALUE""")," গাংনী")</f>
        <v> গাংনী</v>
      </c>
      <c r="K262" s="4" t="str">
        <f>IFERROR(__xludf.DUMMYFUNCTION("""COMPUTED_VALUE""")," মেহেরপুর""")</f>
        <v> মেহেরপুর"</v>
      </c>
    </row>
    <row r="263" ht="15.75" customHeight="1">
      <c r="A263" s="5" t="s">
        <v>3618</v>
      </c>
      <c r="B263" s="4">
        <f>IFERROR(__xludf.DUMMYFUNCTION("SPLIT(A263,"","")"),1210.0)</f>
        <v>1210</v>
      </c>
      <c r="C263" s="4" t="str">
        <f>IFERROR(__xludf.DUMMYFUNCTION("""COMPUTED_VALUE"""),"তাওসিফ হোসেন তানহা")</f>
        <v>তাওসিফ হোসেন তানহা</v>
      </c>
      <c r="D263" s="4">
        <f>IFERROR(__xludf.DUMMYFUNCTION("""COMPUTED_VALUE"""),5.70055000744E11)</f>
        <v>570055000744</v>
      </c>
      <c r="E263" s="4" t="str">
        <f>IFERROR(__xludf.DUMMYFUNCTION("""COMPUTED_VALUE"""),"মুহাঃ খালিদ হোসেন")</f>
        <v>মুহাঃ খালিদ হোসেন</v>
      </c>
      <c r="F263" s="4" t="str">
        <f>IFERROR(__xludf.DUMMYFUNCTION("""COMPUTED_VALUE"""),"মোছাঃ ফারহানা আফরোজ")</f>
        <v>মোছাঃ ফারহানা আফরোজ</v>
      </c>
      <c r="G263" s="4" t="str">
        <f>IFERROR(__xludf.DUMMYFUNCTION("""COMPUTED_VALUE"""),"০২/০১/২০০৭")</f>
        <v>০২/০১/২০০৭</v>
      </c>
      <c r="H263" s="4" t="str">
        <f>IFERROR(__xludf.DUMMYFUNCTION("""COMPUTED_VALUE"""),"ছাত্র/ছাত্রী")</f>
        <v>ছাত্র/ছাত্রী</v>
      </c>
      <c r="I263" s="4" t="str">
        <f>IFERROR(__xludf.DUMMYFUNCTION("""COMPUTED_VALUE"""),"""মাঝের পাড়া")</f>
        <v>"মাঝের পাড়া</v>
      </c>
      <c r="J263" s="4" t="str">
        <f>IFERROR(__xludf.DUMMYFUNCTION("""COMPUTED_VALUE""")," আড়পাড়া")</f>
        <v> আড়পাড়া</v>
      </c>
      <c r="K263" s="4" t="str">
        <f>IFERROR(__xludf.DUMMYFUNCTION("""COMPUTED_VALUE""")," গাংনী")</f>
        <v> গাংনী</v>
      </c>
      <c r="L263" s="4" t="str">
        <f>IFERROR(__xludf.DUMMYFUNCTION("""COMPUTED_VALUE""")," মেহেরপুর""")</f>
        <v> মেহেরপুর"</v>
      </c>
    </row>
    <row r="264" ht="15.75" customHeight="1">
      <c r="A264" s="5" t="s">
        <v>3619</v>
      </c>
      <c r="B264" s="4">
        <f>IFERROR(__xludf.DUMMYFUNCTION("SPLIT(A264,"","")"),1211.0)</f>
        <v>1211</v>
      </c>
      <c r="C264" s="4" t="str">
        <f>IFERROR(__xludf.DUMMYFUNCTION("""COMPUTED_VALUE"""),"মোঃ সিহাব আলি")</f>
        <v>মোঃ সিহাব আলি</v>
      </c>
      <c r="D264" s="4">
        <f>IFERROR(__xludf.DUMMYFUNCTION("""COMPUTED_VALUE"""),5.70055000746E11)</f>
        <v>570055000746</v>
      </c>
      <c r="E264" s="4" t="str">
        <f>IFERROR(__xludf.DUMMYFUNCTION("""COMPUTED_VALUE"""),"মোঃ মিনারুল ইসলাম")</f>
        <v>মোঃ মিনারুল ইসলাম</v>
      </c>
      <c r="F264" s="4" t="str">
        <f>IFERROR(__xludf.DUMMYFUNCTION("""COMPUTED_VALUE"""),"মোছাঃ জেসমিনারা")</f>
        <v>মোছাঃ জেসমিনারা</v>
      </c>
      <c r="G264" s="4" t="str">
        <f>IFERROR(__xludf.DUMMYFUNCTION("""COMPUTED_VALUE"""),"২০/০৪/২০০৭")</f>
        <v>২০/০৪/২০০৭</v>
      </c>
      <c r="H264" s="4" t="str">
        <f>IFERROR(__xludf.DUMMYFUNCTION("""COMPUTED_VALUE"""),"ছাত্র/ছাত্রী")</f>
        <v>ছাত্র/ছাত্রী</v>
      </c>
      <c r="I264" s="4" t="str">
        <f>IFERROR(__xludf.DUMMYFUNCTION("""COMPUTED_VALUE"""),"""আড়পাড়া")</f>
        <v>"আড়পাড়া</v>
      </c>
      <c r="J264" s="4" t="str">
        <f>IFERROR(__xludf.DUMMYFUNCTION("""COMPUTED_VALUE""")," গাংনী")</f>
        <v> গাংনী</v>
      </c>
      <c r="K264" s="4" t="str">
        <f>IFERROR(__xludf.DUMMYFUNCTION("""COMPUTED_VALUE""")," মেহেরপুর""")</f>
        <v> মেহেরপুর"</v>
      </c>
    </row>
    <row r="265" ht="15.75" customHeight="1">
      <c r="A265" s="5" t="s">
        <v>3620</v>
      </c>
      <c r="B265" s="4">
        <f>IFERROR(__xludf.DUMMYFUNCTION("SPLIT(A265,"","")"),1212.0)</f>
        <v>1212</v>
      </c>
      <c r="C265" s="4" t="str">
        <f>IFERROR(__xludf.DUMMYFUNCTION("""COMPUTED_VALUE"""),"মোঃ তৌফিকুর রহমান")</f>
        <v>মোঃ তৌফিকুর রহমান</v>
      </c>
      <c r="D265" s="4">
        <f>IFERROR(__xludf.DUMMYFUNCTION("""COMPUTED_VALUE"""),5.70055000752E11)</f>
        <v>570055000752</v>
      </c>
      <c r="E265" s="4" t="str">
        <f>IFERROR(__xludf.DUMMYFUNCTION("""COMPUTED_VALUE"""),"মোঃ তহির উদ্দীন")</f>
        <v>মোঃ তহির উদ্দীন</v>
      </c>
      <c r="F265" s="4" t="str">
        <f>IFERROR(__xludf.DUMMYFUNCTION("""COMPUTED_VALUE"""),"মোছাঃ সাজেদা খাতুন")</f>
        <v>মোছাঃ সাজেদা খাতুন</v>
      </c>
      <c r="G265" s="4" t="str">
        <f>IFERROR(__xludf.DUMMYFUNCTION("""COMPUTED_VALUE"""),"২২/০৬/২০০৭")</f>
        <v>২২/০৬/২০০৭</v>
      </c>
      <c r="H265" s="4" t="str">
        <f>IFERROR(__xludf.DUMMYFUNCTION("""COMPUTED_VALUE"""),"ছাত্র/ছাত্রী")</f>
        <v>ছাত্র/ছাত্রী</v>
      </c>
      <c r="I265" s="4" t="str">
        <f>IFERROR(__xludf.DUMMYFUNCTION("""COMPUTED_VALUE"""),"""আড়পাড়া")</f>
        <v>"আড়পাড়া</v>
      </c>
      <c r="J265" s="4" t="str">
        <f>IFERROR(__xludf.DUMMYFUNCTION("""COMPUTED_VALUE""")," গাংনী")</f>
        <v> গাংনী</v>
      </c>
      <c r="K265" s="4" t="str">
        <f>IFERROR(__xludf.DUMMYFUNCTION("""COMPUTED_VALUE""")," মেহেরপুর""")</f>
        <v> মেহেরপুর"</v>
      </c>
    </row>
    <row r="266" ht="15.75" customHeight="1">
      <c r="A266" s="5" t="s">
        <v>3621</v>
      </c>
      <c r="B266" s="4">
        <f>IFERROR(__xludf.DUMMYFUNCTION("SPLIT(A266,"","")"),1213.0)</f>
        <v>1213</v>
      </c>
      <c r="C266" s="4" t="str">
        <f>IFERROR(__xludf.DUMMYFUNCTION("""COMPUTED_VALUE"""),"মোঃ সাগর আলী")</f>
        <v>মোঃ সাগর আলী</v>
      </c>
      <c r="D266" s="4">
        <f>IFERROR(__xludf.DUMMYFUNCTION("""COMPUTED_VALUE"""),5.70055000754E11)</f>
        <v>570055000754</v>
      </c>
      <c r="E266" s="4" t="str">
        <f>IFERROR(__xludf.DUMMYFUNCTION("""COMPUTED_VALUE"""),"মোঃ বিল্লাল হোসেন")</f>
        <v>মোঃ বিল্লাল হোসেন</v>
      </c>
      <c r="F266" s="4" t="str">
        <f>IFERROR(__xludf.DUMMYFUNCTION("""COMPUTED_VALUE"""),"মোছাঃ বিউটি খাতুন")</f>
        <v>মোছাঃ বিউটি খাতুন</v>
      </c>
      <c r="G266" s="4" t="str">
        <f>IFERROR(__xludf.DUMMYFUNCTION("""COMPUTED_VALUE"""),"১৫/০৪/২০০৭")</f>
        <v>১৫/০৪/২০০৭</v>
      </c>
      <c r="H266" s="4" t="str">
        <f>IFERROR(__xludf.DUMMYFUNCTION("""COMPUTED_VALUE"""),"ছাত্র/ছাত্রী")</f>
        <v>ছাত্র/ছাত্রী</v>
      </c>
      <c r="I266" s="4" t="str">
        <f>IFERROR(__xludf.DUMMYFUNCTION("""COMPUTED_VALUE"""),"""আড়পাড়া")</f>
        <v>"আড়পাড়া</v>
      </c>
      <c r="J266" s="4" t="str">
        <f>IFERROR(__xludf.DUMMYFUNCTION("""COMPUTED_VALUE""")," গাংনী")</f>
        <v> গাংনী</v>
      </c>
      <c r="K266" s="4" t="str">
        <f>IFERROR(__xludf.DUMMYFUNCTION("""COMPUTED_VALUE""")," মেহেরপুর""")</f>
        <v> মেহেরপুর"</v>
      </c>
    </row>
    <row r="267" ht="15.75" customHeight="1">
      <c r="A267" s="5" t="s">
        <v>3622</v>
      </c>
      <c r="B267" s="4">
        <f>IFERROR(__xludf.DUMMYFUNCTION("SPLIT(A267,"","")"),1214.0)</f>
        <v>1214</v>
      </c>
      <c r="C267" s="4" t="str">
        <f>IFERROR(__xludf.DUMMYFUNCTION("""COMPUTED_VALUE"""),"মোঃ সাকিব রানা")</f>
        <v>মোঃ সাকিব রানা</v>
      </c>
      <c r="D267" s="4">
        <f>IFERROR(__xludf.DUMMYFUNCTION("""COMPUTED_VALUE"""),5.70055000755E11)</f>
        <v>570055000755</v>
      </c>
      <c r="E267" s="4" t="str">
        <f>IFERROR(__xludf.DUMMYFUNCTION("""COMPUTED_VALUE"""),"মোঃ বুলবুল")</f>
        <v>মোঃ বুলবুল</v>
      </c>
      <c r="F267" s="4" t="str">
        <f>IFERROR(__xludf.DUMMYFUNCTION("""COMPUTED_VALUE"""),"মোছাঃ কোহিনুর খাতুন")</f>
        <v>মোছাঃ কোহিনুর খাতুন</v>
      </c>
      <c r="G267" s="4" t="str">
        <f>IFERROR(__xludf.DUMMYFUNCTION("""COMPUTED_VALUE"""),"২০/০২/২০০৭")</f>
        <v>২০/০২/২০০৭</v>
      </c>
      <c r="H267" s="4" t="str">
        <f>IFERROR(__xludf.DUMMYFUNCTION("""COMPUTED_VALUE"""),"ছাত্র/ছাত্রী")</f>
        <v>ছাত্র/ছাত্রী</v>
      </c>
      <c r="I267" s="4" t="str">
        <f>IFERROR(__xludf.DUMMYFUNCTION("""COMPUTED_VALUE"""),"""৬০৮")</f>
        <v>"৬০৮</v>
      </c>
      <c r="J267" s="4" t="str">
        <f>IFERROR(__xludf.DUMMYFUNCTION("""COMPUTED_VALUE""")," আড়পাড়া")</f>
        <v> আড়পাড়া</v>
      </c>
      <c r="K267" s="4" t="str">
        <f>IFERROR(__xludf.DUMMYFUNCTION("""COMPUTED_VALUE""")," গাংনী")</f>
        <v> গাংনী</v>
      </c>
      <c r="L267" s="4" t="str">
        <f>IFERROR(__xludf.DUMMYFUNCTION("""COMPUTED_VALUE""")," মেহেরপুর""")</f>
        <v> মেহেরপুর"</v>
      </c>
    </row>
    <row r="268" ht="15.75" customHeight="1">
      <c r="A268" s="5" t="s">
        <v>3623</v>
      </c>
      <c r="B268" s="4">
        <f>IFERROR(__xludf.DUMMYFUNCTION("SPLIT(A268,"","")"),1215.0)</f>
        <v>1215</v>
      </c>
      <c r="C268" s="4" t="str">
        <f>IFERROR(__xludf.DUMMYFUNCTION("""COMPUTED_VALUE"""),"মোঃ ইখলাচ আলী")</f>
        <v>মোঃ ইখলাচ আলী</v>
      </c>
      <c r="D268" s="4">
        <f>IFERROR(__xludf.DUMMYFUNCTION("""COMPUTED_VALUE"""),5.70055000756E11)</f>
        <v>570055000756</v>
      </c>
      <c r="E268" s="4" t="str">
        <f>IFERROR(__xludf.DUMMYFUNCTION("""COMPUTED_VALUE"""),"মোঃ হাবিবুর রহমান")</f>
        <v>মোঃ হাবিবুর রহমান</v>
      </c>
      <c r="F268" s="4" t="str">
        <f>IFERROR(__xludf.DUMMYFUNCTION("""COMPUTED_VALUE"""),"মোছাঃ সাগরি খাতুন")</f>
        <v>মোছাঃ সাগরি খাতুন</v>
      </c>
      <c r="G268" s="4" t="str">
        <f>IFERROR(__xludf.DUMMYFUNCTION("""COMPUTED_VALUE"""),"০৪/০২/২০০৭")</f>
        <v>০৪/০২/২০০৭</v>
      </c>
      <c r="H268" s="4" t="str">
        <f>IFERROR(__xludf.DUMMYFUNCTION("""COMPUTED_VALUE"""),"শ্রমিক")</f>
        <v>শ্রমিক</v>
      </c>
      <c r="I268" s="4" t="str">
        <f>IFERROR(__xludf.DUMMYFUNCTION("""COMPUTED_VALUE"""),"""আড়পাড়া")</f>
        <v>"আড়পাড়া</v>
      </c>
      <c r="J268" s="4" t="str">
        <f>IFERROR(__xludf.DUMMYFUNCTION("""COMPUTED_VALUE""")," গাংনী")</f>
        <v> গাংনী</v>
      </c>
      <c r="K268" s="4" t="str">
        <f>IFERROR(__xludf.DUMMYFUNCTION("""COMPUTED_VALUE""")," মেহেরপুর""")</f>
        <v> মেহেরপুর"</v>
      </c>
    </row>
    <row r="269" ht="15.75" customHeight="1">
      <c r="A269" s="5" t="s">
        <v>3624</v>
      </c>
      <c r="B269" s="4">
        <f>IFERROR(__xludf.DUMMYFUNCTION("SPLIT(A269,"","")"),1216.0)</f>
        <v>1216</v>
      </c>
      <c r="C269" s="4" t="str">
        <f>IFERROR(__xludf.DUMMYFUNCTION("""COMPUTED_VALUE"""),"মোঃ এনামুল হক")</f>
        <v>মোঃ এনামুল হক</v>
      </c>
      <c r="D269" s="4">
        <f>IFERROR(__xludf.DUMMYFUNCTION("""COMPUTED_VALUE"""),5.700555545138E12)</f>
        <v>5700555545138</v>
      </c>
      <c r="E269" s="4" t="str">
        <f>IFERROR(__xludf.DUMMYFUNCTION("""COMPUTED_VALUE"""),"মৃত বাদু মন্ডল")</f>
        <v>মৃত বাদু মন্ডল</v>
      </c>
      <c r="F269" s="4" t="str">
        <f>IFERROR(__xludf.DUMMYFUNCTION("""COMPUTED_VALUE"""),"আছিয়া বেগম")</f>
        <v>আছিয়া বেগম</v>
      </c>
      <c r="G269" s="4" t="str">
        <f>IFERROR(__xludf.DUMMYFUNCTION("""COMPUTED_VALUE"""),"১০/০৫/১৯৮২")</f>
        <v>১০/০৫/১৯৮২</v>
      </c>
      <c r="H269" s="4" t="str">
        <f>IFERROR(__xludf.DUMMYFUNCTION("""COMPUTED_VALUE"""),"কৃষক")</f>
        <v>কৃষক</v>
      </c>
      <c r="I269" s="4" t="str">
        <f>IFERROR(__xludf.DUMMYFUNCTION("""COMPUTED_VALUE"""),"""আড়পাড়া")</f>
        <v>"আড়পাড়া</v>
      </c>
      <c r="J269" s="4" t="str">
        <f>IFERROR(__xludf.DUMMYFUNCTION("""COMPUTED_VALUE""")," গাংনী")</f>
        <v> গাংনী</v>
      </c>
      <c r="K269" s="4" t="str">
        <f>IFERROR(__xludf.DUMMYFUNCTION("""COMPUTED_VALUE""")," মেহেরপুর""")</f>
        <v> মেহেরপুর"</v>
      </c>
    </row>
    <row r="270" ht="15.75" customHeight="1">
      <c r="A270" s="5" t="s">
        <v>3625</v>
      </c>
      <c r="B270" s="4">
        <f>IFERROR(__xludf.DUMMYFUNCTION("SPLIT(A270,"","")"),1217.0)</f>
        <v>1217</v>
      </c>
      <c r="C270" s="4" t="str">
        <f>IFERROR(__xludf.DUMMYFUNCTION("""COMPUTED_VALUE"""),"সজিব")</f>
        <v>সজিব</v>
      </c>
      <c r="D270" s="4">
        <f>IFERROR(__xludf.DUMMYFUNCTION("""COMPUTED_VALUE"""),5.700555545139E12)</f>
        <v>5700555545139</v>
      </c>
      <c r="E270" s="4" t="str">
        <f>IFERROR(__xludf.DUMMYFUNCTION("""COMPUTED_VALUE"""),"মোঃ আনারুল ইসলাম")</f>
        <v>মোঃ আনারুল ইসলাম</v>
      </c>
      <c r="F270" s="4" t="str">
        <f>IFERROR(__xludf.DUMMYFUNCTION("""COMPUTED_VALUE"""),"মোছাঃ শাহানাজ পারভীন")</f>
        <v>মোছাঃ শাহানাজ পারভীন</v>
      </c>
      <c r="G270" s="4" t="str">
        <f>IFERROR(__xludf.DUMMYFUNCTION("""COMPUTED_VALUE"""),"২০/১১/১৯৯৫")</f>
        <v>২০/১১/১৯৯৫</v>
      </c>
      <c r="H270" s="4" t="str">
        <f>IFERROR(__xludf.DUMMYFUNCTION("""COMPUTED_VALUE"""),"শ্রমিক")</f>
        <v>শ্রমিক</v>
      </c>
      <c r="I270" s="4" t="str">
        <f>IFERROR(__xludf.DUMMYFUNCTION("""COMPUTED_VALUE"""),"""২৯৮")</f>
        <v>"২৯৮</v>
      </c>
      <c r="J270" s="4" t="str">
        <f>IFERROR(__xludf.DUMMYFUNCTION("""COMPUTED_VALUE""")," আড়পাড়া")</f>
        <v> আড়পাড়া</v>
      </c>
      <c r="K270" s="4" t="str">
        <f>IFERROR(__xludf.DUMMYFUNCTION("""COMPUTED_VALUE""")," গাংনী")</f>
        <v> গাংনী</v>
      </c>
      <c r="L270" s="4" t="str">
        <f>IFERROR(__xludf.DUMMYFUNCTION("""COMPUTED_VALUE""")," মেহেরপুর""")</f>
        <v> মেহেরপুর"</v>
      </c>
    </row>
    <row r="271" ht="15.75" customHeight="1">
      <c r="A271" s="5" t="s">
        <v>3626</v>
      </c>
      <c r="B271" s="4">
        <f>IFERROR(__xludf.DUMMYFUNCTION("SPLIT(A271,"","")"),1218.0)</f>
        <v>1218</v>
      </c>
      <c r="C271" s="4" t="str">
        <f>IFERROR(__xludf.DUMMYFUNCTION("""COMPUTED_VALUE"""),"মোঃ সজিব বিশ্বাস")</f>
        <v>মোঃ সজিব বিশ্বাস</v>
      </c>
      <c r="D271" s="4">
        <f>IFERROR(__xludf.DUMMYFUNCTION("""COMPUTED_VALUE"""),5.70055554514E12)</f>
        <v>5700555545140</v>
      </c>
      <c r="E271" s="4" t="str">
        <f>IFERROR(__xludf.DUMMYFUNCTION("""COMPUTED_VALUE"""),"মোঃ ওমর আলী")</f>
        <v>মোঃ ওমর আলী</v>
      </c>
      <c r="F271" s="4" t="str">
        <f>IFERROR(__xludf.DUMMYFUNCTION("""COMPUTED_VALUE"""),"মোছাঃ শিউলী খাতুন")</f>
        <v>মোছাঃ শিউলী খাতুন</v>
      </c>
      <c r="G271" s="4" t="str">
        <f>IFERROR(__xludf.DUMMYFUNCTION("""COMPUTED_VALUE"""),"১৪/০১/২০০৬")</f>
        <v>১৪/০১/২০০৬</v>
      </c>
      <c r="H271" s="4" t="str">
        <f>IFERROR(__xludf.DUMMYFUNCTION("""COMPUTED_VALUE"""),"শ্রমিক")</f>
        <v>শ্রমিক</v>
      </c>
      <c r="I271" s="4" t="str">
        <f>IFERROR(__xludf.DUMMYFUNCTION("""COMPUTED_VALUE"""),"""১৪৫")</f>
        <v>"১৪৫</v>
      </c>
      <c r="J271" s="4" t="str">
        <f>IFERROR(__xludf.DUMMYFUNCTION("""COMPUTED_VALUE""")," আড়পাড়া")</f>
        <v> আড়পাড়া</v>
      </c>
      <c r="K271" s="4" t="str">
        <f>IFERROR(__xludf.DUMMYFUNCTION("""COMPUTED_VALUE""")," গাংনী")</f>
        <v> গাংনী</v>
      </c>
      <c r="L271" s="4" t="str">
        <f>IFERROR(__xludf.DUMMYFUNCTION("""COMPUTED_VALUE""")," মেহেরপুর""")</f>
        <v> মেহেরপুর"</v>
      </c>
    </row>
    <row r="272" ht="15.75" customHeight="1">
      <c r="A272" s="5" t="s">
        <v>3627</v>
      </c>
      <c r="B272" s="4">
        <f>IFERROR(__xludf.DUMMYFUNCTION("SPLIT(A272,"","")"),1219.0)</f>
        <v>1219</v>
      </c>
      <c r="C272" s="4" t="str">
        <f>IFERROR(__xludf.DUMMYFUNCTION("""COMPUTED_VALUE"""),"মোঃ সোহাগ আলী")</f>
        <v>মোঃ সোহাগ আলী</v>
      </c>
      <c r="D272" s="4">
        <f>IFERROR(__xludf.DUMMYFUNCTION("""COMPUTED_VALUE"""),5.700555545141E12)</f>
        <v>5700555545141</v>
      </c>
      <c r="E272" s="4" t="str">
        <f>IFERROR(__xludf.DUMMYFUNCTION("""COMPUTED_VALUE"""),"মোঃ জিরাফত আলী")</f>
        <v>মোঃ জিরাফত আলী</v>
      </c>
      <c r="F272" s="4" t="str">
        <f>IFERROR(__xludf.DUMMYFUNCTION("""COMPUTED_VALUE"""),"মোছাঃ জেসমিন আলী")</f>
        <v>মোছাঃ জেসমিন আলী</v>
      </c>
      <c r="G272" s="4" t="str">
        <f>IFERROR(__xludf.DUMMYFUNCTION("""COMPUTED_VALUE"""),"১৫/১০/১৯৯২")</f>
        <v>১৫/১০/১৯৯২</v>
      </c>
      <c r="H272" s="4" t="str">
        <f>IFERROR(__xludf.DUMMYFUNCTION("""COMPUTED_VALUE"""),"কৃষক")</f>
        <v>কৃষক</v>
      </c>
      <c r="I272" s="4" t="str">
        <f>IFERROR(__xludf.DUMMYFUNCTION("""COMPUTED_VALUE"""),"""আড়পাড়া")</f>
        <v>"আড়পাড়া</v>
      </c>
      <c r="J272" s="4" t="str">
        <f>IFERROR(__xludf.DUMMYFUNCTION("""COMPUTED_VALUE""")," আড়পাড়া")</f>
        <v> আড়পাড়া</v>
      </c>
      <c r="K272" s="4" t="str">
        <f>IFERROR(__xludf.DUMMYFUNCTION("""COMPUTED_VALUE""")," গাংনী")</f>
        <v> গাংনী</v>
      </c>
      <c r="L272" s="4" t="str">
        <f>IFERROR(__xludf.DUMMYFUNCTION("""COMPUTED_VALUE""")," মেহেরপুর""")</f>
        <v> মেহেরপুর"</v>
      </c>
    </row>
    <row r="273" ht="15.75" customHeight="1">
      <c r="A273" s="5" t="s">
        <v>3628</v>
      </c>
      <c r="B273" s="4">
        <f>IFERROR(__xludf.DUMMYFUNCTION("SPLIT(A273,"","")"),1220.0)</f>
        <v>1220</v>
      </c>
      <c r="C273" s="4" t="str">
        <f>IFERROR(__xludf.DUMMYFUNCTION("""COMPUTED_VALUE"""),"মোঃ জানিরুল ইসলাম")</f>
        <v>মোঃ জানিরুল ইসলাম</v>
      </c>
      <c r="D273" s="4">
        <f>IFERROR(__xludf.DUMMYFUNCTION("""COMPUTED_VALUE"""),5.700555545147E12)</f>
        <v>5700555545147</v>
      </c>
      <c r="E273" s="4" t="str">
        <f>IFERROR(__xludf.DUMMYFUNCTION("""COMPUTED_VALUE"""),"মোঃ রবিউল হালিম")</f>
        <v>মোঃ রবিউল হালিম</v>
      </c>
      <c r="F273" s="4" t="str">
        <f>IFERROR(__xludf.DUMMYFUNCTION("""COMPUTED_VALUE"""),"মোছাঃ ফাতেমা খাতুন")</f>
        <v>মোছাঃ ফাতেমা খাতুন</v>
      </c>
      <c r="G273" s="4" t="str">
        <f>IFERROR(__xludf.DUMMYFUNCTION("""COMPUTED_VALUE"""),"১০/০৭/১৯৯৪")</f>
        <v>১০/০৭/১৯৯৪</v>
      </c>
      <c r="H273" s="4" t="str">
        <f>IFERROR(__xludf.DUMMYFUNCTION("""COMPUTED_VALUE"""),"শ্রমিক")</f>
        <v>শ্রমিক</v>
      </c>
      <c r="I273" s="4" t="str">
        <f>IFERROR(__xludf.DUMMYFUNCTION("""COMPUTED_VALUE"""),"""আড়পাড়া")</f>
        <v>"আড়পাড়া</v>
      </c>
      <c r="J273" s="4" t="str">
        <f>IFERROR(__xludf.DUMMYFUNCTION("""COMPUTED_VALUE""")," আড়পাড়া")</f>
        <v> আড়পাড়া</v>
      </c>
      <c r="K273" s="4" t="str">
        <f>IFERROR(__xludf.DUMMYFUNCTION("""COMPUTED_VALUE""")," গাংনী")</f>
        <v> গাংনী</v>
      </c>
      <c r="L273" s="4" t="str">
        <f>IFERROR(__xludf.DUMMYFUNCTION("""COMPUTED_VALUE""")," মেহেরপুর""")</f>
        <v> মেহেরপুর"</v>
      </c>
    </row>
    <row r="274" ht="15.75" customHeight="1">
      <c r="A274" s="5" t="s">
        <v>3629</v>
      </c>
      <c r="B274" s="4">
        <f>IFERROR(__xludf.DUMMYFUNCTION("SPLIT(A274,"","")"),1221.0)</f>
        <v>1221</v>
      </c>
      <c r="C274" s="4" t="str">
        <f>IFERROR(__xludf.DUMMYFUNCTION("""COMPUTED_VALUE"""),"মোঃ তুহিন আলী")</f>
        <v>মোঃ তুহিন আলী</v>
      </c>
      <c r="D274" s="4">
        <f>IFERROR(__xludf.DUMMYFUNCTION("""COMPUTED_VALUE"""),5.700555545148E12)</f>
        <v>5700555545148</v>
      </c>
      <c r="E274" s="4" t="str">
        <f>IFERROR(__xludf.DUMMYFUNCTION("""COMPUTED_VALUE"""),"মোঃ আঃ হালিম")</f>
        <v>মোঃ আঃ হালিম</v>
      </c>
      <c r="F274" s="4" t="str">
        <f>IFERROR(__xludf.DUMMYFUNCTION("""COMPUTED_VALUE"""),"মোছাঃ রওশন আরা")</f>
        <v>মোছাঃ রওশন আরা</v>
      </c>
      <c r="G274" s="4" t="str">
        <f>IFERROR(__xludf.DUMMYFUNCTION("""COMPUTED_VALUE"""),"২৯/০৮/১৯৯৬")</f>
        <v>২৯/০৮/১৯৯৬</v>
      </c>
      <c r="H274" s="4" t="str">
        <f>IFERROR(__xludf.DUMMYFUNCTION("""COMPUTED_VALUE"""),"শ্রমিক")</f>
        <v>শ্রমিক</v>
      </c>
      <c r="I274" s="4" t="str">
        <f>IFERROR(__xludf.DUMMYFUNCTION("""COMPUTED_VALUE"""),"""২৫৪")</f>
        <v>"২৫৪</v>
      </c>
      <c r="J274" s="4" t="str">
        <f>IFERROR(__xludf.DUMMYFUNCTION("""COMPUTED_VALUE""")," আড়পাড়া")</f>
        <v> আড়পাড়া</v>
      </c>
      <c r="K274" s="4" t="str">
        <f>IFERROR(__xludf.DUMMYFUNCTION("""COMPUTED_VALUE""")," গাংনী")</f>
        <v> গাংনী</v>
      </c>
      <c r="L274" s="4" t="str">
        <f>IFERROR(__xludf.DUMMYFUNCTION("""COMPUTED_VALUE""")," মেহেরপুর""")</f>
        <v> মেহেরপুর"</v>
      </c>
    </row>
    <row r="275" ht="15.75" customHeight="1">
      <c r="A275" s="5" t="s">
        <v>3630</v>
      </c>
      <c r="B275" s="4">
        <f>IFERROR(__xludf.DUMMYFUNCTION("SPLIT(A275,"","")"),1222.0)</f>
        <v>1222</v>
      </c>
      <c r="C275" s="4" t="str">
        <f>IFERROR(__xludf.DUMMYFUNCTION("""COMPUTED_VALUE"""),"মোঃ ইকবাল আলী")</f>
        <v>মোঃ ইকবাল আলী</v>
      </c>
      <c r="D275" s="4">
        <f>IFERROR(__xludf.DUMMYFUNCTION("""COMPUTED_VALUE"""),5.700555545149E12)</f>
        <v>5700555545149</v>
      </c>
      <c r="E275" s="4" t="str">
        <f>IFERROR(__xludf.DUMMYFUNCTION("""COMPUTED_VALUE"""),"মোঃ খেজমত আলী")</f>
        <v>মোঃ খেজমত আলী</v>
      </c>
      <c r="F275" s="4" t="str">
        <f>IFERROR(__xludf.DUMMYFUNCTION("""COMPUTED_VALUE"""),"মোছাঃ মুনজুরা খাতুন")</f>
        <v>মোছাঃ মুনজুরা খাতুন</v>
      </c>
      <c r="G275" s="4" t="str">
        <f>IFERROR(__xludf.DUMMYFUNCTION("""COMPUTED_VALUE"""),"১৮/০৯/২০০০")</f>
        <v>১৮/০৯/২০০০</v>
      </c>
      <c r="H275" s="4" t="str">
        <f>IFERROR(__xludf.DUMMYFUNCTION("""COMPUTED_VALUE"""),"ব্যবসা")</f>
        <v>ব্যবসা</v>
      </c>
      <c r="I275" s="4" t="str">
        <f>IFERROR(__xludf.DUMMYFUNCTION("""COMPUTED_VALUE"""),"""৪৭১")</f>
        <v>"৪৭১</v>
      </c>
      <c r="J275" s="4" t="str">
        <f>IFERROR(__xludf.DUMMYFUNCTION("""COMPUTED_VALUE""")," আড়পাড়া")</f>
        <v> আড়পাড়া</v>
      </c>
      <c r="K275" s="4" t="str">
        <f>IFERROR(__xludf.DUMMYFUNCTION("""COMPUTED_VALUE""")," গাংনী")</f>
        <v> গাংনী</v>
      </c>
      <c r="L275" s="4" t="str">
        <f>IFERROR(__xludf.DUMMYFUNCTION("""COMPUTED_VALUE""")," মেহেরপুর""")</f>
        <v> মেহেরপুর"</v>
      </c>
    </row>
    <row r="276" ht="15.75" customHeight="1">
      <c r="A276" s="5" t="s">
        <v>3631</v>
      </c>
      <c r="B276" s="4">
        <f>IFERROR(__xludf.DUMMYFUNCTION("SPLIT(A276,"","")"),1223.0)</f>
        <v>1223</v>
      </c>
      <c r="C276" s="4" t="str">
        <f>IFERROR(__xludf.DUMMYFUNCTION("""COMPUTED_VALUE"""),"মোহাঃ রাজিবুল ইসলাম")</f>
        <v>মোহাঃ রাজিবুল ইসলাম</v>
      </c>
      <c r="D276" s="4">
        <f>IFERROR(__xludf.DUMMYFUNCTION("""COMPUTED_VALUE"""),5.70055554515E12)</f>
        <v>5700555545150</v>
      </c>
      <c r="E276" s="4" t="str">
        <f>IFERROR(__xludf.DUMMYFUNCTION("""COMPUTED_VALUE"""),"মোঃ রেজাউল হক")</f>
        <v>মোঃ রেজাউল হক</v>
      </c>
      <c r="F276" s="4" t="str">
        <f>IFERROR(__xludf.DUMMYFUNCTION("""COMPUTED_VALUE"""),"মোছাঃ জেসমিন আরা")</f>
        <v>মোছাঃ জেসমিন আরা</v>
      </c>
      <c r="G276" s="4" t="str">
        <f>IFERROR(__xludf.DUMMYFUNCTION("""COMPUTED_VALUE"""),"০১/০৩/১৯৯৬")</f>
        <v>০১/০৩/১৯৯৬</v>
      </c>
      <c r="H276" s="4" t="str">
        <f>IFERROR(__xludf.DUMMYFUNCTION("""COMPUTED_VALUE"""),"শ্রমিক")</f>
        <v>শ্রমিক</v>
      </c>
      <c r="I276" s="4" t="str">
        <f>IFERROR(__xludf.DUMMYFUNCTION("""COMPUTED_VALUE"""),"""আড়পাড়া")</f>
        <v>"আড়পাড়া</v>
      </c>
      <c r="J276" s="4" t="str">
        <f>IFERROR(__xludf.DUMMYFUNCTION("""COMPUTED_VALUE""")," গাংনী")</f>
        <v> গাংনী</v>
      </c>
      <c r="K276" s="4" t="str">
        <f>IFERROR(__xludf.DUMMYFUNCTION("""COMPUTED_VALUE""")," মেহেরপুর""")</f>
        <v> মেহেরপুর"</v>
      </c>
    </row>
    <row r="277" ht="15.75" customHeight="1">
      <c r="B277" s="4" t="str">
        <f>IFERROR(__xludf.DUMMYFUNCTION("SPLIT(A277,"","")"),"#VALUE!")</f>
        <v>#VALUE!</v>
      </c>
    </row>
    <row r="278" ht="15.75" customHeight="1">
      <c r="B278" s="4" t="str">
        <f>IFERROR(__xludf.DUMMYFUNCTION("SPLIT(A278,"","")"),"#VALUE!")</f>
        <v>#VALUE!</v>
      </c>
    </row>
    <row r="279" ht="15.75" customHeight="1">
      <c r="B279" s="4" t="str">
        <f>IFERROR(__xludf.DUMMYFUNCTION("SPLIT(A279,"","")"),"#VALUE!")</f>
        <v>#VALUE!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