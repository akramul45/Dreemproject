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D" sheetId="2" r:id="rId5"/>
  </sheets>
  <definedNames/>
  <calcPr/>
  <extLst>
    <ext uri="GoogleSheetsCustomDataVersion2">
      <go:sheetsCustomData xmlns:go="http://customooxmlschemas.google.com/" r:id="rId6" roundtripDataChecksum="OLH587dSHVltZzot7BH/5FqAOGd8cd1fEennrctwaOQ="/>
    </ext>
  </extLst>
</workbook>
</file>

<file path=xl/sharedStrings.xml><?xml version="1.0" encoding="utf-8"?>
<sst xmlns="http://schemas.openxmlformats.org/spreadsheetml/2006/main" count="6905" uniqueCount="3921">
  <si>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</si>
  <si>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</si>
  <si>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</si>
  <si>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</si>
  <si>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</si>
  <si>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</si>
  <si>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</si>
  <si>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</si>
  <si>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মো: জামাল উদ্দীন</t>
  </si>
  <si>
    <t>মো: রুহুল আমিন</t>
  </si>
  <si>
    <t>মোছা: আনছুর বেগম</t>
  </si>
  <si>
    <t>২৫/১২/১৯৮০</t>
  </si>
  <si>
    <t>কৃষক</t>
  </si>
  <si>
    <t>জালশুকা, গাংনী, মেহেরপুর</t>
  </si>
  <si>
    <t>মোহাঃ মতিয়ার রহমান</t>
  </si>
  <si>
    <t>মোহাঃ সুলতান মন্ডল</t>
  </si>
  <si>
    <t>মোছাঃ রহিমা খাতুন</t>
  </si>
  <si>
    <t>১০/১০/১৯৮৮</t>
  </si>
  <si>
    <t>মাইগ্রেট হয়েছে</t>
  </si>
  <si>
    <t>মোঃ হাশমত আলী</t>
  </si>
  <si>
    <t>মোহাঃ মুন্তাজ আলী</t>
  </si>
  <si>
    <t>মোছাঃ ইশারন</t>
  </si>
  <si>
    <t>১০/০৬/১৯৪৫</t>
  </si>
  <si>
    <t>মোঃ আলাউদ্দীন</t>
  </si>
  <si>
    <t>মোঃ ফজল উদ্দীন</t>
  </si>
  <si>
    <t>আনোয়ারা খাতুন</t>
  </si>
  <si>
    <t>০২/০৩/১৯৮৪</t>
  </si>
  <si>
    <t>মিস্ত্রী</t>
  </si>
  <si>
    <t>জালশুকা, কসবা, গাংনী, মেহেরপুর</t>
  </si>
  <si>
    <t>মোঃ ফরজুল্লাহ হক</t>
  </si>
  <si>
    <t>মোঃ মুন্তাজ আলী</t>
  </si>
  <si>
    <t>মোছাঃ ইশারন নেছা</t>
  </si>
  <si>
    <t>০১/০১/১৯৮৫</t>
  </si>
  <si>
    <t>মোঃ শহিদুল ইসলাম</t>
  </si>
  <si>
    <t>মোঃ জমশেদ আলী</t>
  </si>
  <si>
    <t>মোছাঃ হাসিনা খাতুন</t>
  </si>
  <si>
    <t>১০/১০/১৯৮৭</t>
  </si>
  <si>
    <t>ব্যবসা</t>
  </si>
  <si>
    <t>মোঃ মিনারুল ইসলাম</t>
  </si>
  <si>
    <t>মোঃ রফেজউদ্দীন</t>
  </si>
  <si>
    <t>মোছাঃ আছিয়া খাতুন</t>
  </si>
  <si>
    <t>০৫/০৬/১৯৭৫</t>
  </si>
  <si>
    <t>মোঃ কাবুরুল হোসেন</t>
  </si>
  <si>
    <t>মোঃ মোশারফ হোসেন</t>
  </si>
  <si>
    <t>মোছাঃ রসুলা খাতুন</t>
  </si>
  <si>
    <t>০১/০১/১৯৬৭</t>
  </si>
  <si>
    <t>মোঃ মাহবুব আলম</t>
  </si>
  <si>
    <t>মোঃ মনিরুল ইসলাম</t>
  </si>
  <si>
    <t>মোছাঃ হাজেরা খাতুন</t>
  </si>
  <si>
    <t>০২/০৭/১৯৮৯</t>
  </si>
  <si>
    <t>ছাত্র/ছাত্রী</t>
  </si>
  <si>
    <t>মোঃ আতিয়ার রহমান</t>
  </si>
  <si>
    <t>মোঃ শহিদুল</t>
  </si>
  <si>
    <t>মোছাঃ সারেজান</t>
  </si>
  <si>
    <t>৩০/১১/১৯৭১</t>
  </si>
  <si>
    <t>মোঃ দাউদ হোসেন</t>
  </si>
  <si>
    <t>মোঃ ইউসুফ বিশ্বাস</t>
  </si>
  <si>
    <t>মোছাঃ জাহিদা খাতুন</t>
  </si>
  <si>
    <t>মোঃ আখতারুল হোসেন</t>
  </si>
  <si>
    <t>মোঃ মহসীন আলী</t>
  </si>
  <si>
    <t>মোছাঃ সুরাতন নেছা</t>
  </si>
  <si>
    <t>০৫/০৬/১৯৮৭</t>
  </si>
  <si>
    <t>দিনমজুর</t>
  </si>
  <si>
    <t>সাবদাল বিশ্বাস</t>
  </si>
  <si>
    <t>মোছাঃ রহিমা</t>
  </si>
  <si>
    <t>০৩/০২/১৯৫৭</t>
  </si>
  <si>
    <t>মো: রবিউল হক</t>
  </si>
  <si>
    <t>আখের আলী মন্ডল</t>
  </si>
  <si>
    <t>মোছাঃ মাহিরন নেছা</t>
  </si>
  <si>
    <t>০৩/০১/১৯৪৭</t>
  </si>
  <si>
    <t>রহিম বক্স</t>
  </si>
  <si>
    <t>মোছাঃ ওছিরন নেছা</t>
  </si>
  <si>
    <t>০৯/০৪/১৯৫৭</t>
  </si>
  <si>
    <t>মোঃ জিনারুল ইসলাম</t>
  </si>
  <si>
    <t>৩১/১২/১৯৮৩</t>
  </si>
  <si>
    <t>মো: বুরহান উদ্দীন</t>
  </si>
  <si>
    <t>মো: রবিউল ইসলাম</t>
  </si>
  <si>
    <t>আরজিনা খাতুন</t>
  </si>
  <si>
    <t>০১/০১/১৯৮৭</t>
  </si>
  <si>
    <t>মো: মাবুদ আলী</t>
  </si>
  <si>
    <t>আখের আলি</t>
  </si>
  <si>
    <t>মোছা: মাহিরন নেছা</t>
  </si>
  <si>
    <t>০১/০৪/১৯৫২</t>
  </si>
  <si>
    <t>মো: জাহাঙ্গীর হোসেন</t>
  </si>
  <si>
    <t>আজিজার বিশ্বাস</t>
  </si>
  <si>
    <t>মোছাঃ জাহামারা</t>
  </si>
  <si>
    <t>মো: আব্দুর রহমান</t>
  </si>
  <si>
    <t>মোছা: ওছিরন নেছা</t>
  </si>
  <si>
    <t>০৪/০৪/১৯৫১</t>
  </si>
  <si>
    <t>মোঃ ফজলুল হক</t>
  </si>
  <si>
    <t>খোদা বক্স মন্ডল</t>
  </si>
  <si>
    <t>মোছাঃ ওকিরন নেছা</t>
  </si>
  <si>
    <t>০১/০১/১৯৮৩</t>
  </si>
  <si>
    <t>ডাক্তার</t>
  </si>
  <si>
    <t>মোঃ সহিদুল ইসলাম</t>
  </si>
  <si>
    <t>খোদা বক্স</t>
  </si>
  <si>
    <t>০৪/০২/১৯৫৯</t>
  </si>
  <si>
    <t>মো: ইলিয়াস হোসেন</t>
  </si>
  <si>
    <t>মো: তারা চাঁদ মন্ডল</t>
  </si>
  <si>
    <t>মোছাঃ ছপুরা খাতুন</t>
  </si>
  <si>
    <t>০৬/০৬/১৯৭১</t>
  </si>
  <si>
    <t>মো: আ: খালেক</t>
  </si>
  <si>
    <t>০১/০১/১৯৫৬</t>
  </si>
  <si>
    <t>মো: জহুরুল ইসলাম</t>
  </si>
  <si>
    <t>০১/০১/১৯৭৭</t>
  </si>
  <si>
    <t>মো: মুতালেব হোসেন</t>
  </si>
  <si>
    <t>মো: আবু তালেব</t>
  </si>
  <si>
    <t>মোছাঃ রাজিয়া খাতুন</t>
  </si>
  <si>
    <t>০১/০৫/১৯৬৩</t>
  </si>
  <si>
    <t>মো: মনিরুল ইসলাম</t>
  </si>
  <si>
    <t>৩১/১২/১৯৮৪</t>
  </si>
  <si>
    <t>মো: দবির উদ্দীন</t>
  </si>
  <si>
    <t>বদরদ্দীন</t>
  </si>
  <si>
    <t>হাওয়া খাতুন</t>
  </si>
  <si>
    <t>০৬/০৪/১৯৫৭</t>
  </si>
  <si>
    <t>মো: জাহিদুল ইসলাম</t>
  </si>
  <si>
    <t>মো: খবির উদ্দীন</t>
  </si>
  <si>
    <t>মোছাঃ জাহেদা খাতুন</t>
  </si>
  <si>
    <t>০৫/০৭/১৯৮৮</t>
  </si>
  <si>
    <t>মো: আনারুল ইসলাম</t>
  </si>
  <si>
    <t>রবজেল মন্ডল</t>
  </si>
  <si>
    <t>মোছাঃ হামেদা খাতুন</t>
  </si>
  <si>
    <t>০৩/১০/১৯৬৭</t>
  </si>
  <si>
    <t>মো: শফিকুল ইসলাম</t>
  </si>
  <si>
    <t>মকছেদ আলী</t>
  </si>
  <si>
    <t>মোছাঃ রশিদা খাতুন</t>
  </si>
  <si>
    <t>০৬/০৩/১৯৭৯</t>
  </si>
  <si>
    <t>মো: জাফরুল্লা</t>
  </si>
  <si>
    <t>মো: সিদ্দিক আলী</t>
  </si>
  <si>
    <t>মোছা: রহিমা খাতুন</t>
  </si>
  <si>
    <t>০২/০৩/১৯৭৭</t>
  </si>
  <si>
    <t>জালতকা, গাংনী, মেহেরপুর</t>
  </si>
  <si>
    <t>মো: আব্দুর রাজ্জাক</t>
  </si>
  <si>
    <t>নুর বকস মন্ডল</t>
  </si>
  <si>
    <t>মোছা: রাহাতন নেছা</t>
  </si>
  <si>
    <t>রহিম বকস</t>
  </si>
  <si>
    <t>০২/০৩/১৯৬৩</t>
  </si>
  <si>
    <t>মো: নিজাম উদ্দীন</t>
  </si>
  <si>
    <t>মোছা: আলতা খাতুন</t>
  </si>
  <si>
    <t>১৫/০৬/১৯৮২</t>
  </si>
  <si>
    <t>মো: শামিম হোসেন</t>
  </si>
  <si>
    <t>মো: বশির উদ্দীন</t>
  </si>
  <si>
    <t>মোছা: আকলিমা খাতুন</t>
  </si>
  <si>
    <t>১৮/০৭/১৯৮২</t>
  </si>
  <si>
    <t>মো: দুলাল হোসেন</t>
  </si>
  <si>
    <t>মো: মোশারফ হোসেন</t>
  </si>
  <si>
    <t>মোছা: রসুলা খাতুন</t>
  </si>
  <si>
    <t>১৫/০৩/১৯৭৯</t>
  </si>
  <si>
    <t>মো: রমজান আলী</t>
  </si>
  <si>
    <t>মো: আবু সিদ্দিক</t>
  </si>
  <si>
    <t>৩১/০২/১৯৬৯</t>
  </si>
  <si>
    <t>মো: মহিবুল হক</t>
  </si>
  <si>
    <t>মো: জমির উদ্দীন</t>
  </si>
  <si>
    <t>মোছা: হাজেরা বেগম</t>
  </si>
  <si>
    <t>০১/০৭/১৯৭২</t>
  </si>
  <si>
    <t>মো: আকরামুল হক</t>
  </si>
  <si>
    <t>মো: আজগার আলি</t>
  </si>
  <si>
    <t>মোছা: লিলি বেগম</t>
  </si>
  <si>
    <t>০১/০২/১৯৮৬</t>
  </si>
  <si>
    <t>মো: রেজাউল হক</t>
  </si>
  <si>
    <t>সুরত আলি</t>
  </si>
  <si>
    <t>নিগারন নেছা</t>
  </si>
  <si>
    <t>০৫/০৬/১৯৪২</t>
  </si>
  <si>
    <t>মো: ফজলুল হক</t>
  </si>
  <si>
    <t>মাদার শেখ</t>
  </si>
  <si>
    <t>কদভানু</t>
  </si>
  <si>
    <t>০৪/০৫/১৯৫২</t>
  </si>
  <si>
    <t>মো: রকিবুল ইসলাম</t>
  </si>
  <si>
    <t>মো: হায়দার আলি</t>
  </si>
  <si>
    <t>মোছা: ফাতেমা খাতুন</t>
  </si>
  <si>
    <t>১০/১১/১৯৮১</t>
  </si>
  <si>
    <t>মো: ফারুক হোসেন</t>
  </si>
  <si>
    <t>১০/০৩/১৯৭৮</t>
  </si>
  <si>
    <t>মো: আনিসুর রহমান</t>
  </si>
  <si>
    <t>মোছা: সুন্দরী খাতুন</t>
  </si>
  <si>
    <t>২০/০৫/১৯৭৯</t>
  </si>
  <si>
    <t>সবদেল মন্ডল</t>
  </si>
  <si>
    <t>মোছা: যবেদা খাতুন</t>
  </si>
  <si>
    <t>২৪/০৮/১৯৭২</t>
  </si>
  <si>
    <t>মো: জালাল উদ্দীন</t>
  </si>
  <si>
    <t>ফাতেমা খাতুন</t>
  </si>
  <si>
    <t>০৪/০৪/১৯৮৫</t>
  </si>
  <si>
    <t>মো: আজগর আলী</t>
  </si>
  <si>
    <t>রবগুল মন্ডল</t>
  </si>
  <si>
    <t>সুবাসী বিবি</t>
  </si>
  <si>
    <t>২০/০৬/১৯৫৭</t>
  </si>
  <si>
    <t>মো: আতিয়ার রহমান</t>
  </si>
  <si>
    <t>০৮/০৮/১৯৭৯</t>
  </si>
  <si>
    <t>মো: আসকার আলী</t>
  </si>
  <si>
    <t>০১/০২/১৯৭১</t>
  </si>
  <si>
    <t>মো: একরামুল হক</t>
  </si>
  <si>
    <t>মো: আজগার আলী</t>
  </si>
  <si>
    <t>২০/০৭/১৯৮৯</t>
  </si>
  <si>
    <t>মো: জমিরুল ইসলাম</t>
  </si>
  <si>
    <t>আ: হান্নান</t>
  </si>
  <si>
    <t>মোছা: বেদেনা খাতুন</t>
  </si>
  <si>
    <t>১৫/০৫/১৯৭৩</t>
  </si>
  <si>
    <t>শ্রমিক</t>
  </si>
  <si>
    <t>মো: আশাবুল হক</t>
  </si>
  <si>
    <t>মো: আ: রহমান</t>
  </si>
  <si>
    <t>০৬/০৭/১৯৮৬</t>
  </si>
  <si>
    <t>মো: হাবিবুর রহমান</t>
  </si>
  <si>
    <t>মো: আ: মালেক</t>
  </si>
  <si>
    <t>মোছা: মনজুরা খাতুন</t>
  </si>
  <si>
    <t>০৫/০৪/১৯৮১</t>
  </si>
  <si>
    <t>মো: নজরুল ইসলাম</t>
  </si>
  <si>
    <t>হাবিলদ্দিন</t>
  </si>
  <si>
    <t>মোছা: নিগারন নেছা</t>
  </si>
  <si>
    <t>১০/০৫/১৯৭২</t>
  </si>
  <si>
    <t>মো: তাহের আলি</t>
  </si>
  <si>
    <t>তাহাজদ্দিন</t>
  </si>
  <si>
    <t>মোছা: আবেদা খাতুন</t>
  </si>
  <si>
    <t>০১/০৭/১৯৫৭</t>
  </si>
  <si>
    <t>মো: মজিবুল ইসলাম</t>
  </si>
  <si>
    <t>মোছা: হাজেরা খাতুন</t>
  </si>
  <si>
    <t>মো: কামাল উদ্দীন</t>
  </si>
  <si>
    <t>মো: সোনাহার মোল্লা</t>
  </si>
  <si>
    <t>মোছা: খদেজা খাতুন</t>
  </si>
  <si>
    <t>১০/০৯/১৯৭০</t>
  </si>
  <si>
    <t>১০/১০/১৯৬২</t>
  </si>
  <si>
    <t>মো: জমশেদ আলী</t>
  </si>
  <si>
    <t>সজিরদ্দিন মন্ডল</t>
  </si>
  <si>
    <t>ছদিমন নেছা</t>
  </si>
  <si>
    <t>১০/১০/১৯৪১</t>
  </si>
  <si>
    <t>মো: মামাল উদ্দীন</t>
  </si>
  <si>
    <t>১২/০৯/১৯৬৫</t>
  </si>
  <si>
    <t>মো: মোকলেছুর রহমান</t>
  </si>
  <si>
    <t>মোছা: রিজিয়া খাতুন</t>
  </si>
  <si>
    <t>২০/০৫/১৯৮২</t>
  </si>
  <si>
    <t>মো: মক্কেল  আলী</t>
  </si>
  <si>
    <t>১২/১০/১৯৮৩</t>
  </si>
  <si>
    <t>ফজর মোল্লা</t>
  </si>
  <si>
    <t>মোছা: ফতেজান</t>
  </si>
  <si>
    <t>০৩/০৯/১৯৫৫</t>
  </si>
  <si>
    <t>০৭/০৭/১৯৮৭</t>
  </si>
  <si>
    <t>মো: উজ্জ্বল হোসেন</t>
  </si>
  <si>
    <t>মো: রুহুল আমীন</t>
  </si>
  <si>
    <t>মোছা: জাহানারা</t>
  </si>
  <si>
    <t>০৩/১০/১৯৮৭</t>
  </si>
  <si>
    <t>মো: আজিজার মন্ডল</t>
  </si>
  <si>
    <t>ফরমান আলি</t>
  </si>
  <si>
    <t>খাতেজান নেছা</t>
  </si>
  <si>
    <t>০৫/০৫/১৯২৭</t>
  </si>
  <si>
    <t>মো: ছানোয়ার হোসেন</t>
  </si>
  <si>
    <t>মোছা: জহিরন নেছা</t>
  </si>
  <si>
    <t>১২/০৬/১৯৬৭</t>
  </si>
  <si>
    <t>মো: আজইল হোসেন</t>
  </si>
  <si>
    <t>০১/১১/১৯৮২</t>
  </si>
  <si>
    <t>মইনুদ্দীন</t>
  </si>
  <si>
    <t>মোছা: জহুরা খাতুন</t>
  </si>
  <si>
    <t>০১/০৫/১৯৬৮</t>
  </si>
  <si>
    <t>মো: আব্দুল মালেক</t>
  </si>
  <si>
    <t>মোছা: ওকিমন নেছা</t>
  </si>
  <si>
    <t>১৬/১১/১৯৫২</t>
  </si>
  <si>
    <t>মো: বাবুল হোসেন</t>
  </si>
  <si>
    <t>১৫/১০/১৯৮৭</t>
  </si>
  <si>
    <t>মো: বিল্লাল হোসেন</t>
  </si>
  <si>
    <t>মোছা: মমতাজ বেগম</t>
  </si>
  <si>
    <t>১৯/১০/১৯৮৮</t>
  </si>
  <si>
    <t>মো: আব্দুল্লাহ আল মামুন</t>
  </si>
  <si>
    <t>মোছা: হাসিনা খাতুন</t>
  </si>
  <si>
    <t>৩১/১২/১৯৮৬</t>
  </si>
  <si>
    <t>মো: আমিনুল হক</t>
  </si>
  <si>
    <t>মো: আবুল হোসেন</t>
  </si>
  <si>
    <t>মোছা: ইশারন নেছা</t>
  </si>
  <si>
    <t>১৯/১১/১৯৬৫</t>
  </si>
  <si>
    <t>মো: বাবলু আলী</t>
  </si>
  <si>
    <t>মো: আনছার মুনশী</t>
  </si>
  <si>
    <t>মোছা: ভানুয়ারা খাতুন</t>
  </si>
  <si>
    <t>২২/১০/১৯৮৪</t>
  </si>
  <si>
    <t>মো: আনছার আলী</t>
  </si>
  <si>
    <t>আজহার মুনশী</t>
  </si>
  <si>
    <t>বহেরন নেছা</t>
  </si>
  <si>
    <t>১৫/০২/১৯৪৭</t>
  </si>
  <si>
    <t>মো: ফরিদ আলী</t>
  </si>
  <si>
    <t>মো: আবু বক্কর</t>
  </si>
  <si>
    <t>মোছা: জবেদা খাতুন</t>
  </si>
  <si>
    <t>১৪/১০/১৯৭৭</t>
  </si>
  <si>
    <t>মো: শরিফুল ইসলাম</t>
  </si>
  <si>
    <t>জব্বার মৃধা</t>
  </si>
  <si>
    <t>রমেলা খাতুন</t>
  </si>
  <si>
    <t>১৫/০৭/১৯৬৯</t>
  </si>
  <si>
    <t>রুস্তম মন্ডল</t>
  </si>
  <si>
    <t>মোছা: মনোয়ারা খাতুন</t>
  </si>
  <si>
    <t>১৬/০৫/১৯৭৭</t>
  </si>
  <si>
    <t>আকবর আলী</t>
  </si>
  <si>
    <t>রয়মন নেছা</t>
  </si>
  <si>
    <t>১০/০৬/১৯৭৩</t>
  </si>
  <si>
    <t>মো: নূর ইসলাম</t>
  </si>
  <si>
    <t>ইয়াকুব আলী</t>
  </si>
  <si>
    <t>২৫/০৩/১৯৬১</t>
  </si>
  <si>
    <t>মো: আমজাদ হোসেন</t>
  </si>
  <si>
    <t>১১/০৪/১৯৫২</t>
  </si>
  <si>
    <t>মো: শহিদুল ইসলাম</t>
  </si>
  <si>
    <t>১১/০৬/১৯৬৭</t>
  </si>
  <si>
    <t>মো: আলাউদ্দীন</t>
  </si>
  <si>
    <t>মো: আব্দুল আজিজ</t>
  </si>
  <si>
    <t>মাতা: ছানোয়ারা খাতুন</t>
  </si>
  <si>
    <t>১২/০৫/১৯৬১</t>
  </si>
  <si>
    <t>মো: হায়দার আলী</t>
  </si>
  <si>
    <t>হারান মন্ডল</t>
  </si>
  <si>
    <t>মাতা: আজিমন নেছা</t>
  </si>
  <si>
    <t>০১/০৫/১৯৫৪</t>
  </si>
  <si>
    <t>১৭/০৩/১৯৬৯</t>
  </si>
  <si>
    <t>মো: আলী হোসেন</t>
  </si>
  <si>
    <t>মো: মহসীন আলী</t>
  </si>
  <si>
    <t>মাতা: রাহাতন নেছা</t>
  </si>
  <si>
    <t>১০/০৫/১৯৭৭</t>
  </si>
  <si>
    <t>মোহা: মোশারফ হোসেন</t>
  </si>
  <si>
    <t>১০/০৬/১৯৮০</t>
  </si>
  <si>
    <t>মো: ইদ্রিস আলী</t>
  </si>
  <si>
    <t>রুস্তম আলী</t>
  </si>
  <si>
    <t>মাতা: মনোয়ারা</t>
  </si>
  <si>
    <t>১০/১১/১৯৭৫</t>
  </si>
  <si>
    <t>মো: ডাবলু ইসলাম</t>
  </si>
  <si>
    <t>মো: আনছার মুনশি</t>
  </si>
  <si>
    <t>১২/০৪/১৯৮৮</t>
  </si>
  <si>
    <t>মো: আবু আল বাশার</t>
  </si>
  <si>
    <t>মো: ইউনুছ আলী</t>
  </si>
  <si>
    <t>মোছা: হোসনেয়ারা বেগম</t>
  </si>
  <si>
    <t>২৫/১১/১৯৮৪</t>
  </si>
  <si>
    <t>মোহা: লিখন</t>
  </si>
  <si>
    <t>মো: সহিদুল ইসলাম</t>
  </si>
  <si>
    <t>মোছা: ছাহরন নেছা</t>
  </si>
  <si>
    <t>০৬/০৮/১৯৮৭</t>
  </si>
  <si>
    <t>জালতকা উত্তরপাড়া, গাংনী, মেহেরপুর</t>
  </si>
  <si>
    <t>মো: ছাবের আলী</t>
  </si>
  <si>
    <t>আজাহার পরামানিক</t>
  </si>
  <si>
    <t>মাতা: রিছল</t>
  </si>
  <si>
    <t>০৯/০৪/১৯৪৫</t>
  </si>
  <si>
    <t>মো: মখলেছুর রহমান</t>
  </si>
  <si>
    <t>মো: আহাদ আলী</t>
  </si>
  <si>
    <t>মোছা: জোহরা খাতুন</t>
  </si>
  <si>
    <t>০১/০১/১৯৮৬</t>
  </si>
  <si>
    <t>মো: কালু বিশ্বাস</t>
  </si>
  <si>
    <t>মো: সোনাহার মন্ডল</t>
  </si>
  <si>
    <t>মোছা: খাদিজা খাতুন</t>
  </si>
  <si>
    <t>০৮/০৭/১৯৮২</t>
  </si>
  <si>
    <t>নূর ইসলাম</t>
  </si>
  <si>
    <t>মোছা: রোকেয়া খাতুন</t>
  </si>
  <si>
    <t>০৪/০২/১৯৭৯</t>
  </si>
  <si>
    <t>মো: হোসেন আলী</t>
  </si>
  <si>
    <t>মো: আকবার আলী</t>
  </si>
  <si>
    <t>মোছা: মনরা খাতুন</t>
  </si>
  <si>
    <t>২০/০৭/১৯৬৭</t>
  </si>
  <si>
    <t>জালতকা উত্তর পাড়া, গাংনী, মেহেরপুর</t>
  </si>
  <si>
    <t>মো: রফিকুল ইসলাম</t>
  </si>
  <si>
    <t>মো: আ: আজিজ</t>
  </si>
  <si>
    <t>০৩/০৪/১৯৮৫</t>
  </si>
  <si>
    <t>কিপাতুল্লা</t>
  </si>
  <si>
    <t>মাতা: জহিরন</t>
  </si>
  <si>
    <t>০৫/১০/১৯৪৭</t>
  </si>
  <si>
    <t>মো: বিপুল হোসেন</t>
  </si>
  <si>
    <t>মো: হাসেন আলী</t>
  </si>
  <si>
    <t>মোছা: সফুরা খাতুন</t>
  </si>
  <si>
    <t>২৫/০৮/১৯৮৫</t>
  </si>
  <si>
    <t>মোহা: আব্দুর রহিম</t>
  </si>
  <si>
    <t>মোহা: ছলেমান মন্ডল</t>
  </si>
  <si>
    <t>মোছা: রহিমা</t>
  </si>
  <si>
    <t>২০/০৮/১৯৭৯</t>
  </si>
  <si>
    <t>মোহাঃ ছলেমান মন্ডল</t>
  </si>
  <si>
    <t>মাতা: মোছাঃ রহিমা</t>
  </si>
  <si>
    <t>১২/০৫/১৯৮৭</t>
  </si>
  <si>
    <t>ঠিকানা: জালতকা উত্তর পাড়া, গাংনী, মেহেরপুর</t>
  </si>
  <si>
    <t>মোঃ সুলতান</t>
  </si>
  <si>
    <t>তৈজদ্দিন</t>
  </si>
  <si>
    <t>মাতা: ছালেহা</t>
  </si>
  <si>
    <t>২২/০৫/১৯৫৭</t>
  </si>
  <si>
    <t>মোঃ বিল্টু আলী</t>
  </si>
  <si>
    <t>পিতা: মোঃ আব্দুল জলিল</t>
  </si>
  <si>
    <t>মাতা: মোছাঃ রেজিয়া খাতুন</t>
  </si>
  <si>
    <t>০৩/০৪/১৯৬৯</t>
  </si>
  <si>
    <t>ঠিকানা: জালতকা, গাংনী, মেহেরপুর</t>
  </si>
  <si>
    <t>মোঃ সেলিম রেজা</t>
  </si>
  <si>
    <t>মাতা: মোছাঃ জাহানারা খাতুন</t>
  </si>
  <si>
    <t>০৬/০৭/১৯৮২</t>
  </si>
  <si>
    <t>মোঃ ইদ্রিস আলী</t>
  </si>
  <si>
    <t>মোঃ রমছদ্দীন মন্ডল</t>
  </si>
  <si>
    <t>মাতা: মালেকা খাতুন</t>
  </si>
  <si>
    <t>০৩/০৪/১৯৭৫</t>
  </si>
  <si>
    <t>মোঃ জামাল উদ্দীন</t>
  </si>
  <si>
    <t>মোঃ আব্দুল জলিল</t>
  </si>
  <si>
    <t>০২/০৩/১৯৬৭</t>
  </si>
  <si>
    <t>মোঃ তরিকুল ইসলাম</t>
  </si>
  <si>
    <t>মোঃ আব্দুল আজিজ মুন্সী</t>
  </si>
  <si>
    <t>২১/০৬/১৯৭২</t>
  </si>
  <si>
    <t xml:space="preserve"> মোঃ লুৎফর রহমান</t>
  </si>
  <si>
    <t>মোঃ আবু সিদ্দিক</t>
  </si>
  <si>
    <t>মাতা: মোছাঃ রহিমা খাতুন</t>
  </si>
  <si>
    <t>০২/০৩/১৯৭৫</t>
  </si>
  <si>
    <t>অন্যান্য</t>
  </si>
  <si>
    <t xml:space="preserve"> মোঃ বদিরুজ্জামান</t>
  </si>
  <si>
    <t>মোঃ বজলুল হক</t>
  </si>
  <si>
    <t>মোঃ ঠান্ডু</t>
  </si>
  <si>
    <t>মোহাঃ মজিবর রহমান</t>
  </si>
  <si>
    <t>মাতা: মোছাঃ মছনা</t>
  </si>
  <si>
    <t>১৪/১০/১৯৬১</t>
  </si>
  <si>
    <t>মোঃ আনারুল হক</t>
  </si>
  <si>
    <t>মোঃ মনিরুদ্দীন</t>
  </si>
  <si>
    <t>মাতা: মোছাঃ রোকেয়া খাতুন</t>
  </si>
  <si>
    <t>২০/১০/১৯৭৫</t>
  </si>
  <si>
    <t>মোঃ আলামিন হোসেন</t>
  </si>
  <si>
    <t>মোঃ রতন মন্ডল</t>
  </si>
  <si>
    <t>মাতা: মোছাঃ তরিছন নেছা</t>
  </si>
  <si>
    <t>২২/০৫/১৯৭০</t>
  </si>
  <si>
    <t>মোঃ আব্দুল মালেক</t>
  </si>
  <si>
    <t>পিতা: মোঃ শাজান আলী</t>
  </si>
  <si>
    <t>মাতা: মোছাঃ রাশেদা খাতুন</t>
  </si>
  <si>
    <t>৩১/১২/১৯৮০</t>
  </si>
  <si>
    <t>মোঃ মেহের আলী</t>
  </si>
  <si>
    <t>মোঃ দবীর উদ্দীন মালিথা</t>
  </si>
  <si>
    <t>মাতা: মোছাঃ জিরমন নেছা</t>
  </si>
  <si>
    <t>০১/০১/১৯৭১</t>
  </si>
  <si>
    <t>মোঃ আঃ ওহাব</t>
  </si>
  <si>
    <t>রহমান মন্ডল</t>
  </si>
  <si>
    <t>মাতা: আমেনা খাতুন</t>
  </si>
  <si>
    <t>২৭/০৪/১৯৫৭</t>
  </si>
  <si>
    <t>মোঃ মঙ্গল মালিথা</t>
  </si>
  <si>
    <t>মাতা: মোছাঃ জরিমন নেছা</t>
  </si>
  <si>
    <t>০১/০১/১৯৯০</t>
  </si>
  <si>
    <t>মোঃ ইউছুফ আলী</t>
  </si>
  <si>
    <t>রবগুল শেখ</t>
  </si>
  <si>
    <t>মাতা: ছবিরন নেছা</t>
  </si>
  <si>
    <t>০১/০৪/১৯৫৭</t>
  </si>
  <si>
    <t>মোঃ জামাল হোসেন</t>
  </si>
  <si>
    <t>রেজাউল</t>
  </si>
  <si>
    <t>মাতা: আত্তরা খাতুন</t>
  </si>
  <si>
    <t>০১/০১/১৯৫৫</t>
  </si>
  <si>
    <t>ঠিকানা: জালতকা, কসবা, গাংনী, মেহেরপুর</t>
  </si>
  <si>
    <t>মো: চাঁনদালী</t>
  </si>
  <si>
    <t>মো: হাশেম আলী</t>
  </si>
  <si>
    <t>মাতা: মোছা: ছানুয়ারা</t>
  </si>
  <si>
    <t>০৫/০৭/১৯৭৯</t>
  </si>
  <si>
    <t>মো: জামাল হোসেন</t>
  </si>
  <si>
    <t>মাতা: নুরজাহান খাতুন</t>
  </si>
  <si>
    <t>৭০০৫৬৩৭৮০২৪</t>
  </si>
  <si>
    <t>১০/১০/১৯৮১</t>
  </si>
  <si>
    <t xml:space="preserve"> মো: লিটন আলী</t>
  </si>
  <si>
    <t>মাতা: মোছা: ছানুয়ারা খাতুন</t>
  </si>
  <si>
    <t>৭০০৫৬৩৭৮০২৬</t>
  </si>
  <si>
    <t>০৭/০৬/১৯৮২</t>
  </si>
  <si>
    <t xml:space="preserve"> মো: মজনুর রহমান</t>
  </si>
  <si>
    <t>মাতা: কদভানু</t>
  </si>
  <si>
    <t>৭০০৫৬৩৭৮০২৯</t>
  </si>
  <si>
    <t>১২/১১/১৯৬২</t>
  </si>
  <si>
    <t>মো: হারুন মন্ডল</t>
  </si>
  <si>
    <t>মাতা: মোছা: সরবজান</t>
  </si>
  <si>
    <t>৭০০৫৬৩৭৮০৩১</t>
  </si>
  <si>
    <t>২০/০৯/১৯৬৯</t>
  </si>
  <si>
    <t>নাম: মো: মমিন</t>
  </si>
  <si>
    <t xml:space="preserve"> জাদু আলী</t>
  </si>
  <si>
    <t>মাতা: জেলেপান খাতুন</t>
  </si>
  <si>
    <t>৭০০৫৬৩৭৮০৩৪</t>
  </si>
  <si>
    <t>০৯/০৯/১৯৭২</t>
  </si>
  <si>
    <t>নাম: মো: আব্দুল</t>
  </si>
  <si>
    <t>মো: মমিন</t>
  </si>
  <si>
    <t>মাতা: মোছা: মজিরন</t>
  </si>
  <si>
    <t>৭০০৫৬৩৭৮০৩৬</t>
  </si>
  <si>
    <t>০৭/০৫/১৯৮২</t>
  </si>
  <si>
    <t>নাম: মো: রহিদুল ইসলাম</t>
  </si>
  <si>
    <t>মো: ছলেমান মন্ডল</t>
  </si>
  <si>
    <t>মাতা: মোছা: রহিমা খাতুন</t>
  </si>
  <si>
    <t>৭০০৫৬৩৭৮০৪২</t>
  </si>
  <si>
    <t>৩০/০৯/১৯৮০</t>
  </si>
  <si>
    <t>নাম: মো: মতিয়ার রহমান</t>
  </si>
  <si>
    <t>মো: ফজল উদ্দীন</t>
  </si>
  <si>
    <t>মাতা: আনোয়ারা খাতুন</t>
  </si>
  <si>
    <t>৭০০৫৬৩৭৮০৪৩</t>
  </si>
  <si>
    <t>০৮/০৯/১৯৭৯</t>
  </si>
  <si>
    <t>নাম: মো: মজিদ</t>
  </si>
  <si>
    <t>মাতা: মোছা: সাহার বানু</t>
  </si>
  <si>
    <t>৭০০৫৬৩৭৮০৪৪</t>
  </si>
  <si>
    <t>০৫/০২/১৯৮০</t>
  </si>
  <si>
    <t>নাম: মো: আবুছদ্দিন  মন্ডল</t>
  </si>
  <si>
    <t>নবিছদ্দীন মন্ডল</t>
  </si>
  <si>
    <t>৭০০৫৬৩৭৮০৪৮</t>
  </si>
  <si>
    <t>৩০/০৭/১৯৫২</t>
  </si>
  <si>
    <t>নাম: মো: আলম</t>
  </si>
  <si>
    <t>মো: আবুদ্ধীন মন্ডল</t>
  </si>
  <si>
    <t>মাতা: মোছা: কুলছন নেছা</t>
  </si>
  <si>
    <t>৭০০৫৬৩৭৮০৪৯</t>
  </si>
  <si>
    <t>০৩/০৫/১৯৭৮</t>
  </si>
  <si>
    <t>নাম: মো: আলমাছ</t>
  </si>
  <si>
    <t>মাতা: মোছা: জামেনা খাতুন</t>
  </si>
  <si>
    <t>৭০০৫৬৩৭৮০৫৬</t>
  </si>
  <si>
    <t>১০/১০/১৯৬৭</t>
  </si>
  <si>
    <t>নাম: মো: শামসুল হক</t>
  </si>
  <si>
    <t>মো: আমীর মন্ডল</t>
  </si>
  <si>
    <t>মাতা: মোছা: জামিরন খাতুন</t>
  </si>
  <si>
    <t>৭০০৫৬৩৭৮০৫৮</t>
  </si>
  <si>
    <t>২০/০৫/১৯৫২</t>
  </si>
  <si>
    <t>নাম: মো: মন্টু আলী</t>
  </si>
  <si>
    <t>আঃ আজিজ</t>
  </si>
  <si>
    <t>মাতা: মাহিরন নেছা</t>
  </si>
  <si>
    <t>৭০০৫৬৩৭৮০৬১</t>
  </si>
  <si>
    <t>০১/০১/১৯৬৪</t>
  </si>
  <si>
    <t>নাম: মো: খোকন</t>
  </si>
  <si>
    <t>মো: আসান আলী</t>
  </si>
  <si>
    <t>মাতা: মোছা: মর্জিনা খাতুন</t>
  </si>
  <si>
    <t>৭০০৫৬৩৭৮০৬২</t>
  </si>
  <si>
    <t>০৭/০৬/১৯৮৩</t>
  </si>
  <si>
    <t xml:space="preserve"> মো: সোনাহার </t>
  </si>
  <si>
    <t xml:space="preserve"> মো: শুকুর আলী</t>
  </si>
  <si>
    <t>মাতা: মোছা: হালিমা খাতুন</t>
  </si>
  <si>
    <t>৭০০৫৬৩৭৮০৬৪</t>
  </si>
  <si>
    <t>নাম: মো: আমিরুল ইসলাম</t>
  </si>
  <si>
    <t xml:space="preserve"> ইসমাইল হোসেন</t>
  </si>
  <si>
    <t>মাতা: মোছা: ফুলজান খাতুন</t>
  </si>
  <si>
    <t>৭০০৫৬৩৭৮০৬৫</t>
  </si>
  <si>
    <t>নাম: মো: মহিবুল</t>
  </si>
  <si>
    <t xml:space="preserve"> নবিছদ্দীন</t>
  </si>
  <si>
    <t>৭০০৫৬৩৭৮০৬৬</t>
  </si>
  <si>
    <t>২৩/০৮/১৯৬৯</t>
  </si>
  <si>
    <t>নাম: মো: লাল্টু</t>
  </si>
  <si>
    <t>৭০০৫৬৩৭৮০৬৭</t>
  </si>
  <si>
    <t>নাম: মো: সেলিম হোসেন</t>
  </si>
  <si>
    <t xml:space="preserve"> মো: বশিরুদ্দীন</t>
  </si>
  <si>
    <t>মাতা: মোছা: আকলিমা</t>
  </si>
  <si>
    <t>৭০০৫৬৩৭৮০৭১</t>
  </si>
  <si>
    <t>০৫/০৮/১৯৭৭</t>
  </si>
  <si>
    <t>নাম: মো: নাজমুল ইসলাম</t>
  </si>
  <si>
    <t>৭০০৫৬৩৭৮০৭২</t>
  </si>
  <si>
    <t>১৪/০২/১৯৮৭</t>
  </si>
  <si>
    <t>ঠিকানা: জালতকা মসজিদ পাড়া, গাংনী, মেহেরপুর</t>
  </si>
  <si>
    <t>নাম: মো: খায়রুল ইসলাম</t>
  </si>
  <si>
    <t xml:space="preserve"> মো: ইউসুফ বিশ্বাস</t>
  </si>
  <si>
    <t>মাতা: মোছা: জাহিদা খাতুন</t>
  </si>
  <si>
    <t>৭০০৫৬৩৭৮০৭৪</t>
  </si>
  <si>
    <t>০২/০৯/১৯৭৭</t>
  </si>
  <si>
    <t>নাম: মো: আনারুল ইসলাম</t>
  </si>
  <si>
    <t>৭০০৫৬৩৭৮০৭৫</t>
  </si>
  <si>
    <t>১৮/০৬/১৯৭২</t>
  </si>
  <si>
    <t xml:space="preserve">নাম: মো: আবুছদ্দিন </t>
  </si>
  <si>
    <t xml:space="preserve"> মো: আসান বিশ্বাস</t>
  </si>
  <si>
    <t>মাতা: আজিরন খাতুন</t>
  </si>
  <si>
    <t>৭০০৫৬৩৭৮০৭৬</t>
  </si>
  <si>
    <t>১৩/০৫/১৯৭৫</t>
  </si>
  <si>
    <t>নাম: মো: কুদ্দুস আলী</t>
  </si>
  <si>
    <t xml:space="preserve"> যাহা বকস</t>
  </si>
  <si>
    <t>৭০০৫৬৩৭৮০৭৭</t>
  </si>
  <si>
    <t>২৪/১২/১৯৭২</t>
  </si>
  <si>
    <t>নাম: মো: ইমদাদুল</t>
  </si>
  <si>
    <t xml:space="preserve"> মো: আকবর আলী</t>
  </si>
  <si>
    <t>মাতা: মোছা: মনোয়ারা খাতুন</t>
  </si>
  <si>
    <t>৭০০৫৬৩৭৮০৭৮</t>
  </si>
  <si>
    <t>১০/০৮/১৯৭৯</t>
  </si>
  <si>
    <t>নাম: মো: হাসান আলী</t>
  </si>
  <si>
    <t xml:space="preserve"> মো: ইউসুফ আলী</t>
  </si>
  <si>
    <t>মাতা: মোছা: জাহেদা খাতুন</t>
  </si>
  <si>
    <t>৭০০৫৬৩৭৮০৭৯</t>
  </si>
  <si>
    <t>২০/০৪/১৯৮১</t>
  </si>
  <si>
    <t>নাম: মো: বিল্লাল হোসেন</t>
  </si>
  <si>
    <t>৭০০৫৬৩৭৮০৮৪</t>
  </si>
  <si>
    <t>০৫/০২/১৯৭০</t>
  </si>
  <si>
    <t>নাম: মো: ইদ্রিস আলী</t>
  </si>
  <si>
    <t xml:space="preserve"> জাহাবক্স</t>
  </si>
  <si>
    <t>৭০০৫৬৩৭৮০৮৫</t>
  </si>
  <si>
    <t>১৫/০৩/১৯৭২</t>
  </si>
  <si>
    <t>নাম: মো: জহুরুল ইসলাম</t>
  </si>
  <si>
    <t xml:space="preserve"> ছাদেক আলী</t>
  </si>
  <si>
    <t>৭০০৫৬৩৭৮০৮৬</t>
  </si>
  <si>
    <t>১৭/১১/১৯৮২</t>
  </si>
  <si>
    <t>নাম: মো: আইয়ুব আলী</t>
  </si>
  <si>
    <t xml:space="preserve"> মো: হেলাল উদ্দীন</t>
  </si>
  <si>
    <t>মাতা: মোছা: স্বর্ণা খাতুন</t>
  </si>
  <si>
    <t>৭০০৫৬৩৭৮০৯৫</t>
  </si>
  <si>
    <t>০৪/০৫/১৯৮৫</t>
  </si>
  <si>
    <t>নাম: মো: বাবুল হোসেন</t>
  </si>
  <si>
    <t xml:space="preserve"> মো: জামাল উদ্দীন</t>
  </si>
  <si>
    <t>মাতা: মোছা: আছিয়া খাতুন</t>
  </si>
  <si>
    <t>৭০০৫৬৩৭৮০৯৮</t>
  </si>
  <si>
    <t>১২/০৫/১৯৮৫</t>
  </si>
  <si>
    <t>নাম: মো: আশাদুল ইসলাম</t>
  </si>
  <si>
    <t xml:space="preserve"> মো: আ: বারেক</t>
  </si>
  <si>
    <t>মাতা: মোছা: সুফিয়া খাতুন</t>
  </si>
  <si>
    <t>৭০০৫৬৩৭৮০৯৯</t>
  </si>
  <si>
    <t>১৫/১১/১৯৭৫</t>
  </si>
  <si>
    <t xml:space="preserve"> মো: খবির উদ্দীন </t>
  </si>
  <si>
    <t xml:space="preserve"> ওরাজ বক্স মালিথা </t>
  </si>
  <si>
    <t xml:space="preserve"> মোছা: ইজারন নেছা </t>
  </si>
  <si>
    <t xml:space="preserve"> ১০/০২/১৯৬১ </t>
  </si>
  <si>
    <t xml:space="preserve"> কৃষক </t>
  </si>
  <si>
    <t xml:space="preserve"> জালশুকা, গাংনী, মেহেরপুর </t>
  </si>
  <si>
    <t xml:space="preserve"> মো: দবির উদ্দীন </t>
  </si>
  <si>
    <t xml:space="preserve"> ২০/০২/১৯৫৯ </t>
  </si>
  <si>
    <t xml:space="preserve"> মো: মুকুল হোসেন </t>
  </si>
  <si>
    <t xml:space="preserve"> মো: মনসুর আলী </t>
  </si>
  <si>
    <t xml:space="preserve"> মোছা: কহিনুর নেছা </t>
  </si>
  <si>
    <t xml:space="preserve"> ০৫/০৮/১৯৮৮ </t>
  </si>
  <si>
    <t xml:space="preserve"> মো: বকুল হোসেন </t>
  </si>
  <si>
    <t xml:space="preserve"> ৩১/১২/১৯৮০ </t>
  </si>
  <si>
    <t xml:space="preserve"> মো: আশাদুল হক </t>
  </si>
  <si>
    <t xml:space="preserve"> ওরাজ বক্স </t>
  </si>
  <si>
    <t xml:space="preserve"> ২৫/০২/১৯৭৪ </t>
  </si>
  <si>
    <t xml:space="preserve"> মো: নাসীর উদ্দীন </t>
  </si>
  <si>
    <t xml:space="preserve"> ০২/০২/১৯৭২ </t>
  </si>
  <si>
    <t xml:space="preserve"> মো: সাইফুল ইসলাম </t>
  </si>
  <si>
    <t xml:space="preserve"> মোছা: রিজিয়া খাতুন </t>
  </si>
  <si>
    <t xml:space="preserve"> ৩১/১২/১৯৮৩ </t>
  </si>
  <si>
    <t xml:space="preserve"> ছাত্র/ছাত্রী </t>
  </si>
  <si>
    <t xml:space="preserve"> মো: আলামিন মালিথা </t>
  </si>
  <si>
    <t xml:space="preserve"> ১১/০১/১৯৮৭ </t>
  </si>
  <si>
    <t xml:space="preserve"> মো: রবিউল হক </t>
  </si>
  <si>
    <t xml:space="preserve"> ১৭/০৪/১৯৪৫ </t>
  </si>
  <si>
    <t xml:space="preserve"> মো: তোফাজ্জেল হোসেন </t>
  </si>
  <si>
    <t xml:space="preserve"> উম্মাদ আলী </t>
  </si>
  <si>
    <t xml:space="preserve"> মোছা: রবিয়া খাতুন </t>
  </si>
  <si>
    <t xml:space="preserve"> ০৫/০৬/১৯৬১ </t>
  </si>
  <si>
    <t xml:space="preserve"> ব্যবসা </t>
  </si>
  <si>
    <t xml:space="preserve"> মো: আলেকচাঁদ </t>
  </si>
  <si>
    <t xml:space="preserve"> মোছা: মাবিয়া খাতুন </t>
  </si>
  <si>
    <t xml:space="preserve"> ০৭/০৬/১৯৮২ </t>
  </si>
  <si>
    <t xml:space="preserve"> মো: রতন আলী </t>
  </si>
  <si>
    <t xml:space="preserve"> মো: বুদু আলী </t>
  </si>
  <si>
    <t xml:space="preserve"> মোছা: সবুরন নেছা </t>
  </si>
  <si>
    <t xml:space="preserve"> ০৫/০১/১৯৮৩ </t>
  </si>
  <si>
    <t xml:space="preserve"> মো: মশিউর রহমান </t>
  </si>
  <si>
    <t xml:space="preserve"> মো: আহার উদ্দীন মন্ডল </t>
  </si>
  <si>
    <t xml:space="preserve"> মোছা: জাহানারা খাতুন </t>
  </si>
  <si>
    <t xml:space="preserve"> ০১/০১/১৯৮৩ </t>
  </si>
  <si>
    <t xml:space="preserve"> মো: হাসিবুল </t>
  </si>
  <si>
    <t xml:space="preserve"> মো: মোছারদ্দীন মন্ডল </t>
  </si>
  <si>
    <t xml:space="preserve"> মোছা: খবেজা খাতুন </t>
  </si>
  <si>
    <t xml:space="preserve"> ২৫/১০/১৯৮২ </t>
  </si>
  <si>
    <t xml:space="preserve"> মো: রবিউল ইসলাম </t>
  </si>
  <si>
    <t xml:space="preserve"> মো: মোছার উদ্দীন মন্ডল </t>
  </si>
  <si>
    <t xml:space="preserve"> ০৯/০২/১৯৭১ </t>
  </si>
  <si>
    <t xml:space="preserve"> মো: নূর ইসলাম </t>
  </si>
  <si>
    <t xml:space="preserve"> নেপাল মন্ডল </t>
  </si>
  <si>
    <t xml:space="preserve"> জবেদা খাতুন </t>
  </si>
  <si>
    <t xml:space="preserve"> ০১/০১/১৯৫৬ </t>
  </si>
  <si>
    <t xml:space="preserve"> মো: বিল্লাল হোসেন </t>
  </si>
  <si>
    <t xml:space="preserve"> মো: আসান আলী </t>
  </si>
  <si>
    <t xml:space="preserve"> মোছা: আজিফা খাতুন </t>
  </si>
  <si>
    <t xml:space="preserve"> ০৫/০৩/১৯৮৪ </t>
  </si>
  <si>
    <t xml:space="preserve"> মো: শহিদুল ইসলাম </t>
  </si>
  <si>
    <t xml:space="preserve"> মো: রমজান আলী </t>
  </si>
  <si>
    <t xml:space="preserve"> মোছা: সুফিয়া খাতুন </t>
  </si>
  <si>
    <t xml:space="preserve"> ০২/০৩/১৯৭৩ </t>
  </si>
  <si>
    <t xml:space="preserve"> যাদু আলী মন্ডল </t>
  </si>
  <si>
    <t xml:space="preserve"> মোছা: জেলেশন নেছা </t>
  </si>
  <si>
    <t xml:space="preserve"> ১৫/০৫/১৯৫৯ </t>
  </si>
  <si>
    <t xml:space="preserve"> মো: হেলাল উদ্দীন </t>
  </si>
  <si>
    <t xml:space="preserve"> মো: মানিক মন্ডল </t>
  </si>
  <si>
    <t xml:space="preserve"> কমেলা খাতুন </t>
  </si>
  <si>
    <t xml:space="preserve"> ১০/১০/১৯৬৭ </t>
  </si>
  <si>
    <t xml:space="preserve"> মো: বরকত আলী </t>
  </si>
  <si>
    <t xml:space="preserve"> ইলা বক্স </t>
  </si>
  <si>
    <t xml:space="preserve"> মোছা: এলেপান </t>
  </si>
  <si>
    <t xml:space="preserve"> ০১/০১/১৯৭৯ </t>
  </si>
  <si>
    <t xml:space="preserve"> মো: আতিয়ার রহমান </t>
  </si>
  <si>
    <t xml:space="preserve"> মো: কুরবান আলী </t>
  </si>
  <si>
    <t xml:space="preserve"> হামিদা খাতুন </t>
  </si>
  <si>
    <t xml:space="preserve"> মো: মিরাজুল ইসলাম </t>
  </si>
  <si>
    <t xml:space="preserve"> মো: কাদের শেখ </t>
  </si>
  <si>
    <t xml:space="preserve"> মোছা: জমেলা খাতুন </t>
  </si>
  <si>
    <t xml:space="preserve"> ০৫/০৫/১৯৭৯ </t>
  </si>
  <si>
    <t xml:space="preserve"> মো: খলিলুর রহমান </t>
  </si>
  <si>
    <t xml:space="preserve"> জদুআলী মন্ডল </t>
  </si>
  <si>
    <t xml:space="preserve"> মোছা: জেলেখা খাতুন </t>
  </si>
  <si>
    <t xml:space="preserve"> ১২/১১/১৯৬২ </t>
  </si>
  <si>
    <t xml:space="preserve"> মো: ফজল উদ্দীন </t>
  </si>
  <si>
    <t xml:space="preserve"> রব্বানী মন্ডল </t>
  </si>
  <si>
    <t xml:space="preserve"> মোছা: আকিরন নেছা </t>
  </si>
  <si>
    <t xml:space="preserve"> ০১/০১/১৯৪৮ </t>
  </si>
  <si>
    <t xml:space="preserve"> মো: রিপন আলী </t>
  </si>
  <si>
    <t xml:space="preserve"> মো: মন্টু আলী </t>
  </si>
  <si>
    <t xml:space="preserve"> মোছা: আসমা খাতুন </t>
  </si>
  <si>
    <t xml:space="preserve"> ০৬/০৬/১৯৭৯ </t>
  </si>
  <si>
    <t xml:space="preserve"> জবেদ আলী </t>
  </si>
  <si>
    <t xml:space="preserve"> শরিপন নেছা </t>
  </si>
  <si>
    <t xml:space="preserve"> ১০/১০/১৯৫৭ </t>
  </si>
  <si>
    <t xml:space="preserve"> মো: বিপুল </t>
  </si>
  <si>
    <t xml:space="preserve"> মো: আসান উদ্দীন </t>
  </si>
  <si>
    <t xml:space="preserve"> মোছা: মর্জিনা খাতুন </t>
  </si>
  <si>
    <t xml:space="preserve"> ০১/০১/১৯৮৬ </t>
  </si>
  <si>
    <t xml:space="preserve"> শ্রমিক </t>
  </si>
  <si>
    <t xml:space="preserve"> মো: সোহেল রানা </t>
  </si>
  <si>
    <t xml:space="preserve"> মো: আবুল কাশেম </t>
  </si>
  <si>
    <t xml:space="preserve"> মো: মজিবর রহমান </t>
  </si>
  <si>
    <t xml:space="preserve"> মোছা: মইমনা খাতুন </t>
  </si>
  <si>
    <t xml:space="preserve"> মো: কামাল উদ্দীন </t>
  </si>
  <si>
    <t xml:space="preserve"> মো: দবীর উদ্দীন মালিথা </t>
  </si>
  <si>
    <t xml:space="preserve"> মোছা: জরিম নেছা </t>
  </si>
  <si>
    <t xml:space="preserve"> ১০/০২/১৯৮৭ </t>
  </si>
  <si>
    <t xml:space="preserve"> জালশুকা, কসবা, গাংনী, মেহেরপুর </t>
  </si>
  <si>
    <t xml:space="preserve"> মো: এরশাদ আলী </t>
  </si>
  <si>
    <t xml:space="preserve"> মো: দবির উদ্দীন মালিথা </t>
  </si>
  <si>
    <t xml:space="preserve"> মোছা: জমিরন নেছা </t>
  </si>
  <si>
    <t xml:space="preserve"> ০১/০১/১৯৯০ </t>
  </si>
  <si>
    <t xml:space="preserve"> মো: মিনারুল ইসলাম </t>
  </si>
  <si>
    <t xml:space="preserve"> মো: কুরমান আলি </t>
  </si>
  <si>
    <t xml:space="preserve"> মোছা: হামেদা খাতুন </t>
  </si>
  <si>
    <t xml:space="preserve"> ২৮/০৬/১৯৭৩ </t>
  </si>
  <si>
    <t xml:space="preserve"> মো: এনামুল হক </t>
  </si>
  <si>
    <t xml:space="preserve"> সো: ফজল উদ্দীন </t>
  </si>
  <si>
    <t xml:space="preserve"> আনোয়ারা খাতুন </t>
  </si>
  <si>
    <t xml:space="preserve"> ০৮/০৫/১৯৭৯ </t>
  </si>
  <si>
    <t xml:space="preserve"> মো: হানেফ আলী </t>
  </si>
  <si>
    <t xml:space="preserve"> ৩০/০৭/১৯৭৭ </t>
  </si>
  <si>
    <t xml:space="preserve"> মো: তমছের আলি </t>
  </si>
  <si>
    <t xml:space="preserve"> মো: আমীর মন্ডল </t>
  </si>
  <si>
    <t xml:space="preserve"> জমিরন </t>
  </si>
  <si>
    <t xml:space="preserve"> ১১/০৯/১৯৬৭ </t>
  </si>
  <si>
    <t xml:space="preserve"> মো: জাহাঙ্গীর আলম </t>
  </si>
  <si>
    <t xml:space="preserve"> মো: মহসিন আলী </t>
  </si>
  <si>
    <t xml:space="preserve"> মোছা: ছামসুন্নাহার </t>
  </si>
  <si>
    <t xml:space="preserve"> ০১/০১/১৯৮৭ </t>
  </si>
  <si>
    <t xml:space="preserve"> মো: রায়তাল হক </t>
  </si>
  <si>
    <t xml:space="preserve"> মো: খেদের আলী </t>
  </si>
  <si>
    <t xml:space="preserve"> মোছা: সোহাগী </t>
  </si>
  <si>
    <t xml:space="preserve"> ২০/০২/১৯৬১ </t>
  </si>
  <si>
    <t xml:space="preserve"> মো: আ: রাজ্জাক </t>
  </si>
  <si>
    <t xml:space="preserve"> মো: জছের মল্লিক </t>
  </si>
  <si>
    <t xml:space="preserve"> মোছা: ফেলা </t>
  </si>
  <si>
    <t xml:space="preserve"> ১৭/১০/১৯৬৯ </t>
  </si>
  <si>
    <t xml:space="preserve"> মো: আশরাফুল আলম </t>
  </si>
  <si>
    <t xml:space="preserve"> মো: ফজলুল হক </t>
  </si>
  <si>
    <t xml:space="preserve"> মোছা: রোকেয়া খাতুন </t>
  </si>
  <si>
    <t xml:space="preserve"> ০১/০১/১৯৮৪ </t>
  </si>
  <si>
    <t xml:space="preserve"> হামিদুর রহমান </t>
  </si>
  <si>
    <t xml:space="preserve"> কায়েমালী </t>
  </si>
  <si>
    <t xml:space="preserve"> ছমেলা খাতুন </t>
  </si>
  <si>
    <t xml:space="preserve"> ২৩/০৯/১৯৬৪ </t>
  </si>
  <si>
    <t xml:space="preserve"> মো: মতিয়ার রহমান </t>
  </si>
  <si>
    <t xml:space="preserve"> মো: আ: আজিজ </t>
  </si>
  <si>
    <t xml:space="preserve"> মোছা: মনোয়ারা খাতুন </t>
  </si>
  <si>
    <t xml:space="preserve"> ০৯/০৫/১৯৭৪ </t>
  </si>
  <si>
    <t xml:space="preserve"> মো: আ: ওহাব </t>
  </si>
  <si>
    <t xml:space="preserve"> মফেজদ্দী </t>
  </si>
  <si>
    <t xml:space="preserve"> মোছা: রাহেলা খাতুন </t>
  </si>
  <si>
    <t xml:space="preserve"> ১০/০৭/১৯৭২ </t>
  </si>
  <si>
    <t xml:space="preserve"> মো: খাইরুল ইসলাম </t>
  </si>
  <si>
    <t xml:space="preserve"> মোছা: আনোয়ারা খাতুন </t>
  </si>
  <si>
    <t xml:space="preserve"> ০১/০৪/১৯৭০ </t>
  </si>
  <si>
    <t xml:space="preserve"> শওকত আলী </t>
  </si>
  <si>
    <t xml:space="preserve"> রমলা খাতুন </t>
  </si>
  <si>
    <t xml:space="preserve"> ০৯/০৯/১৯৭২ </t>
  </si>
  <si>
    <t xml:space="preserve"> মো: কুতুব উদ্দীন </t>
  </si>
  <si>
    <t xml:space="preserve"> ছিয়ামদ্দীন </t>
  </si>
  <si>
    <t xml:space="preserve"> মোছা: নিহারন নেছা </t>
  </si>
  <si>
    <t xml:space="preserve"> ০১/০৪/১৯৭১ </t>
  </si>
  <si>
    <t xml:space="preserve"> মো: ছলেমান মন্ডল </t>
  </si>
  <si>
    <t xml:space="preserve"> তেইজদ্দীন </t>
  </si>
  <si>
    <t xml:space="preserve"> সালেহার </t>
  </si>
  <si>
    <t xml:space="preserve"> ২৯/০৬/১৯৩৭ </t>
  </si>
  <si>
    <t xml:space="preserve"> মো: জামাত আলী </t>
  </si>
  <si>
    <t xml:space="preserve"> মো: কোরবান মোল্লা </t>
  </si>
  <si>
    <t xml:space="preserve"> হামিদা </t>
  </si>
  <si>
    <t xml:space="preserve"> ০১/০১/১৯৮০ </t>
  </si>
  <si>
    <t xml:space="preserve"> মো: শাবান আলী </t>
  </si>
  <si>
    <t xml:space="preserve"> মোছা: ফরিদা খাতুন </t>
  </si>
  <si>
    <t xml:space="preserve"> ১০/০৯/১৯৭২ </t>
  </si>
  <si>
    <t xml:space="preserve"> মো: আলেক চাঁদ </t>
  </si>
  <si>
    <t xml:space="preserve"> ইয়াকুব বিশ্বাস </t>
  </si>
  <si>
    <t xml:space="preserve"> খাদেজান </t>
  </si>
  <si>
    <t xml:space="preserve"> ০১/০১/১৯৬১ </t>
  </si>
  <si>
    <t xml:space="preserve"> মো: সেটু মিয়া </t>
  </si>
  <si>
    <t xml:space="preserve"> মো: হিতাপ আলী </t>
  </si>
  <si>
    <t xml:space="preserve"> মোছা: কহিনুর </t>
  </si>
  <si>
    <t xml:space="preserve"> ১০/০২/১৯৮৬ </t>
  </si>
  <si>
    <t xml:space="preserve"> মো: বিশারত আলী </t>
  </si>
  <si>
    <t xml:space="preserve"> মো: আত্তাব আলি </t>
  </si>
  <si>
    <t xml:space="preserve"> মোছা: গুলসানারা </t>
  </si>
  <si>
    <t xml:space="preserve"> মো: ওসমান আলী </t>
  </si>
  <si>
    <t xml:space="preserve"> মো: উমিদ আলী </t>
  </si>
  <si>
    <t xml:space="preserve"> মোছা: বেদানা খাতুন </t>
  </si>
  <si>
    <t xml:space="preserve"> ০১/০১/১৯৮৫ </t>
  </si>
  <si>
    <t xml:space="preserve"> মো: আয়ুব আলী </t>
  </si>
  <si>
    <t xml:space="preserve"> ছাবদাল বিশ্বাস </t>
  </si>
  <si>
    <t xml:space="preserve"> রাহেলা খাতুন </t>
  </si>
  <si>
    <t xml:space="preserve"> ৩০/০৪/১৯৬২ </t>
  </si>
  <si>
    <t xml:space="preserve"> জালশুকা মসজিদ পাড়া, গাংনী, মেহেরপুর </t>
  </si>
  <si>
    <t xml:space="preserve"> মো: মনিরুল ইসলাম </t>
  </si>
  <si>
    <t xml:space="preserve"> মো: তমছের আলী </t>
  </si>
  <si>
    <t xml:space="preserve"> মোছা: তাসলিমা খাতুন </t>
  </si>
  <si>
    <t xml:space="preserve"> মো: নজরুল ইসলাম </t>
  </si>
  <si>
    <t xml:space="preserve"> খলিলুর রহমান </t>
  </si>
  <si>
    <t xml:space="preserve"> মোছা: তোফারন নেছা </t>
  </si>
  <si>
    <t xml:space="preserve"> ০২/০১/১৯৭২ </t>
  </si>
  <si>
    <t xml:space="preserve"> শরিফান নেছা </t>
  </si>
  <si>
    <t xml:space="preserve"> ২৫/১১/১৯৮২ </t>
  </si>
  <si>
    <t xml:space="preserve"> মো: তুহিন আলী </t>
  </si>
  <si>
    <t xml:space="preserve"> মো: বাবলু আলী </t>
  </si>
  <si>
    <t xml:space="preserve"> মোছা: আলিয়া খাতুন </t>
  </si>
  <si>
    <t xml:space="preserve"> ০৫/০৭/১৯৮৪ </t>
  </si>
  <si>
    <t xml:space="preserve"> লুতফর রহমান </t>
  </si>
  <si>
    <t xml:space="preserve"> মোছা: রাবিয়া খাতুন </t>
  </si>
  <si>
    <t xml:space="preserve"> ১৯/০৪/১৯৫৯ </t>
  </si>
  <si>
    <t xml:space="preserve"> জালশুকা উত্তর পাড়া, গাংনী, মেহেরপুর </t>
  </si>
  <si>
    <t xml:space="preserve"> লুৎফর রহমান </t>
  </si>
  <si>
    <t xml:space="preserve"> ১২/১০/১৯৪৫ </t>
  </si>
  <si>
    <t xml:space="preserve"> মোছা: রোকেয়া বেগম </t>
  </si>
  <si>
    <t xml:space="preserve"> ১১/০৮/১৯৮০ </t>
  </si>
  <si>
    <t xml:space="preserve"> মো: বাবুল হোসেন </t>
  </si>
  <si>
    <t xml:space="preserve"> মো: আবুল হোসেন </t>
  </si>
  <si>
    <t xml:space="preserve"> মোছা: মাহিরন নেছা </t>
  </si>
  <si>
    <t xml:space="preserve"> ০৪/০৭/১৯৭২ </t>
  </si>
  <si>
    <t xml:space="preserve"> মো: ইশারুদ্দীন </t>
  </si>
  <si>
    <t xml:space="preserve"> তাহাজুদ্দীন </t>
  </si>
  <si>
    <t xml:space="preserve"> মোছা: সফুরা খাতুন </t>
  </si>
  <si>
    <t xml:space="preserve"> ১৭/০৮/১৯৬৪ </t>
  </si>
  <si>
    <t xml:space="preserve"> মো: আমিরুল ইসলাম </t>
  </si>
  <si>
    <t xml:space="preserve"> যাদু মন্ডল </t>
  </si>
  <si>
    <t xml:space="preserve"> মোছা: জেলেজান </t>
  </si>
  <si>
    <t xml:space="preserve"> ২১/০৪/১৯৭০ </t>
  </si>
  <si>
    <t xml:space="preserve"> মোছা: আম্বিয়া খাতুন </t>
  </si>
  <si>
    <t xml:space="preserve"> ০৯/০৪/১৯৭৩ </t>
  </si>
  <si>
    <t xml:space="preserve"> মো: শিপলু আলী </t>
  </si>
  <si>
    <t xml:space="preserve"> মো: তাছিরুদ্দীন </t>
  </si>
  <si>
    <t xml:space="preserve"> মোছা: রেবেকা খাতুন </t>
  </si>
  <si>
    <t xml:space="preserve"> ০৮/০৫/১৯৮৮ </t>
  </si>
  <si>
    <t xml:space="preserve"> মো: মাসুদ আলী </t>
  </si>
  <si>
    <t xml:space="preserve"> মোছা: জয়নব নেছা </t>
  </si>
  <si>
    <t xml:space="preserve"> ১৫/০৩/১৯৮৩ </t>
  </si>
  <si>
    <t xml:space="preserve"> মো: ছনিরুদ্দীন </t>
  </si>
  <si>
    <t xml:space="preserve"> ছামছদ্দি মলিথা </t>
  </si>
  <si>
    <t xml:space="preserve"> আইজান নেছা </t>
  </si>
  <si>
    <t xml:space="preserve"> মো: আপছার আলী </t>
  </si>
  <si>
    <t xml:space="preserve"> মো: ছনিরুদ্দিন </t>
  </si>
  <si>
    <t xml:space="preserve"> মোছা: শবজান </t>
  </si>
  <si>
    <t xml:space="preserve"> ২৫/০৯/১৯৬৭ </t>
  </si>
  <si>
    <t xml:space="preserve"> ০৫/০২/১৯৭৭ </t>
  </si>
  <si>
    <t xml:space="preserve"> বেকার </t>
  </si>
  <si>
    <t xml:space="preserve"> মো: মিয়াজান </t>
  </si>
  <si>
    <t xml:space="preserve"> ১৭/০৪/১৯৭২ </t>
  </si>
  <si>
    <t xml:space="preserve"> মো: সুজন আলী </t>
  </si>
  <si>
    <t xml:space="preserve"> মো: মহাসিন আলী </t>
  </si>
  <si>
    <t xml:space="preserve"> মোছা: ছামসুনার </t>
  </si>
  <si>
    <t xml:space="preserve"> ২৬/০৬/১৯৮৮ </t>
  </si>
  <si>
    <t xml:space="preserve"> মোঃ আব্দুস সাত্তার </t>
  </si>
  <si>
    <t xml:space="preserve"> মোঃ ছমিরদ্দীন </t>
  </si>
  <si>
    <t xml:space="preserve"> মোছাঃ সবজান </t>
  </si>
  <si>
    <t xml:space="preserve"> ৩০/০৫/১৯৭৫ </t>
  </si>
  <si>
    <t xml:space="preserve"> মোঃ জহুরুল ইসলাম </t>
  </si>
  <si>
    <t xml:space="preserve"> মোঃ জনিরুদ্দীন </t>
  </si>
  <si>
    <t xml:space="preserve"> মোছাঃ হাজেরা বেগম </t>
  </si>
  <si>
    <t xml:space="preserve"> ২৮/০৪/১৯৭৩ </t>
  </si>
  <si>
    <t xml:space="preserve"> মোঃ বিশারত আলী </t>
  </si>
  <si>
    <t xml:space="preserve"> আঃ খালেক </t>
  </si>
  <si>
    <t xml:space="preserve"> মোছাঃ সিয়তন </t>
  </si>
  <si>
    <t xml:space="preserve"> ০৪/০৯/১৯৭৫ </t>
  </si>
  <si>
    <t xml:space="preserve"> মোঃ আশরাফুল ইসলাম </t>
  </si>
  <si>
    <t xml:space="preserve"> মোঃ আয়ুব আলী </t>
  </si>
  <si>
    <t xml:space="preserve"> মোছাঃ মর্জিনা খাতুন </t>
  </si>
  <si>
    <t xml:space="preserve"> ০৫/০১/১৯৮৪ </t>
  </si>
  <si>
    <t xml:space="preserve"> মোঃ আক্তার আলী </t>
  </si>
  <si>
    <t xml:space="preserve"> আকবার বিশ্বাস </t>
  </si>
  <si>
    <t xml:space="preserve"> মো: খদেজা খাতুন </t>
  </si>
  <si>
    <t xml:space="preserve"> ১৬/১১/১৯৮০ </t>
  </si>
  <si>
    <t xml:space="preserve"> মোঃ নবিরুদ্দীন </t>
  </si>
  <si>
    <t xml:space="preserve"> আঃ জলিল </t>
  </si>
  <si>
    <t xml:space="preserve"> রমেছা খাতুন </t>
  </si>
  <si>
    <t xml:space="preserve"> ১২/০৮/১৯৪৭ </t>
  </si>
  <si>
    <t xml:space="preserve"> মোঃ শিলন আলী </t>
  </si>
  <si>
    <t xml:space="preserve"> মোছাঃ মর্জিনা </t>
  </si>
  <si>
    <t xml:space="preserve"> ১৭/১২/১৯৮৮ </t>
  </si>
  <si>
    <t xml:space="preserve"> মোঃ শুকুর আলী </t>
  </si>
  <si>
    <t xml:space="preserve"> খবিরুদ্দীন </t>
  </si>
  <si>
    <t xml:space="preserve"> আমিনা খাতুন </t>
  </si>
  <si>
    <t xml:space="preserve"> ১৯/১২/১৯৫০ </t>
  </si>
  <si>
    <t xml:space="preserve"> জালশুকা মসজিদপাড়া, গাংনী, মেহেরপুর </t>
  </si>
  <si>
    <t xml:space="preserve"> মোঃ জমির উদ্দীন </t>
  </si>
  <si>
    <t xml:space="preserve"> কাইমালী মন্ডল </t>
  </si>
  <si>
    <t xml:space="preserve"> মোছাঃ ছমেলা খাতুন </t>
  </si>
  <si>
    <t xml:space="preserve"> ০৯/০৭/১৯৫৭ </t>
  </si>
  <si>
    <t xml:space="preserve"> মোঃ উমিদ আলী </t>
  </si>
  <si>
    <t xml:space="preserve"> কায়েমালী </t>
  </si>
  <si>
    <t xml:space="preserve"> ০৪/০৪/১৯৬৭ </t>
  </si>
  <si>
    <t xml:space="preserve"> মোঃ শফিরদ্দীন </t>
  </si>
  <si>
    <t xml:space="preserve"> তাহাজদ্দীন </t>
  </si>
  <si>
    <t xml:space="preserve"> সফুরা খাতুন </t>
  </si>
  <si>
    <t xml:space="preserve"> ১৭/০৯/১৯৫২ </t>
  </si>
  <si>
    <t xml:space="preserve"> মোঃ আবুল হোসেন </t>
  </si>
  <si>
    <t xml:space="preserve"> শফিরুদ্দীন </t>
  </si>
  <si>
    <t xml:space="preserve"> সুবারন নেছা </t>
  </si>
  <si>
    <t xml:space="preserve"> ২১/০৪/১৯৩৭ </t>
  </si>
  <si>
    <t xml:space="preserve"> মোঃ রুহুল আমিন </t>
  </si>
  <si>
    <t xml:space="preserve"> মোঃ দিদার বকস্ </t>
  </si>
  <si>
    <t xml:space="preserve"> মোছাঃ নজিরা খাতুন </t>
  </si>
  <si>
    <t xml:space="preserve"> ১৯/০৩/১৯৬২ </t>
  </si>
  <si>
    <t xml:space="preserve"> মোঃ লিটন আলী </t>
  </si>
  <si>
    <t xml:space="preserve"> মোঃ আনসার মুন্সি </t>
  </si>
  <si>
    <t xml:space="preserve"> মোছাঃ ভানুআরা </t>
  </si>
  <si>
    <t xml:space="preserve"> ২১/০৭/১৯৮৭ </t>
  </si>
  <si>
    <t xml:space="preserve"> মোঃ আলমগীর হোসেন </t>
  </si>
  <si>
    <t xml:space="preserve"> মোঃ হায়াত আলী </t>
  </si>
  <si>
    <t xml:space="preserve"> মোছাঃ আশান্নারা </t>
  </si>
  <si>
    <t xml:space="preserve"> ২৫/০৫/১৯৮৩ </t>
  </si>
  <si>
    <t xml:space="preserve"> মোঃ তাহিরুদ্দীন </t>
  </si>
  <si>
    <t xml:space="preserve"> ১৭/১১/১৯৬৯ </t>
  </si>
  <si>
    <t xml:space="preserve"> মোঃ হাফিজুর রহমান </t>
  </si>
  <si>
    <t xml:space="preserve"> মোঃ লুতফর রহমান </t>
  </si>
  <si>
    <t xml:space="preserve"> রাবিয়া বেগম </t>
  </si>
  <si>
    <t xml:space="preserve"> ১৮/০৭/১৯৬৯ </t>
  </si>
  <si>
    <t xml:space="preserve"> মোঃ বোল্টু মিয়া </t>
  </si>
  <si>
    <t xml:space="preserve"> মোঃ সিতাব মন্ডল </t>
  </si>
  <si>
    <t xml:space="preserve"> মোছাঃ কহিনুর বেগম </t>
  </si>
  <si>
    <t xml:space="preserve"> ২২/০১/১৯৮০ </t>
  </si>
  <si>
    <t xml:space="preserve"> মোঃ ভাসান আলী </t>
  </si>
  <si>
    <t xml:space="preserve"> মোঃ আকবর আলী </t>
  </si>
  <si>
    <t xml:space="preserve"> মোছাঃ মনোয়ারা </t>
  </si>
  <si>
    <t xml:space="preserve"> ২২/০৫/১৯৭০ </t>
  </si>
  <si>
    <t xml:space="preserve"> মোছাঃ ঈশারন নেছা </t>
  </si>
  <si>
    <t xml:space="preserve"> ০২/০৫/১৯৮৭ </t>
  </si>
  <si>
    <t xml:space="preserve"> মোঃ নাসির উদ্দীন </t>
  </si>
  <si>
    <t xml:space="preserve"> মোঃ তাহাজদ্দীন </t>
  </si>
  <si>
    <t xml:space="preserve"> মোছাঃ সফুরা খাতুন </t>
  </si>
  <si>
    <t xml:space="preserve"> ০৫/০৯/১৯৬৬ </t>
  </si>
  <si>
    <t xml:space="preserve"> মোঃ মজিবর মন্ডল </t>
  </si>
  <si>
    <t xml:space="preserve">মফেজ উদ্দীন </t>
  </si>
  <si>
    <t xml:space="preserve"> বছিরন নেছা </t>
  </si>
  <si>
    <t xml:space="preserve"> ০৫/০৯/১৯২৭ </t>
  </si>
  <si>
    <t xml:space="preserve"> মোঃ আঃ গফুর মন্ডল </t>
  </si>
  <si>
    <t xml:space="preserve"> মোঃ গোলাম রসুল মন্ডল </t>
  </si>
  <si>
    <t xml:space="preserve"> মোছাঃ জহুরা খাতুন </t>
  </si>
  <si>
    <t xml:space="preserve"> ০৩/০৮/১৯৭২ </t>
  </si>
  <si>
    <t xml:space="preserve"> মোঃ বাদশা বুলবুল </t>
  </si>
  <si>
    <t xml:space="preserve"> মোঃ আমিনুল ইসলাম </t>
  </si>
  <si>
    <t xml:space="preserve"> মোছাঃ ছালেহা খাতুন </t>
  </si>
  <si>
    <t xml:space="preserve"> ১৯/০৮/১৯৮৮ </t>
  </si>
  <si>
    <t xml:space="preserve"> মোঃ আবুল কাশেম </t>
  </si>
  <si>
    <t xml:space="preserve"> মোহাঃ আব্দুল আজিজ </t>
  </si>
  <si>
    <t xml:space="preserve"> রোকেয়া খাতুন </t>
  </si>
  <si>
    <t xml:space="preserve"> ১২/১০/১৯৬৪ </t>
  </si>
  <si>
    <t xml:space="preserve"> দিনমজুর </t>
  </si>
  <si>
    <t xml:space="preserve"> মোঃ আবুল হাশেম </t>
  </si>
  <si>
    <t xml:space="preserve"> রোকেয়া </t>
  </si>
  <si>
    <t xml:space="preserve"> ১২/১০/১৯৬৬ </t>
  </si>
  <si>
    <t xml:space="preserve"> মোহাঃ তহিদুল </t>
  </si>
  <si>
    <t xml:space="preserve"> মোহাঃ আবুল কাশেম </t>
  </si>
  <si>
    <t xml:space="preserve"> মোছাঃ মুর্শিদা </t>
  </si>
  <si>
    <t xml:space="preserve"> ০১/০৭/১৯৮৭ </t>
  </si>
  <si>
    <t xml:space="preserve"> মোহাঃ জিনারুল </t>
  </si>
  <si>
    <t xml:space="preserve"> মোঃ মোজাম্মেল হক </t>
  </si>
  <si>
    <t xml:space="preserve"> মোছাঃ আনজিরা খাতুন </t>
  </si>
  <si>
    <t xml:space="preserve"> ১২/১০/১৯৮২ </t>
  </si>
  <si>
    <t xml:space="preserve"> মোঃ আব্দুল কাদের </t>
  </si>
  <si>
    <t xml:space="preserve"> রুস্তম মন্ডল </t>
  </si>
  <si>
    <t xml:space="preserve"> মোছাঃ তিতু বিবি </t>
  </si>
  <si>
    <t xml:space="preserve"> ১০/০৩/১৯৬২ </t>
  </si>
  <si>
    <t xml:space="preserve"> মোহাঃ বাবর আলী </t>
  </si>
  <si>
    <t xml:space="preserve"> আব্দুল বারী </t>
  </si>
  <si>
    <t xml:space="preserve"> মোছাঃ সাহার বানু </t>
  </si>
  <si>
    <t xml:space="preserve"> ১০/০৩/১৯৭৭ </t>
  </si>
  <si>
    <t xml:space="preserve"> মোঃ শরিফ উদ্দীন </t>
  </si>
  <si>
    <t xml:space="preserve"> মোহাঃ আব্দুল বারী </t>
  </si>
  <si>
    <t xml:space="preserve"> ০৫/১১/১৯৮৭ </t>
  </si>
  <si>
    <t xml:space="preserve"> মোঃ আব্দুল বারী </t>
  </si>
  <si>
    <t xml:space="preserve"> সিরাজ সর্দ্দার </t>
  </si>
  <si>
    <t xml:space="preserve"> ফুলমতি </t>
  </si>
  <si>
    <t xml:space="preserve"> ০৪/০৫/১৯৫৮ </t>
  </si>
  <si>
    <t xml:space="preserve"> অন্যান্য </t>
  </si>
  <si>
    <t xml:space="preserve"> মোঃ আব্দুল মালেক </t>
  </si>
  <si>
    <t xml:space="preserve"> আবুবকর </t>
  </si>
  <si>
    <t xml:space="preserve"> হালিমা </t>
  </si>
  <si>
    <t xml:space="preserve"> ১১/১০/১৯৬৭ </t>
  </si>
  <si>
    <t xml:space="preserve"> মোহাঃ আরশেদ আলী </t>
  </si>
  <si>
    <t xml:space="preserve"> মোহাঃ আয়ুব আলী </t>
  </si>
  <si>
    <t xml:space="preserve"> ০৫/১২/১৯৮৬ </t>
  </si>
  <si>
    <t xml:space="preserve"> মোহাঃ এনামুল হক </t>
  </si>
  <si>
    <t xml:space="preserve"> মোহাঃ ফাকের আলী </t>
  </si>
  <si>
    <t xml:space="preserve"> মোছাঃ আজিরন </t>
  </si>
  <si>
    <t xml:space="preserve"> ০৭/০১/১৯৬৮ </t>
  </si>
  <si>
    <t xml:space="preserve"> মোহাঃ শফিকুল ইসলাম </t>
  </si>
  <si>
    <t xml:space="preserve"> আব্দুল জলিল </t>
  </si>
  <si>
    <t xml:space="preserve"> মোছাঃ তহুরা খাতুন </t>
  </si>
  <si>
    <t xml:space="preserve"> ০২/০৭/১৯৪৬ </t>
  </si>
  <si>
    <t xml:space="preserve"> মোহাঃ আনোয়ার হোসেন </t>
  </si>
  <si>
    <t xml:space="preserve"> মোছাঃ ফাতেমা </t>
  </si>
  <si>
    <t xml:space="preserve"> ০৫/০৯/১৯৭১ </t>
  </si>
  <si>
    <t xml:space="preserve"> মোঃ রেজাউল </t>
  </si>
  <si>
    <t xml:space="preserve"> জুব্বার </t>
  </si>
  <si>
    <t xml:space="preserve"> ঠান্ডা বুড়ি </t>
  </si>
  <si>
    <t xml:space="preserve"> ০১/০৬/১৯৭১ </t>
  </si>
  <si>
    <t xml:space="preserve"> মোহাঃ কোরবান আলী </t>
  </si>
  <si>
    <t xml:space="preserve"> মোহাঃ সফিকুল </t>
  </si>
  <si>
    <t xml:space="preserve"> মোছাঃ কমেলা </t>
  </si>
  <si>
    <t xml:space="preserve"> ০১/০১/১৯৮৮ </t>
  </si>
  <si>
    <t xml:space="preserve"> মোঃ কামাল উদ্দীন </t>
  </si>
  <si>
    <t xml:space="preserve"> মোহাঃ আজিজুল হক </t>
  </si>
  <si>
    <t xml:space="preserve"> মোছাঃ হালিমা </t>
  </si>
  <si>
    <t xml:space="preserve"> মোহাঃ আজিবার রহমান </t>
  </si>
  <si>
    <t xml:space="preserve"> মোঃ আছিরুদ্দীন </t>
  </si>
  <si>
    <t xml:space="preserve"> শাহিদুন নেছা </t>
  </si>
  <si>
    <t xml:space="preserve"> ০৪/১২/১৯৮৪ </t>
  </si>
  <si>
    <t xml:space="preserve"> মোঃ তোফাজ্জেল </t>
  </si>
  <si>
    <t xml:space="preserve"> মোহাঃ আছেলদ্দিন</t>
  </si>
  <si>
    <t xml:space="preserve"> মোছাঃ শাহিদুন্নেছা </t>
  </si>
  <si>
    <t xml:space="preserve"> ১৮/১০/১৯৭৮ </t>
  </si>
  <si>
    <t xml:space="preserve"> মোহাঃ আশাদুল </t>
  </si>
  <si>
    <t xml:space="preserve"> ছইরদ্দিন </t>
  </si>
  <si>
    <t xml:space="preserve"> সোনাভানু </t>
  </si>
  <si>
    <t xml:space="preserve"> ১০/০৮/১৯৭১ </t>
  </si>
  <si>
    <t xml:space="preserve"> মোঃ আব্বাস আলী </t>
  </si>
  <si>
    <t xml:space="preserve"> মোহাঃ মজিবর </t>
  </si>
  <si>
    <t xml:space="preserve"> মোছাঃ জোহরা </t>
  </si>
  <si>
    <t xml:space="preserve"> ২০/০৫/১৯৮০ </t>
  </si>
  <si>
    <t xml:space="preserve"> মোহাঃ শহিদুল </t>
  </si>
  <si>
    <t xml:space="preserve"> মোহাঃ গোলাম রসুল </t>
  </si>
  <si>
    <t xml:space="preserve"> ১০/১০/১৯৮৬ </t>
  </si>
  <si>
    <t xml:space="preserve"> মোহাঃ নওশাদ </t>
  </si>
  <si>
    <t xml:space="preserve"> মোহাঃ আবুছিদ্দিক </t>
  </si>
  <si>
    <t xml:space="preserve"> মোছাঃ রহিমা খাতুন </t>
  </si>
  <si>
    <t xml:space="preserve"> ১০/০২/১৯৮৪ </t>
  </si>
  <si>
    <t xml:space="preserve"> এলাহি মন্ডল </t>
  </si>
  <si>
    <t xml:space="preserve"> ০৭/১১/১৯৭০ </t>
  </si>
  <si>
    <t xml:space="preserve"> মো: আ: হান্নান</t>
  </si>
  <si>
    <t xml:space="preserve"> উম্মাদ </t>
  </si>
  <si>
    <t xml:space="preserve"> মোছা: হাবেলা </t>
  </si>
  <si>
    <t xml:space="preserve"> ২৩/০১/১৯৫৬ </t>
  </si>
  <si>
    <t xml:space="preserve"> মোহাঃ শামসুল হক </t>
  </si>
  <si>
    <t xml:space="preserve"> জাহাবকস </t>
  </si>
  <si>
    <t xml:space="preserve"> আনুরা </t>
  </si>
  <si>
    <t xml:space="preserve"> ১০/১০/১৯৬৬ </t>
  </si>
  <si>
    <t xml:space="preserve"> মোহাঃ মোজাম্মেল হক </t>
  </si>
  <si>
    <t xml:space="preserve"> মোহাঃ তজিমদ্দিন </t>
  </si>
  <si>
    <t xml:space="preserve"> মোছাঃ হালিমা খাতুন </t>
  </si>
  <si>
    <t xml:space="preserve"> ০১/০৩/১৯৭২ </t>
  </si>
  <si>
    <t xml:space="preserve"> মোহাঃ তৈয়ব আলী </t>
  </si>
  <si>
    <t xml:space="preserve"> আব্দুস সাত্তার </t>
  </si>
  <si>
    <t xml:space="preserve"> মোছাঃ ছপুরা </t>
  </si>
  <si>
    <t xml:space="preserve"> ১০/০৫/১৯৬১ </t>
  </si>
  <si>
    <t xml:space="preserve"> মোহাঃ সেলিম হোসেন </t>
  </si>
  <si>
    <t xml:space="preserve"> মোহাঃ আব্দুল হান্নান </t>
  </si>
  <si>
    <t xml:space="preserve"> মোছাঃ রেহেনা বেগম </t>
  </si>
  <si>
    <t xml:space="preserve"> মোহাঃ কুদ্দুস আলী </t>
  </si>
  <si>
    <t xml:space="preserve"> ১০/১০/১৯৭৬ </t>
  </si>
  <si>
    <t xml:space="preserve"> মোহাঃ মুনছুর আলী </t>
  </si>
  <si>
    <t xml:space="preserve"> ১০/১০/১৯৭৮ </t>
  </si>
  <si>
    <t xml:space="preserve"> মোহাঃ আব্দুর রহিম </t>
  </si>
  <si>
    <t xml:space="preserve"> মোহাঃ জোহরা </t>
  </si>
  <si>
    <t xml:space="preserve"> ০১/০৪/১৯৬৬ </t>
  </si>
  <si>
    <t xml:space="preserve"> মোহাঃ হেলাল উদ্দিন </t>
  </si>
  <si>
    <t xml:space="preserve"> মোহাঃ তাজিমুদ্দিন </t>
  </si>
  <si>
    <t xml:space="preserve"> মোহাঃ হালিমা </t>
  </si>
  <si>
    <t xml:space="preserve"> ১০/১০/১৯৭৪ </t>
  </si>
  <si>
    <t xml:space="preserve"> মোহাঃ উমিদুল ইসলাম </t>
  </si>
  <si>
    <t xml:space="preserve"> মোহাঃ জহুরা খাতুন </t>
  </si>
  <si>
    <t xml:space="preserve"> ১০/১০/১৯৮২ </t>
  </si>
  <si>
    <t xml:space="preserve"> মোহাঃ আব্দুল খালেক </t>
  </si>
  <si>
    <t xml:space="preserve"> জহিরদ্দিন মন্ডল </t>
  </si>
  <si>
    <t xml:space="preserve"> মোহাঃ ছামিরন </t>
  </si>
  <si>
    <t xml:space="preserve"> ০১/০৩/১৯৭৭ </t>
  </si>
  <si>
    <t xml:space="preserve"> মোহাঃ জাহাঙ্গির আলম </t>
  </si>
  <si>
    <t xml:space="preserve"> মোহাঃ আব্দুল মান্নান </t>
  </si>
  <si>
    <t xml:space="preserve"> মোহাঃ আছিয়া </t>
  </si>
  <si>
    <t xml:space="preserve"> ১০/১০/১৯৮৪ </t>
  </si>
  <si>
    <t xml:space="preserve"> মোহাঃ আলম চাঁদ </t>
  </si>
  <si>
    <t xml:space="preserve"> মোহাঃ আব্দুল হান্নান</t>
  </si>
  <si>
    <t xml:space="preserve"> মোহাঃ সাগর আলী </t>
  </si>
  <si>
    <t xml:space="preserve"> মোহাঃ আহাদ আলী </t>
  </si>
  <si>
    <t xml:space="preserve"> মোহাঃ জহুরা </t>
  </si>
  <si>
    <t xml:space="preserve"> ০১/০১/১৯৮৯ </t>
  </si>
  <si>
    <t xml:space="preserve"> মোহাঃ টোকন </t>
  </si>
  <si>
    <t xml:space="preserve"> মোহাঃ জোহরা বেগম </t>
  </si>
  <si>
    <t xml:space="preserve"> মোহাঃ জালাল উদ্দিন </t>
  </si>
  <si>
    <t xml:space="preserve"> করিম বকস </t>
  </si>
  <si>
    <t xml:space="preserve"> মোহাঃ ছদিমন </t>
  </si>
  <si>
    <t xml:space="preserve"> ১০/১১/১৯৮২ </t>
  </si>
  <si>
    <t xml:space="preserve"> মোহাঃ মহিবুল ইসলাম </t>
  </si>
  <si>
    <t xml:space="preserve"> মোহাঃ জানু বক্স </t>
  </si>
  <si>
    <t xml:space="preserve"> মোহাঃ ইসারন </t>
  </si>
  <si>
    <t xml:space="preserve"> মোহাঃ আলামিন </t>
  </si>
  <si>
    <t xml:space="preserve"> মোহাঃ রায়হান </t>
  </si>
  <si>
    <t xml:space="preserve"> মোহাঃ তাছিরন </t>
  </si>
  <si>
    <t xml:space="preserve"> ০১/০৬/১৯৮৬ </t>
  </si>
  <si>
    <t xml:space="preserve"> মোহাঃ সাহাবুল </t>
  </si>
  <si>
    <t xml:space="preserve"> মোহাঃ আহাদ আলি </t>
  </si>
  <si>
    <t xml:space="preserve"> ১০/১০/১৯৭৩ </t>
  </si>
  <si>
    <t xml:space="preserve"> মোহাঃ আমিরুল ইসলাম </t>
  </si>
  <si>
    <t xml:space="preserve"> আঃ ছাত্তার </t>
  </si>
  <si>
    <t xml:space="preserve"> আমেনা খাতুন </t>
  </si>
  <si>
    <t xml:space="preserve"> ০১/১০/১৯৬৯ </t>
  </si>
  <si>
    <t xml:space="preserve"> মোহাঃ মহশিন </t>
  </si>
  <si>
    <t xml:space="preserve"> মোহাঃ মোবারক </t>
  </si>
  <si>
    <t xml:space="preserve"> মোহাঃ সাহারন </t>
  </si>
  <si>
    <t xml:space="preserve"> ১০/০৮/১৯৮১ </t>
  </si>
  <si>
    <t xml:space="preserve"> মোহাঃ সুবারেক </t>
  </si>
  <si>
    <t xml:space="preserve"> আইনাল মন্ডল </t>
  </si>
  <si>
    <t xml:space="preserve"> মোহাঃ আনুরা খাতুন </t>
  </si>
  <si>
    <t xml:space="preserve"> ১০/১১/১৯৫৫ </t>
  </si>
  <si>
    <t xml:space="preserve"> মোহাঃ আব্দুর রাজ্জাক </t>
  </si>
  <si>
    <t xml:space="preserve"> মোহাঃ খেদের আলী </t>
  </si>
  <si>
    <t xml:space="preserve"> মোহাঃ সোহাগী </t>
  </si>
  <si>
    <t xml:space="preserve"> ০২/১০/১৯৭২ </t>
  </si>
  <si>
    <t xml:space="preserve"> মোহাঃ ওয়াসিম </t>
  </si>
  <si>
    <t xml:space="preserve"> মোহাঃ মান্নান </t>
  </si>
  <si>
    <t xml:space="preserve"> মোহাঃ আনোয়ারা </t>
  </si>
  <si>
    <t xml:space="preserve"> ১০/০৮/১৯৮৭ </t>
  </si>
  <si>
    <t xml:space="preserve"> মোহাঃ একরামুল </t>
  </si>
  <si>
    <t xml:space="preserve"> মোহাঃ সোনাহার মোল্লা </t>
  </si>
  <si>
    <t xml:space="preserve"> মোহাঃ খাদিজা </t>
  </si>
  <si>
    <t xml:space="preserve"> ১১/১১/১৯৭২ </t>
  </si>
  <si>
    <t xml:space="preserve"> মোহাঃ মুরাদ আলি </t>
  </si>
  <si>
    <t xml:space="preserve"> রুস্তম আলি </t>
  </si>
  <si>
    <t xml:space="preserve"> মোহাঃ ভিতু </t>
  </si>
  <si>
    <t xml:space="preserve"> ১২/১০/১৯৭৩ </t>
  </si>
  <si>
    <t xml:space="preserve"> মোহাঃ জামাল উদ্দিন </t>
  </si>
  <si>
    <t xml:space="preserve"> মোহাঃ ভিতু বিবি </t>
  </si>
  <si>
    <t xml:space="preserve"> ১১/০৫/১৯৮২ </t>
  </si>
  <si>
    <t xml:space="preserve"> মোহাঃ লিটন আলি </t>
  </si>
  <si>
    <t xml:space="preserve"> মোহাঃ সুরাত আলি </t>
  </si>
  <si>
    <t xml:space="preserve"> মোহাঃ সফুরা </t>
  </si>
  <si>
    <t xml:space="preserve"> ১০/১০/১৯৭৭ </t>
  </si>
  <si>
    <t xml:space="preserve"> মোহাঃ আব্দুল আলিম </t>
  </si>
  <si>
    <t xml:space="preserve"> মোহাঃ ভুলু মুনসি </t>
  </si>
  <si>
    <t xml:space="preserve"> ১০/০৫/১৯৮৫ </t>
  </si>
  <si>
    <t xml:space="preserve"> মজিরদ্দিন মৃধা </t>
  </si>
  <si>
    <t xml:space="preserve"> মোহাঃ কমেলা </t>
  </si>
  <si>
    <t xml:space="preserve"> ১২/১০/১৯৮৭ </t>
  </si>
  <si>
    <t xml:space="preserve"> মোহাঃ মিনারুল </t>
  </si>
  <si>
    <t xml:space="preserve"> মোহাঃ মওলা বক্স </t>
  </si>
  <si>
    <t xml:space="preserve"> মোহাঃ ফতেমা </t>
  </si>
  <si>
    <t xml:space="preserve"> মোহাঃ মোজাম্মেল </t>
  </si>
  <si>
    <t xml:space="preserve"> কিতাব আলী </t>
  </si>
  <si>
    <t xml:space="preserve"> মোহাঃ আমেনা খাতুন </t>
  </si>
  <si>
    <t xml:space="preserve"> ১০/১০/১৯৮৭ </t>
  </si>
  <si>
    <t xml:space="preserve"> মোহাঃ মোশারেফ </t>
  </si>
  <si>
    <t xml:space="preserve"> মোহাঃ সুরাত আলী </t>
  </si>
  <si>
    <t xml:space="preserve"> ১১/০৪/১৯৮১ </t>
  </si>
  <si>
    <t xml:space="preserve"> মোহাঃ তরিকুল ইসলাম </t>
  </si>
  <si>
    <t xml:space="preserve"> মোছাঃ কমেলা খাতুন </t>
  </si>
  <si>
    <t xml:space="preserve"> ০১/০১/১৯৮১ </t>
  </si>
  <si>
    <t xml:space="preserve"> মোহাঃ মন্টু </t>
  </si>
  <si>
    <t xml:space="preserve"> মোহাঃ হান্নান</t>
  </si>
  <si>
    <t xml:space="preserve"> মোহাঃ আর্জিনা </t>
  </si>
  <si>
    <t xml:space="preserve"> মোহাঃ আব্দুর রহমান </t>
  </si>
  <si>
    <t xml:space="preserve"> মজিরদ্দিন </t>
  </si>
  <si>
    <t xml:space="preserve"> ১০/০৩/১৯৬৩ </t>
  </si>
  <si>
    <t xml:space="preserve"> মোহাঃ রইছউদ্দিন </t>
  </si>
  <si>
    <t xml:space="preserve"> রবকুল</t>
  </si>
  <si>
    <t xml:space="preserve"> ০৪/০৪/১৯৬২ </t>
  </si>
  <si>
    <t xml:space="preserve"> মোহাঃ ছলেমান </t>
  </si>
  <si>
    <t xml:space="preserve"> মোহাঃ রহিমা </t>
  </si>
  <si>
    <t xml:space="preserve"> ১৬/০৬/১৯৭২ </t>
  </si>
  <si>
    <t xml:space="preserve"> মোহাঃ আঃ মমিন </t>
  </si>
  <si>
    <t xml:space="preserve"> মোহাঃ আজিরন </t>
  </si>
  <si>
    <t xml:space="preserve"> ১২/১০/১৯৫৫ </t>
  </si>
  <si>
    <t xml:space="preserve"> মো: ইব্রাহিম </t>
  </si>
  <si>
    <t xml:space="preserve"> করিম মন্ডল </t>
  </si>
  <si>
    <t xml:space="preserve"> মোহাঃ সাজেদা </t>
  </si>
  <si>
    <t xml:space="preserve"> ১০/১১/১৯৭১ </t>
  </si>
  <si>
    <t xml:space="preserve"> মোহাঃ আব্দুল জুব্বার </t>
  </si>
  <si>
    <t xml:space="preserve"> ১০/১১/১৯৬৫ </t>
  </si>
  <si>
    <t xml:space="preserve"> মোহাঃ কাউছার </t>
  </si>
  <si>
    <t xml:space="preserve"> মোহাঃ জুব্বার </t>
  </si>
  <si>
    <t xml:space="preserve"> মোহাঃ ছুরাতন </t>
  </si>
  <si>
    <t xml:space="preserve"> ০৭/১১/১৯৮৮ </t>
  </si>
  <si>
    <t xml:space="preserve"> মোহাঃ বানারুল </t>
  </si>
  <si>
    <t xml:space="preserve"> হারুন </t>
  </si>
  <si>
    <t xml:space="preserve"> মোহাঃ খুকিমন নেছা </t>
  </si>
  <si>
    <t xml:space="preserve"> ১০/১১/১৯৬২ </t>
  </si>
  <si>
    <t xml:space="preserve"> মো: সেলিম হোসেন </t>
  </si>
  <si>
    <t xml:space="preserve"> মোহাঃ আত্তাব আলী </t>
  </si>
  <si>
    <t xml:space="preserve"> মোহাঃ গুলশান আরা </t>
  </si>
  <si>
    <t xml:space="preserve"> ০১/০৫/১৯৭৭ </t>
  </si>
  <si>
    <t xml:space="preserve"> মোহাঃ শহিদুল ইসলাম </t>
  </si>
  <si>
    <t xml:space="preserve"> আখের আলী </t>
  </si>
  <si>
    <t xml:space="preserve"> মোহাঃ মাহিরন নেছা </t>
  </si>
  <si>
    <t xml:space="preserve"> ০৪/১১/১৯৭০ </t>
  </si>
  <si>
    <t xml:space="preserve"> মোহাঃ আব্দুর রশিদ </t>
  </si>
  <si>
    <t>আবুজেল</t>
  </si>
  <si>
    <t xml:space="preserve"> মোহাঃ আসমা </t>
  </si>
  <si>
    <t xml:space="preserve"> ০৩/০১/১৯৬০ </t>
  </si>
  <si>
    <t xml:space="preserve"> মোহাঃ আবু সাঈদ </t>
  </si>
  <si>
    <t xml:space="preserve"> মোহাঃ হাজেরা </t>
  </si>
  <si>
    <t xml:space="preserve"> ১০/১১/১৯৮৭ </t>
  </si>
  <si>
    <t xml:space="preserve"> মোহাঃ সাজজু মিয়া </t>
  </si>
  <si>
    <t xml:space="preserve"> মোহাঃ আবু জাফর </t>
  </si>
  <si>
    <t xml:space="preserve"> মোহাঃ রেহেনা </t>
  </si>
  <si>
    <t xml:space="preserve"> ০১/১০/১৯৮৯ </t>
  </si>
  <si>
    <t xml:space="preserve"> মোহাঃ আছিয়া </t>
  </si>
  <si>
    <t xml:space="preserve"> ১০/১০/১৯৮৮ </t>
  </si>
  <si>
    <t xml:space="preserve"> মোহাঃ রাকিব হাসান </t>
  </si>
  <si>
    <t xml:space="preserve"> মোহাঃ সলিমদ্দিন </t>
  </si>
  <si>
    <t xml:space="preserve"> মোহাঃ জরিনা খাতুন </t>
  </si>
  <si>
    <t xml:space="preserve"> ২৯/০৬/১৯৮৫ </t>
  </si>
  <si>
    <t xml:space="preserve"> মো: ইবাদত হোসেন </t>
  </si>
  <si>
    <t xml:space="preserve"> মো: শাহাদত হোসেন </t>
  </si>
  <si>
    <t xml:space="preserve"> পানছুরাতুন নেছা </t>
  </si>
  <si>
    <t xml:space="preserve"> ২২/১১/১৯৮৩ </t>
  </si>
  <si>
    <t xml:space="preserve"> মোহাঃ জিল্লুর রহমান </t>
  </si>
  <si>
    <t xml:space="preserve"> মোহাঃ ফজলুল হক </t>
  </si>
  <si>
    <t xml:space="preserve"> মোহাঃ তাহরুন নেছা </t>
  </si>
  <si>
    <t xml:space="preserve"> ০৯/১০/১৯৮৪ </t>
  </si>
  <si>
    <t xml:space="preserve"> মো: মজনু </t>
  </si>
  <si>
    <t xml:space="preserve">মোকতার </t>
  </si>
  <si>
    <t xml:space="preserve"> মোহাঃ রাবেয়া </t>
  </si>
  <si>
    <t xml:space="preserve"> ১০/০৬/১৯৭৭ </t>
  </si>
  <si>
    <t xml:space="preserve"> মোহাঃ মোশারাফ </t>
  </si>
  <si>
    <t xml:space="preserve"> মোহাঃ রাবেয়া খাতুন </t>
  </si>
  <si>
    <t xml:space="preserve"> ১৫/০৫/১৯৬৩ </t>
  </si>
  <si>
    <t xml:space="preserve"> ০৪/০৬/১৯৭১ </t>
  </si>
  <si>
    <t xml:space="preserve"> মো: রহিমদ্দিন </t>
  </si>
  <si>
    <t xml:space="preserve"> মোহাঃ শুকুর আলী </t>
  </si>
  <si>
    <t xml:space="preserve"> মোহাঃ ছামিরন নেছা </t>
  </si>
  <si>
    <t xml:space="preserve"> ১০/০৫/১৯৮৭ </t>
  </si>
  <si>
    <t xml:space="preserve"> মো: সামছুল </t>
  </si>
  <si>
    <t xml:space="preserve"> মো: মোসারফ </t>
  </si>
  <si>
    <t xml:space="preserve"> মোহাঃ তছলিমা </t>
  </si>
  <si>
    <t xml:space="preserve"> মোহাঃ মিলন </t>
  </si>
  <si>
    <t xml:space="preserve"> মোহাঃ আয়ুব আলী </t>
  </si>
  <si>
    <t xml:space="preserve"> মোহাঃ মর্জিনা </t>
  </si>
  <si>
    <t xml:space="preserve"> মো: সাগর </t>
  </si>
  <si>
    <t xml:space="preserve"> মোহাঃ আবু তাহের </t>
  </si>
  <si>
    <t xml:space="preserve"> মোহাঃ তরিছান </t>
  </si>
  <si>
    <t xml:space="preserve"> মোহাঃ মহশিন আলি </t>
  </si>
  <si>
    <t xml:space="preserve"> ইয়াজদ্দিন </t>
  </si>
  <si>
    <t xml:space="preserve"> মোহাঃ রাহাতন </t>
  </si>
  <si>
    <t xml:space="preserve"> ১১/০১/১৯৫০ </t>
  </si>
  <si>
    <t xml:space="preserve"> মোহাঃ বাবর আলি </t>
  </si>
  <si>
    <t xml:space="preserve"> মোহাঃ আলফাজ </t>
  </si>
  <si>
    <t xml:space="preserve"> মোহাঃ আশানুর </t>
  </si>
  <si>
    <t xml:space="preserve"> ১২/১০/১৯৮০ </t>
  </si>
  <si>
    <t xml:space="preserve"> মোহাঃ আরিফুল </t>
  </si>
  <si>
    <t xml:space="preserve"> মোহাঃ আতাব আলী </t>
  </si>
  <si>
    <t xml:space="preserve"> মোহাঃ গুলশানারা </t>
  </si>
  <si>
    <t xml:space="preserve"> ১০/০৯/১৯৮৯ </t>
  </si>
  <si>
    <t xml:space="preserve"> মোহাঃ বিল্লাল </t>
  </si>
  <si>
    <t xml:space="preserve"> আনিসদ্দিন </t>
  </si>
  <si>
    <t xml:space="preserve"> মোহাঃ গৌশমনি </t>
  </si>
  <si>
    <t xml:space="preserve"> ১৮/১০/১৯৬৫ </t>
  </si>
  <si>
    <t xml:space="preserve"> মোহাঃ লালচাঁদ </t>
  </si>
  <si>
    <t xml:space="preserve"> মোহাঃ তহমিনা </t>
  </si>
  <si>
    <t xml:space="preserve"> মো: রুহুল আমিন </t>
  </si>
  <si>
    <t xml:space="preserve"> সবদেল বিশ্বাস </t>
  </si>
  <si>
    <t xml:space="preserve"> মোহাঃ রাহেলা </t>
  </si>
  <si>
    <t xml:space="preserve"> ১০/০৬/১৯৬৫ </t>
  </si>
  <si>
    <t xml:space="preserve"> মোহাঃ আজিজার রহমান </t>
  </si>
  <si>
    <t xml:space="preserve"> মোহাঃ জাহিরন নেছা </t>
  </si>
  <si>
    <t xml:space="preserve"> ১২/০৯/১৯৬৭ </t>
  </si>
  <si>
    <t xml:space="preserve"> মো: আব্দুর রাজ্জাক </t>
  </si>
  <si>
    <t xml:space="preserve"> মোহাঃ আবু বক্কর </t>
  </si>
  <si>
    <t xml:space="preserve"> মোহাঃ জবেদা </t>
  </si>
  <si>
    <t xml:space="preserve"> ১০/১০/১৯৭১ </t>
  </si>
  <si>
    <t xml:space="preserve"> মোহাঃ মহাবুল হক </t>
  </si>
  <si>
    <t xml:space="preserve"> মোহাঃ খেদের বিশ্বাস </t>
  </si>
  <si>
    <t xml:space="preserve"> মোহাঃ মফিজুল </t>
  </si>
  <si>
    <t xml:space="preserve"> ১০/১২/১৯৮৯ </t>
  </si>
  <si>
    <t xml:space="preserve"> মোহাঃ সাইফুল </t>
  </si>
  <si>
    <t xml:space="preserve"> মোহাঃ শাহাদত </t>
  </si>
  <si>
    <t xml:space="preserve"> মোহাঃ পানছুরাতুন </t>
  </si>
  <si>
    <t xml:space="preserve"> ১১/১২/১৯৮১ </t>
  </si>
  <si>
    <t xml:space="preserve"> মো: শহিদুল </t>
  </si>
  <si>
    <t xml:space="preserve"> মোহাঃ জাহাবক্স </t>
  </si>
  <si>
    <t xml:space="preserve"> মোহাঃ ইশারন </t>
  </si>
  <si>
    <t xml:space="preserve"> ১২/১০/১৯৬৯ </t>
  </si>
  <si>
    <t xml:space="preserve"> মোহাঃ তহিরা </t>
  </si>
  <si>
    <t xml:space="preserve"> ১০/০৫/১৯৭৩ </t>
  </si>
  <si>
    <t xml:space="preserve"> মোহাঃ হাশমোতুল্লাহ </t>
  </si>
  <si>
    <t xml:space="preserve"> মোহাঃ জামান উদ্দিন </t>
  </si>
  <si>
    <t xml:space="preserve"> মোহাঃ মিনারা </t>
  </si>
  <si>
    <t xml:space="preserve"> ১০/১২/১৯৮৮ </t>
  </si>
  <si>
    <t xml:space="preserve"> মোহাঃ তক্কেল </t>
  </si>
  <si>
    <t xml:space="preserve"> মো: আবু তালেব মোল্লা </t>
  </si>
  <si>
    <t xml:space="preserve"> মোহাঃ রিজিয়া খাতুন </t>
  </si>
  <si>
    <t xml:space="preserve"> ১০/০৪/১৯৭২ </t>
  </si>
  <si>
    <t xml:space="preserve"> মোহাঃ হবিবর </t>
  </si>
  <si>
    <t xml:space="preserve"> মোহাঃ আবুল হোসেন </t>
  </si>
  <si>
    <t xml:space="preserve"> মোহাঃ শহিদা খাতুন </t>
  </si>
  <si>
    <t xml:space="preserve"> ১০/০৬/১৯৬৭ </t>
  </si>
  <si>
    <t xml:space="preserve"> ইছাহক </t>
  </si>
  <si>
    <t xml:space="preserve"> ২০/০৭/১৯৫৫ </t>
  </si>
  <si>
    <t xml:space="preserve"> মো: আব্দুল মান্নান </t>
  </si>
  <si>
    <t xml:space="preserve"> উম্মদ </t>
  </si>
  <si>
    <t xml:space="preserve"> মোহাঃ হাবেলা </t>
  </si>
  <si>
    <t xml:space="preserve"> ১০/১১/১৯৬৩ </t>
  </si>
  <si>
    <t xml:space="preserve"> মোঃ হামিদুল </t>
  </si>
  <si>
    <t xml:space="preserve"> মোঃ মোবারেক </t>
  </si>
  <si>
    <t xml:space="preserve"> মোছাঃ ছারু খাতুন </t>
  </si>
  <si>
    <t xml:space="preserve"> ১৫/১০/১৯৮৫ </t>
  </si>
  <si>
    <t xml:space="preserve"> জালতকা, গাংনী, মেহেরপুর </t>
  </si>
  <si>
    <t xml:space="preserve"> মোঃ সাহেবুল ইসলাম </t>
  </si>
  <si>
    <t xml:space="preserve"> মোহাঃ মোবারেক </t>
  </si>
  <si>
    <t xml:space="preserve"> মোছাঃ ছাহারন </t>
  </si>
  <si>
    <t xml:space="preserve"> ১০/০৯/১৯৬৭ </t>
  </si>
  <si>
    <t xml:space="preserve"> মোহাঃ আছান আলী </t>
  </si>
  <si>
    <t xml:space="preserve"> আজিরন </t>
  </si>
  <si>
    <t xml:space="preserve"> ১০/০৩/১৯৫২ </t>
  </si>
  <si>
    <t xml:space="preserve"> মোঃ নজরুল ইসলাম </t>
  </si>
  <si>
    <t xml:space="preserve"> মোছাঃ জিয়াতন নেছা </t>
  </si>
  <si>
    <t xml:space="preserve"> মোহাঃ তৈয়ব আলি </t>
  </si>
  <si>
    <t xml:space="preserve"> ছামছদ্দিন </t>
  </si>
  <si>
    <t xml:space="preserve"> ১৫/০৪/১৯৫৭ </t>
  </si>
  <si>
    <t xml:space="preserve"> মোহাঃ আজাম্মেল</t>
  </si>
  <si>
    <t xml:space="preserve"> ইয়াকুব </t>
  </si>
  <si>
    <t xml:space="preserve"> খাতুন </t>
  </si>
  <si>
    <t xml:space="preserve"> ১২/০৫/১৯৬৯ </t>
  </si>
  <si>
    <t xml:space="preserve"> মোহাঃ একলাচুর রহমান </t>
  </si>
  <si>
    <t xml:space="preserve"> মোহাঃ আঃ হান্নান</t>
  </si>
  <si>
    <t xml:space="preserve"> মোছাঃ অর্নজিরা </t>
  </si>
  <si>
    <t xml:space="preserve"> ১২/১১/১৯৮৮ </t>
  </si>
  <si>
    <t xml:space="preserve"> মোহাঃ খবির উদ্দিন </t>
  </si>
  <si>
    <t xml:space="preserve"> বদরদ্দিন </t>
  </si>
  <si>
    <t xml:space="preserve"> হাওয়া খাতুন </t>
  </si>
  <si>
    <t xml:space="preserve"> ১২/১০/১৯৬৭ </t>
  </si>
  <si>
    <t xml:space="preserve"> মোহাঃ মুনজুরুণ </t>
  </si>
  <si>
    <t xml:space="preserve"> ১০/০৫/১৯৮৪ </t>
  </si>
  <si>
    <t xml:space="preserve"> মোহাঃ মুছাহক </t>
  </si>
  <si>
    <t xml:space="preserve"> মোহাঃ আছিরদ্দিন </t>
  </si>
  <si>
    <t xml:space="preserve"> মোছাঃ শাহিদা </t>
  </si>
  <si>
    <t xml:space="preserve"> ০৫/১০/১৯৭৭ </t>
  </si>
  <si>
    <t xml:space="preserve"> মোঃ হযরত আলী </t>
  </si>
  <si>
    <t xml:space="preserve"> মোছাঃ জোহরা খাতুন </t>
  </si>
  <si>
    <t xml:space="preserve"> ০৪/০৭/১৯৭৩ </t>
  </si>
  <si>
    <t xml:space="preserve"> মোহাঃ নুরুল ইসলাম </t>
  </si>
  <si>
    <t xml:space="preserve"> মোহাঃ ম্যাবুল হোসেন </t>
  </si>
  <si>
    <t xml:space="preserve"> তিতু নেছা </t>
  </si>
  <si>
    <t xml:space="preserve"> ০৬/০৫/১৯৬৭ </t>
  </si>
  <si>
    <t xml:space="preserve"> মোহাঃ আলি হোসেন </t>
  </si>
  <si>
    <t xml:space="preserve"> ১১/১২/১৯৮২ </t>
  </si>
  <si>
    <t xml:space="preserve"> মোঃ তাহির আলী </t>
  </si>
  <si>
    <t xml:space="preserve"> ০৪/০৫/১৯৮১ </t>
  </si>
  <si>
    <t xml:space="preserve"> মোঃ আত্তাব আলী </t>
  </si>
  <si>
    <t xml:space="preserve"> ০৪/০৫/১৯৫৯ </t>
  </si>
  <si>
    <t xml:space="preserve"> মোহাঃ আইনাল হক </t>
  </si>
  <si>
    <t xml:space="preserve"> মোহাঃ দবির উদ্দিন </t>
  </si>
  <si>
    <t xml:space="preserve"> মোছাঃ আমেনা খাতুন </t>
  </si>
  <si>
    <t xml:space="preserve"> ১০/০৩/১৯৮২ </t>
  </si>
  <si>
    <t xml:space="preserve"> মোঃ আনিচুর রহমান </t>
  </si>
  <si>
    <t xml:space="preserve"> মোঃ আবুছদ্দীন </t>
  </si>
  <si>
    <t xml:space="preserve"> মোছাঃ রমেছা খাতুন </t>
  </si>
  <si>
    <t xml:space="preserve"> ২৩/০৩/১৯৮১ </t>
  </si>
  <si>
    <t xml:space="preserve"> মোঃ রিফাত আলী </t>
  </si>
  <si>
    <t xml:space="preserve"> পিতা: দাউদ হোসেন </t>
  </si>
  <si>
    <t xml:space="preserve"> অবেজান </t>
  </si>
  <si>
    <t xml:space="preserve"> ১০/০৪/১৯৫২ </t>
  </si>
  <si>
    <t xml:space="preserve"> মোঃ আনারুল ইসলাম </t>
  </si>
  <si>
    <t xml:space="preserve"> ০৮/১০/১৯৮১ </t>
  </si>
  <si>
    <t xml:space="preserve"> বদর উদ্দীন </t>
  </si>
  <si>
    <t xml:space="preserve"> মোছাঃ নিমারি নেছা </t>
  </si>
  <si>
    <t xml:space="preserve"> ১০/০৬/১৯৫৭ </t>
  </si>
  <si>
    <t xml:space="preserve"> মোছাঃ হামিদুল ইসলাম </t>
  </si>
  <si>
    <t xml:space="preserve"> মোঃ গোলাম রসুল </t>
  </si>
  <si>
    <t xml:space="preserve"> ১২/১০/১৯৭৯ </t>
  </si>
  <si>
    <t xml:space="preserve"> মোঃ মন্টু মিয়া </t>
  </si>
  <si>
    <t xml:space="preserve"> মো: তফেল উদ্দিন </t>
  </si>
  <si>
    <t xml:space="preserve"> মোছাঃ সোনা ভানু </t>
  </si>
  <si>
    <t xml:space="preserve"> ০৬/০২/১৯৮২ </t>
  </si>
  <si>
    <t xml:space="preserve"> জালতকা বালিয়া পাড়া, গাংনী, মেহেরপুর </t>
  </si>
  <si>
    <t xml:space="preserve"> মোঃ আসাদুল হক </t>
  </si>
  <si>
    <t xml:space="preserve"> মনিরুদ্দিন </t>
  </si>
  <si>
    <t xml:space="preserve"> ছমিরন নেছা </t>
  </si>
  <si>
    <t xml:space="preserve"> ০৪/০৪/১৯৮০ </t>
  </si>
  <si>
    <t xml:space="preserve"> মোঃ বিপ্লব হোসেন </t>
  </si>
  <si>
    <t xml:space="preserve"> মোঃ আসাদুল </t>
  </si>
  <si>
    <t xml:space="preserve"> মোছাঃ ছবেদা খাতুন </t>
  </si>
  <si>
    <t xml:space="preserve"> ০৮/০৪/১৯৮৫ </t>
  </si>
  <si>
    <t xml:space="preserve"> মোঃ আব্দুর রহমান </t>
  </si>
  <si>
    <t xml:space="preserve"> নবিছদ্দিন </t>
  </si>
  <si>
    <t xml:space="preserve"> মোছাঃ সকিনা খাতুন </t>
  </si>
  <si>
    <t xml:space="preserve"> ০৭/০৫/১৯৫২ </t>
  </si>
  <si>
    <t xml:space="preserve"> জালতকা, বালিয়া পাড়া, গাংনী, মেহেরপুর </t>
  </si>
  <si>
    <t xml:space="preserve"> মোঃ আসাফুল হক </t>
  </si>
  <si>
    <t xml:space="preserve"> আব্দুল মলিথা </t>
  </si>
  <si>
    <t xml:space="preserve"> মোছাঃ খাদিজা খাতুন </t>
  </si>
  <si>
    <t xml:space="preserve"> ০৮/১০/১৯৭৯ </t>
  </si>
  <si>
    <t xml:space="preserve"> মোঃ শাহাদত হোসেন </t>
  </si>
  <si>
    <t xml:space="preserve"> মোঃ আহাদ আলী </t>
  </si>
  <si>
    <t xml:space="preserve"> শাহানারা </t>
  </si>
  <si>
    <t xml:space="preserve"> ০১/০৫/১৯৮২ </t>
  </si>
  <si>
    <t xml:space="preserve"> মোঃ শফিকুল ইসলাম </t>
  </si>
  <si>
    <t xml:space="preserve"> আমারত আলী </t>
  </si>
  <si>
    <t xml:space="preserve"> মোছাঃ ছইরন নেছা </t>
  </si>
  <si>
    <t xml:space="preserve"> ০৪/০৩/১৯৬৯ </t>
  </si>
  <si>
    <t xml:space="preserve"> মোঃ মিনারুল হক </t>
  </si>
  <si>
    <t xml:space="preserve"> মোঃ রবকুল </t>
  </si>
  <si>
    <t xml:space="preserve"> মোছাঃ হাজেরা খাতুন </t>
  </si>
  <si>
    <t xml:space="preserve"> ০৫/০৩/১৯৮০ </t>
  </si>
  <si>
    <t xml:space="preserve"> মোঃ আরিফুল হক </t>
  </si>
  <si>
    <t xml:space="preserve"> মোঃ বিল্টু মন্ডল </t>
  </si>
  <si>
    <t xml:space="preserve"> মোছাঃ ফেরদৌসি খাতুন </t>
  </si>
  <si>
    <t xml:space="preserve"> ০৮/০৯/১৯৮৫ </t>
  </si>
  <si>
    <t xml:space="preserve"> আজিজার রহমান </t>
  </si>
  <si>
    <t xml:space="preserve"> ইজারন নেছা </t>
  </si>
  <si>
    <t xml:space="preserve"> ০৬/০৮/১৯৫৭ </t>
  </si>
  <si>
    <t xml:space="preserve"> মোঃ সুবারেক হোসেন </t>
  </si>
  <si>
    <t xml:space="preserve"> মোঃ আঃ রহমান </t>
  </si>
  <si>
    <t xml:space="preserve"> মোছাঃ জাহানারা </t>
  </si>
  <si>
    <t xml:space="preserve"> ০৮/০৭/১৯৭৯ </t>
  </si>
  <si>
    <t xml:space="preserve"> মোঃ জিনারুল ইসলাম </t>
  </si>
  <si>
    <t xml:space="preserve"> মো হাঃ রহিমা বেগম </t>
  </si>
  <si>
    <t xml:space="preserve"> ২৫/০৭/১৯৭৯ </t>
  </si>
  <si>
    <t xml:space="preserve"> কূ :কে </t>
  </si>
  <si>
    <t xml:space="preserve"> মোঃ মোবারক হোসেন </t>
  </si>
  <si>
    <t xml:space="preserve"> মোছাঃ জাহানুর খাতুন </t>
  </si>
  <si>
    <t xml:space="preserve"> ২০/০৬/১৯৮১ </t>
  </si>
  <si>
    <t xml:space="preserve"> ০৯/০৮/১৯৭৭ </t>
  </si>
  <si>
    <t xml:space="preserve"> মোঃ মুকুল হোসেন </t>
  </si>
  <si>
    <t xml:space="preserve"> মোছাঃ রোকেয়া খাতুন </t>
  </si>
  <si>
    <t xml:space="preserve"> ০৯/১০/১৯৭৯ </t>
  </si>
  <si>
    <t xml:space="preserve"> মোঃ সাজেদুল ইসলাম </t>
  </si>
  <si>
    <t xml:space="preserve"> মোঃ দুলাল হোসেন </t>
  </si>
  <si>
    <t xml:space="preserve"> মোছাঃ সহিদা খাতুন </t>
  </si>
  <si>
    <t xml:space="preserve"> ০৫/০৬/১৯৯৫ </t>
  </si>
  <si>
    <t xml:space="preserve"> বকুল </t>
  </si>
  <si>
    <t xml:space="preserve"> মোঃ টুটুল আলী </t>
  </si>
  <si>
    <t xml:space="preserve"> ০১/১০/১৯৮৫ </t>
  </si>
  <si>
    <t xml:space="preserve"> গোলাম রসুল </t>
  </si>
  <si>
    <t xml:space="preserve"> রত্না খাতুন </t>
  </si>
  <si>
    <t xml:space="preserve"> ০৮/১১/১৯৬৭ </t>
  </si>
  <si>
    <t xml:space="preserve"> মোঃ ইসরাফ আলী </t>
  </si>
  <si>
    <t xml:space="preserve"> আক্কেস আলী </t>
  </si>
  <si>
    <t xml:space="preserve"> মোছাঃ খোয়ারী খাতুন </t>
  </si>
  <si>
    <t xml:space="preserve"> ১৭/১০/১৯৭২ </t>
  </si>
  <si>
    <t xml:space="preserve"> মোঃ রাইতাল হোসেন </t>
  </si>
  <si>
    <t xml:space="preserve"> মোঃ জয়নাল আবেদিন </t>
  </si>
  <si>
    <t xml:space="preserve"> রাইমন বিবি </t>
  </si>
  <si>
    <t xml:space="preserve"> ০৭/০৯/১৯৬৭ </t>
  </si>
  <si>
    <t xml:space="preserve"> মোঃ তারাচাদ মন্ডল </t>
  </si>
  <si>
    <t xml:space="preserve"> মফেজদ্দিন </t>
  </si>
  <si>
    <t xml:space="preserve"> বমেলা খাতুন </t>
  </si>
  <si>
    <t xml:space="preserve"> ০৭/১০/১৯৭২ </t>
  </si>
  <si>
    <t xml:space="preserve"> মোঃ ছুবান আলী </t>
  </si>
  <si>
    <t xml:space="preserve"> আজিজার সর্দার </t>
  </si>
  <si>
    <t xml:space="preserve"> ১০/১২/১৯৭২ </t>
  </si>
  <si>
    <t xml:space="preserve"> মোঃ ঝন্টু আলী </t>
  </si>
  <si>
    <t xml:space="preserve"> মোঃ তফেলদ্দীন </t>
  </si>
  <si>
    <t xml:space="preserve"> মোছাঃ ভানুবিবি </t>
  </si>
  <si>
    <t xml:space="preserve"> ২৩/০৬/১৯৮০ </t>
  </si>
  <si>
    <t xml:space="preserve"> মোঃ শাহাবুদ্দীন </t>
  </si>
  <si>
    <t xml:space="preserve"> মোঃ জাফর আলী </t>
  </si>
  <si>
    <t xml:space="preserve"> শাহিদা বেগম </t>
  </si>
  <si>
    <t xml:space="preserve"> ৩০/১১/১৯৮২ </t>
  </si>
  <si>
    <t xml:space="preserve"> মোঃ উসমান গনি </t>
  </si>
  <si>
    <t xml:space="preserve"> আক্বাস আলী </t>
  </si>
  <si>
    <t xml:space="preserve"> মোছাঃ খুদারী বেগম </t>
  </si>
  <si>
    <t xml:space="preserve"> ২৩/০৬/১৯৬০ </t>
  </si>
  <si>
    <t xml:space="preserve"> মোঃ আঃ মালেক </t>
  </si>
  <si>
    <t xml:space="preserve"> মোঃ মজিবর রহমান </t>
  </si>
  <si>
    <t xml:space="preserve"> মোছাঃ মইমনা খাতুন </t>
  </si>
  <si>
    <t xml:space="preserve"> ২৬/০৬/১৯৭০ </t>
  </si>
  <si>
    <t xml:space="preserve"> মোঃ হামিজদ্দীন </t>
  </si>
  <si>
    <t xml:space="preserve"> বক্স মন্ডল </t>
  </si>
  <si>
    <t xml:space="preserve"> ইজারন খাতুন </t>
  </si>
  <si>
    <t xml:space="preserve"> ৩০/১২/১৯৬২ </t>
  </si>
  <si>
    <t xml:space="preserve"> মফিজদ্দিন </t>
  </si>
  <si>
    <t xml:space="preserve"> ওমিলা বেগম </t>
  </si>
  <si>
    <t xml:space="preserve"> ২২/০৫/১৯৬৭ </t>
  </si>
  <si>
    <t xml:space="preserve"> মোঃ মসলেম আলী </t>
  </si>
  <si>
    <t xml:space="preserve"> মোছাঃ আনোয়ারা খাতুন </t>
  </si>
  <si>
    <t xml:space="preserve"> ২০/০৪/১৯৮০ </t>
  </si>
  <si>
    <t xml:space="preserve"> আহাম্মাদ আলী </t>
  </si>
  <si>
    <t xml:space="preserve"> কফিলুদ্দিন মন্ডল </t>
  </si>
  <si>
    <t xml:space="preserve"> লাল বানু </t>
  </si>
  <si>
    <t xml:space="preserve"> ১১/০৫/১৯৫৭ </t>
  </si>
  <si>
    <t xml:space="preserve"> মোঃ তফেল উদ্দীন </t>
  </si>
  <si>
    <t xml:space="preserve"> মফেজদ্দীন </t>
  </si>
  <si>
    <t xml:space="preserve"> ওমিলা খাতুন </t>
  </si>
  <si>
    <t xml:space="preserve"> ১০/০৫/১৯৫৭ </t>
  </si>
  <si>
    <t xml:space="preserve"> মোঃ ইয়াছদ্দীন </t>
  </si>
  <si>
    <t xml:space="preserve"> আহাম্মাদ মন্ডল </t>
  </si>
  <si>
    <t xml:space="preserve"> মোছাঃ সুরাতন নেছা </t>
  </si>
  <si>
    <t xml:space="preserve"> ০১/০২/১৯৬২ </t>
  </si>
  <si>
    <t xml:space="preserve"> মোঃ আঃ খালেক </t>
  </si>
  <si>
    <t xml:space="preserve"> ওবেদ আলী </t>
  </si>
  <si>
    <t xml:space="preserve"> মোছাঃ খদেজা খাতুন </t>
  </si>
  <si>
    <t xml:space="preserve"> ০৫/১১/১৯৭০ </t>
  </si>
  <si>
    <t xml:space="preserve"> রবকুল মন্ডল </t>
  </si>
  <si>
    <t xml:space="preserve"> সুবাসী খাতুন </t>
  </si>
  <si>
    <t xml:space="preserve"> ০৫/০৭/১৯৫৬ </t>
  </si>
  <si>
    <t xml:space="preserve"> মোঃ নুরুজ্জামান </t>
  </si>
  <si>
    <t xml:space="preserve"> মোঃ সিরাজ শেখ </t>
  </si>
  <si>
    <t xml:space="preserve"> ০৮/০৪/১৯৭২ </t>
  </si>
  <si>
    <t xml:space="preserve"> মোঃ জিন্নাত আলী </t>
  </si>
  <si>
    <t xml:space="preserve"> মোছাঃ এলেপান বিবি </t>
  </si>
  <si>
    <t xml:space="preserve"> ০৮/০৫/১৯৭৫ </t>
  </si>
  <si>
    <t xml:space="preserve"> মোঃ নওশাদ আলী </t>
  </si>
  <si>
    <t xml:space="preserve"> মোছাঃ বাসিরন নেছা </t>
  </si>
  <si>
    <t xml:space="preserve"> ০৪/০৩/১৯৮১ </t>
  </si>
  <si>
    <t xml:space="preserve"> মোঃ মহসীন আলী </t>
  </si>
  <si>
    <t xml:space="preserve"> ১১/১২/১৯৭৩ </t>
  </si>
  <si>
    <t xml:space="preserve"> মোঃ মতিয়ার রহমান </t>
  </si>
  <si>
    <t xml:space="preserve"> আঃ রহিম </t>
  </si>
  <si>
    <t xml:space="preserve"> মোছাঃ রোকিয়া খাতুন </t>
  </si>
  <si>
    <t xml:space="preserve"> ০৯/০২/১৯৭২ </t>
  </si>
  <si>
    <t xml:space="preserve"> মোঃ আবু তাহের </t>
  </si>
  <si>
    <t xml:space="preserve"> ০৫/০৮/১৯৬৬ </t>
  </si>
  <si>
    <t xml:space="preserve"> আব্দুর রাজ্জাক </t>
  </si>
  <si>
    <t xml:space="preserve"> আকবার মন্ডল </t>
  </si>
  <si>
    <t xml:space="preserve"> মোছাঃ খুকি বিবি </t>
  </si>
  <si>
    <t xml:space="preserve"> ০৮/১০/১৯৬৭ </t>
  </si>
  <si>
    <t xml:space="preserve"> মোঃ শাহাজান আলী </t>
  </si>
  <si>
    <t xml:space="preserve"> মোঃ দবিরুদ্দীন </t>
  </si>
  <si>
    <t xml:space="preserve"> মোছাঃ জয়নব খাতুন </t>
  </si>
  <si>
    <t xml:space="preserve"> ০৯/০৩/১৯৬৫ </t>
  </si>
  <si>
    <t xml:space="preserve"> মোঃ মিনারুল ইসলাম </t>
  </si>
  <si>
    <t xml:space="preserve"> মোছাঃ শাহিদা বেগম </t>
  </si>
  <si>
    <t xml:space="preserve"> ০৮/১১/১৯৭৭ </t>
  </si>
  <si>
    <t xml:space="preserve"> মোঃ আক্তারুল হক </t>
  </si>
  <si>
    <t xml:space="preserve"> মোঃ রবকুল মন্ডল </t>
  </si>
  <si>
    <t xml:space="preserve"> মোঃ মিকাইল হোসেন </t>
  </si>
  <si>
    <t xml:space="preserve"> মোঃ গঞ্জর আলী </t>
  </si>
  <si>
    <t xml:space="preserve"> মোছাঃ জুলেখা খাতুন </t>
  </si>
  <si>
    <t xml:space="preserve"> ০৮/০৬/১৯৮৮ </t>
  </si>
  <si>
    <t xml:space="preserve"> মোঃ রবকুল সর্দার </t>
  </si>
  <si>
    <t xml:space="preserve"> লুতফল সর্দার </t>
  </si>
  <si>
    <t xml:space="preserve"> মহিরন নেছা </t>
  </si>
  <si>
    <t xml:space="preserve"> ০৯/০৬/১৯৩৭ </t>
  </si>
  <si>
    <t xml:space="preserve"> জালতকা, কসবা, গাংনী, মেহেরপুর </t>
  </si>
  <si>
    <t xml:space="preserve"> মোঃ ইসরাঈল হোসেন </t>
  </si>
  <si>
    <t xml:space="preserve"> মোঃ গনজর আলী </t>
  </si>
  <si>
    <t xml:space="preserve"> মোছাঃ জালেমা খাতুন </t>
  </si>
  <si>
    <t xml:space="preserve"> ১২/১১/১৯৮০ </t>
  </si>
  <si>
    <t xml:space="preserve"> জালতকা বালিয়া পাড়া, কসবা, গাংনী, মেহেরপুর </t>
  </si>
  <si>
    <t xml:space="preserve"> মোঃ আঃ রহিম </t>
  </si>
  <si>
    <t xml:space="preserve"> মোছাঃ তকিরন </t>
  </si>
  <si>
    <t xml:space="preserve"> ০৭/০৪/১৯৮২ </t>
  </si>
  <si>
    <t xml:space="preserve"> মোঃ বাদল আলী </t>
  </si>
  <si>
    <t xml:space="preserve"> আকবার আলী </t>
  </si>
  <si>
    <t xml:space="preserve"> রায়মন </t>
  </si>
  <si>
    <t xml:space="preserve"> ১১/০৮/১৯৬৭ </t>
  </si>
  <si>
    <t xml:space="preserve"> মাইগ্রেট হয়েছে </t>
  </si>
  <si>
    <t xml:space="preserve">  </t>
  </si>
  <si>
    <t xml:space="preserve"> মোঃ কামরুল হোসেন </t>
  </si>
  <si>
    <t xml:space="preserve"> মোঃ আকছেদ আলী </t>
  </si>
  <si>
    <t xml:space="preserve"> মোছাঃ হাছিনা খাতুন </t>
  </si>
  <si>
    <t xml:space="preserve"> ২৫/০৪/১৯৭৬ </t>
  </si>
  <si>
    <t xml:space="preserve"> নাম: মোঃ আব্বাস আলী </t>
  </si>
  <si>
    <t xml:space="preserve"> মোঃ ইব্রাহিম </t>
  </si>
  <si>
    <t xml:space="preserve"> শহিদা খাতুন </t>
  </si>
  <si>
    <t xml:space="preserve"> ১১/০১/১৯৬৩ </t>
  </si>
  <si>
    <t xml:space="preserve"> নাম: মোঃ ইয়াছিন আলী </t>
  </si>
  <si>
    <t xml:space="preserve"> হানিফ আলী </t>
  </si>
  <si>
    <t xml:space="preserve"> মোছাঃ বানু খাতুন </t>
  </si>
  <si>
    <t xml:space="preserve"> ০২/০১/১৯৭৭ </t>
  </si>
  <si>
    <t xml:space="preserve"> মোঃ ইকলাস আলী </t>
  </si>
  <si>
    <t xml:space="preserve"> মোঃ ছাদিমান </t>
  </si>
  <si>
    <t xml:space="preserve"> মোছাঃ শাহানারা </t>
  </si>
  <si>
    <t xml:space="preserve"> ০৩/০২/১৯৮৩ </t>
  </si>
  <si>
    <t xml:space="preserve"> মোঃ ইব্রাহীম আলী </t>
  </si>
  <si>
    <t xml:space="preserve"> শামসুদ্দীন মোল্লাহ </t>
  </si>
  <si>
    <t xml:space="preserve"> মোছাঃ রুবিয়া খাতুন </t>
  </si>
  <si>
    <t xml:space="preserve"> ০৮/০৬/১৯৬১ </t>
  </si>
  <si>
    <t xml:space="preserve"> মোঃ ইয়াদুল হক </t>
  </si>
  <si>
    <t xml:space="preserve"> রইমন খাতুন </t>
  </si>
  <si>
    <t xml:space="preserve"> ০১/০১/১৯৭৪ </t>
  </si>
  <si>
    <t xml:space="preserve"> মোঃ রতিয়ার রহমান </t>
  </si>
  <si>
    <t xml:space="preserve"> ০৬/০৮/১৯৭৩ </t>
  </si>
  <si>
    <t xml:space="preserve"> মোঃ ইয়ার আলী </t>
  </si>
  <si>
    <t xml:space="preserve"> মোঃ দেলবার হোসেন </t>
  </si>
  <si>
    <t xml:space="preserve"> রইমন নেছা </t>
  </si>
  <si>
    <t xml:space="preserve"> ০৫/১২/১৯৭৭ </t>
  </si>
  <si>
    <t xml:space="preserve"> মোঃ শাহাজাহান </t>
  </si>
  <si>
    <t xml:space="preserve"> মোছাঃ আনোয়ারা </t>
  </si>
  <si>
    <t xml:space="preserve"> মোঃ রমছদ্দীন মন্ডল </t>
  </si>
  <si>
    <t xml:space="preserve"> আমারত মন্ডল </t>
  </si>
  <si>
    <t xml:space="preserve"> মোছাঃ করিমন নেছা </t>
  </si>
  <si>
    <t xml:space="preserve"> ২২/১২/১৯৫৭ </t>
  </si>
  <si>
    <t xml:space="preserve"> মোঃ বাবলু আলী </t>
  </si>
  <si>
    <t xml:space="preserve"> মোঃ রতন মন্ডল </t>
  </si>
  <si>
    <t xml:space="preserve"> মোছাঃ তরিছন নেছা </t>
  </si>
  <si>
    <t xml:space="preserve"> ২২/০৭/১৯৮০ </t>
  </si>
  <si>
    <t xml:space="preserve"> মুজাফ মন্ডল </t>
  </si>
  <si>
    <t xml:space="preserve"> মাহিরন নেছা </t>
  </si>
  <si>
    <t xml:space="preserve"> ২২/১২/১৯৪৮ </t>
  </si>
  <si>
    <t xml:space="preserve"> মোঃ মইহক আলী </t>
  </si>
  <si>
    <t xml:space="preserve"> মোছাঃ ছুরাতন নেছা </t>
  </si>
  <si>
    <t xml:space="preserve"> ০৯/০১/১৯৭২ </t>
  </si>
  <si>
    <t xml:space="preserve"> মোঃ হাসিবুল </t>
  </si>
  <si>
    <t xml:space="preserve"> মোছাঃ সুরাতন </t>
  </si>
  <si>
    <t xml:space="preserve"> ২২/০৪/১৯৮০ </t>
  </si>
  <si>
    <t xml:space="preserve"> মোঃ মজিবুল হক </t>
  </si>
  <si>
    <t xml:space="preserve"> ৩০/০৮/১৯৭৭ </t>
  </si>
  <si>
    <t xml:space="preserve"> হিলাল উদ্দীন </t>
  </si>
  <si>
    <t xml:space="preserve"> মোছাঃ কহিনুর খাতুন </t>
  </si>
  <si>
    <t xml:space="preserve"> ১৫/০৬/১৯৮৫ </t>
  </si>
  <si>
    <t xml:space="preserve"> বেসরকারী চাকুরী </t>
  </si>
  <si>
    <t xml:space="preserve"> জালতকা উত্তরপাড়া, গাংনী, মেহেরপুর </t>
  </si>
  <si>
    <t xml:space="preserve"> মোঃ রিয়াজ উদ্দীন </t>
  </si>
  <si>
    <t xml:space="preserve"> মো দুখু মিয়া </t>
  </si>
  <si>
    <t xml:space="preserve"> রহিমা বেগম </t>
  </si>
  <si>
    <t xml:space="preserve"> মোঃ কাওছার আলী </t>
  </si>
  <si>
    <t xml:space="preserve"> মোঃ আবু তালেব </t>
  </si>
  <si>
    <t xml:space="preserve"> মোছাঃ ছাবিন নেছা </t>
  </si>
  <si>
    <t xml:space="preserve"> ৩০/০১/১৯৭৩ </t>
  </si>
  <si>
    <t xml:space="preserve"> জালতকা উত্তর পাড়া, গাংনী, মেহেরপুর </t>
  </si>
  <si>
    <t xml:space="preserve"> মোঃ আব্দুল মান্নান </t>
  </si>
  <si>
    <t xml:space="preserve"> শওকত মালিথা </t>
  </si>
  <si>
    <t xml:space="preserve"> আতরা খাতুন </t>
  </si>
  <si>
    <t xml:space="preserve"> ১৬/০১/১৯৮০ </t>
  </si>
  <si>
    <t xml:space="preserve"> মোঃ ইদ্রিস আলী </t>
  </si>
  <si>
    <t xml:space="preserve"> আমিরুদ্দিন </t>
  </si>
  <si>
    <t xml:space="preserve"> আলতাবানু </t>
  </si>
  <si>
    <t xml:space="preserve"> ০৪/০৮/১৯৬২ </t>
  </si>
  <si>
    <t xml:space="preserve"> মোঃ বাবুর আলী </t>
  </si>
  <si>
    <t xml:space="preserve"> আমদ আলী </t>
  </si>
  <si>
    <t xml:space="preserve"> হালিমা খাতুন </t>
  </si>
  <si>
    <t xml:space="preserve"> ১৭/০৯/১৯৬২ </t>
  </si>
  <si>
    <t xml:space="preserve"> মোঃ বজলুল হক </t>
  </si>
  <si>
    <t xml:space="preserve"> মাদার শেখ </t>
  </si>
  <si>
    <t xml:space="preserve"> ১৯/০৭/১৯৬৯ </t>
  </si>
  <si>
    <t xml:space="preserve"> মোঃ আছলদ্দীন </t>
  </si>
  <si>
    <t xml:space="preserve"> মোছাঃ রাহেলা খাতুন </t>
  </si>
  <si>
    <t xml:space="preserve"> ২১/০৩/১৯৭৭ </t>
  </si>
  <si>
    <t xml:space="preserve"> মোঃ সিরাজুল ইসলাম </t>
  </si>
  <si>
    <t xml:space="preserve"> দুঃখি শেখ </t>
  </si>
  <si>
    <t xml:space="preserve"> ২২/০৯/১৯৬৮ </t>
  </si>
  <si>
    <t xml:space="preserve"> মোঃ মখলেছুর রহমান </t>
  </si>
  <si>
    <t xml:space="preserve"> মোঃ সাদিমান </t>
  </si>
  <si>
    <t xml:space="preserve"> ২২/০৪/১৯৮৯ </t>
  </si>
  <si>
    <t xml:space="preserve"> ০৫/০৭/১৯৬৫ </t>
  </si>
  <si>
    <t xml:space="preserve"> জালতকা মসজিদ পাড়া, গাংনী, মেহেরপুর </t>
  </si>
  <si>
    <t xml:space="preserve"> মোঃ হাবিবুর রহমান </t>
  </si>
  <si>
    <t xml:space="preserve"> মোঃ আফিলুদ্দীন </t>
  </si>
  <si>
    <t xml:space="preserve"> মোছাঃ রেজিয়া খাতুন </t>
  </si>
  <si>
    <t xml:space="preserve"> ০৭/০৯/১৯৭৫ </t>
  </si>
  <si>
    <t xml:space="preserve"> মোঃ শামিম হোসেন </t>
  </si>
  <si>
    <t xml:space="preserve"> ১৩/০৪/১৯৮১ </t>
  </si>
  <si>
    <t xml:space="preserve"> জালতকা মসজিদ পাড়া, জালতকা, গাংনী, মেহেরপুর </t>
  </si>
  <si>
    <t xml:space="preserve"> মোঃ তক্কেল আলী </t>
  </si>
  <si>
    <t xml:space="preserve"> শামসুদ্দীন মালিথা </t>
  </si>
  <si>
    <t xml:space="preserve"> ০৫/০৩/১৯৬২ </t>
  </si>
  <si>
    <t xml:space="preserve"> মোঃ আঃ সামাদ </t>
  </si>
  <si>
    <t xml:space="preserve"> মোছাঃ আমিনা </t>
  </si>
  <si>
    <t xml:space="preserve"> ২২/০৩/১৯৭২ </t>
  </si>
  <si>
    <t xml:space="preserve"> জালতকা মসজিদপাড়া, গাংনী, মেহেরপুর </t>
  </si>
  <si>
    <t xml:space="preserve"> মোঃ আবুছদ্দিন মন্ডল </t>
  </si>
  <si>
    <t xml:space="preserve"> ৩০/০৪/১৯৫২ </t>
  </si>
  <si>
    <t xml:space="preserve"> মোঃ রমজান আলী </t>
  </si>
  <si>
    <t xml:space="preserve"> মোঃ খেদের আলী </t>
  </si>
  <si>
    <t xml:space="preserve"> মোছাঃ সোহাগী </t>
  </si>
  <si>
    <t xml:space="preserve"> ২২/০৪/১৯৭৩ </t>
  </si>
  <si>
    <t xml:space="preserve"> মোঃ আক্তারুল </t>
  </si>
  <si>
    <t xml:space="preserve"> মোঃ বানু মন্ডল </t>
  </si>
  <si>
    <t xml:space="preserve"> আহাজান নেছা </t>
  </si>
  <si>
    <t xml:space="preserve"> ১০/০৬/১৯৭৮ </t>
  </si>
  <si>
    <t xml:space="preserve"> মোঃ দবিরুদ্দিন </t>
  </si>
  <si>
    <t xml:space="preserve"> ১১/০৭/১৯৬৭ </t>
  </si>
  <si>
    <t xml:space="preserve"> অলি বক্স </t>
  </si>
  <si>
    <t xml:space="preserve"> ১৭/০৪/১৯৩৫ </t>
  </si>
  <si>
    <t xml:space="preserve"> মোঃ আক্কাস আলী </t>
  </si>
  <si>
    <t xml:space="preserve"> শামসুদ্দীন </t>
  </si>
  <si>
    <t xml:space="preserve"> ১৯/০৫/১৯৫২ </t>
  </si>
  <si>
    <t xml:space="preserve"> মোঃ ইয়ামিন হোসেন </t>
  </si>
  <si>
    <t xml:space="preserve"> ০৯/০৮/১৯৮২ </t>
  </si>
  <si>
    <t xml:space="preserve"> ০৮/০৪/১৯৭৯ </t>
  </si>
  <si>
    <t xml:space="preserve"> মোঃ মহিবুল হক </t>
  </si>
  <si>
    <t xml:space="preserve"> মোছাঃ মহিলা খাতুন </t>
  </si>
  <si>
    <t xml:space="preserve"> ১০/০৫/১৯৮০ </t>
  </si>
  <si>
    <t xml:space="preserve"> মোঃ আরমান আলী </t>
  </si>
  <si>
    <t xml:space="preserve"> মোছাঃ রমেলা খাতুন </t>
  </si>
  <si>
    <t xml:space="preserve"> ১৮/০৪/১৯৭১ </t>
  </si>
  <si>
    <t xml:space="preserve"> মোঃ আনুছদ্দিন </t>
  </si>
  <si>
    <t xml:space="preserve"> ১১/০৪/১৯৭৬ </t>
  </si>
  <si>
    <t xml:space="preserve"> মোঃ গিয়াস উদ্দীন </t>
  </si>
  <si>
    <t xml:space="preserve"> শিক্ষক </t>
  </si>
  <si>
    <t xml:space="preserve"> মোঃ মুন্তাজ আলী </t>
  </si>
  <si>
    <t xml:space="preserve"> মোঃ দুল্লুপ মালিথা </t>
  </si>
  <si>
    <t xml:space="preserve"> মোছাঃ ওহেদান </t>
  </si>
  <si>
    <t xml:space="preserve"> ০২/০৩/১৯৬২ </t>
  </si>
  <si>
    <t xml:space="preserve"> মোঃ ফজলুল হক </t>
  </si>
  <si>
    <t xml:space="preserve"> আঃ লতিফ </t>
  </si>
  <si>
    <t xml:space="preserve"> রোমেলা খাতুন </t>
  </si>
  <si>
    <t xml:space="preserve"> ০৫/০৩/১৯৬১ </t>
  </si>
  <si>
    <t xml:space="preserve"> আঃ লতিফ বিশ্বাস </t>
  </si>
  <si>
    <t xml:space="preserve"> মৃত রমেলা খাতুন </t>
  </si>
  <si>
    <t xml:space="preserve"> ১৭/০৪/১৯৬৩ </t>
  </si>
  <si>
    <t xml:space="preserve"> মোঃ শামসুল হক </t>
  </si>
  <si>
    <t xml:space="preserve"> মোঃ আজিমুদ্দীন </t>
  </si>
  <si>
    <t xml:space="preserve"> মোছাঃ বানুয়ারা খাতুন </t>
  </si>
  <si>
    <t xml:space="preserve"> ১০/০১/১৯৫৯ </t>
  </si>
  <si>
    <t xml:space="preserve"> ২০/০৮/১৯৭৯ </t>
  </si>
  <si>
    <t xml:space="preserve"> মোঃ আঃ হান্নান</t>
  </si>
  <si>
    <t xml:space="preserve"> ০৫/০৭/১৯৭৫ </t>
  </si>
  <si>
    <t xml:space="preserve"> রিক্সা/ভ্যান চালক </t>
  </si>
  <si>
    <t xml:space="preserve"> আঃ কুদ্দুস </t>
  </si>
  <si>
    <t xml:space="preserve"> মোছাঃ সুবারন </t>
  </si>
  <si>
    <t xml:space="preserve"> ০৯/০৭/১৯৮২ </t>
  </si>
  <si>
    <t xml:space="preserve"> মোঃ শাহাবুল </t>
  </si>
  <si>
    <t xml:space="preserve"> মোঃ দবির উদ্দীন </t>
  </si>
  <si>
    <t xml:space="preserve"> মোছাঃ জয়নব বিবি </t>
  </si>
  <si>
    <t xml:space="preserve"> ১২/০৮/১৯৭৭ </t>
  </si>
  <si>
    <t xml:space="preserve"> মোঃ হাসান আলী </t>
  </si>
  <si>
    <t xml:space="preserve"> উকিল মন্ডল </t>
  </si>
  <si>
    <t xml:space="preserve"> মোছাঃ হামিনা </t>
  </si>
  <si>
    <t xml:space="preserve"> ২৮/০৪/১৯৭৭ </t>
  </si>
  <si>
    <t xml:space="preserve"> মোঃ সাজদার হোসেন </t>
  </si>
  <si>
    <t xml:space="preserve"> ছাদেক আলী </t>
  </si>
  <si>
    <t xml:space="preserve"> ২৭/০৩/১৯৬৬ </t>
  </si>
  <si>
    <t xml:space="preserve"> মোঃ বাবলু হোসেন </t>
  </si>
  <si>
    <t xml:space="preserve"> ০১/০১/১৯৮২ </t>
  </si>
  <si>
    <t xml:space="preserve"> মোঃ মহিবুল ইসলাম </t>
  </si>
  <si>
    <t xml:space="preserve"> মোঃ পিজিরুদ্দীন </t>
  </si>
  <si>
    <t xml:space="preserve"> মোছাঃ নুরজাহান </t>
  </si>
  <si>
    <t xml:space="preserve"> ২৩/০৯/১৯৬৭ </t>
  </si>
  <si>
    <t xml:space="preserve"> মোঃ শহিদুল ইসলাম </t>
  </si>
  <si>
    <t xml:space="preserve"> মোছাঃ ওহেজান </t>
  </si>
  <si>
    <t xml:space="preserve"> ২৩/০১/১৯৬৯ </t>
  </si>
  <si>
    <t xml:space="preserve"> মোঃ আঃ কুদ্দুস </t>
  </si>
  <si>
    <t xml:space="preserve"> জয়নাল </t>
  </si>
  <si>
    <t xml:space="preserve"> মাহিরন </t>
  </si>
  <si>
    <t xml:space="preserve"> ১১/০১/১৯৫৯ </t>
  </si>
  <si>
    <t xml:space="preserve"> মোঃ আয়ুব আলী </t>
  </si>
  <si>
    <t xml:space="preserve"> মোঃ দেলবার </t>
  </si>
  <si>
    <t xml:space="preserve"> ২৭/০৯/১৯৫৯ </t>
  </si>
  <si>
    <t xml:space="preserve"> মোঃ নজির আলী </t>
  </si>
  <si>
    <t xml:space="preserve"> ২২/১১/১৯৮২ </t>
  </si>
  <si>
    <t xml:space="preserve"> মোছাঃ সুফিয়া খাতুন </t>
  </si>
  <si>
    <t xml:space="preserve"> ০৯/০২/১৯৮৭ </t>
  </si>
  <si>
    <t xml:space="preserve"> মোঃ ওমর আলী </t>
  </si>
  <si>
    <t xml:space="preserve"> তালুক মন্ডল </t>
  </si>
  <si>
    <t xml:space="preserve"> মোছাঃ ইনছান বেওয়া </t>
  </si>
  <si>
    <t xml:space="preserve"> ০৩/০৫/১৯৫২ </t>
  </si>
  <si>
    <t xml:space="preserve"> মোছাঃ ছারেজান নেছা </t>
  </si>
  <si>
    <t xml:space="preserve"> ০১/০৬/১৯৮৯ </t>
  </si>
  <si>
    <t xml:space="preserve"> আজিজার বিশ্বাস </t>
  </si>
  <si>
    <t xml:space="preserve"> ০৮/০১/১৯৭১ </t>
  </si>
  <si>
    <t xml:space="preserve"> মোঃ ছইরদ্দিন </t>
  </si>
  <si>
    <t xml:space="preserve"> মোছাঃ খুদিমন নেছা </t>
  </si>
  <si>
    <t xml:space="preserve"> ২২/০৭/১৯৬২ </t>
  </si>
  <si>
    <t xml:space="preserve"> মোঃ সাহিদুল ইসলাম </t>
  </si>
  <si>
    <t xml:space="preserve"> মোঃ মিরাজুল হক </t>
  </si>
  <si>
    <t xml:space="preserve"> ০৩/০৭/১৯৭৭ </t>
  </si>
  <si>
    <t xml:space="preserve"> আব্দুল জব্বার </t>
  </si>
  <si>
    <t xml:space="preserve"> চাঁদমনি </t>
  </si>
  <si>
    <t xml:space="preserve"> মোঃ নাজমুল হুদা </t>
  </si>
  <si>
    <t xml:space="preserve"> মোঃ আব্দুর রাজ্জাক </t>
  </si>
  <si>
    <t xml:space="preserve"> মোছাঃ ফিরোজা খাতুন </t>
  </si>
  <si>
    <t xml:space="preserve"> ২৮/০৬/১৯৮৬ </t>
  </si>
  <si>
    <t xml:space="preserve"> মোঃ আব্দুল মজিদ </t>
  </si>
  <si>
    <t xml:space="preserve"> খোদা বক্স </t>
  </si>
  <si>
    <t xml:space="preserve"> মোছাঃ ওকিরন নেছা </t>
  </si>
  <si>
    <t xml:space="preserve"> ১৪/০২/১৯৮২ </t>
  </si>
  <si>
    <t xml:space="preserve"> মোঃ আমিন উল্লাহ </t>
  </si>
  <si>
    <t xml:space="preserve"> মোঃ ফাকের আলী মন্ডল </t>
  </si>
  <si>
    <t xml:space="preserve"> মোছাঃ আজিরন নেছা </t>
  </si>
  <si>
    <t xml:space="preserve"> ০১/০৩/১৯৫২ </t>
  </si>
  <si>
    <t xml:space="preserve"> মোঃ ঠান্ডু শেখ </t>
  </si>
  <si>
    <t xml:space="preserve"> মোছাঃ কাইনুর </t>
  </si>
  <si>
    <t xml:space="preserve"> ০৩/০২/১৯৮২ </t>
  </si>
  <si>
    <t xml:space="preserve"> মোঃ আখতারুজ্জামান </t>
  </si>
  <si>
    <t xml:space="preserve"> মোঃ জামাল উদ্দীন </t>
  </si>
  <si>
    <t xml:space="preserve"> মোছাঃ মালেকা খাতুন </t>
  </si>
  <si>
    <t xml:space="preserve"> নাম: মোঃ রুহুল আমিন </t>
  </si>
  <si>
    <t xml:space="preserve"> শাবদাল বিশ্বাস </t>
  </si>
  <si>
    <t xml:space="preserve"> ১০/০৫/১৯৫০ </t>
  </si>
  <si>
    <t xml:space="preserve"> নাম: মোঃ জামিরুল ইসলাম </t>
  </si>
  <si>
    <t xml:space="preserve"> মোঃ মোশাররফ হোসেন </t>
  </si>
  <si>
    <t xml:space="preserve"> মোছাঃ রসুলা খাতুন </t>
  </si>
  <si>
    <t xml:space="preserve"> ০১/০১/১৯৭৬ </t>
  </si>
  <si>
    <t xml:space="preserve"> নাম: মোঃ জামাল উদ্দীন </t>
  </si>
  <si>
    <t xml:space="preserve"> মোঃ আজিজুল হক </t>
  </si>
  <si>
    <t xml:space="preserve"> ০১/০১/১৯৬৩ </t>
  </si>
  <si>
    <t xml:space="preserve"> নাম: মোঃ ঠান্ডু শেখ </t>
  </si>
  <si>
    <t xml:space="preserve"> ইজ্জত আলী </t>
  </si>
  <si>
    <t xml:space="preserve"> মাতা: নুরজাহান নেছা </t>
  </si>
  <si>
    <t xml:space="preserve"> ২০/০৪/১৯৪২ </t>
  </si>
  <si>
    <t xml:space="preserve"> নাম: মোঃ ইউসুফ আলী </t>
  </si>
  <si>
    <t xml:space="preserve"> তুরাফ বিশ্বাস </t>
  </si>
  <si>
    <t xml:space="preserve"> আজিরন নেছা </t>
  </si>
  <si>
    <t xml:space="preserve"> ২০/০৪/১৯৩৯ </t>
  </si>
  <si>
    <t xml:space="preserve"> নাম: মোঃ মনসুরুল ইসলাম </t>
  </si>
  <si>
    <t xml:space="preserve"> মোঃ ইউসুফ আলি </t>
  </si>
  <si>
    <t xml:space="preserve"> মোছাঃ জাহিদা খাতুন </t>
  </si>
  <si>
    <t xml:space="preserve"> ০৬/১০/১৯৮৯ </t>
  </si>
  <si>
    <t xml:space="preserve"> নাম: মোঃ আনোয়ার হোসাইন </t>
  </si>
  <si>
    <t xml:space="preserve"> মোঃ ইলিয়াস হোসেন </t>
  </si>
  <si>
    <t xml:space="preserve"> মোছা ফাহিমা খাতুন </t>
  </si>
  <si>
    <t xml:space="preserve"> ০৪/১০/১৯৮৪ </t>
  </si>
  <si>
    <t xml:space="preserve"> নাম: মোঃ ইলিয়াছ হোসেন </t>
  </si>
  <si>
    <t xml:space="preserve"> মাহাতাব উদ্দীন </t>
  </si>
  <si>
    <t xml:space="preserve"> মোছাঃ সাজেদা খাতুন </t>
  </si>
  <si>
    <t xml:space="preserve"> ১২/০১/১৯৬০ </t>
  </si>
  <si>
    <t xml:space="preserve"> নাম: মোঃ মাসদুর রহমান </t>
  </si>
  <si>
    <t xml:space="preserve"> মোঃ ইউসুফ বিশ্বাস </t>
  </si>
  <si>
    <t xml:space="preserve"> মোছাঃ জায়েদা খাতুন </t>
  </si>
  <si>
    <t xml:space="preserve"> ০২/০১/১৯৭০ </t>
  </si>
  <si>
    <t xml:space="preserve"> ০৬/০৯/১৯৬৭ </t>
  </si>
  <si>
    <t xml:space="preserve"> নাম: মোঃ মনিরুল ইসলাম </t>
  </si>
  <si>
    <t xml:space="preserve"> আ: সাত্তার </t>
  </si>
  <si>
    <t xml:space="preserve"> মোছাঃ রওশনরা </t>
  </si>
  <si>
    <t xml:space="preserve"> ০২/০৪/১৯৬৫ </t>
  </si>
  <si>
    <t xml:space="preserve"> নাম: মোঃ শহিদুল ইসলাম </t>
  </si>
  <si>
    <t xml:space="preserve"> ০৫/০৮/১৯৪৭ </t>
  </si>
  <si>
    <t xml:space="preserve"> নাম: মোঃ খলিলুর রহমান </t>
  </si>
  <si>
    <t xml:space="preserve"> ১৬/০৫/১৯৬২ </t>
  </si>
  <si>
    <t xml:space="preserve"> নাম: মোঃ ইসরাইল হোসেন </t>
  </si>
  <si>
    <t xml:space="preserve"> ২২/০৭/১৯৬৫ </t>
  </si>
  <si>
    <t xml:space="preserve"> নাম: মোঃ আমিরুল ইসলাম </t>
  </si>
  <si>
    <t xml:space="preserve"> ০২/০৩/১৯৭৫ </t>
  </si>
  <si>
    <t xml:space="preserve"> নাম: মোঃ জালাল উদ্দীন </t>
  </si>
  <si>
    <t xml:space="preserve"> মোছাঃ রোকেয়া </t>
  </si>
  <si>
    <t xml:space="preserve"> ০৩/০১/১৯৭৪ </t>
  </si>
  <si>
    <t xml:space="preserve"> নাম: মোঃ আবু আল মামুন </t>
  </si>
  <si>
    <t xml:space="preserve"> মোঃ ইউনুস আলী </t>
  </si>
  <si>
    <t xml:space="preserve"> মোছাঃ হোসেনয়ারা </t>
  </si>
  <si>
    <t xml:space="preserve"> ২৭/০২/১৯৭৮ </t>
  </si>
  <si>
    <t xml:space="preserve"> নাম: মোঃ হায়দার আলী </t>
  </si>
  <si>
    <t xml:space="preserve"> হাবিলদ্দিন </t>
  </si>
  <si>
    <t xml:space="preserve"> মোছাঃ নিগারন নেছা </t>
  </si>
  <si>
    <t xml:space="preserve"> ১৪/০৩/১৯৬৪ </t>
  </si>
  <si>
    <t xml:space="preserve"> নাম: মোঃ একরামুল হক </t>
  </si>
  <si>
    <t xml:space="preserve"> ১০/১২/১৯৭৩ </t>
  </si>
  <si>
    <t xml:space="preserve"> নাম: মোঃ হিয়ামদ্দিন </t>
  </si>
  <si>
    <t xml:space="preserve"> তাহাজউদ্দীন </t>
  </si>
  <si>
    <t xml:space="preserve"> মোছাঃ আবেদা খাতুন </t>
  </si>
  <si>
    <t xml:space="preserve"> ১৩/০৯/১৯৬৫ </t>
  </si>
  <si>
    <t xml:space="preserve"> নাম: মোঃ ইসমাইল হোসেন </t>
  </si>
  <si>
    <t xml:space="preserve"> মোঃ রফেজ উদ্দিন </t>
  </si>
  <si>
    <t xml:space="preserve"> মোছাঃ আছিয়া খাতুন </t>
  </si>
  <si>
    <t xml:space="preserve"> ০৫/০৭/১৯৮৮ </t>
  </si>
  <si>
    <t xml:space="preserve"> নাম: মোঃ রবিউল হক </t>
  </si>
  <si>
    <t xml:space="preserve"> মোঃ রফেজউদ্দীন </t>
  </si>
  <si>
    <t xml:space="preserve"> ০৩/০৬/১৯৭০ </t>
  </si>
  <si>
    <t xml:space="preserve"> নাম: মোঃ জিয়া </t>
  </si>
  <si>
    <t xml:space="preserve"> মোঃ আহার উদ্দিন মন্ডল </t>
  </si>
  <si>
    <t xml:space="preserve"> মোছাঃ জাহানারা বেগম </t>
  </si>
  <si>
    <t xml:space="preserve"> ১৮/০৭/১৯৮২ </t>
  </si>
  <si>
    <t xml:space="preserve"> নাম: মোঃ মুশফিকুর রহমান </t>
  </si>
  <si>
    <t xml:space="preserve"> মোঃ রবিউল হক </t>
  </si>
  <si>
    <t xml:space="preserve"> মোছাঃ আরজিনা বেগম </t>
  </si>
  <si>
    <t xml:space="preserve"> ০৮/১০/১৯৮৪ </t>
  </si>
  <si>
    <t xml:space="preserve"> নাম: মোঃ সোহাগ </t>
  </si>
  <si>
    <t xml:space="preserve"> নুর ইসলাম </t>
  </si>
  <si>
    <t xml:space="preserve"> মোছাঃ রুশিয়া খাতুন </t>
  </si>
  <si>
    <t xml:space="preserve"> ৩১/১০/১৯৮৫ </t>
  </si>
  <si>
    <t xml:space="preserve"> নাম: মোঃ আঃ হান্নান </t>
  </si>
  <si>
    <t xml:space="preserve"> জবেদ আলী মন্ডল </t>
  </si>
  <si>
    <t xml:space="preserve"> মালেজান </t>
  </si>
  <si>
    <t xml:space="preserve"> ১০/০৫/১৯৫১ </t>
  </si>
  <si>
    <t xml:space="preserve"> নাম: মোঃ মিরাজুল ইসলাম </t>
  </si>
  <si>
    <t xml:space="preserve"> মোঃ আবুবক্কর সিদ্দিক </t>
  </si>
  <si>
    <t xml:space="preserve"> মোছাঃ হাসিনা বেগম </t>
  </si>
  <si>
    <t xml:space="preserve"> নাম: মোঃ সোহান আলী </t>
  </si>
  <si>
    <t xml:space="preserve"> আয়ুব আলী </t>
  </si>
  <si>
    <t xml:space="preserve"> নাম: মোঃ মজিবুল হক </t>
  </si>
  <si>
    <t xml:space="preserve"> মোঃ আঃ আজিজ </t>
  </si>
  <si>
    <t xml:space="preserve"> নাম: মেহেদী হাসান </t>
  </si>
  <si>
    <t xml:space="preserve"> শহিদুল ইসলাম </t>
  </si>
  <si>
    <t xml:space="preserve"> মেহের নিগার </t>
  </si>
  <si>
    <t xml:space="preserve"> ০৩/০৩/১৯৮৫ </t>
  </si>
  <si>
    <t xml:space="preserve"> নাম: মোঃ হাবিবুল বাশার </t>
  </si>
  <si>
    <t xml:space="preserve"> মানিক মন্ডল </t>
  </si>
  <si>
    <t xml:space="preserve"> মোছাঃ জোহরা বেগম </t>
  </si>
  <si>
    <t xml:space="preserve"> ০১/০৬/১৯৮৪ </t>
  </si>
  <si>
    <t xml:space="preserve"> নাম: মোঃ আরিফুল হক </t>
  </si>
  <si>
    <t xml:space="preserve"> মোছাঃ ফাতেমা খাতুন </t>
  </si>
  <si>
    <t xml:space="preserve"> নাম: মোঃ হাসিবুল ইসলাম </t>
  </si>
  <si>
    <t xml:space="preserve"> মোঃ তৈয়ব আলী </t>
  </si>
  <si>
    <t xml:space="preserve"> মোছাঃ সাহারবান </t>
  </si>
  <si>
    <t xml:space="preserve"> ০৪/০৩/১৯৮৫ </t>
  </si>
  <si>
    <t xml:space="preserve"> গৃহিনী </t>
  </si>
  <si>
    <t xml:space="preserve"> নাম: মোঃ ছমিরুল ইসলাম </t>
  </si>
  <si>
    <t xml:space="preserve"> মোঃ তনছের আলী </t>
  </si>
  <si>
    <t xml:space="preserve"> মোছাঃ আসমানি খাতুন </t>
  </si>
  <si>
    <t xml:space="preserve"> নাম: মোঃ আঃ আলীম </t>
  </si>
  <si>
    <t xml:space="preserve"> ইসমাইল হোসেন </t>
  </si>
  <si>
    <t xml:space="preserve"> মোছাঃ তাহলিমা খাতুন </t>
  </si>
  <si>
    <t xml:space="preserve"> নাম: মোঃ রিপন আলী </t>
  </si>
  <si>
    <t xml:space="preserve"> মোঃ আসাদুল ইসলাম </t>
  </si>
  <si>
    <t xml:space="preserve"> ১০/০৬/১৯৯১ </t>
  </si>
  <si>
    <t xml:space="preserve"> নাম: মোঃ রমছদ্দিন </t>
  </si>
  <si>
    <t xml:space="preserve"> মোঃ আছান আলী </t>
  </si>
  <si>
    <t xml:space="preserve"> নাম: মোঃ আকাল উদ্দিন </t>
  </si>
  <si>
    <t xml:space="preserve"> খোদা বক্স মন্ডল </t>
  </si>
  <si>
    <t xml:space="preserve"> খুকী নেছা </t>
  </si>
  <si>
    <t xml:space="preserve"> ২৯/০৮/১৯৫৭ </t>
  </si>
  <si>
    <t xml:space="preserve"> নাম: মোঃ সুজন আলী </t>
  </si>
  <si>
    <t xml:space="preserve"> মোছাঃ সাজেদা বেগম </t>
  </si>
  <si>
    <t xml:space="preserve"> ১০/০৩/১৯৮৯ </t>
  </si>
  <si>
    <t xml:space="preserve"> নাম: মোঃ লালচাদ হোসেন </t>
  </si>
  <si>
    <t xml:space="preserve"> মো তোফাজ্জেল হোসেন </t>
  </si>
  <si>
    <t xml:space="preserve"> মোছাঃ মাবিয়া খাতুন </t>
  </si>
  <si>
    <t xml:space="preserve"> ০৩/০৫/১৯৮৩ </t>
  </si>
  <si>
    <t xml:space="preserve"> নাম: মোঃ ডাবলু আলী </t>
  </si>
  <si>
    <t xml:space="preserve"> মোছাঃ মাহেরোন নেসা </t>
  </si>
  <si>
    <t xml:space="preserve"> ২৫/০৭/১৯৮২ </t>
  </si>
  <si>
    <t xml:space="preserve"> নাম: সাগর </t>
  </si>
  <si>
    <t xml:space="preserve"> হেলাল উদ্দীন </t>
  </si>
  <si>
    <t xml:space="preserve"> নাম: সাইফুল </t>
  </si>
  <si>
    <t xml:space="preserve"> রবিউল </t>
  </si>
  <si>
    <t xml:space="preserve"> ফিরোজা খাতুন </t>
  </si>
  <si>
    <t xml:space="preserve"> ২০/০৫/১৯৮৮ </t>
  </si>
  <si>
    <t xml:space="preserve"> নাম: কামাল উদ্দীন </t>
  </si>
  <si>
    <t xml:space="preserve"> মোঃ বাবর আলী </t>
  </si>
  <si>
    <t xml:space="preserve"> মোছাঃ ফরিদা খাতুন </t>
  </si>
  <si>
    <t xml:space="preserve"> ১০/০৫/১৯৯০ </t>
  </si>
  <si>
    <t xml:space="preserve"> নাম: মোঃ ফরহাদ আলী </t>
  </si>
  <si>
    <t xml:space="preserve"> জহুরা খাতুন </t>
  </si>
  <si>
    <t xml:space="preserve"> ০১/০৩/১৯৯০ </t>
  </si>
  <si>
    <t xml:space="preserve"> নাম: আমালত </t>
  </si>
  <si>
    <t xml:space="preserve"> কুদ্দুস আলী </t>
  </si>
  <si>
    <t xml:space="preserve"> মনোয়ারা </t>
  </si>
  <si>
    <t xml:space="preserve"> নাম: মোঃ রাইন আলী </t>
  </si>
  <si>
    <t xml:space="preserve"> খেদের আলী </t>
  </si>
  <si>
    <t xml:space="preserve"> সোহাগী </t>
  </si>
  <si>
    <t xml:space="preserve"> ০৮/১২/১৯৭১ </t>
  </si>
  <si>
    <t xml:space="preserve"> নাম: মোঃ মুজাহিদ </t>
  </si>
  <si>
    <t xml:space="preserve"> আলাউদ্দীন </t>
  </si>
  <si>
    <t xml:space="preserve"> নাম: মোঃ কালাম হোসেন </t>
  </si>
  <si>
    <t xml:space="preserve"> ইদ্রিস আলী </t>
  </si>
  <si>
    <t xml:space="preserve"> ০৩/০৮/১৯৮২ </t>
  </si>
  <si>
    <t xml:space="preserve"> নাম: মোঃ জাকিরুল </t>
  </si>
  <si>
    <t xml:space="preserve"> রইছদ্দীন </t>
  </si>
  <si>
    <t xml:space="preserve"> ৩০/০৩/১৯৯১ </t>
  </si>
  <si>
    <t xml:space="preserve"> নাম: মোঃ ফারুক হোসেন </t>
  </si>
  <si>
    <t xml:space="preserve"> আবুল হাসেম </t>
  </si>
  <si>
    <t xml:space="preserve"> মোছাঃ আছারন </t>
  </si>
  <si>
    <t xml:space="preserve"> ০৩/০৩/১৯৯০ </t>
  </si>
  <si>
    <t xml:space="preserve"> নাম: বাদশা আলী </t>
  </si>
  <si>
    <t xml:space="preserve"> হাজেরা খাতুন </t>
  </si>
  <si>
    <t xml:space="preserve"> নাম: মোঃ মাজিদুল ইসলাম </t>
  </si>
  <si>
    <t xml:space="preserve"> মাজেদা খাতুন </t>
  </si>
  <si>
    <t xml:space="preserve"> ০৫/০৩/১৯৮৮ </t>
  </si>
  <si>
    <t xml:space="preserve"> নাম: মোঃ লিটন রানা </t>
  </si>
  <si>
    <t xml:space="preserve"> মনিরুল ইসলাম </t>
  </si>
  <si>
    <t xml:space="preserve"> ০২/০৬/১৯৯১ </t>
  </si>
  <si>
    <t xml:space="preserve"> নাম: মোহাঃ আক্তারুজ্জামান </t>
  </si>
  <si>
    <t xml:space="preserve"> হবিবার রহমান </t>
  </si>
  <si>
    <t xml:space="preserve"> মর্জিনা খাতুন </t>
  </si>
  <si>
    <t xml:space="preserve"> ১০/০৬/১৯৯০ </t>
  </si>
  <si>
    <t xml:space="preserve"> নাম: মোঃ সোহেল রানা </t>
  </si>
  <si>
    <t xml:space="preserve"> আনিচুর রহমান </t>
  </si>
  <si>
    <t xml:space="preserve"> মোছাঃ ছালেহা </t>
  </si>
  <si>
    <t xml:space="preserve"> ১৬/০২/১৯৮৭ </t>
  </si>
  <si>
    <t xml:space="preserve"> নাম: মোঃ উজ্জল আলী </t>
  </si>
  <si>
    <t xml:space="preserve"> জাহানারা খাতুন </t>
  </si>
  <si>
    <t xml:space="preserve"> ০৫/০৮/১৯৯০ </t>
  </si>
  <si>
    <t xml:space="preserve"> ৫৭০০৫৬০০MDEw১ </t>
  </si>
  <si>
    <t xml:space="preserve"> ১৭/০৭/১৯৯০ </t>
  </si>
  <si>
    <t xml:space="preserve"> নাম: মোঃ আজমাঈল হক </t>
  </si>
  <si>
    <t xml:space="preserve"> আ: রাজ্জাক </t>
  </si>
  <si>
    <t xml:space="preserve"> আসরা খাতুন </t>
  </si>
  <si>
    <t xml:space="preserve"> ৫৭০০৫৬০০MDEw২ </t>
  </si>
  <si>
    <t xml:space="preserve"> ০৭/০১/১৯৯১ </t>
  </si>
  <si>
    <t xml:space="preserve"> নাম: মোঃ মিজানুর রহমান </t>
  </si>
  <si>
    <t xml:space="preserve"> দবির মন্ডল </t>
  </si>
  <si>
    <t xml:space="preserve"> জয়নব নেছা </t>
  </si>
  <si>
    <t xml:space="preserve"> ৫৭০০৫৬০০MDEw৩ </t>
  </si>
  <si>
    <t xml:space="preserve"> ২৩/০৯/১৯৬৯ </t>
  </si>
  <si>
    <t xml:space="preserve"> নাম: মোঃ আনিচুর রহমান </t>
  </si>
  <si>
    <t xml:space="preserve"> এন এস মুক্তার আলী </t>
  </si>
  <si>
    <t xml:space="preserve"> মোছাঃ রাবেয়া খাতুন </t>
  </si>
  <si>
    <t xml:space="preserve"> ৫৭০০৫৬০০MDEw৭ </t>
  </si>
  <si>
    <t xml:space="preserve"> ০১/০৫/১৯৯০ </t>
  </si>
  <si>
    <t xml:space="preserve"> নাম: সাধন আলী </t>
  </si>
  <si>
    <t xml:space="preserve"> খালেক </t>
  </si>
  <si>
    <t xml:space="preserve"> সুরাতন </t>
  </si>
  <si>
    <t xml:space="preserve"> ৫৭০০৫৬০০MDEw৯ </t>
  </si>
  <si>
    <t xml:space="preserve"> নাম: মোস্তফা মোহামাদ </t>
  </si>
  <si>
    <t xml:space="preserve"> মোঃ আমজাদ হোসেন </t>
  </si>
  <si>
    <t xml:space="preserve"> মোছাঃ সাহেদা খাতুন </t>
  </si>
  <si>
    <t xml:space="preserve"> ০১/০২/১৯৯০ </t>
  </si>
  <si>
    <t xml:space="preserve"> নাম: মোঃ জসিম উদ্দীন </t>
  </si>
  <si>
    <t xml:space="preserve"> ছাহারন নেছা </t>
  </si>
  <si>
    <t xml:space="preserve"> নাম: মোঃ দিপক আলী </t>
  </si>
  <si>
    <t xml:space="preserve"> নাম: মোঃ রেজাউল করিম </t>
  </si>
  <si>
    <t xml:space="preserve"> মোঃ একরামুল হক </t>
  </si>
  <si>
    <t xml:space="preserve"> মোছাঃ সুলতানা খাতুন </t>
  </si>
  <si>
    <t xml:space="preserve"> ২৫/০৫/১৯৯১ </t>
  </si>
  <si>
    <t xml:space="preserve"> নাম: মোহাঃ রকিবুল ইসলাম </t>
  </si>
  <si>
    <t xml:space="preserve"> মোঃ জাহা বক্স </t>
  </si>
  <si>
    <t xml:space="preserve"> মোঃ আকলিমা </t>
  </si>
  <si>
    <t xml:space="preserve"> ২৭/০৮/১৯৯১ </t>
  </si>
  <si>
    <t xml:space="preserve"> নাম: মোঃ রানা </t>
  </si>
  <si>
    <t xml:space="preserve"> মোঃ হানিফ আলী </t>
  </si>
  <si>
    <t xml:space="preserve"> মোছাঃ আয়মানা </t>
  </si>
  <si>
    <t xml:space="preserve"> ০১/০৬/১৯৯০ </t>
  </si>
  <si>
    <t xml:space="preserve"> মুক্তার </t>
  </si>
  <si>
    <t xml:space="preserve"> নাম: মোঃ রুবেল আলী </t>
  </si>
  <si>
    <t xml:space="preserve"> আবেদুর রহমান </t>
  </si>
  <si>
    <t xml:space="preserve"> মোছাঃ গুলশানারা খাতুন </t>
  </si>
  <si>
    <t xml:space="preserve"> ১৮/০৫/১৯৮৯ </t>
  </si>
  <si>
    <t xml:space="preserve"> নাম: মোঃ লাল্টু মিয়া </t>
  </si>
  <si>
    <t xml:space="preserve"> ওমর আলী </t>
  </si>
  <si>
    <t xml:space="preserve"> ০১/০৫/১৯৮৬ </t>
  </si>
  <si>
    <t xml:space="preserve"> মো: বাবুল আলী </t>
  </si>
  <si>
    <t xml:space="preserve"> মোছা: আশানুর বেগম </t>
  </si>
  <si>
    <t xml:space="preserve"> ৩০/১২/১৯৮৬ </t>
  </si>
  <si>
    <t xml:space="preserve"> নাম: মো: আশরাফুল ইসলাম </t>
  </si>
  <si>
    <t xml:space="preserve">মো: ইশারুদ্দীন </t>
  </si>
  <si>
    <t xml:space="preserve"> মাতা: মোছা: আশানুর বেগম </t>
  </si>
  <si>
    <t xml:space="preserve"> ০৩/০৫/১৯৮৪ </t>
  </si>
  <si>
    <t xml:space="preserve"> নাম: মো: আফেল উদ্দীন </t>
  </si>
  <si>
    <t xml:space="preserve"> মাতা: মোছা: রাহেলা খাতুন </t>
  </si>
  <si>
    <t xml:space="preserve"> ২৪/১০/১৯৬১ </t>
  </si>
  <si>
    <t xml:space="preserve"> নাপিত </t>
  </si>
  <si>
    <t xml:space="preserve"> নাম: মো: শুকুর আলী </t>
  </si>
  <si>
    <t xml:space="preserve">নবিচ্ছদ্দিন </t>
  </si>
  <si>
    <t xml:space="preserve"> মাতা: খাদেজা খাতুন </t>
  </si>
  <si>
    <t xml:space="preserve"> ০১/০৩/১৯৭০ </t>
  </si>
  <si>
    <t xml:space="preserve"> নাম: মো: কামাল উদ্দীন </t>
  </si>
  <si>
    <t xml:space="preserve">মো: রুহুল আমিন </t>
  </si>
  <si>
    <t xml:space="preserve"> মাতা: মোছা: আনজিরা খাতুন </t>
  </si>
  <si>
    <t xml:space="preserve"> নাম: মো: রজব আলী </t>
  </si>
  <si>
    <t xml:space="preserve">মো: রাজ্জাক আলী </t>
  </si>
  <si>
    <t xml:space="preserve"> মাতা: মোছা: মর্জিনা </t>
  </si>
  <si>
    <t xml:space="preserve"> ১০/০৩/১৯৮৫ </t>
  </si>
  <si>
    <t xml:space="preserve"> নাম: মোহা: শান্ত আলী </t>
  </si>
  <si>
    <t xml:space="preserve">মো: আব্দুল কাদের </t>
  </si>
  <si>
    <t xml:space="preserve"> মাতা: মোছা: জমেলা খাতুন </t>
  </si>
  <si>
    <t xml:space="preserve"> নাম: মো: তরিকুল ইসলাম </t>
  </si>
  <si>
    <t xml:space="preserve">মো: মুকুল হোসেন </t>
  </si>
  <si>
    <t xml:space="preserve"> মাতা: মোছা: শান্তিয়ারা খাতুন </t>
  </si>
  <si>
    <t xml:space="preserve"> ১২/০৭/১৯৮৮ </t>
  </si>
  <si>
    <t xml:space="preserve"> নাম: মো: রশিদ </t>
  </si>
  <si>
    <t xml:space="preserve">খলিলুর রহমান </t>
  </si>
  <si>
    <t xml:space="preserve"> মাতা: মোছা: তোফারন নেছা </t>
  </si>
  <si>
    <t xml:space="preserve"> ১০/০২/১৯৭৭ </t>
  </si>
  <si>
    <t xml:space="preserve"> নাম: মো: মহাবুল হক </t>
  </si>
  <si>
    <t xml:space="preserve">মো: মুছারদ্দীন </t>
  </si>
  <si>
    <t xml:space="preserve"> মাতা: মোছা: খাদিজা খাতুন </t>
  </si>
  <si>
    <t xml:space="preserve"> ১৭/১১/১৯৭৫ </t>
  </si>
  <si>
    <t xml:space="preserve"> নাম: মো: পলান আলী </t>
  </si>
  <si>
    <t xml:space="preserve">মো: রবগুল হোসেন </t>
  </si>
  <si>
    <t xml:space="preserve"> মাতা: মোছা: রহিদা খাতুন </t>
  </si>
  <si>
    <t xml:space="preserve"> ২০/০৬/১৯৮৬ </t>
  </si>
  <si>
    <t xml:space="preserve"> নাম: মো: মিজানুর রহমান </t>
  </si>
  <si>
    <t xml:space="preserve">মো: ইসরাইল হোসেন </t>
  </si>
  <si>
    <t xml:space="preserve"> মাতা: মোছা: পিনজিরা খাতুন </t>
  </si>
  <si>
    <t xml:space="preserve"> নাম: মো: আল- ইমরান </t>
  </si>
  <si>
    <t xml:space="preserve">মো: ইয়াছিন আলী </t>
  </si>
  <si>
    <t xml:space="preserve"> মাতা: মোছা: রেফেজা খাতুন </t>
  </si>
  <si>
    <t xml:space="preserve"> ১৮/১০/১৯৯১ </t>
  </si>
  <si>
    <t xml:space="preserve"> নাম: মো: কাবরুল ইসলাম </t>
  </si>
  <si>
    <t xml:space="preserve">মো: সাবের আলী </t>
  </si>
  <si>
    <t xml:space="preserve"> মাতা: মোছা: আসানুর </t>
  </si>
  <si>
    <t xml:space="preserve"> নাম: মো: ফজলু হক </t>
  </si>
  <si>
    <t xml:space="preserve">মো: শুকুর আলী </t>
  </si>
  <si>
    <t xml:space="preserve"> মাতা: মোছা: রহিমা খাতুন </t>
  </si>
  <si>
    <t xml:space="preserve"> ৩০/১২/১৯৭১ </t>
  </si>
  <si>
    <t xml:space="preserve"> নাম: মো: জিয়ারুল ইসলাম </t>
  </si>
  <si>
    <t xml:space="preserve">মো: আব্দুর রহমান </t>
  </si>
  <si>
    <t xml:space="preserve"> মাতা: মোছা: সাহেদা খাতুন </t>
  </si>
  <si>
    <t xml:space="preserve"> ১২/০২/১৯৯১ </t>
  </si>
  <si>
    <t xml:space="preserve"> নাম: মো: বিপ্লব আলী </t>
  </si>
  <si>
    <t xml:space="preserve">মোহা: আজাম্মেল </t>
  </si>
  <si>
    <t xml:space="preserve"> মাতা: মোছা: ছানোয়ারা </t>
  </si>
  <si>
    <t xml:space="preserve"> ০৭/০২/১৯৯০ </t>
  </si>
  <si>
    <t xml:space="preserve"> নাম: মো: মোক্কেল আলী </t>
  </si>
  <si>
    <t xml:space="preserve">মো: আব্দুল আজিজ </t>
  </si>
  <si>
    <t xml:space="preserve"> মাতা: রোকেয়া খাতুন </t>
  </si>
  <si>
    <t xml:space="preserve"> ০৫/০৪/১৯৭৭ </t>
  </si>
  <si>
    <t xml:space="preserve"> মো: ফুরকান আলি </t>
  </si>
  <si>
    <t xml:space="preserve"> মোছা: তহমিনা </t>
  </si>
  <si>
    <t xml:space="preserve"> ০১/০৫/১৯৮৭ </t>
  </si>
  <si>
    <t xml:space="preserve"> মো: উজ্জল আলী </t>
  </si>
  <si>
    <t xml:space="preserve"> আ: মান্নান </t>
  </si>
  <si>
    <t xml:space="preserve"> মোছা: আনোয়ারা </t>
  </si>
  <si>
    <t xml:space="preserve"> ০১/০৫/১৯৮৯ </t>
  </si>
  <si>
    <t xml:space="preserve"> মোহা: লিটন আলি </t>
  </si>
  <si>
    <t xml:space="preserve"> মো: নবীরদ্দিন</t>
  </si>
  <si>
    <t xml:space="preserve"> মোছা: জোসনা খাতুন </t>
  </si>
  <si>
    <t xml:space="preserve"> ১৪/১০/১৯৮৩ </t>
  </si>
  <si>
    <t xml:space="preserve"> মো: ফারুক হোসেন </t>
  </si>
  <si>
    <t xml:space="preserve"> মো: ইয়াদুল ইসলাম </t>
  </si>
  <si>
    <t xml:space="preserve"> ০৩/০২/১৯৮৭ </t>
  </si>
  <si>
    <t xml:space="preserve"> মো: কিবরিয়া </t>
  </si>
  <si>
    <t xml:space="preserve"> মো: জালাল উদ্দীন </t>
  </si>
  <si>
    <t xml:space="preserve"> মোছা: আল্লাহদী খাতুন </t>
  </si>
  <si>
    <t xml:space="preserve"> ০৪/০৩/১৯৮৮ </t>
  </si>
  <si>
    <t xml:space="preserve"> মো: রকিবুল ইসলাম </t>
  </si>
  <si>
    <t xml:space="preserve"> মো: বাবলু হোসেন </t>
  </si>
  <si>
    <t xml:space="preserve"> মোছা: হাজেরা খাতুন </t>
  </si>
  <si>
    <t xml:space="preserve"> ০৫/১০/১৯৮৭ </t>
  </si>
  <si>
    <t xml:space="preserve"> মো: মিল্টন আলী </t>
  </si>
  <si>
    <t xml:space="preserve"> মো: আবু সিদ্দিক </t>
  </si>
  <si>
    <t xml:space="preserve"> ০১/০৬/১৯৮৫ </t>
  </si>
  <si>
    <t xml:space="preserve"> মো: সাদ্দাম হোসেন </t>
  </si>
  <si>
    <t xml:space="preserve"> মো: মরজেস আলী </t>
  </si>
  <si>
    <t xml:space="preserve"> মোছা: হানিয়াম মারিয়া </t>
  </si>
  <si>
    <t xml:space="preserve"> ০৫/০১/১৯৯১ </t>
  </si>
  <si>
    <t xml:space="preserve"> মোহা: নাজমুল হক </t>
  </si>
  <si>
    <t xml:space="preserve"> আ: কুদ্দুস </t>
  </si>
  <si>
    <t xml:space="preserve"> মোছা: সুবারন নেছা </t>
  </si>
  <si>
    <t xml:space="preserve"> ০৭/১২/১৯৯১ </t>
  </si>
  <si>
    <t xml:space="preserve"> মো: কামরুজ্জামান </t>
  </si>
  <si>
    <t xml:space="preserve"> মোছা: ফিরোজা খাতুন </t>
  </si>
  <si>
    <t xml:space="preserve"> ০৫/০৩/১৯৯০ </t>
  </si>
  <si>
    <t xml:space="preserve"> মো: আকাশউজ্জামান </t>
  </si>
  <si>
    <t xml:space="preserve"> মো: নুরুল ইসলাম </t>
  </si>
  <si>
    <t xml:space="preserve"> মোছা: আদুরী খাতুন </t>
  </si>
  <si>
    <t xml:space="preserve"> ০১/১০/১৯৯২ </t>
  </si>
  <si>
    <t xml:space="preserve"> মো: স্বপন আলী </t>
  </si>
  <si>
    <t xml:space="preserve"> মোছা: আমেনা খাতুন </t>
  </si>
  <si>
    <t xml:space="preserve"> ০৩/০১/১৯৯২ </t>
  </si>
  <si>
    <t xml:space="preserve"> সরকারী চাকুরী </t>
  </si>
  <si>
    <t xml:space="preserve"> মো: রিয়াজুল ইসলাম </t>
  </si>
  <si>
    <t xml:space="preserve"> আ: আজিজ </t>
  </si>
  <si>
    <t xml:space="preserve"> ০১/১২/১৯৯২ </t>
  </si>
  <si>
    <t xml:space="preserve"> মো: জামাল উদ্দীন </t>
  </si>
  <si>
    <t xml:space="preserve"> মোছা: বাশিরন নেছা </t>
  </si>
  <si>
    <t xml:space="preserve"> ০৬/০৮/১৯৯২ </t>
  </si>
  <si>
    <t xml:space="preserve"> মো: জাহিদুল ইসলাম </t>
  </si>
  <si>
    <t xml:space="preserve"> সলিমদ্দিন </t>
  </si>
  <si>
    <t xml:space="preserve"> জরিনা খাতুন </t>
  </si>
  <si>
    <t xml:space="preserve"> ২০/১০/১৯৯২ </t>
  </si>
  <si>
    <t xml:space="preserve"> মো: জুলফিকার আলী </t>
  </si>
  <si>
    <t xml:space="preserve"> মো: সামসুল হক </t>
  </si>
  <si>
    <t xml:space="preserve"> মোছা: জাহানারা </t>
  </si>
  <si>
    <t xml:space="preserve"> ০৮/০৪/১৯৯২ </t>
  </si>
  <si>
    <t xml:space="preserve"> মো: শাহিন আলম </t>
  </si>
  <si>
    <t xml:space="preserve"> মো: আনারুল ইসলাম </t>
  </si>
  <si>
    <t xml:space="preserve"> মোছা: সাহেনা খাতুন </t>
  </si>
  <si>
    <t xml:space="preserve"> ০৮/০২/১৯৯২ </t>
  </si>
  <si>
    <t xml:space="preserve"> মোছা: রাশিদা খাতুন </t>
  </si>
  <si>
    <t xml:space="preserve"> ০৮/০৩/১৯৯৩ </t>
  </si>
  <si>
    <t xml:space="preserve"> মোহা: জসিম উদ্দীন </t>
  </si>
  <si>
    <t xml:space="preserve"> মোহা: বজলুল হক </t>
  </si>
  <si>
    <t xml:space="preserve"> ০৬/০৪/১৯৯৩ </t>
  </si>
  <si>
    <t xml:space="preserve"> মো: বাপ্পারাজ </t>
  </si>
  <si>
    <t xml:space="preserve"> রুহুল আলী </t>
  </si>
  <si>
    <t xml:space="preserve"> ২৭/১২/১৯৯৩ </t>
  </si>
  <si>
    <t xml:space="preserve"> মো: তরিকুল ইসলাম </t>
  </si>
  <si>
    <t xml:space="preserve"> মো: আকাল উদ্দীন </t>
  </si>
  <si>
    <t xml:space="preserve"> ২৫/১০/১৯৯৩ </t>
  </si>
  <si>
    <t xml:space="preserve"> আলমগীর </t>
  </si>
  <si>
    <t xml:space="preserve"> আসাদুল </t>
  </si>
  <si>
    <t xml:space="preserve"> রঞ্জীলা </t>
  </si>
  <si>
    <t xml:space="preserve"> ০৩/০১/১৯৯৪ </t>
  </si>
  <si>
    <t xml:space="preserve"> মো: উজ্জল ইসলাম </t>
  </si>
  <si>
    <t xml:space="preserve"> মো: ঠান্ডু আলী </t>
  </si>
  <si>
    <t xml:space="preserve"> আরজিনা খাতুন </t>
  </si>
  <si>
    <t xml:space="preserve"> ০৬/০৭/১৯৯৪ </t>
  </si>
  <si>
    <t xml:space="preserve"> মো: আকরাম আলী </t>
  </si>
  <si>
    <t xml:space="preserve"> হায়দার আলী </t>
  </si>
  <si>
    <t xml:space="preserve"> জায়েদা খাতুন </t>
  </si>
  <si>
    <t xml:space="preserve"> ১২/০১/১৯৯৪ </t>
  </si>
  <si>
    <t xml:space="preserve"> মো: জিয়ারুল ইসলাম </t>
  </si>
  <si>
    <t xml:space="preserve"> হাসেম আলি </t>
  </si>
  <si>
    <t xml:space="preserve"> হানোয়ারা খাতুন </t>
  </si>
  <si>
    <t xml:space="preserve"> ০৩/০৪/১৯৯৪ </t>
  </si>
  <si>
    <t xml:space="preserve"> মো: আজমাইন হোসেন </t>
  </si>
  <si>
    <t xml:space="preserve"> মো: মজনুর রহমান </t>
  </si>
  <si>
    <t xml:space="preserve"> ০৬/০৩/১৯৯৪ </t>
  </si>
  <si>
    <t xml:space="preserve"> মো: সমসের আলি </t>
  </si>
  <si>
    <t xml:space="preserve"> ফরনা খাতুন </t>
  </si>
  <si>
    <t xml:space="preserve"> ১৬/০১/১৯৯৪ </t>
  </si>
  <si>
    <t xml:space="preserve"> মো: আলামিন </t>
  </si>
  <si>
    <t xml:space="preserve"> মোছা: সাহারন খাতুন </t>
  </si>
  <si>
    <t xml:space="preserve"> ০৪/১২/১৯৯৪ </t>
  </si>
  <si>
    <t xml:space="preserve"> আবু সাঈদ </t>
  </si>
  <si>
    <t xml:space="preserve"> জালাল উদ্দীন </t>
  </si>
  <si>
    <t xml:space="preserve"> ফাতিমা খাতুন </t>
  </si>
  <si>
    <t xml:space="preserve"> ১৬/১২/১৯৯৪ </t>
  </si>
  <si>
    <t xml:space="preserve"> মো: সুলতান </t>
  </si>
  <si>
    <t xml:space="preserve"> মোছা: রহিমা খাতুন </t>
  </si>
  <si>
    <t xml:space="preserve"> ৩০/১২/১৯৯৪ </t>
  </si>
  <si>
    <t xml:space="preserve"> মো: শিমুল আলী </t>
  </si>
  <si>
    <t xml:space="preserve"> মোছা: রপিনা খাতুন </t>
  </si>
  <si>
    <t xml:space="preserve"> ২৭/১২/১৯৯৪ </t>
  </si>
  <si>
    <t xml:space="preserve"> মো: ইকবাল হাসান </t>
  </si>
  <si>
    <t xml:space="preserve"> মোছা: সারজিনা খাতুন </t>
  </si>
  <si>
    <t xml:space="preserve"> ২৬/১২/১৯৯৫ </t>
  </si>
  <si>
    <t xml:space="preserve"> মো: আল- মামুন </t>
  </si>
  <si>
    <t xml:space="preserve"> মাবুদ আলী </t>
  </si>
  <si>
    <t xml:space="preserve"> মোছা: চায়না খাতুন </t>
  </si>
  <si>
    <t xml:space="preserve"> ০৭/০৭/১৯৯৪ </t>
  </si>
  <si>
    <t xml:space="preserve"> মো: আশিকুর রহমান </t>
  </si>
  <si>
    <t xml:space="preserve"> রিফাত উদ্দীন </t>
  </si>
  <si>
    <t xml:space="preserve"> জালিমিন নেছা </t>
  </si>
  <si>
    <t xml:space="preserve"> ০৮/০৫/১৯৯৫ </t>
  </si>
  <si>
    <t xml:space="preserve"> মো: রজব আলী </t>
  </si>
  <si>
    <t xml:space="preserve"> হামিদুল </t>
  </si>
  <si>
    <t xml:space="preserve"> রজিনা </t>
  </si>
  <si>
    <t xml:space="preserve"> ১০/১১/১৯৯৫ </t>
  </si>
  <si>
    <t xml:space="preserve"> আহাদ মোড়, জালতকা, গাংনী, মেহেরপুর </t>
  </si>
  <si>
    <t xml:space="preserve"> উসমান গনি </t>
  </si>
  <si>
    <t xml:space="preserve"> রমজান আলী </t>
  </si>
  <si>
    <t xml:space="preserve"> সাহারবানু </t>
  </si>
  <si>
    <t xml:space="preserve"> ১৫/০৫/১৯৯০ </t>
  </si>
  <si>
    <t xml:space="preserve"> উত্তরপাড়া, জালতকা, গাংনী, মেহেরপুর </t>
  </si>
  <si>
    <t xml:space="preserve"> মো: টুটুল আলী </t>
  </si>
  <si>
    <t xml:space="preserve"> মোছা: জরিনা খাতুন </t>
  </si>
  <si>
    <t xml:space="preserve"> ০১/০৫/১৯৯৫ </t>
  </si>
  <si>
    <t xml:space="preserve"> কাবিরুল </t>
  </si>
  <si>
    <t xml:space="preserve"> কুদ্দুস </t>
  </si>
  <si>
    <t xml:space="preserve"> অনজিরা </t>
  </si>
  <si>
    <t xml:space="preserve"> ০৮/০২/১৯৮৯ </t>
  </si>
  <si>
    <t xml:space="preserve"> ভিটাপাড়া, জালতকা, গাংনী, মেহেরপুর </t>
  </si>
  <si>
    <t xml:space="preserve"> মো: তোতা </t>
  </si>
  <si>
    <t xml:space="preserve"> আনুছদ্দিন </t>
  </si>
  <si>
    <t xml:space="preserve"> ০৭/১১/১৯৮৬ </t>
  </si>
  <si>
    <t xml:space="preserve"> আ: বারী </t>
  </si>
  <si>
    <t xml:space="preserve"> আবুল হোসেন </t>
  </si>
  <si>
    <t xml:space="preserve"> মোছা: সাহিদা খাতুন </t>
  </si>
  <si>
    <t xml:space="preserve"> ১৪/০৩/১৯৭৪ </t>
  </si>
  <si>
    <t xml:space="preserve"> মো: রকিবুল </t>
  </si>
  <si>
    <t xml:space="preserve"> রইছ উদ্দীন </t>
  </si>
  <si>
    <t xml:space="preserve"> ২৭/১১/১৯৮৯ </t>
  </si>
  <si>
    <t xml:space="preserve"> ঝন্টু আলি </t>
  </si>
  <si>
    <t xml:space="preserve"> এনামুল হক </t>
  </si>
  <si>
    <t xml:space="preserve"> নাজেরা খাতুন </t>
  </si>
  <si>
    <t xml:space="preserve"> ০১/০১/১৯৯৬ </t>
  </si>
  <si>
    <t xml:space="preserve"> শাহিনুজ্জামান </t>
  </si>
  <si>
    <t xml:space="preserve"> বানারুল হক </t>
  </si>
  <si>
    <t xml:space="preserve"> ০১/০৪/১৯৯৩ </t>
  </si>
  <si>
    <t xml:space="preserve"> মো: নাজমুল </t>
  </si>
  <si>
    <t xml:space="preserve"> আলতাব হোসেন </t>
  </si>
  <si>
    <t xml:space="preserve"> জেসমিন খাতুন </t>
  </si>
  <si>
    <t xml:space="preserve"> ২৫/০৩/১৯৯০ </t>
  </si>
  <si>
    <t xml:space="preserve"> বালিপাড়া, কসবা, গাংনী, মেহেরপুর </t>
  </si>
  <si>
    <t xml:space="preserve"> ছালাম </t>
  </si>
  <si>
    <t xml:space="preserve"> রাইতাল </t>
  </si>
  <si>
    <t xml:space="preserve"> রাহেলা </t>
  </si>
  <si>
    <t xml:space="preserve"> ০৫/০১/১৯৮৯ </t>
  </si>
  <si>
    <t xml:space="preserve"> মসজিদপাড়া, জালতকা, গাংনী, মেহেরপুর </t>
  </si>
  <si>
    <t xml:space="preserve"> মো: তোতা মিয়া </t>
  </si>
  <si>
    <t xml:space="preserve"> মো: সিদ্দিক আলী </t>
  </si>
  <si>
    <t xml:space="preserve"> ০২/০১/১৯৯৬ </t>
  </si>
  <si>
    <t xml:space="preserve"> মো: সাগর ভাষা </t>
  </si>
  <si>
    <t xml:space="preserve"> মোছা: মলিদা খাতুন </t>
  </si>
  <si>
    <t xml:space="preserve"> ২০/০৬/১৯৮৯ </t>
  </si>
  <si>
    <t xml:space="preserve"> হাকিম </t>
  </si>
  <si>
    <t xml:space="preserve"> গফ্ফার আলী </t>
  </si>
  <si>
    <t xml:space="preserve"> মোছা: জুলেখা খাতুন </t>
  </si>
  <si>
    <t xml:space="preserve"> ২৭/০২/১৯৯১ </t>
  </si>
  <si>
    <t xml:space="preserve"> মো: ওবাইদুল্লাহ </t>
  </si>
  <si>
    <t xml:space="preserve"> মো: জমসেদ আলী </t>
  </si>
  <si>
    <t xml:space="preserve"> মোছা: হালিমা খাতুন </t>
  </si>
  <si>
    <t xml:space="preserve"> ০৮/০৯/১৯৯৬ </t>
  </si>
  <si>
    <t xml:space="preserve"> মো: ওয়াসিম রেজা </t>
  </si>
  <si>
    <t xml:space="preserve"> নজরুল ইসলাম </t>
  </si>
  <si>
    <t xml:space="preserve"> বানিয়া খাতুন </t>
  </si>
  <si>
    <t xml:space="preserve"> ০১/১১/১৯৯৬ </t>
  </si>
  <si>
    <t xml:space="preserve"> ইসলাম আলী </t>
  </si>
  <si>
    <t xml:space="preserve"> ২১/০১/১৯৯৭ </t>
  </si>
  <si>
    <t xml:space="preserve"> ভিটা পাড়া, জালতকা, গাংনী, মেহেরপুর </t>
  </si>
  <si>
    <t xml:space="preserve"> মো: জুলফিকুর আলি </t>
  </si>
  <si>
    <t xml:space="preserve"> ইয়াসিন আলি </t>
  </si>
  <si>
    <t xml:space="preserve"> জুলেখা খাতুন </t>
  </si>
  <si>
    <t xml:space="preserve"> ০৪/০১/১৯৯৭ </t>
  </si>
  <si>
    <t xml:space="preserve"> জালতকা বালিয়া পাড়া, জালতকা, গাংনী, মেহেরপুর </t>
  </si>
  <si>
    <t xml:space="preserve"> মো: মনোয়ার হোসেন </t>
  </si>
  <si>
    <t xml:space="preserve"> মো: আ: মজিদ </t>
  </si>
  <si>
    <t xml:space="preserve"> ২৮/১১/১৯৯৭ </t>
  </si>
  <si>
    <t xml:space="preserve"> জালতকা দাঁড়িয়া পাড়া, জালতকা, গাংনী, মেহেরপুর </t>
  </si>
  <si>
    <t xml:space="preserve"> সুজন আলী </t>
  </si>
  <si>
    <t xml:space="preserve"> মো: ইকারুদ্দীন </t>
  </si>
  <si>
    <t xml:space="preserve"> সুলতানা খাতুন </t>
  </si>
  <si>
    <t xml:space="preserve"> ১৮/১১/১৯৯০ </t>
  </si>
  <si>
    <t xml:space="preserve"> মোল্লা পাড়া, জালতকা, গাংনী, মেহেরপুর </t>
  </si>
  <si>
    <t xml:space="preserve"> মোঃ নাজিম </t>
  </si>
  <si>
    <t xml:space="preserve"> রশিদ </t>
  </si>
  <si>
    <t xml:space="preserve"> নাসিমা খাতুন </t>
  </si>
  <si>
    <t xml:space="preserve"> প্রবাসী </t>
  </si>
  <si>
    <t xml:space="preserve"> উত্তর পাড়া, জালশুকা, গাংনী, মেহেরপুর </t>
  </si>
  <si>
    <t xml:space="preserve"> মোঃ ইকবাল হোসেন </t>
  </si>
  <si>
    <t xml:space="preserve"> মোছাঃ তানজিরা খাতুন </t>
  </si>
  <si>
    <t xml:space="preserve"> ১৫/০২/১৯৭৭ </t>
  </si>
  <si>
    <t xml:space="preserve"> জালশুকা উত্তর পাড়া, জালশুকা, গাংনী, মেহেরপুর </t>
  </si>
  <si>
    <t xml:space="preserve"> মোঃ মিয়ারুল ইসলাম </t>
  </si>
  <si>
    <t xml:space="preserve"> মোঃ আশাদুল ইসলাম </t>
  </si>
  <si>
    <t xml:space="preserve"> ০৫/০৯/১৯৯৬ </t>
  </si>
  <si>
    <t xml:space="preserve"> জালশুকা মধ্যপাড়া, জালশুকা, গাংনী, মেহেরপুর </t>
  </si>
  <si>
    <t xml:space="preserve"> মোঃ ডিউক আলী </t>
  </si>
  <si>
    <t xml:space="preserve"> আকলিমা </t>
  </si>
  <si>
    <t xml:space="preserve"> ২২/০৮/১৯৯৪ </t>
  </si>
  <si>
    <t xml:space="preserve"> রুবেল আলী </t>
  </si>
  <si>
    <t xml:space="preserve"> মোঃ মজনুর রহমান </t>
  </si>
  <si>
    <t xml:space="preserve"> মোছাঃ জরিনা খাতুন </t>
  </si>
  <si>
    <t xml:space="preserve"> ২৭/০১/১৯৯৫ </t>
  </si>
  <si>
    <t xml:space="preserve"> মোঃ ওমর ফারুক </t>
  </si>
  <si>
    <t xml:space="preserve"> মোঃ হায়দার </t>
  </si>
  <si>
    <t xml:space="preserve"> মোছাঃ জাহেরা খাতুন </t>
  </si>
  <si>
    <t xml:space="preserve"> ০৯/১১/১৯৯৬ </t>
  </si>
  <si>
    <t xml:space="preserve"> মোঃ আতাউল হক </t>
  </si>
  <si>
    <t xml:space="preserve"> মোছাঃ বেদেনা খাতুন </t>
  </si>
  <si>
    <t xml:space="preserve"> ০৪/০৩/১৯৯৭ </t>
  </si>
  <si>
    <t xml:space="preserve"> মাঝ পাড়া, জালশুকা, গাংনী, মেহেরপুর </t>
  </si>
  <si>
    <t xml:space="preserve"> শাহাজান </t>
  </si>
  <si>
    <t xml:space="preserve"> নাজিম উদ্দীন </t>
  </si>
  <si>
    <t xml:space="preserve"> শাহনাজ </t>
  </si>
  <si>
    <t xml:space="preserve"> মিস্ত্রী </t>
  </si>
  <si>
    <t xml:space="preserve"> ১০/০৭/১৯৯০ </t>
  </si>
  <si>
    <t xml:space="preserve"> মধ্যপাড়া, জালশুকা, গাংনী, মেহেরপুর </t>
  </si>
  <si>
    <t xml:space="preserve"> মোঃ সাহাবুল হক </t>
  </si>
  <si>
    <t xml:space="preserve"> তারাচাঁদ আলী </t>
  </si>
  <si>
    <t xml:space="preserve"> রেবেকা </t>
  </si>
  <si>
    <t xml:space="preserve"> ১০/০১/১৯৮৯ </t>
  </si>
  <si>
    <t xml:space="preserve"> জালশুকা বেলে পাড়া, জালশুকা, গাংনী, মেহেরপুর </t>
  </si>
  <si>
    <t xml:space="preserve"> মোঃ আতিয়ার রহমান </t>
  </si>
  <si>
    <t xml:space="preserve"> সখিরন </t>
  </si>
  <si>
    <t xml:space="preserve"> ১২/১০/১৯৮৫ </t>
  </si>
  <si>
    <t xml:space="preserve"> মোঃ সুজন আলী </t>
  </si>
  <si>
    <t xml:space="preserve"> মোঃ নূর ইসলাম </t>
  </si>
  <si>
    <t xml:space="preserve"> আদুরী খাতুন </t>
  </si>
  <si>
    <t xml:space="preserve"> ১৮/১২/১৯৯৭ </t>
  </si>
  <si>
    <t xml:space="preserve"> মাঝের পাড়া, জালশুকা, গাংনী, মেহেরপুর </t>
  </si>
  <si>
    <t xml:space="preserve"> আবুজর গিফারী </t>
  </si>
  <si>
    <t xml:space="preserve"> আবদুর রাজ্জাক </t>
  </si>
  <si>
    <t xml:space="preserve"> সেলিনা খাতুন </t>
  </si>
  <si>
    <t xml:space="preserve"> ২৯/১১/১৯৯৭ </t>
  </si>
  <si>
    <t xml:space="preserve"> মোঃ হুমায়ন কবির </t>
  </si>
  <si>
    <t xml:space="preserve"> হাফিজুর রহমান </t>
  </si>
  <si>
    <t xml:space="preserve"> মোছাঃ আকলিমা খাতুন </t>
  </si>
  <si>
    <t xml:space="preserve"> ১৩/০৩/১৯৭৩ </t>
  </si>
  <si>
    <t xml:space="preserve"> ০৪/১২/১৯৯৫ </t>
  </si>
  <si>
    <t xml:space="preserve"> মোঃ আবু তালেব মোল্লা </t>
  </si>
  <si>
    <t xml:space="preserve"> মোঃ আনোয়ার হোসেন </t>
  </si>
  <si>
    <t xml:space="preserve"> মোঃ আমিরুল ইসলাম </t>
  </si>
  <si>
    <t xml:space="preserve"> মোছাঃ আসুরা খাতুন </t>
  </si>
  <si>
    <t xml:space="preserve"> ২৪/১০/১৯৯৬ </t>
  </si>
  <si>
    <t xml:space="preserve"> মোঃ হাকিমদ্দীন </t>
  </si>
  <si>
    <t xml:space="preserve"> ০২/০২/১৯৯৬ </t>
  </si>
  <si>
    <t xml:space="preserve"> মোঃ বাদশা মিয়া </t>
  </si>
  <si>
    <t xml:space="preserve"> মোছাঃ মরজিনা খাতুন </t>
  </si>
  <si>
    <t xml:space="preserve"> ১১/০৩/১৯৯৬ </t>
  </si>
  <si>
    <t xml:space="preserve"> নূর মহাম্মদ </t>
  </si>
  <si>
    <t xml:space="preserve"> মোছাঃ আজমিরা খাতুন </t>
  </si>
  <si>
    <t xml:space="preserve"> ২০/০৩/১৯৯০ </t>
  </si>
  <si>
    <t xml:space="preserve"> মোঃ ফারুক হোসেন </t>
  </si>
  <si>
    <t xml:space="preserve"> কাদের আলী </t>
  </si>
  <si>
    <t xml:space="preserve"> ২৯/০৯/১৯৯৭ </t>
  </si>
  <si>
    <t xml:space="preserve"> মোঃ আবু শাহিন </t>
  </si>
  <si>
    <t xml:space="preserve"> ছিদ্দিকুর রহমান </t>
  </si>
  <si>
    <t xml:space="preserve"> মোছাঃ কুলছুম </t>
  </si>
  <si>
    <t xml:space="preserve"> ০২/০৩/১৯৯১ </t>
  </si>
  <si>
    <t xml:space="preserve"> বালিয়া পাড়া, কসবা, গাংনী, মেহেরপুর </t>
  </si>
  <si>
    <t xml:space="preserve"> শাহরুল ইসলাম </t>
  </si>
  <si>
    <t xml:space="preserve"> মজিবুল হক </t>
  </si>
  <si>
    <t xml:space="preserve"> শাহিনুর খাতুন </t>
  </si>
  <si>
    <t xml:space="preserve"> ১০/০৫/১৯৯৭ </t>
  </si>
  <si>
    <t xml:space="preserve"> বালিয়া পাড়া, জালশুকা, গাংনী, মেহেরপুর </t>
  </si>
  <si>
    <t xml:space="preserve"> মোঃ আকরামুল হক </t>
  </si>
  <si>
    <t xml:space="preserve"> ২৩/১২/১৯৯৭ </t>
  </si>
  <si>
    <t xml:space="preserve"> মোঃ জিহাদ আলী </t>
  </si>
  <si>
    <t xml:space="preserve"> মোছাঃ রওশনাৱা </t>
  </si>
  <si>
    <t xml:space="preserve"> ০২/০৬/১৯৯৬ </t>
  </si>
  <si>
    <t xml:space="preserve"> মামুন আলী </t>
  </si>
  <si>
    <t xml:space="preserve"> মোঃ সুলতান </t>
  </si>
  <si>
    <t xml:space="preserve"> ১৫/০২/১৯৯৭ </t>
  </si>
  <si>
    <t xml:space="preserve"> জালশুকা মুলা পাড়া, জালশুকা, গাংনী, মেহেরপুর </t>
  </si>
  <si>
    <t xml:space="preserve"> মোঃ কারিমুল হক </t>
  </si>
  <si>
    <t xml:space="preserve"> মোঃ সাজদার আলী </t>
  </si>
  <si>
    <t xml:space="preserve"> মোছাঃ ফজিলা খাতুন </t>
  </si>
  <si>
    <t xml:space="preserve"> মোঃ লাল চাঁদ আলী </t>
  </si>
  <si>
    <t xml:space="preserve"> মোহাঃ ইব্রাহীম হাসান </t>
  </si>
  <si>
    <t xml:space="preserve"> নাসিবা খাতুন </t>
  </si>
  <si>
    <t xml:space="preserve"> ০৬/০৭/১৯৯৮ </t>
  </si>
  <si>
    <t xml:space="preserve"> নাজমুল হোসেন </t>
  </si>
  <si>
    <t xml:space="preserve"> মোছাঃ মালিয়া খাতুন </t>
  </si>
  <si>
    <t xml:space="preserve"> ২২/০৭/১৯৯৮ </t>
  </si>
  <si>
    <t xml:space="preserve"> মোহাঃ আক্তারুজ্জামান </t>
  </si>
  <si>
    <t xml:space="preserve"> মোছাঃ রেহেনা খাতুন </t>
  </si>
  <si>
    <t xml:space="preserve"> ০৬/০৬/১৯৯৮ </t>
  </si>
  <si>
    <t xml:space="preserve"> মোঃ ইমরান হোসেন </t>
  </si>
  <si>
    <t xml:space="preserve"> মুতালেব </t>
  </si>
  <si>
    <t xml:space="preserve"> রঙ্গিলা </t>
  </si>
  <si>
    <t xml:space="preserve"> ১৭/০৯/১৯৯০ </t>
  </si>
  <si>
    <t xml:space="preserve"> মোঃ হারুন-অর-রশিদ </t>
  </si>
  <si>
    <t xml:space="preserve"> মোঃ জমির উদ্দিন </t>
  </si>
  <si>
    <t xml:space="preserve"> মোছাঃ নাসের খাতুন </t>
  </si>
  <si>
    <t xml:space="preserve"> ০১/০৩/১৯৯৮ </t>
  </si>
  <si>
    <t xml:space="preserve"> মোঃ আমজাদ আলী </t>
  </si>
  <si>
    <t xml:space="preserve"> মোঃ ইউছুফ আলী </t>
  </si>
  <si>
    <t xml:space="preserve"> মোছাঃ রোহিলা খাতুন </t>
  </si>
  <si>
    <t xml:space="preserve"> মোঃ সাইদুল ইসলাম </t>
  </si>
  <si>
    <t xml:space="preserve"> ১৪/১২/১৯৯৭ </t>
  </si>
  <si>
    <t xml:space="preserve"> মোঃ ইব্রাহিম ইসলাম </t>
  </si>
  <si>
    <t xml:space="preserve"> পিতা: মোঃ আঃ বারী </t>
  </si>
  <si>
    <t xml:space="preserve"> মোছাঃ আঙ্গুরা খাতুন </t>
  </si>
  <si>
    <t xml:space="preserve"> ১০/১২/১৯৯৭ </t>
  </si>
  <si>
    <t xml:space="preserve"> মোঃ আবেদ </t>
  </si>
  <si>
    <t xml:space="preserve"> আব্দুল কাদের </t>
  </si>
  <si>
    <t xml:space="preserve"> জামেলা </t>
  </si>
  <si>
    <t xml:space="preserve"> ০৪/০৮/১৯৭৪ </t>
  </si>
  <si>
    <t xml:space="preserve"> নাম: হাসিবুল ইসলাম </t>
  </si>
  <si>
    <t xml:space="preserve">নুর ইসলাম </t>
  </si>
  <si>
    <t xml:space="preserve"> মাতা: আদুরী খাতুন </t>
  </si>
  <si>
    <t xml:space="preserve"> ১০/০৪/১৯৯৮ </t>
  </si>
  <si>
    <t xml:space="preserve"> নাম: লিখন </t>
  </si>
  <si>
    <t xml:space="preserve">মহিবুল </t>
  </si>
  <si>
    <t xml:space="preserve"> মাতা: শিউলী </t>
  </si>
  <si>
    <t xml:space="preserve"> ০১/০৩/১৯৯২ </t>
  </si>
  <si>
    <t xml:space="preserve"> নাম: মোঃ শিহাব উদ্দিন </t>
  </si>
  <si>
    <t xml:space="preserve">মোঃ শহিদুল ইসলাম </t>
  </si>
  <si>
    <t xml:space="preserve"> মাতা: মোছাঃ রাশিদা খাতুন </t>
  </si>
  <si>
    <t xml:space="preserve"> ২৩/১০/১৯৯৫ </t>
  </si>
  <si>
    <t xml:space="preserve"> নাম: মোঃ সাইফুল ইসলাম </t>
  </si>
  <si>
    <t xml:space="preserve">মোঃ শুকুর আলী </t>
  </si>
  <si>
    <t xml:space="preserve"> মাতা: হালিমা খাতুন </t>
  </si>
  <si>
    <t xml:space="preserve"> ১৫/০১/১৯৯৫ </t>
  </si>
  <si>
    <t xml:space="preserve"> নাম: মোঃ কাউছার আলী </t>
  </si>
  <si>
    <t xml:space="preserve">মোঃ নূর ইসলাম </t>
  </si>
  <si>
    <t xml:space="preserve"> মাতা: মোছাঃ নিছারন নেছা </t>
  </si>
  <si>
    <t xml:space="preserve"> ১২/১০/১৯৯২ </t>
  </si>
  <si>
    <t xml:space="preserve"> নাম: মোঃ শিমুল </t>
  </si>
  <si>
    <t xml:space="preserve">মোঃ মোশারেফ </t>
  </si>
  <si>
    <t xml:space="preserve"> মাতা: মোছাঃ আদরী খাতুন </t>
  </si>
  <si>
    <t xml:space="preserve"> ০১/০১/২০০০ </t>
  </si>
  <si>
    <t xml:space="preserve"> নাম: মোহাঃ রিপন আলী </t>
  </si>
  <si>
    <t xml:space="preserve">মোহাঃ আঃ কুদ্দুস </t>
  </si>
  <si>
    <t xml:space="preserve"> মাতা: মোছাঃ মনোয়ারা খাতুন </t>
  </si>
  <si>
    <t xml:space="preserve"> ০৩/০১/১৯৯৯ </t>
  </si>
  <si>
    <t xml:space="preserve"> নাম: মোঃ সুমন আলী </t>
  </si>
  <si>
    <t xml:space="preserve">মোঃ রমছদ্দীন </t>
  </si>
  <si>
    <t xml:space="preserve"> মাতা: মোছাঃ জুলেখা খাতুন </t>
  </si>
  <si>
    <t xml:space="preserve"> ১২/১১/১৯৯৮ </t>
  </si>
  <si>
    <t xml:space="preserve">মোঃ আঃ মালেক </t>
  </si>
  <si>
    <t xml:space="preserve"> মাতা: মোছাঃ ফাতেমা খাতুন </t>
  </si>
  <si>
    <t xml:space="preserve"> ২৭/০১/১৯৯৬ </t>
  </si>
  <si>
    <t xml:space="preserve"> বালিয়া পাড়া, জালশুকা, কসবা, গাংনী, মেহেরপুর </t>
  </si>
  <si>
    <t xml:space="preserve"> নাম: ওয়ায়েন কুরুন</t>
  </si>
  <si>
    <t xml:space="preserve">হামিদুর রহমান </t>
  </si>
  <si>
    <t xml:space="preserve"> মাতা: ফরিদা খাতুন </t>
  </si>
  <si>
    <t xml:space="preserve"> ২০/০৮/১৯৯৮ </t>
  </si>
  <si>
    <t xml:space="preserve"> স্কুল পাড়া, জালশুকা, গাংনী, মেহেরপুর </t>
  </si>
  <si>
    <t xml:space="preserve"> নাম: মোঃ হাসমত </t>
  </si>
  <si>
    <t xml:space="preserve">আমিরুল ইসলাম </t>
  </si>
  <si>
    <t xml:space="preserve"> মাতা: হাওয়া খাতুন </t>
  </si>
  <si>
    <t xml:space="preserve"> ১৩/১০/১৯৯৮ </t>
  </si>
  <si>
    <t xml:space="preserve"> নাম: মোঃ আবুল বাসার মনা </t>
  </si>
  <si>
    <t xml:space="preserve">মৃত শওকত মালিথা </t>
  </si>
  <si>
    <t xml:space="preserve"> মাতা: মৃত রমলা খাতুন </t>
  </si>
  <si>
    <t xml:space="preserve"> ১৮/১১/১৯৭৬ </t>
  </si>
  <si>
    <t xml:space="preserve"> মাঝেরপাড়া, জালশুকা, গাংনী, মেহেরপুর </t>
  </si>
  <si>
    <t xml:space="preserve"> নাম: মোঃ মুনজুর আলী </t>
  </si>
  <si>
    <t xml:space="preserve">মৃত গনজের আলী </t>
  </si>
  <si>
    <t xml:space="preserve"> ০২/০১/১৯৮৪ </t>
  </si>
  <si>
    <t xml:space="preserve"> কসবা, গাংনী, মেহেরপুর </t>
  </si>
  <si>
    <t xml:space="preserve"> নাম: মোঃ রাশেদুল ইসলাম </t>
  </si>
  <si>
    <t xml:space="preserve">মোঃ আছলুদ্দিন </t>
  </si>
  <si>
    <t xml:space="preserve"> মাতা: মোছাঃ রওশনারা </t>
  </si>
  <si>
    <t xml:space="preserve"> ০৭/০১/১৯৮৯ </t>
  </si>
  <si>
    <t xml:space="preserve"> স্কুলপাড়া, জালশুকা, গাংনী, মেহেরপুর </t>
  </si>
  <si>
    <t xml:space="preserve"> নাম: মোঃ মাঝারুল ইসলাম </t>
  </si>
  <si>
    <t xml:space="preserve">মোঃ মামাল উদ্দীন </t>
  </si>
  <si>
    <t xml:space="preserve"> মাতা: বেলী আরা খাতুন </t>
  </si>
  <si>
    <t xml:space="preserve"> ২৬/০৩/১৯৯৮ </t>
  </si>
  <si>
    <t xml:space="preserve"> মুলাপাড়া, জালশুকা, গাংনী, মেহেরপুর </t>
  </si>
  <si>
    <t xml:space="preserve"> নাম: মোঃ বিদ্যুত হুসাইন </t>
  </si>
  <si>
    <t xml:space="preserve">মোঃ মোজাম্মেল হক </t>
  </si>
  <si>
    <t xml:space="preserve"> মাতা: মোছাঃ লাল বানু </t>
  </si>
  <si>
    <t xml:space="preserve"> ০২/১০/১৯৯৬ </t>
  </si>
  <si>
    <t xml:space="preserve"> দাড়িপাড়া, জালশুকা, গাংনী, মেহেরপুর </t>
  </si>
  <si>
    <t xml:space="preserve">মোঃ আশাদুল </t>
  </si>
  <si>
    <t xml:space="preserve"> মাতা: চাইনা খাতুন </t>
  </si>
  <si>
    <t xml:space="preserve"> ১০/১১/১৯৯৮ </t>
  </si>
  <si>
    <t xml:space="preserve"> উত্তরপাড়া, জালশুকা, গাংনী, মেহেরপুর </t>
  </si>
  <si>
    <t xml:space="preserve"> নাম: শামীম হাসান </t>
  </si>
  <si>
    <t xml:space="preserve">বাদল আলী </t>
  </si>
  <si>
    <t xml:space="preserve"> মাতা: জাহেদা খাতুন </t>
  </si>
  <si>
    <t xml:space="preserve"> ১৫/০৬/১৯৯৯ </t>
  </si>
  <si>
    <t xml:space="preserve"> নাম: সালমান ফারসী </t>
  </si>
  <si>
    <t xml:space="preserve">বজলু রহমান </t>
  </si>
  <si>
    <t xml:space="preserve"> মাতা: রেহেনা </t>
  </si>
  <si>
    <t xml:space="preserve"> ১৬/০১/১৯৯৯ </t>
  </si>
  <si>
    <t xml:space="preserve"> দক্ষিণপাড়া, জালশুকা, গাংনী, মেহেরপুর </t>
  </si>
  <si>
    <t xml:space="preserve"> নাম: নাজমুস সাকিব </t>
  </si>
  <si>
    <t xml:space="preserve">মজিবুল হক </t>
  </si>
  <si>
    <t xml:space="preserve"> মাতা: শাহিনুর খাতুন </t>
  </si>
  <si>
    <t xml:space="preserve"> ২৫/১২/১৯৯৯ </t>
  </si>
  <si>
    <t xml:space="preserve"> নাম: মোঃ হাসু </t>
  </si>
  <si>
    <t xml:space="preserve"> ২৭/১২/১৯৮৭ </t>
  </si>
  <si>
    <t xml:space="preserve"> নাম: উজ্জল আলী </t>
  </si>
  <si>
    <t xml:space="preserve">মোঃ আরমান </t>
  </si>
  <si>
    <t xml:space="preserve"> মাতা: সাহেরা খাতুন </t>
  </si>
  <si>
    <t xml:space="preserve"> ০১/০৫/১৯৮৪ </t>
  </si>
  <si>
    <t xml:space="preserve"> নাম: মোঃ রাশিদুল ইসলাম </t>
  </si>
  <si>
    <t xml:space="preserve">মোঃ আঃ রহমান </t>
  </si>
  <si>
    <t xml:space="preserve"> মাতা: মোছাঃ মহিরন নেছা </t>
  </si>
  <si>
    <t xml:space="preserve"> ০১/০১/১৯৯৭ </t>
  </si>
  <si>
    <t xml:space="preserve"> জালশুকা, ধানখোলা, গাংনী, মেহেরপুর </t>
  </si>
  <si>
    <t xml:space="preserve"> নাম: মোঃ রাকিবুল ইসলাম </t>
  </si>
  <si>
    <t xml:space="preserve">মোঃ হাসিবুল </t>
  </si>
  <si>
    <t xml:space="preserve"> মাতা: মোছাঃ আইমানা খাতুন </t>
  </si>
  <si>
    <t xml:space="preserve"> ১৫/১২/২০০২ </t>
  </si>
  <si>
    <t xml:space="preserve"> নাম: মোঃ কনক আলী </t>
  </si>
  <si>
    <t xml:space="preserve">মোঃ বাবলু আলী </t>
  </si>
  <si>
    <t xml:space="preserve"> মাতা: মোছাঃ চন্দনা খাতুন </t>
  </si>
  <si>
    <t xml:space="preserve"> ০১/০১/২০০৪ </t>
  </si>
  <si>
    <t xml:space="preserve"> নাম: মোঃ আলমগীর হোসেন </t>
  </si>
  <si>
    <t xml:space="preserve">মোঃ ইয়াকুব মন্ডল </t>
  </si>
  <si>
    <t xml:space="preserve"> মাতা: মোছাঃ শাহনাজ পারভীন </t>
  </si>
  <si>
    <t xml:space="preserve"> ১৪/০৩/১৯৯৮ </t>
  </si>
  <si>
    <t xml:space="preserve">আব্দুল মান্নান </t>
  </si>
  <si>
    <t xml:space="preserve"> মাতা: আনোয়ারা খাতুন </t>
  </si>
  <si>
    <t xml:space="preserve"> ০১/০৩/২০০২ </t>
  </si>
  <si>
    <t xml:space="preserve"> নাম: হোসেন </t>
  </si>
  <si>
    <t xml:space="preserve">মোঃ বরকত আলী </t>
  </si>
  <si>
    <t xml:space="preserve"> মাতা: মোছাঃ বহিরন নেছা </t>
  </si>
  <si>
    <t xml:space="preserve"> ১৮/১২/১৯৯০ </t>
  </si>
  <si>
    <t xml:space="preserve"> নাম: মোঃ জুয়েল রানা </t>
  </si>
  <si>
    <t xml:space="preserve">মোঃ রবিউল ইসলাম </t>
  </si>
  <si>
    <t xml:space="preserve"> মাতা: মোছাঃ মাজিনা খাতুন </t>
  </si>
  <si>
    <t xml:space="preserve"> ২৮/০২/১৯৯৮ </t>
  </si>
  <si>
    <t xml:space="preserve"> নাম: মোঃ ইসরাফিল হোসেন </t>
  </si>
  <si>
    <t xml:space="preserve">মৃত মিনাজ উদ্দীন </t>
  </si>
  <si>
    <t xml:space="preserve"> মাতা: মোছাঃ মিনারা খাতুন </t>
  </si>
  <si>
    <t xml:space="preserve"> ১৫/০৭/২০০১ </t>
  </si>
  <si>
    <t xml:space="preserve"> নাম: মোঃ পানু মিয়া </t>
  </si>
  <si>
    <t xml:space="preserve">মোঃ তরিকুল ইসলাম </t>
  </si>
  <si>
    <t xml:space="preserve"> মাতা: মোছাঃ ফেন্সি খাতুন </t>
  </si>
  <si>
    <t xml:space="preserve"> ১৫/১০/২০০০ </t>
  </si>
  <si>
    <t xml:space="preserve"> নাম: শেখ হাবিবুর চৌধুরী </t>
  </si>
  <si>
    <t xml:space="preserve">মোঃ জামির উদ্দীন </t>
  </si>
  <si>
    <t xml:space="preserve"> মাতা: নাসের খাতুন </t>
  </si>
  <si>
    <t xml:space="preserve"> ২৮/১২/২০০১ </t>
  </si>
  <si>
    <t xml:space="preserve"> নাম: মোঃ সাগর আলী </t>
  </si>
  <si>
    <t xml:space="preserve">আশাদুল ইসলাম </t>
  </si>
  <si>
    <t xml:space="preserve"> মাতা: মোছাঃ জাহেদা </t>
  </si>
  <si>
    <t xml:space="preserve"> ২৭/১২/১৯৯৭ </t>
  </si>
  <si>
    <t xml:space="preserve"> নাম: মোঃ ছামিউল্লাহ </t>
  </si>
  <si>
    <t xml:space="preserve">মোঃ সিদ্দিক আলী </t>
  </si>
  <si>
    <t xml:space="preserve"> মাতা: মোছাঃ রমেলা খাতুন </t>
  </si>
  <si>
    <t xml:space="preserve"> ০১/০২/২০০৩ </t>
  </si>
  <si>
    <t xml:space="preserve"> নাম: মোঃ চঞ্চল আলী </t>
  </si>
  <si>
    <t xml:space="preserve">মোঃ আরমান আলী </t>
  </si>
  <si>
    <t xml:space="preserve"> মাতা: মোছাঃ সাহেরা খাতুন </t>
  </si>
  <si>
    <t xml:space="preserve"> ০১/০১/১৯৯৯ </t>
  </si>
  <si>
    <t xml:space="preserve"> নাম: মোঃ সাঈদুল ইসলাম </t>
  </si>
  <si>
    <t xml:space="preserve"> মাতা: মোছাঃ ফিরোজা খাতুন </t>
  </si>
  <si>
    <t xml:space="preserve"> ১০/০৫/১৯৯১ </t>
  </si>
  <si>
    <t xml:space="preserve"> মো: তৌফিকুজ্জামান </t>
  </si>
  <si>
    <t xml:space="preserve"> মোছাঃ সাবিনা ইয়াসমিন </t>
  </si>
  <si>
    <t xml:space="preserve"> ২৫/১০/১৯৯৭ </t>
  </si>
  <si>
    <t xml:space="preserve"> মোঃ রাকিবুল হক </t>
  </si>
  <si>
    <t xml:space="preserve"> মোছাঃ শাহিনা খাতুন </t>
  </si>
  <si>
    <t xml:space="preserve"> ০১/০১/২০০১ </t>
  </si>
  <si>
    <t xml:space="preserve"> মুন্না </t>
  </si>
  <si>
    <t xml:space="preserve"> মোশারফ </t>
  </si>
  <si>
    <t xml:space="preserve"> তহলিমা </t>
  </si>
  <si>
    <t xml:space="preserve"> ০১/০১/১৯৯৫ </t>
  </si>
  <si>
    <t xml:space="preserve"> মো: হাসান আলী </t>
  </si>
  <si>
    <t xml:space="preserve"> মোঃ খবির উদ্দীন </t>
  </si>
  <si>
    <t xml:space="preserve"> ১৫/০১/২০০২ </t>
  </si>
  <si>
    <t xml:space="preserve"> মোঃ মুলুক চাঁদ </t>
  </si>
  <si>
    <t xml:space="preserve"> মৃত ইদবার আলী </t>
  </si>
  <si>
    <t xml:space="preserve"> মোছাঃ শাহনারা </t>
  </si>
  <si>
    <t xml:space="preserve"> ১৪/০১/১৯৯৭ </t>
  </si>
  <si>
    <t xml:space="preserve"> মোঃ আব্দুল্লাহ </t>
  </si>
  <si>
    <t xml:space="preserve"> মোছাঃ তাসলিমা খাতুন </t>
  </si>
  <si>
    <t xml:space="preserve"> ১৮/১২/২০০১ </t>
  </si>
  <si>
    <t xml:space="preserve"> মো: বাপরাজ </t>
  </si>
  <si>
    <t xml:space="preserve"> মোছা: কুলছন খাতুন </t>
  </si>
  <si>
    <t xml:space="preserve"> ১৪/১২/২০০৩ </t>
  </si>
  <si>
    <t xml:space="preserve"> মো: আল মামুন </t>
  </si>
  <si>
    <t xml:space="preserve"> মো: আব্দুল মামন </t>
  </si>
  <si>
    <t xml:space="preserve"> মোছা: জামেনা খাতুন </t>
  </si>
  <si>
    <t xml:space="preserve"> ১২/১০/২০০০ </t>
  </si>
  <si>
    <t xml:space="preserve"> মোছাঃ অরশিদা খাতুন </t>
  </si>
  <si>
    <t xml:space="preserve"> ০৫/১২/১৯৯৯ </t>
  </si>
  <si>
    <t xml:space="preserve"> মোঃ ইমন আলী </t>
  </si>
  <si>
    <t xml:space="preserve"> ২৯/১১/২০০১ </t>
  </si>
  <si>
    <t xml:space="preserve"> মো: রনি বিশ্বাস </t>
  </si>
  <si>
    <t xml:space="preserve"> মো: আকতার আলী </t>
  </si>
  <si>
    <t xml:space="preserve"> মোছা: রংফুল </t>
  </si>
  <si>
    <t xml:space="preserve"> ২৩/১২/২০০০ </t>
  </si>
  <si>
    <t xml:space="preserve"> মোঃ জাহাঙ্গীর আলম </t>
  </si>
  <si>
    <t xml:space="preserve"> ১৭/১০/১৯৮৮ </t>
  </si>
  <si>
    <t xml:space="preserve"> মো: শিমুল হোসেন </t>
  </si>
  <si>
    <t xml:space="preserve"> মো: শামীম হোসেন </t>
  </si>
  <si>
    <t xml:space="preserve"> মোছা: শিউলি খাতুন </t>
  </si>
  <si>
    <t xml:space="preserve"> ১০/০৩/২০০২ </t>
  </si>
  <si>
    <t xml:space="preserve"> মোঃ জাহিদুল ইসলাম </t>
  </si>
  <si>
    <t xml:space="preserve"> মৃত শহিদুল ইসলাম </t>
  </si>
  <si>
    <t xml:space="preserve"> ১৫/১২/১৯৯৭ </t>
  </si>
  <si>
    <t xml:space="preserve"> মোঃ রাশেদুল ইসলাম </t>
  </si>
  <si>
    <t xml:space="preserve"> মোছাঃ জাহামারা </t>
  </si>
  <si>
    <t xml:space="preserve"> মোঃ রাকিবুল ইসলাম </t>
  </si>
  <si>
    <t xml:space="preserve"> মোঃ আবেদুর রহমান </t>
  </si>
  <si>
    <t xml:space="preserve"> মোছাঃ গুলশানারা </t>
  </si>
  <si>
    <t xml:space="preserve"> ২৫/০২/২০০১ </t>
  </si>
  <si>
    <t xml:space="preserve"> মোঃ আল আমিন </t>
  </si>
  <si>
    <t xml:space="preserve"> মোঃ শামীম হোসেন </t>
  </si>
  <si>
    <t xml:space="preserve"> মোছাঃ পারুলা খাতুন </t>
  </si>
  <si>
    <t xml:space="preserve"> ০২/০২/১৯৯৮ </t>
  </si>
  <si>
    <t xml:space="preserve"> মো: ছাব্বির হোসেন </t>
  </si>
  <si>
    <t xml:space="preserve"> মোছা: সাবিনা ইয়াসমিন </t>
  </si>
  <si>
    <t xml:space="preserve"> ৩০/১২/২০০২ </t>
  </si>
  <si>
    <t xml:space="preserve"> মাহাবুল </t>
  </si>
  <si>
    <t xml:space="preserve"> জামাল </t>
  </si>
  <si>
    <t xml:space="preserve"> বাসিরন </t>
  </si>
  <si>
    <t xml:space="preserve"> ০৫/০২/১৯৯০ </t>
  </si>
  <si>
    <t xml:space="preserve"> মোঃ নাইম আলী </t>
  </si>
  <si>
    <t xml:space="preserve"> মোঃ আব্দুর রশিদ </t>
  </si>
  <si>
    <t xml:space="preserve"> মোছাঃ নাসিমা খাতুন </t>
  </si>
  <si>
    <t xml:space="preserve"> ২০/০৭/২০০৩ </t>
  </si>
  <si>
    <t xml:space="preserve"> আব্দুল খালেক </t>
  </si>
  <si>
    <t xml:space="preserve"> মোছাঃ সাহানারা </t>
  </si>
  <si>
    <t xml:space="preserve"> ২০/০৩/২০০০ </t>
  </si>
  <si>
    <t xml:space="preserve"> মোছাঃ শাহেদা খাতুন </t>
  </si>
  <si>
    <t xml:space="preserve"> মোঃ রাকিব হোসেন </t>
  </si>
  <si>
    <t xml:space="preserve"> মোছাঃ রইছউদ্দিন </t>
  </si>
  <si>
    <t xml:space="preserve"> মোছাঃ সুবারন নেছা </t>
  </si>
  <si>
    <t xml:space="preserve"> ০১/০১/২০০৩ </t>
  </si>
  <si>
    <t xml:space="preserve"> মোঃ পলাশ আলী </t>
  </si>
  <si>
    <t xml:space="preserve"> আনারুল </t>
  </si>
  <si>
    <t xml:space="preserve"> সকিরন নেছা </t>
  </si>
  <si>
    <t xml:space="preserve"> ২৪/০৫/২০০৩ </t>
  </si>
  <si>
    <t xml:space="preserve"> মোঃ ইমরান আলী </t>
  </si>
  <si>
    <t xml:space="preserve"> মোছাঃ নওশাদ </t>
  </si>
  <si>
    <t xml:space="preserve"> মোছাঃ নাজিরা খাতুন </t>
  </si>
  <si>
    <t xml:space="preserve"> ০১/০৩/২০০৩ </t>
  </si>
  <si>
    <t xml:space="preserve"> মোঃ মিলন আলী </t>
  </si>
  <si>
    <t xml:space="preserve"> মোছাঃ ময়না খাতুন </t>
  </si>
  <si>
    <t xml:space="preserve"> মোঃ তোতা আলী </t>
  </si>
  <si>
    <t xml:space="preserve"> মোঃ জালাল উদ্দীন </t>
  </si>
  <si>
    <t xml:space="preserve"> মোছাঃ রেবেকা খাতুন </t>
  </si>
  <si>
    <t xml:space="preserve"> ০৩/০১/২০০২ </t>
  </si>
  <si>
    <t xml:space="preserve"> মোঃ আসাদ </t>
  </si>
  <si>
    <t xml:space="preserve"> মোঃ মেহের আলী </t>
  </si>
  <si>
    <t xml:space="preserve"> ৩০/১০/১৯৯৬ </t>
  </si>
  <si>
    <t xml:space="preserve"> মোঃ নিসান আলী </t>
  </si>
  <si>
    <t xml:space="preserve"> মোঃ জামিরুল ইসলাম </t>
  </si>
  <si>
    <t xml:space="preserve"> মোঃ লিখন আলী </t>
  </si>
  <si>
    <t xml:space="preserve"> ০১/০১/২০০২ </t>
  </si>
  <si>
    <t xml:space="preserve"> মোঃ হুসাইন আলী </t>
  </si>
  <si>
    <t xml:space="preserve"> ১৭/১২/২০০১ </t>
  </si>
  <si>
    <t xml:space="preserve"> মোঃ মারিজুল ইসলাম </t>
  </si>
  <si>
    <t xml:space="preserve"> মোছাঃ কামরুন্নাহার </t>
  </si>
  <si>
    <t xml:space="preserve"> ০১/১০/২০০১ </t>
  </si>
  <si>
    <t xml:space="preserve"> মোঃ হৃদয় হোসেন </t>
  </si>
  <si>
    <t xml:space="preserve"> মোঃ জিয়াউর রহমান </t>
  </si>
  <si>
    <t xml:space="preserve"> ২৭/১০/১৯৯৮ </t>
  </si>
  <si>
    <t xml:space="preserve"> মোঃ বকুল আহমেদ </t>
  </si>
  <si>
    <t xml:space="preserve"> ২০/১১/১৯৯৭ </t>
  </si>
  <si>
    <t xml:space="preserve"> মোঃ স্বপন আলী </t>
  </si>
  <si>
    <t xml:space="preserve"> মোঃ রেজাউল হক </t>
  </si>
  <si>
    <t xml:space="preserve"> মৃত হালিমা খাতুন </t>
  </si>
  <si>
    <t xml:space="preserve"> ০৯/১২/১৯৮৮ </t>
  </si>
  <si>
    <t xml:space="preserve"> মোঃ সেরেফুল </t>
  </si>
  <si>
    <t xml:space="preserve"> মোঃ নুজির আলী </t>
  </si>
  <si>
    <t xml:space="preserve"> নাম: মোঃ জিয়াউর রহমান </t>
  </si>
  <si>
    <t xml:space="preserve">হাফেজ উদ্দীন </t>
  </si>
  <si>
    <t xml:space="preserve"> মাতা: বাসিরন নেছা </t>
  </si>
  <si>
    <t xml:space="preserve"> ০২/০৩/১৯৮০ </t>
  </si>
  <si>
    <t xml:space="preserve"> নাম: মোঃ শাকিল </t>
  </si>
  <si>
    <t xml:space="preserve">মোঃ মুন্টু আলী </t>
  </si>
  <si>
    <t xml:space="preserve"> মাতা: মোছাঃ আসমিনা খাতুন </t>
  </si>
  <si>
    <t xml:space="preserve"> নাম: মোঃ আঃ সামাদ </t>
  </si>
  <si>
    <t xml:space="preserve">মোঃ আঃ ওহাব </t>
  </si>
  <si>
    <t xml:space="preserve"> মাতা: মোছাঃ হাজেরা খাতুন </t>
  </si>
  <si>
    <t xml:space="preserve"> ২৭/১২/১৯৯৯ </t>
  </si>
  <si>
    <t xml:space="preserve"> নাম: মোঃ সজিব রানা </t>
  </si>
  <si>
    <t xml:space="preserve">মোঃ শাহজান আলী </t>
  </si>
  <si>
    <t xml:space="preserve"> মাতা: মোছাঃ রহিমা খাতুন </t>
  </si>
  <si>
    <t xml:space="preserve"> ১৯/১২/১৯৯৭ </t>
  </si>
  <si>
    <t xml:space="preserve"> নাম: মোঃ শরিফুল ইসলাম </t>
  </si>
  <si>
    <t xml:space="preserve">মোঃ তারাচাঁদ মন্ডল </t>
  </si>
  <si>
    <t xml:space="preserve"> মাতা: মোছাঃ রেবেকা খাতুন </t>
  </si>
  <si>
    <t xml:space="preserve"> ২০/০১/১৯৯৬ </t>
  </si>
  <si>
    <t xml:space="preserve"> নাম: মোঃ সেন্টু আলী </t>
  </si>
  <si>
    <t xml:space="preserve">নজরুল ইসলাম </t>
  </si>
  <si>
    <t xml:space="preserve"> মাতা: মোছাঃ মহিলা </t>
  </si>
  <si>
    <t xml:space="preserve"> ০৫/১২/১৯৯৭ </t>
  </si>
  <si>
    <t xml:space="preserve">মোঃ মুনতাজ আলী </t>
  </si>
  <si>
    <t xml:space="preserve"> মাতা: মোছাঃ ইশারন নেছা </t>
  </si>
  <si>
    <t xml:space="preserve"> ১৫/১২/২০০০ </t>
  </si>
  <si>
    <t xml:space="preserve">মোঃ আশাদুল ইসলাম </t>
  </si>
  <si>
    <t xml:space="preserve"> মাতা: শাহনাজ বেগম </t>
  </si>
  <si>
    <t xml:space="preserve"> ২১/১১/২০০১ </t>
  </si>
  <si>
    <t xml:space="preserve"> নাম: মোঃ আঃ মমিন </t>
  </si>
  <si>
    <t xml:space="preserve">মৃত মাদার শেখ </t>
  </si>
  <si>
    <t xml:space="preserve"> মাতা: মোছাঃ জহুরা খাতুন </t>
  </si>
  <si>
    <t xml:space="preserve"> ১০/০৭/১৯৮৪ </t>
  </si>
  <si>
    <t xml:space="preserve">মোঃ বিল্টু আলী </t>
  </si>
  <si>
    <t xml:space="preserve"> মাতা: মোছাঃ ফেরদৌসি খাতুন </t>
  </si>
  <si>
    <t xml:space="preserve"> ১৩/০৩/২০০৩ </t>
  </si>
  <si>
    <t xml:space="preserve"> নাম: শাহিনুজ্জামান </t>
  </si>
  <si>
    <t xml:space="preserve">মোঃ শফিকুল ইসলাম </t>
  </si>
  <si>
    <t xml:space="preserve"> মাতা: মোছাঃ আনজিরা খাতুন </t>
  </si>
  <si>
    <t xml:space="preserve"> নাম: মোঃ রাকিব আলী </t>
  </si>
  <si>
    <t xml:space="preserve">মোঃ রুহুল আমিন </t>
  </si>
  <si>
    <t xml:space="preserve"> মাতা: মোছাঃ রেহেনা খাতুন </t>
  </si>
  <si>
    <t xml:space="preserve"> ১৮/০২/২০০২ </t>
  </si>
  <si>
    <t xml:space="preserve"> নাম: আলীরাাজ </t>
  </si>
  <si>
    <t xml:space="preserve"> মাতা: মর্জিনা </t>
  </si>
  <si>
    <t xml:space="preserve"> ২৯/১০/২০০১ </t>
  </si>
  <si>
    <t xml:space="preserve"> নাম: মোঃ হানিফ আলী </t>
  </si>
  <si>
    <t xml:space="preserve"> মাতা: মোছাঃ সাহানা খাতুন </t>
  </si>
  <si>
    <t xml:space="preserve"> ১৯/০৯/১৯৯৯ </t>
  </si>
  <si>
    <t xml:space="preserve"> নাম: মোঃ শান্ত </t>
  </si>
  <si>
    <t xml:space="preserve">মোঃ বাবলু হোসেন </t>
  </si>
  <si>
    <t xml:space="preserve"> মাতা: মোছাঃ ধনী খাতুন </t>
  </si>
  <si>
    <t xml:space="preserve"> ০১/০৪/২০০১ </t>
  </si>
  <si>
    <t xml:space="preserve"> নাম: মোহাম্মাদ দেলোয়ার হোসেন </t>
  </si>
  <si>
    <t xml:space="preserve">আব্দুল খালেক </t>
  </si>
  <si>
    <t xml:space="preserve"> মাতা: মোছাঃ মনোয়ারা </t>
  </si>
  <si>
    <t xml:space="preserve"> ০৪/১০/১৯৯০ </t>
  </si>
  <si>
    <t xml:space="preserve"> -০, জালশুকা, গাংনী, মেহেরপুর </t>
  </si>
  <si>
    <t xml:space="preserve"> নাম: মোঃ সোহাগ মিয়া </t>
  </si>
  <si>
    <t xml:space="preserve">মৃত হাসেম আলী </t>
  </si>
  <si>
    <t xml:space="preserve"> মাতা: মোছাঃ মদিনা খাতুন </t>
  </si>
  <si>
    <t xml:space="preserve"> নাম: মোঃ শিলু মিয়া </t>
  </si>
  <si>
    <t xml:space="preserve"> মাতা: মোছাঃ হালিমা খাতুন </t>
  </si>
  <si>
    <t xml:space="preserve"> ২৪/১২/২০০১ </t>
  </si>
  <si>
    <t xml:space="preserve"> মোঃ টনিক </t>
  </si>
  <si>
    <t xml:space="preserve"> মোছাঃ নাগিসয়ারা </t>
  </si>
  <si>
    <t xml:space="preserve"> মোঃ সজিব আলী </t>
  </si>
  <si>
    <t xml:space="preserve"> মোঃ সাহাজুল হক </t>
  </si>
  <si>
    <t xml:space="preserve"> ১৫/০৫/২০০০ </t>
  </si>
  <si>
    <t xml:space="preserve"> সারা খাতুন </t>
  </si>
  <si>
    <t xml:space="preserve"> ২০/১০/১৯৮৩ </t>
  </si>
  <si>
    <t xml:space="preserve"> মোঃ ওয়াহেদ ইসলাম </t>
  </si>
  <si>
    <t xml:space="preserve"> মোঃ আব্দুল গফুর </t>
  </si>
  <si>
    <t xml:space="preserve"> মোছাঃ উফিয়া খাতুন </t>
  </si>
  <si>
    <t xml:space="preserve"> মোঃ আলী কবির </t>
  </si>
  <si>
    <t xml:space="preserve"> মোছাঃ রহিলা খাতুন </t>
  </si>
  <si>
    <t xml:space="preserve"> ১০/০৬/১৯৯৫ </t>
  </si>
  <si>
    <t xml:space="preserve"> মোঃ রাশেদ খান </t>
  </si>
  <si>
    <t xml:space="preserve"> ০৫/০৩/২০০২ </t>
  </si>
  <si>
    <t xml:space="preserve"> নাম: আনোয়ার আলী </t>
  </si>
  <si>
    <t xml:space="preserve"> ওয়াজ আলী (মুল্লা) </t>
  </si>
  <si>
    <t xml:space="preserve"> রমেছা </t>
  </si>
  <si>
    <t xml:space="preserve"> নাম: মাহাবুল </t>
  </si>
  <si>
    <t xml:space="preserve"> তারাচাঁদ </t>
  </si>
  <si>
    <t xml:space="preserve"> ১৭/১১/১৯৯১ </t>
  </si>
  <si>
    <t xml:space="preserve"> মোঃ রমিনু উদ্দীন মন্ডল </t>
  </si>
  <si>
    <t xml:space="preserve"> মোছাঃ আকলিমা বেগম </t>
  </si>
  <si>
    <t xml:space="preserve"> ০২/০৩/১৯৭৪ </t>
  </si>
  <si>
    <t xml:space="preserve"> জালশুকা, জালশুকা, গাংনী, মেহেরপুর </t>
  </si>
  <si>
    <t xml:space="preserve"> নাম: মোঃ ইয়াকুব মন্ডল </t>
  </si>
  <si>
    <t xml:space="preserve"> শামসুদ্দীন মন্ডল </t>
  </si>
  <si>
    <t xml:space="preserve"> মোছাঃ রুবিয়া বেগম </t>
  </si>
  <si>
    <t xml:space="preserve"> ১৮/০১/১৯৭৭ </t>
  </si>
  <si>
    <t xml:space="preserve"> নাম: মোঃ বকুল শিকদার </t>
  </si>
  <si>
    <t xml:space="preserve">মোঃ ইদ্রিস আলী </t>
  </si>
  <si>
    <t xml:space="preserve"> মাতা: মোছাঃ রোকেয়া খাতুন </t>
  </si>
  <si>
    <t xml:space="preserve"> ১২৫৩, জালশুকা, গাংনী, মেহেরপুর </t>
  </si>
  <si>
    <t xml:space="preserve"> নাম: মোঃ ফিরোজ আলী </t>
  </si>
  <si>
    <t xml:space="preserve">মোছাঃ তক্কেল </t>
  </si>
  <si>
    <t xml:space="preserve"> ১২/০৩/১৯৯৯ </t>
  </si>
  <si>
    <t xml:space="preserve"> নাম: মোঃ স্বাধীন আলী </t>
  </si>
  <si>
    <t xml:space="preserve">মোঃ মজিবুল ইসলাম </t>
  </si>
  <si>
    <t xml:space="preserve"> মাতা: মোছা: মুক্তা খাতুন </t>
  </si>
  <si>
    <t xml:space="preserve"> ১৩/০২/২০০১ </t>
  </si>
  <si>
    <t xml:space="preserve"> ১৫০, জালশুকা, গাংনী, মেহেরপুর </t>
  </si>
  <si>
    <t xml:space="preserve"> নাম: মোঃ জিয়ারুল </t>
  </si>
  <si>
    <t xml:space="preserve">মোঃ জমির উদ্দীন </t>
  </si>
  <si>
    <t xml:space="preserve"> মাতা: মোছা: হাজেরা বেগম </t>
  </si>
  <si>
    <t xml:space="preserve"> ২০/০৩/১৯৮৫ </t>
  </si>
  <si>
    <t xml:space="preserve"> নাম: আজাদ </t>
  </si>
  <si>
    <t xml:space="preserve">আবুহুদ্দিন </t>
  </si>
  <si>
    <t xml:space="preserve"> মাতা: কুলছন </t>
  </si>
  <si>
    <t xml:space="preserve"> ১৭/০২/১৯৯২ </t>
  </si>
  <si>
    <t xml:space="preserve"> নাম: মোঃ সবুর আলী </t>
  </si>
  <si>
    <t xml:space="preserve">মোঃ হযরত আলী </t>
  </si>
  <si>
    <t xml:space="preserve"> মাতা: মোছা: জরিনা খাতুন </t>
  </si>
  <si>
    <t xml:space="preserve"> ০৩/০৯/২০০৪ </t>
  </si>
  <si>
    <t xml:space="preserve"> নাম: মোঃ রাশেদ আলী </t>
  </si>
  <si>
    <t xml:space="preserve">মোঃ চাঁদালী </t>
  </si>
  <si>
    <t xml:space="preserve"> মাতা: মোছাঃ রুশিয়া খাতুন </t>
  </si>
  <si>
    <t xml:space="preserve"> ০১/০১/২০০৫ </t>
  </si>
  <si>
    <t xml:space="preserve"> ৯৪০, জালশুকা, গাংনী, মেহেরপুর </t>
  </si>
  <si>
    <t xml:space="preserve"> নাম: মোঃ লিপন </t>
  </si>
  <si>
    <t xml:space="preserve">মোহা: মহিবুল ইসলাম </t>
  </si>
  <si>
    <t xml:space="preserve"> মাতা: মোছাঃ সুরভী খাতুন </t>
  </si>
  <si>
    <t xml:space="preserve"> ১১৬০, জালশুকা, গাংনী, মেহেরপুর </t>
  </si>
  <si>
    <t xml:space="preserve"> মো: তামিম আলী </t>
  </si>
  <si>
    <t xml:space="preserve"> মো: আব্দুল আলিম </t>
  </si>
  <si>
    <t xml:space="preserve"> মোছা: মমতাজ খাতুন </t>
  </si>
  <si>
    <t xml:space="preserve"> ০১/০৩/২০০৪ </t>
  </si>
  <si>
    <t xml:space="preserve"> ২৭৮, জালশুকা, গাংনী, মেহেরপুর </t>
  </si>
  <si>
    <t xml:space="preserve"> মোঃ সুমন আলী </t>
  </si>
  <si>
    <t xml:space="preserve"> মো: হাফিজুর রহমান </t>
  </si>
  <si>
    <t xml:space="preserve"> ৯৭৪, জালশুকা, গাংনী, মেহেরপুর </t>
  </si>
  <si>
    <t xml:space="preserve"> মো: লিপন আলী </t>
  </si>
  <si>
    <t xml:space="preserve"> মো: লিটন আলী </t>
  </si>
  <si>
    <t xml:space="preserve"> ১০৯৭, জালশুকা, গাংনী, মেহেরপুর </t>
  </si>
  <si>
    <t xml:space="preserve"> মো: মাহফুজুর রহমান </t>
  </si>
  <si>
    <t xml:space="preserve"> মো: আব্দুস সাত্তার </t>
  </si>
  <si>
    <t xml:space="preserve"> মোছা: লিলি খাতুন </t>
  </si>
  <si>
    <t xml:space="preserve"> ০১/০৬/২০০৪ </t>
  </si>
  <si>
    <t xml:space="preserve"> ১০০৮, জালশুকা, গাংনী, মেহেরপুর </t>
  </si>
  <si>
    <t xml:space="preserve"> মো: সাব্বির হোসেন </t>
  </si>
  <si>
    <t xml:space="preserve"> মো: আবুল বাশার মনা </t>
  </si>
  <si>
    <t xml:space="preserve"> মোছা: ছাবিনা খাতুন </t>
  </si>
  <si>
    <t xml:space="preserve"> ২৫/১১/২০০৪ </t>
  </si>
  <si>
    <t xml:space="preserve"> মো: বুলবুল মাহমুদ </t>
  </si>
  <si>
    <t xml:space="preserve"> মো: মোক্কেল আলী </t>
  </si>
  <si>
    <t xml:space="preserve"> মোছা: গুলশান আরা </t>
  </si>
  <si>
    <t xml:space="preserve"> মো: মোজাহিদ ইসলাম </t>
  </si>
  <si>
    <t xml:space="preserve"> মোছা: আনজিরা বেগম </t>
  </si>
  <si>
    <t xml:space="preserve"> ০৩/০২/২০০৫ </t>
  </si>
  <si>
    <t xml:space="preserve"> মো: রাজু আহমেদ </t>
  </si>
  <si>
    <t xml:space="preserve"> মো: আবু তাহের </t>
  </si>
  <si>
    <t xml:space="preserve"> মোছা: নাছিমা খাতুন </t>
  </si>
  <si>
    <t xml:space="preserve"> ২৫/১২/২০০৫ </t>
  </si>
  <si>
    <t xml:space="preserve"> ৭৯১, জালশুকা, গাংনী, মেহেরপুর </t>
  </si>
  <si>
    <t xml:space="preserve"> মো: আ: ছালাম </t>
  </si>
  <si>
    <t xml:space="preserve"> শিরিনা </t>
  </si>
  <si>
    <t xml:space="preserve"> ০১/০৩/২০০৫ </t>
  </si>
  <si>
    <t xml:space="preserve"> মো: তুষার আলী </t>
  </si>
  <si>
    <t xml:space="preserve"> মো: হাবিবুর রহমান </t>
  </si>
  <si>
    <t xml:space="preserve"> মোছা: এসমেতারা </t>
  </si>
  <si>
    <t xml:space="preserve"> ০১/০৬/২০০৫ </t>
  </si>
  <si>
    <t xml:space="preserve"> ১২৬৪, জালশুকা, গাংনী, মেহেরপুর </t>
  </si>
  <si>
    <t xml:space="preserve"> মো: সুমন আলী </t>
  </si>
  <si>
    <t xml:space="preserve"> মোছা: রেহেনা খাতুন </t>
  </si>
  <si>
    <t xml:space="preserve"> ৩০/০৬/২০০৪ </t>
  </si>
  <si>
    <t xml:space="preserve"> ১০৭৫, জালশুকা, গাংনী, মেহেরপুর </t>
  </si>
  <si>
    <t xml:space="preserve"> মো: মোছাদ্দিক হোসেন </t>
  </si>
  <si>
    <t xml:space="preserve"> মো: খায়রুল ইসলাম </t>
  </si>
  <si>
    <t xml:space="preserve"> মোছা: পপিয়ারা বেগম </t>
  </si>
  <si>
    <t xml:space="preserve"> ০১/০২/২০০৬ </t>
  </si>
  <si>
    <t xml:space="preserve"> ১৩১১, জালশুকা, গাংনী, মেহেরপুর </t>
  </si>
  <si>
    <t xml:space="preserve"> মো: হুসাইন আলী </t>
  </si>
  <si>
    <t xml:space="preserve"> মো: নিজাম উদ্দীন </t>
  </si>
  <si>
    <t xml:space="preserve"> মোছা: হোসেনারা </t>
  </si>
  <si>
    <t xml:space="preserve"> ০১/০৪/২০০৬ </t>
  </si>
  <si>
    <t xml:space="preserve"> ১২৬৫, জালশুকা, গাংনী, মেহেরপুর </t>
  </si>
  <si>
    <t xml:space="preserve"> মো: নাছিম আলী </t>
  </si>
  <si>
    <t xml:space="preserve"> মো: সাহাবুল </t>
  </si>
  <si>
    <t xml:space="preserve"> মোছা: নাছরিন </t>
  </si>
  <si>
    <t xml:space="preserve"> ৩০/১২/২০০৬ </t>
  </si>
  <si>
    <t xml:space="preserve"> ১১৫১, জালশুকা, গাংনী, মেহেরপুর </t>
  </si>
  <si>
    <t xml:space="preserve"> কাউছার আলী </t>
  </si>
  <si>
    <t xml:space="preserve"> মৃত আকবার আলী </t>
  </si>
  <si>
    <t xml:space="preserve"> ১১/০১/১৯৮৮ </t>
  </si>
  <si>
    <t xml:space="preserve"> মো: শাহিনুজ্জামান </t>
  </si>
  <si>
    <t xml:space="preserve"> মো: আহাদ আলী </t>
  </si>
  <si>
    <t xml:space="preserve"> ০১/১১/১৯৯৯ </t>
  </si>
  <si>
    <t xml:space="preserve"> মোহাঃ রিপন আলী </t>
  </si>
  <si>
    <t xml:space="preserve"> মোহাঃ আঃজাম্মেল </t>
  </si>
  <si>
    <t xml:space="preserve"> মোহাঃ হানেয়ারা </t>
  </si>
  <si>
    <t xml:space="preserve"> ০১/০৬/১৯৯৯ </t>
  </si>
  <si>
    <t xml:space="preserve">মোঃ রুবেল আলী </t>
  </si>
  <si>
    <t xml:space="preserve">মোঃ জহুরুল ইসলাম </t>
  </si>
  <si>
    <t xml:space="preserve"> মামুন </t>
  </si>
  <si>
    <t xml:space="preserve"> মোজাম্মেল হক </t>
  </si>
  <si>
    <t xml:space="preserve"> মুক্তি </t>
  </si>
  <si>
    <t xml:space="preserve"> ০২/০৩/১৯৮৮ </t>
  </si>
  <si>
    <t xml:space="preserve"> মো: কাশেম চৌধুরী </t>
  </si>
  <si>
    <t xml:space="preserve"> মৃত উকিল চৌধুরী </t>
  </si>
  <si>
    <t xml:space="preserve"> মৃত হাসিনা বেগম </t>
  </si>
  <si>
    <t xml:space="preserve"> ০১/০২/১৯৭৮ </t>
  </si>
  <si>
    <t xml:space="preserve"> মোছা: রমেলা খাতুন </t>
  </si>
  <si>
    <t xml:space="preserve"> ০১/১২/২০০০ </t>
  </si>
  <si>
    <t xml:space="preserve"> মো: আসাদ আলী </t>
  </si>
  <si>
    <t xml:space="preserve"> মো: মহিবুল হক </t>
  </si>
  <si>
    <t xml:space="preserve"> মোছা: ময়না খাতুন </t>
  </si>
  <si>
    <t xml:space="preserve"> ১৩/১০/১৯৯৯ </t>
  </si>
  <si>
    <t xml:space="preserve"> মো: নয়ন আলী </t>
  </si>
  <si>
    <t xml:space="preserve"> মোহাঃ বেদানা </t>
  </si>
  <si>
    <t xml:space="preserve"> ১০৪৭, জালশুকা, গাংনী, মেহেরপুর </t>
  </si>
  <si>
    <t xml:space="preserve"> মো: ইউনুস আলি </t>
  </si>
  <si>
    <t xml:space="preserve"> মো: অর্শিদা খাতুন </t>
  </si>
  <si>
    <t xml:space="preserve"> ২০/০২/২০০২ </t>
  </si>
  <si>
    <t xml:space="preserve"> মো: সাগর আলী </t>
  </si>
  <si>
    <t xml:space="preserve"> মোছা: শান্তিয়ারা খাতুন </t>
  </si>
  <si>
    <t xml:space="preserve"> ১৭/১১/২০০২ </t>
  </si>
  <si>
    <t xml:space="preserve"> ৮৬৭, জালশুকা, গাংনী, মেহেরপুর </t>
  </si>
  <si>
    <t xml:space="preserve"> মো: দাউদ হোসেন </t>
  </si>
  <si>
    <t xml:space="preserve"> মোছা: আফরোজা খাতুন </t>
  </si>
  <si>
    <t xml:space="preserve"> ০৪/০৬/২০০০ </t>
  </si>
  <si>
    <t xml:space="preserve"> মো: তৌফিক হোসেন </t>
  </si>
  <si>
    <t xml:space="preserve"> মোছা: তৈয়ব আলী </t>
  </si>
  <si>
    <t xml:space="preserve"> মোছা: মহিমা খাতুন </t>
  </si>
  <si>
    <t xml:space="preserve"> ০৫/০৮/২০০০ </t>
  </si>
  <si>
    <t xml:space="preserve"> ১২২৫, জালশুকা, গাংনী, মেহেরপুর </t>
  </si>
  <si>
    <t xml:space="preserve"> মো: নূরামিন </t>
  </si>
  <si>
    <t xml:space="preserve"> মোহা: আব্দুল খালেক </t>
  </si>
  <si>
    <t xml:space="preserve"> মোছা: সাহানারা </t>
  </si>
  <si>
    <t xml:space="preserve"> ০৫/০২/২০০০ </t>
  </si>
  <si>
    <t xml:space="preserve"> ১২১৩, জালশুকা, গাংনী, মেহেরপুর </t>
  </si>
  <si>
    <t xml:space="preserve"> মো: নাহিদ </t>
  </si>
  <si>
    <t xml:space="preserve"> মোছা: নাছরিন খাতুন </t>
  </si>
  <si>
    <t xml:space="preserve"> ০২/১১/২০০৩ </t>
  </si>
  <si>
    <t xml:space="preserve"> ১১১৯, জালশুকা, গাংনী, মেহেরপুর </t>
  </si>
  <si>
    <t xml:space="preserve"> মো: হুমায়ন কবির </t>
  </si>
  <si>
    <t xml:space="preserve"> মো: আলী হোসেন </t>
  </si>
  <si>
    <t xml:space="preserve"> মোছা: আবেদা খাতুন </t>
  </si>
  <si>
    <t xml:space="preserve"> মো: শাকিব আলী </t>
  </si>
  <si>
    <t xml:space="preserve"> মোছা: তছলিমা খাতুন </t>
  </si>
  <si>
    <t xml:space="preserve"> ০৫/০৭/২০০৩ </t>
  </si>
  <si>
    <t xml:space="preserve"> সুমন </t>
  </si>
  <si>
    <t xml:space="preserve"> মোহা: মোশারফ </t>
  </si>
  <si>
    <t xml:space="preserve"> মোহা: তছলিমা </t>
  </si>
  <si>
    <t xml:space="preserve"> ১০৬৯, জালশুকা, গাংনী, মেহেরপুর </t>
  </si>
  <si>
    <t xml:space="preserve"> মো: ইমদাদুল </t>
  </si>
  <si>
    <t xml:space="preserve"> মোছা: রূপালী খাতুন </t>
  </si>
  <si>
    <t xml:space="preserve"> ১১৭৫, জালশুকা, গাংনী, মেহেরপুর </t>
  </si>
  <si>
    <t xml:space="preserve"> মো: ইসমাইল হক </t>
  </si>
  <si>
    <t xml:space="preserve"> মোছা: আত্তরা খাতুন </t>
  </si>
  <si>
    <t xml:space="preserve"> ০১/০৫/২০০০ </t>
  </si>
  <si>
    <t xml:space="preserve"> মো: রাসেল আলী </t>
  </si>
  <si>
    <t xml:space="preserve"> মো: জিনারুল ইসলাম </t>
  </si>
  <si>
    <t xml:space="preserve"> মোছা: বিলকিস বানু </t>
  </si>
  <si>
    <t xml:space="preserve"> ০১/০৩/২০০০ </t>
  </si>
  <si>
    <t xml:space="preserve"> ১০৪২, জালশুকা, গাংনী, মেহেরপুর </t>
  </si>
  <si>
    <t xml:space="preserve"> মো: আম্মার </t>
  </si>
  <si>
    <t xml:space="preserve"> মো: মিরাজুল </t>
  </si>
  <si>
    <t xml:space="preserve"> শিল্পী বেগম </t>
  </si>
  <si>
    <t xml:space="preserve"> ০২/০৯/১৯৯০ </t>
  </si>
  <si>
    <t xml:space="preserve"> ৯৪৫, জালশুকা, গাংনী, মেহেরপুর </t>
  </si>
  <si>
    <t xml:space="preserve"> ১৭/১২/১৯৯৯ </t>
  </si>
  <si>
    <t xml:space="preserve"> লিংকন আলী </t>
  </si>
  <si>
    <t xml:space="preserve"> মোছা: শাহনাজ খাতুন </t>
  </si>
  <si>
    <t xml:space="preserve"> মো: জুয়েল আলী </t>
  </si>
  <si>
    <t xml:space="preserve"> মো: কালু বিশ্বাস </t>
  </si>
  <si>
    <t xml:space="preserve"> ০৬/০৬/১৯৯৯ </t>
  </si>
  <si>
    <t xml:space="preserve"> ১১৩২, জালশুকা, গাংনী, মেহেরপুর </t>
  </si>
  <si>
    <t xml:space="preserve"> মো: সাইফুল </t>
  </si>
  <si>
    <t xml:space="preserve"> ছলেহা </t>
  </si>
  <si>
    <t xml:space="preserve"> ০২/০৫/১৯৯০ </t>
  </si>
  <si>
    <t xml:space="preserve"> মো: আরিফুল ইসলাম </t>
  </si>
  <si>
    <t xml:space="preserve"> মো: রেজাউল </t>
  </si>
  <si>
    <t xml:space="preserve"> মৃত মিনা খাতুন </t>
  </si>
  <si>
    <t xml:space="preserve"> মো: সজিব হোসেন </t>
  </si>
  <si>
    <t xml:space="preserve"> মোছা: বানেয়া খাতুন </t>
  </si>
  <si>
    <t xml:space="preserve"> ০৮/০২/২০০৩ </t>
  </si>
  <si>
    <t xml:space="preserve"> মো: শাহজান আলী </t>
  </si>
  <si>
    <t xml:space="preserve"> ২৬/১১/১৯৯৫ </t>
  </si>
  <si>
    <t xml:space="preserve"> মো: মাসুদ মিয়া </t>
  </si>
  <si>
    <t xml:space="preserve"> মো: মুনসাদ আলী </t>
  </si>
  <si>
    <t xml:space="preserve"> মোছা: মাছুরা খাতুন </t>
  </si>
  <si>
    <t xml:space="preserve"> ০১/০৯/২০০৩ </t>
  </si>
  <si>
    <t xml:space="preserve"> মো: মিজানুর রহমান </t>
  </si>
  <si>
    <t xml:space="preserve"> মো: মহাবুল হক </t>
  </si>
  <si>
    <t xml:space="preserve"> মোছা: আংগুরা খাতুন </t>
  </si>
  <si>
    <t xml:space="preserve"> ১২/০৩/২০০৩ </t>
  </si>
  <si>
    <t xml:space="preserve"> মো: রায়হান আলী </t>
  </si>
  <si>
    <t xml:space="preserve"> মোছা: ছালিমা খাতুন </t>
  </si>
  <si>
    <t xml:space="preserve"> ০১/০৬/২০০২ </t>
  </si>
  <si>
    <t xml:space="preserve"> মো: শিপন আলী </t>
  </si>
  <si>
    <t xml:space="preserve"> মোছা: রিনা খাতুন </t>
  </si>
  <si>
    <t xml:space="preserve"> ০১/০২/২০০০ </t>
  </si>
  <si>
    <t xml:space="preserve"> মো: আলহামদু </t>
  </si>
  <si>
    <t xml:space="preserve"> মো: নওশাদ আলী </t>
  </si>
  <si>
    <t xml:space="preserve"> মোছা: ববিতা খাতুন </t>
  </si>
  <si>
    <t xml:space="preserve"> ৮২৬, জালশুকা, গাংনী, মেহেরপুর </t>
  </si>
  <si>
    <t xml:space="preserve"> মো: জুবায়ের আলী </t>
  </si>
  <si>
    <t xml:space="preserve"> জিনারুল ইসলাম </t>
  </si>
  <si>
    <t xml:space="preserve"> মোছা: বেদেনা খাতুন </t>
  </si>
  <si>
    <t xml:space="preserve"> ১০/০২/২০০২ </t>
  </si>
  <si>
    <t xml:space="preserve"> মো: বিপুল হোসেন </t>
  </si>
  <si>
    <t xml:space="preserve"> মোছা: ডলিয়ার খাতুন </t>
  </si>
  <si>
    <t xml:space="preserve"> ০৪/০৩/২০০৪ </t>
  </si>
  <si>
    <t xml:space="preserve"> মো: সাব্বির আহমদ </t>
  </si>
  <si>
    <t xml:space="preserve"> মোছা: সাহেরা খাতুন </t>
  </si>
  <si>
    <t xml:space="preserve"> ০৫/০৬/২০০৫ </t>
  </si>
  <si>
    <t xml:space="preserve"> মো: ফরজ আলী </t>
  </si>
  <si>
    <t xml:space="preserve"> মো: আবু শাহিন </t>
  </si>
  <si>
    <t xml:space="preserve"> মোছা: শিল্পীয়ারা খাতুন </t>
  </si>
  <si>
    <t xml:space="preserve"> মো: পারভেজ হোসেন </t>
  </si>
  <si>
    <t xml:space="preserve"> মোছা: পারভিনা খাতুন </t>
  </si>
  <si>
    <t xml:space="preserve"> মো: পারভেজ </t>
  </si>
  <si>
    <t xml:space="preserve"> মো: মোশারফ </t>
  </si>
  <si>
    <t xml:space="preserve"> মোছা: পারিছা খাতুন </t>
  </si>
  <si>
    <t xml:space="preserve"> মোহামাদ রাকিব রেজা </t>
  </si>
  <si>
    <t xml:space="preserve"> সিরাজুল হক </t>
  </si>
  <si>
    <t xml:space="preserve"> রওশনারা খাতুন </t>
  </si>
  <si>
    <t xml:space="preserve"> ১২/১০/১৯৯০ </t>
  </si>
  <si>
    <t xml:space="preserve"> ৯৭১, জালশুকা, গাংনী, মেহেরপুর </t>
  </si>
  <si>
    <t xml:space="preserve"> মো: রকিবুল হক </t>
  </si>
  <si>
    <t xml:space="preserve"> মোহা: আশাদুল </t>
  </si>
  <si>
    <t xml:space="preserve"> মোহা: চাইনা খাতুন </t>
  </si>
  <si>
    <t xml:space="preserve"> ১৫/০২/১৯৯৬ </t>
  </si>
  <si>
    <t xml:space="preserve"> মো: আনুছদ্দিন </t>
  </si>
  <si>
    <t xml:space="preserve"> ২৫/০২/২০০৪ </t>
  </si>
  <si>
    <t xml:space="preserve"> সাকিল আহমেদ </t>
  </si>
  <si>
    <t xml:space="preserve"> মো: রইছউদ্দিন </t>
  </si>
  <si>
    <t xml:space="preserve"> মোছা: সুবারোন </t>
  </si>
  <si>
    <t xml:space="preserve"> ১৮/০১/২০০৪ </t>
  </si>
  <si>
    <t xml:space="preserve"> মো: আরাফাত আলী </t>
  </si>
  <si>
    <t xml:space="preserve"> মো: মোজাম্মেল </t>
  </si>
  <si>
    <t xml:space="preserve"> মো: হাসান </t>
  </si>
  <si>
    <t xml:space="preserve"> মোছা: নুরজাহান </t>
  </si>
  <si>
    <t xml:space="preserve"> ০২/০৬/২০০৩ </t>
  </si>
  <si>
    <t xml:space="preserve"> ৯২৫, জালশুকা, গাংনী, মেহেরপুর </t>
  </si>
  <si>
    <t xml:space="preserve"> মো: মুনছের </t>
  </si>
  <si>
    <t xml:space="preserve"> মো: আকাল উদ্দিন </t>
  </si>
  <si>
    <t xml:space="preserve"> ১০/০৪/১৯৮১ </t>
  </si>
  <si>
    <t xml:space="preserve"> শফি উদ্দীন </t>
  </si>
  <si>
    <t xml:space="preserve"> ০২/০১/১৯৮৫ </t>
  </si>
  <si>
    <t xml:space="preserve"> ৭৭৯, জালশুকা, গাংনী, মেহেরপুর </t>
  </si>
  <si>
    <t xml:space="preserve"> ছামছের </t>
  </si>
  <si>
    <t xml:space="preserve"> মোছা: ফুলছুরাতন খাতুন </t>
  </si>
  <si>
    <t xml:space="preserve"> ২০/০৪/১৯৭২ </t>
  </si>
  <si>
    <t xml:space="preserve"> মো: পলাশ আলী </t>
  </si>
  <si>
    <t xml:space="preserve"> মো: নাসির উদ্দীন </t>
  </si>
  <si>
    <t xml:space="preserve"> ২৯/০৯/২০০৬ </t>
  </si>
  <si>
    <t xml:space="preserve"> মো: দুলাল হোসেন </t>
  </si>
  <si>
    <t xml:space="preserve"> মোছা: আরজিয়া খাতুন </t>
  </si>
  <si>
    <t xml:space="preserve"> ১০/০৫/২০০৩ </t>
  </si>
  <si>
    <t xml:space="preserve"> ১২৫২, জালশুকা, গাংনী, মেহেরপুর </t>
  </si>
  <si>
    <t xml:space="preserve"> মো: সবুজ আলী </t>
  </si>
  <si>
    <t xml:space="preserve"> মো: ইসরাফিল হোসেন </t>
  </si>
  <si>
    <t xml:space="preserve"> মোছা: রোজিফা খাতুন </t>
  </si>
  <si>
    <t xml:space="preserve"> ২৯/০৭/২০০৩ </t>
  </si>
  <si>
    <t xml:space="preserve"> ৭৯৯, জালশুকা, গাংনী, মেহেরপুর </t>
  </si>
  <si>
    <t xml:space="preserve"> মো: মুরছালিন মিয়া </t>
  </si>
  <si>
    <t xml:space="preserve"> মোছা: তহুরা খাতুন </t>
  </si>
  <si>
    <t xml:space="preserve"> ১০/০৫/২০০৫ </t>
  </si>
  <si>
    <t xml:space="preserve"> মো: জিয়ারুল হক </t>
  </si>
  <si>
    <t xml:space="preserve"> মো: আশাদুল ইসলাম </t>
  </si>
  <si>
    <t xml:space="preserve"> রিপন </t>
  </si>
  <si>
    <t xml:space="preserve"> মো: বিশারত </t>
  </si>
  <si>
    <t xml:space="preserve"> রিনা খাতুন </t>
  </si>
  <si>
    <t xml:space="preserve"> ২২/১০/১৯৯২ </t>
  </si>
  <si>
    <t xml:space="preserve"> উজ্জ্বল </t>
  </si>
  <si>
    <t xml:space="preserve"> রবিছন </t>
  </si>
  <si>
    <t xml:space="preserve"> ১১/০৪/১৯৭৭ </t>
  </si>
  <si>
    <t xml:space="preserve"> মো: আশিক আহমেদ </t>
  </si>
  <si>
    <t xml:space="preserve"> মো: আ: আলীম </t>
  </si>
  <si>
    <t xml:space="preserve"> ৯১২, জালশুকা, গাংনী, মেহেরপুর </t>
  </si>
  <si>
    <t xml:space="preserve"> মাসুদ রানা </t>
  </si>
  <si>
    <t xml:space="preserve"> দবির উদ্দীন </t>
  </si>
  <si>
    <t xml:space="preserve"> জয়নব </t>
  </si>
  <si>
    <t xml:space="preserve"> ০১/০৩/১৯৮৩ </t>
  </si>
  <si>
    <t xml:space="preserve"> ঝরনা খাতুন </t>
  </si>
  <si>
    <t xml:space="preserve"> ০৫/০১/১৯৮৬ </t>
  </si>
  <si>
    <t xml:space="preserve"> ৮৭৮, জালশুকা, গাংনী, মেহেরপুর </t>
  </si>
  <si>
    <t xml:space="preserve"> মোঃ হৃদয় </t>
  </si>
  <si>
    <t xml:space="preserve"> মোঃ জিনারুল </t>
  </si>
  <si>
    <t xml:space="preserve"> মোছাঃ পিজিলা (আসমা) </t>
  </si>
  <si>
    <t xml:space="preserve"> ২০/০৬/২০০২ </t>
  </si>
  <si>
    <t xml:space="preserve"> মোঃ কাকন আহমেদ </t>
  </si>
  <si>
    <t xml:space="preserve"> মোঃ কুদ্দুস আলি </t>
  </si>
  <si>
    <t xml:space="preserve"> মোছাঃ ফারজিনা </t>
  </si>
  <si>
    <t xml:space="preserve"> মোঃ মিজানুর রহমান </t>
  </si>
  <si>
    <t xml:space="preserve"> মোছাঃ সোনা ভানু খাতুন </t>
  </si>
  <si>
    <t xml:space="preserve"> ১০/০৫/২০০৪ </t>
  </si>
  <si>
    <t xml:space="preserve"> মোঃ জোনায়েদ হোসেন </t>
  </si>
  <si>
    <t xml:space="preserve"> মোছাঃ বিউটি খাতুন </t>
  </si>
  <si>
    <t xml:space="preserve"> ১৫/১১/২০০২ </t>
  </si>
  <si>
    <t xml:space="preserve"> মোছাঃ হাজেরা </t>
  </si>
  <si>
    <t xml:space="preserve"> ০৮/০৫/২০০২ </t>
  </si>
  <si>
    <t xml:space="preserve"> মোঃ শিলন </t>
  </si>
  <si>
    <t xml:space="preserve"> ০৪/১০/২০০২ </t>
  </si>
  <si>
    <t xml:space="preserve"> মোঃ হাসিব আলী </t>
  </si>
  <si>
    <t xml:space="preserve"> মোছাঃ সুরাইয়া </t>
  </si>
  <si>
    <t xml:space="preserve"> ০১/০১/২০০৭ </t>
  </si>
  <si>
    <t xml:space="preserve"> বায়েজিদ </t>
  </si>
  <si>
    <t xml:space="preserve"> মোঃ শাহাজুল ইসলাম </t>
  </si>
  <si>
    <t xml:space="preserve"> হুসনেয়ারা খাতুন </t>
  </si>
  <si>
    <t xml:space="preserve"> ২২/০৫/১৯৯৯ </t>
  </si>
  <si>
    <t xml:space="preserve"> মোঃ ইয়াসিন আরাফাত </t>
  </si>
  <si>
    <t xml:space="preserve"> মোছাঃ মুরাদ আলি </t>
  </si>
  <si>
    <t xml:space="preserve"> মোঃ সাফায়েত </t>
  </si>
  <si>
    <t xml:space="preserve"> মোঃ জহুরুল আলী </t>
  </si>
  <si>
    <t xml:space="preserve"> মোছাঃ হুরজান খাতুন </t>
  </si>
  <si>
    <t xml:space="preserve"> মোঃ আবু তালহা </t>
  </si>
  <si>
    <t xml:space="preserve"> মোছাঃ নাজিরা </t>
  </si>
  <si>
    <t xml:space="preserve"> ৩০/১২/২০০৫ </t>
  </si>
  <si>
    <t xml:space="preserve"> মোঃ ইব্রাহিম আলী </t>
  </si>
  <si>
    <t xml:space="preserve"> মোঃ আ: খালেক </t>
  </si>
  <si>
    <t xml:space="preserve"> মোছাঃ ছামসুন্নাহার </t>
  </si>
  <si>
    <t xml:space="preserve"> ২০/০৫/২০০৬ </t>
  </si>
  <si>
    <t xml:space="preserve"> মোঃ লিজন আলী </t>
  </si>
  <si>
    <t xml:space="preserve"> ১৮/০২/২০০৪ </t>
  </si>
  <si>
    <t xml:space="preserve"> মোঃ সোহরাব হোসেন </t>
  </si>
  <si>
    <t xml:space="preserve"> মৃত রাহিমা খাতুন </t>
  </si>
  <si>
    <t xml:space="preserve"> মোঃ মামুন আলী </t>
  </si>
  <si>
    <t xml:space="preserve"> ০৩/০১/২০০৪ </t>
  </si>
  <si>
    <t xml:space="preserve"> মোঃ আকাশ আলী </t>
  </si>
  <si>
    <t xml:space="preserve"> মোছাঃ পারুল খাতুন </t>
  </si>
  <si>
    <t xml:space="preserve"> ১৮/০৭/২০০৬ </t>
  </si>
  <si>
    <t xml:space="preserve"> মোছাঃ আজিনা খাতুন </t>
  </si>
  <si>
    <t xml:space="preserve"> মোঃ মাসুদ রানা </t>
  </si>
  <si>
    <t xml:space="preserve"> মো: শাহজাহান </t>
  </si>
  <si>
    <t xml:space="preserve"> মোছা: বিউটি খাতুন </t>
  </si>
  <si>
    <t xml:space="preserve"> ০১/০১/২০০৬ </t>
  </si>
  <si>
    <t xml:space="preserve"> মোঃ আবুল বাসার </t>
  </si>
  <si>
    <t xml:space="preserve"> মৃত আনারুল ইসলাম </t>
  </si>
  <si>
    <t xml:space="preserve"> মোছা: সকিরন নেছা </t>
  </si>
  <si>
    <t xml:space="preserve"> ০১/০৯/২০০৫ </t>
  </si>
  <si>
    <t xml:space="preserve"> মো: হৃদয় মন্ডল </t>
  </si>
  <si>
    <t xml:space="preserve"> মোছা: লিপিয়ারা </t>
  </si>
  <si>
    <t xml:space="preserve"> ০৫/০৮/২০০৫ </t>
  </si>
  <si>
    <t xml:space="preserve"> মোঃ সাব্বির হাসান অন্তর </t>
  </si>
  <si>
    <t xml:space="preserve"> মো: গিয়াস উদ্দীন </t>
  </si>
  <si>
    <t xml:space="preserve"> মোছা: সাহার বানু </t>
  </si>
  <si>
    <t xml:space="preserve"> ১৫/১০/২০০৬ </t>
  </si>
  <si>
    <t xml:space="preserve"> মোহাঃ মুস্তাফিজুর রহমান </t>
  </si>
  <si>
    <t xml:space="preserve"> ৩০/০৭/২০০৪ </t>
  </si>
  <si>
    <t xml:space="preserve"> মোছা: শিউলী খাতুন </t>
  </si>
  <si>
    <t xml:space="preserve"> ১২/০২/২০০৪ </t>
  </si>
  <si>
    <t xml:space="preserve"> মোঃ ইমন </t>
  </si>
  <si>
    <t xml:space="preserve"> মো: কবু </t>
  </si>
  <si>
    <t xml:space="preserve"> মোছা: খাদেজা </t>
  </si>
  <si>
    <t xml:space="preserve"> ০৫/০২/২০০৪ </t>
  </si>
  <si>
    <t xml:space="preserve"> মোঃ কবু </t>
  </si>
  <si>
    <t xml:space="preserve"> আবু ছদ্দিন </t>
  </si>
  <si>
    <t xml:space="preserve"> কুলছন </t>
  </si>
  <si>
    <t xml:space="preserve"> ১১/০৮/১৯৮৩ </t>
  </si>
  <si>
    <t xml:space="preserve"> জিয়ার আলী </t>
  </si>
  <si>
    <t xml:space="preserve"> সাহিদা খাতুন </t>
  </si>
  <si>
    <t xml:space="preserve"> ০৭/০৫/১৯৮৩ </t>
  </si>
  <si>
    <t xml:space="preserve"> ৮৯১, জালশুকা, গাংনী, মেহেরপুর </t>
  </si>
  <si>
    <t xml:space="preserve"> মোঃ ইসমাইল হোসেন </t>
  </si>
  <si>
    <t xml:space="preserve"> শামছদ্দিন মোল্লা </t>
  </si>
  <si>
    <t xml:space="preserve"> মোছা: রুবিয়া বেগম </t>
  </si>
  <si>
    <t xml:space="preserve"> ১২/০৩/১৯৭০ </t>
  </si>
  <si>
    <t xml:space="preserve"> মোঃ ইকরামুল হক </t>
  </si>
  <si>
    <t xml:space="preserve"> মোঃ আকতার আলী </t>
  </si>
  <si>
    <t xml:space="preserve"> মোছা: রেক্সা খাতুন </t>
  </si>
  <si>
    <t xml:space="preserve"> ০১/০১/১৯৯৮ </t>
  </si>
  <si>
    <t xml:space="preserve"> মোঃ আল ফাহাদ হোসেন </t>
  </si>
  <si>
    <t xml:space="preserve"> মোছা: শেফালী খাতুন </t>
  </si>
  <si>
    <t xml:space="preserve"> ১৩/০১/২০০৭ </t>
  </si>
  <si>
    <t xml:space="preserve"> মোঃ আরাফাত হোসেন </t>
  </si>
  <si>
    <t xml:space="preserve"> মোছাঃ আনোয়ার হোসেন </t>
  </si>
  <si>
    <t xml:space="preserve"> মোছাঃ রাশিদা খাতুন </t>
  </si>
  <si>
    <t xml:space="preserve"> ০৫/০৫/২০০৭ </t>
  </si>
  <si>
    <t xml:space="preserve"> ১২২৬, জালশুকা, গাংনী, মেহেরপুর </t>
  </si>
  <si>
    <t xml:space="preserve"> মোঃ হাফিজুল রহমান </t>
  </si>
  <si>
    <t xml:space="preserve"> মোছাঃ সেলিনা খাতুন </t>
  </si>
  <si>
    <t xml:space="preserve"> ২০/০৪/২০০৭ </t>
  </si>
  <si>
    <t xml:space="preserve"> মোঃ নাফিজুর রহমান </t>
  </si>
  <si>
    <t xml:space="preserve"> ৩০/০৮/২০০৭ </t>
  </si>
  <si>
    <t xml:space="preserve"> মোঃ সাহেদ রেজা </t>
  </si>
  <si>
    <t xml:space="preserve"> মোছাঃ জিল্লুর রহমান </t>
  </si>
  <si>
    <t xml:space="preserve"> মোছাঃ সেগিনা খাতুন </t>
  </si>
  <si>
    <t xml:space="preserve"> ২৫/০৪/২০০৭ </t>
  </si>
  <si>
    <t xml:space="preserve"> মোঃ রাজিব </t>
  </si>
  <si>
    <t xml:space="preserve"> মৃত মহরম আলী </t>
  </si>
  <si>
    <t xml:space="preserve"> মোছাঃ রেক্সোনা খাতুন </t>
  </si>
  <si>
    <t xml:space="preserve"> ১০/১০/২০০৭ </t>
  </si>
  <si>
    <t xml:space="preserve"> মোঃ হাবিবুল্লাহ </t>
  </si>
  <si>
    <t xml:space="preserve"> মোঃ নাজমুল ইসলাম </t>
  </si>
  <si>
    <t xml:space="preserve"> ১২/০৪/২০০৭ </t>
  </si>
  <si>
    <t xml:space="preserve"> মোঃ ফিরোজুল হক রাজু </t>
  </si>
  <si>
    <t xml:space="preserve"> ২৪/০৭/২০০৭ </t>
  </si>
  <si>
    <t xml:space="preserve"> শাহিনুল জামান </t>
  </si>
  <si>
    <t xml:space="preserve"> শফিকুল ইসলাম </t>
  </si>
  <si>
    <t xml:space="preserve"> ১৫/০৯/১৯৮১ </t>
  </si>
  <si>
    <t xml:space="preserve"> ১১৪৪, জালশুকা, গাংনী, মেহেরপুর </t>
  </si>
  <si>
    <t xml:space="preserve"> মোহাম্মাদ বিপুল আলী </t>
  </si>
  <si>
    <t xml:space="preserve"> আসান আলী </t>
  </si>
  <si>
    <t xml:space="preserve"> মৃত মর্জিনা </t>
  </si>
  <si>
    <t xml:space="preserve"> ০১/০৪/১৯৯১ </t>
  </si>
  <si>
    <t xml:space="preserve"> ৯১৮, জালশুকা, গাংনী, মেহেরপুর </t>
  </si>
  <si>
    <t xml:space="preserve"> হেদায়েতুল্লাহ বিন আসওয়াদ </t>
  </si>
  <si>
    <t xml:space="preserve"> মোঃ জহুরুল আলম </t>
  </si>
  <si>
    <t xml:space="preserve"> মোছাঃ ছুরাতন খাতুন </t>
  </si>
  <si>
    <t xml:space="preserve"> ১৯/০৭/২০০৬ </t>
  </si>
  <si>
    <t xml:space="preserve"> ১১৭০, জালশুকা, গাংনী, মেহেরপুর </t>
  </si>
  <si>
    <t xml:space="preserve"> বিল্লাল </t>
  </si>
  <si>
    <t xml:space="preserve"> আ: ছাত্তার </t>
  </si>
  <si>
    <t xml:space="preserve"> অজিফা </t>
  </si>
  <si>
    <t xml:space="preserve"> ১৩/০৪/১৯৮৪ </t>
  </si>
  <si>
    <t xml:space="preserve"> ৯০৩, জালশুকা, গাংনী, মেহেরপুর </t>
  </si>
  <si>
    <t xml:space="preserve"> মৃত ওয়াজ বকস </t>
  </si>
  <si>
    <t xml:space="preserve"> ০২/০১/১৯৬৪ </t>
  </si>
  <si>
    <t xml:space="preserve"> মোঃ হাসিবুল ইসলাম </t>
  </si>
  <si>
    <t xml:space="preserve"> মোঃ বাবুল হোসেন </t>
  </si>
  <si>
    <t xml:space="preserve"> ০২/০৩/১৯৮৫ </t>
  </si>
  <si>
    <t xml:space="preserve"> ১২৮২, জালশুকা, গাংনী, মেহেরপুর </t>
  </si>
  <si>
    <t xml:space="preserve"> মোঃ মোহন আলী </t>
  </si>
  <si>
    <t xml:space="preserve"> মোঃ আবুছুদ্দীন </t>
  </si>
  <si>
    <t xml:space="preserve"> মোছাঃ সেলিনা </t>
  </si>
  <si>
    <t xml:space="preserve"> ২৫/০৯/১৯৯০ </t>
  </si>
  <si>
    <t xml:space="preserve"> ১২৮৪, জালশুকা, গাংনী, মেহেরপুর </t>
  </si>
  <si>
    <t>| ক্রমিক নং | নাম | ভোটার নং | পিতা | মাতা | জন্ম তারিখ | পেশা | ঠিকানা |</t>
  </si>
  <si>
    <t>|---|---|---|---|---|---|---|---|</t>
  </si>
  <si>
    <t>| ১৬০ | মো: খবির উদ্দীন | ৫৭০০৫৬৩৭৮১০৩ | ওরাজ বক্স মালিথা | মোছা: ইজারন নেছা | ১০/০২/১৯৬১ | কৃষক | জালশুকা, গাংনী, মেহেরপুর |</t>
  </si>
  <si>
    <t>| ১৬১ | মো: দবির উদ্দীন | ৫৭০০৫৬৩৭৮১০৪ | ওরাজ বক্স মালিথা | মোছা: ইজারন নেছা | ২০/০২/১৯৫৯ | কৃষক | জালশুকা, গাংনী, মেহেরপুর |</t>
  </si>
  <si>
    <t>| ১৬২ | মো: মুকুল হোসেন | ৫৭০০৫৬৩৭৮১০৫ | মো: মনসুর আলী | মোছা: কহিনুর নেছা | ০৫/০৮/১৯৮৮ | কৃষক | জালশুকা, গাংনী, মেহেরপুর |</t>
  </si>
  <si>
    <t>| ১৬৩ | মো: বকুল হোসেন | ৫৭০০৫৬৩৭৮১০৭ | মো: মনসুর আলী | মোছা: কহিনুর নেছা | ৩১/১২/১৯৮০ | কৃষক | জালশুকা, গাংনী, মেহেরপুর |</t>
  </si>
  <si>
    <t>| ১৬৪ | মো: আশাদুল হক | ৫৭০০৫৬৩৭৮১১০ | ওরাজ বক্স | মোছা: ইজারন নেছা | ২৫/০২/১৯৭৪ | কৃষক | জালশুকা, গাংনী, মেহেরপুর |</t>
  </si>
  <si>
    <t>| ১৬৫ | মো: নাসীর উদ্দীন | ৫৭০০৫৬৩৭৮১১২ | ওরাজ বক্স মালিথা | মোছা: ইজারন নেছা | ০২/০২/১৯৭২ | কৃষক | জালশুকা, গাংনী, মেহেরপুর |</t>
  </si>
  <si>
    <t>| ১৬৬ | মো: সাইফুল ইসলাম | ৫৭০০৫৬৩৭৮১১৪ | মো: দবির উদ্দীন | মোছা: রিজিয়া খাতুন | ৩১/১২/১৯৮৩ | ছাত্র/ছাত্রী | জালশুকা, গাংনী, মেহেরপুর |</t>
  </si>
  <si>
    <t>| ১৬৭ | মো: আলামিন মালিথা | ৫৭০০৫৬৩৭৮১১৫ | মো: দবির উদ্দীন | মোছা: রিজিয়া খাতুন | ১১/০১/১৯৮৭ | কৃষক | জালশুকা, গাংনী, মেহেরপুর |</t>
  </si>
  <si>
    <t>| ১৬৮ | মো: রবিউল হক | ৫৭০০৫৬৩৭৮১১৭ | ওরাজ বক্স মালিথা | মোছা: ইজারন নেছা | ১৭/০৪/১৯৪৫ | কৃষক | জালশুকা, গাংনী, মেহেরপুর |</t>
  </si>
  <si>
    <t>| ১৬৯ | মো: তোফাজ্জেল হোসেন | ৫৭০০৫৬৩৭৮১১৯ | উম্মাদ আলী | মোছা: রবিয়া খাতুন | ০৫/০৬/১৯৬১ | ব্যবসা | জালশুকা, গাংনী, মেহেরপুর |</t>
  </si>
  <si>
    <t>| ১৭০ | মো: আলেকচাঁদ | ৫৭০০৫৬৩৭৮১২০ | মো: তোফাজ্জেল হোসেন | মোছা: মাবিয়া খাতুন | ০৭/০৬/১৯৮২ | কৃষক | জালশুকা, গাংনী, মেহেরপুর |</t>
  </si>
  <si>
    <t>| ১৭১ | মো: রতন আলী | ৫৭০০৫৬৩৭৮১২৮ | মো: বুদু আলী | মোছা: সবুরন নেছা | ০৫/০১/১৯৮৩ | কৃষক | জালশুকা, গাংনী, মেহেরপুর |</t>
  </si>
  <si>
    <t>| ১৭২ | মো: মশিউর রহমান | ৫৭০০৫৬৩৭৮১৩১ | মো: আহার উদ্দীন মন্ডল | মোছা: জাহানারা খাতুন | ০১/০১/১৯৮৩ | কৃষক | জালশুকা, গাংনী, মেহেরপুর |</t>
  </si>
  <si>
    <t>| ১৭৩ | মো: হাসিবুল | ৫৭০০৫৬৩৭৮১৩৩ | মো: মোছারদ্দীন মন্ডল | মোছা: খবেজা খাতুন | ২৫/১০/১৯৮২ | কৃষক | জালশুকা, গাংনী, মেহেরপুর |</t>
  </si>
  <si>
    <t>| ১৭৪ | মো: রবিউল ইসলাম | ৫৭০০৫৬৩৭৮১৩৬ | মো: মোছার উদ্দীন মন্ডল | মোছা: খবেজা খাতুন | ০৯/০২/১৯৭১ | কৃষক | জালশুকা, গাংনী, মেহেরপুর |</t>
  </si>
  <si>
    <t>| ১৭৫ | মো: নূর ইসলাম | ৫৭০০৫৬৩৭৮১৪০ | নেপাল মন্ডল | জবেদা খাতুন | ০১/০১/১৯৫৬ | কৃষক | জালশুকা, গাংনী, মেহেরপুর |</t>
  </si>
  <si>
    <t>| ১৭৬ | মো: বিল্লাল হোসেন | ৫৭০০৫৬৩৭৮১৪৩ | মো: আসান আলী | মোছা: আজিফা খাতুন | ০৫/০৩/১৯৮৪ | কৃষক | জালশুকা, গাংনী, মেহেরপুর |</t>
  </si>
  <si>
    <t>| ১৭৭ | মো: শহিদুল ইসলাম | ৫৭০০৫৬৩৭৮১৪৬ | মো: রমজান আলী | মোছা: সুফিয়া খাতুন | ০২/০৩/১৯৭৩ | কৃষক | জালশুকা, গাংনী, মেহেরপুর |</t>
  </si>
  <si>
    <t>| ১৭৮ | মো: আসান আলী | ৫৭০০৫৬৩৭৮১৪৭ | যাদু আলী মন্ডল | মোছা: জেলেশন নেছা | ১৫/০৫/১৯৫৯ | কৃষক | জালশুকা, গাংনী, মেহেরপুর |</t>
  </si>
  <si>
    <t>| ১৭৯ | মো: হেলাল উদ্দীন | ৫৭০০৫৬৩৭৮১৫০ | মো: মানিক মন্ডল | কমেলা খাতুন | ১০/১০/১৯৬৭ | কৃষক | জালশুকা, গাংনী, মেহেরপুর |</t>
  </si>
  <si>
    <t>| ১৮০ | মো: বরকত আলী | ৫৭০০৫৬৩৭৮১৫২ | ইলা বক্স | মোছা: এলেপান | ০১/০১/১৯৭৯ | কৃষক | জালশুকা, গাংনী, মেহেরপুর |</t>
  </si>
  <si>
    <t>| ১৮১ | মো: আতিয়ার রহমান | ৫৭০০৫৬৩৭৮১৫৩ | মো: কুরবান আলী | হামিদা খাতুন | ০১/০১/১৯৭৯ | ব্যবসা | জালশুকা, গাংনী, মেহেরপুর |</t>
  </si>
  <si>
    <t>| ১৮২ | মো: মিরাজুল ইসলাম | ৫৭০০৫৬৩৭৮১৫৭ | মো: কাদের শেখ | মোছা: জমেলা খাতুন | ০৫/০৫/১৯৭৯ | কৃষক | জালশুকা, গাংনী, মেহেরপুর |</t>
  </si>
  <si>
    <t>| ১৮৩ | মো: খলিলুর রহমান | ৫৭০০৫৬৩৭৮১৫৯ | জদুআলী মন্ডল | মোছা: জেলেখা খাতুন | ১২/১১/১৯৬২ | কৃষক | জালশুকা, গাংনী, মেহেরপুর |</t>
  </si>
  <si>
    <t>| ১৮৪ | মো: ফজল উদ্দীন | ৫৭০০৫৬৩৭৮১৬০ | রব্বানী মন্ডল | মোছা: আকিরন নেছা | ০১/০১/১৯৪৮ | কৃষক | জালশুকা, গাংনী, মেহেরপুর |</t>
  </si>
  <si>
    <t>| ১৮৫ | মো: রিপন আলী | ৫৭০০৫৬৩৭৮১৬১ | মো: মন্টু আলী | মোছা: আসমা খাতুন | ০৬/০৬/১৯৭৯ | কৃষক | জালশুকা, গাংনী, মেহেরপুর |</t>
  </si>
  <si>
    <t>| ১৮৬ | মো: আসান আলী | ৫৭০০৫৬৩৭৮১৬৩ | জবেদ আলী | শরিপন নেছা | ১০/১০/১৯৫৭ | কৃষক | জালশুকা, গাংনী, মেহেরপুর |</t>
  </si>
  <si>
    <t>| ১৮৭ | মো: বিপুল | ৫৭০০৫৬৩৭৮১৬৪ | মো: আসান উদ্দীন | মোছা: মর্জিনা খাতুন | ০১/০১/১৯৮৬ | শ্রমিক | জালশুকা, গাংনী, মেহেরপুর |</t>
  </si>
  <si>
    <t>| ১৮৮ | মো: সোহেল রানা | ৫৭০০৫৬৩৭৮১৭২ | মো: মন্টু আলী | মোছা: আসমা খাতুন | ০১/০১/১৯৮৩ | কৃষক | জালশুকা, গাংনী, মেহেরপুর |</t>
  </si>
  <si>
    <t>| ১৮৯ | মো: আবুল কাশেম | ৫৭০০৫৬৩৭৮১৭৩ | মো: মজিবর রহমান | মোছা: মইমনা খাতুন | ১০/১০/১৯৬৭ | ব্যবসা | জালশুকা, গাংনী, মেহেরপুর |</t>
  </si>
  <si>
    <t>| ১৯০ | মো: কামাল উদ্দীন | ৫৭০০৫৬৩৭৮১৭৯ | মো: দবীর উদ্দীন মালিথা | মোছা: জরিম নেছা | ১০/০২/১৯৮৭ | কৃষক | জালশুকা, কসবা, গাংনী, মেহেরপুর |</t>
  </si>
  <si>
    <t>| ১৯১ | মো: এরশাদ আলী | ৫৭০০৫৬৩৭৮১৮০ | মো: দবির উদ্দীন মালিথা | মোছা: জমিরন নেছা | ০১/০১/১৯৯০ | কৃষক | জালশুকা, গাংনী, মেহেরপুর |</t>
  </si>
  <si>
    <t>| ১৯২ | মো: মিনারুল ইসলাম | ৫৭০০৫৬৩৭৮১৮৫ | মো: কুরমান আলি | মোছা: হামেদা খাতুন | ২৮/০৬/১৯৭৩ | কৃষক | জালশুকা, গাংনী, মেহেরপুর |</t>
  </si>
  <si>
    <t>| ১৯৩ | মো: এনামুল হক | ৫৭০০৫৬৩৭৮১৮৭ | সো: ফজল উদ্দীন | আনোয়ারা খাতুন | ০৮/০৫/১৯৭৯ | কৃষক | জালশুকা, কসবা, গাংনী, মেহেরপুর |</t>
  </si>
  <si>
    <t>| ১৯৪ | মো: হানেফ আলী | ৫৭০০৫৬৩৭৮১৯০ | মো: মজিবর রহমান | মোছা: মইমনা খাতুন | ৩০/০৭/১৯৭৭ | কৃষক | জালশুকা, গাংনী, মেহেরপুর |</t>
  </si>
  <si>
    <t>| ১৯৫ | মো: তমছের আলি | ৫৭০০৫৬৩৭৮১৯৩ | মো: আমীর মন্ডল | জমিরন | ১১/০৯/১৯৬৭ | কৃষক | জালশুকা, গাংনী, মেহেরপুর |</t>
  </si>
  <si>
    <t>| ২১৪ | মো: জাহাঙ্গীর আলম | ৫৭০০৫৬৩৭৮২২৭ | মো: মহসিন আলী | মোছা: ছামসুন্নাহার | ০১/০১/১৯৮৭ | কৃষক | জালশুকা, গাংনী, মেহেরপুর |</t>
  </si>
  <si>
    <t>| ২১৫ | মো: রায়তাল হক | ৫৭০০৫৬৩৭৮২২৯ | মো: খেদের আলী | মোছা: সোহাগী | ২০/০২/১৯৬১ | কৃষক | জালশুকা, গাংনী, মেহেরপুর |</t>
  </si>
  <si>
    <t>| ২১৬ | মো: আ: রাজ্জাক | ৫৭০০৫৬৩৭৮২৩০ | মো: জছের মল্লিক | মোছা: ফেলা | ১৭/১০/১৯৬৯ | কৃষক | জালশুকা, গাংনী, মেহেরপুর |</t>
  </si>
  <si>
    <t>| ২১৭ | মো: আশরাফুল আলম | ৫৭০০৫৬৩৭৮২৩১ | মো: ফজলুল হক | মোছা: রোকেয়া খাতুন | ০১/০১/১৯৮৪ | কৃষক | জালশুকা, গাংনী, মেহেরপুর |</t>
  </si>
  <si>
    <t>| ২১৮ | হামিদুর রহমান | ৫৭০০৫৬৩৭৮২৩২ | কায়েমালী | ছমেলা খাতুন | ২৩/০৯/১৯৬৪ | কৃষক | জালশুকা, গাংনী, মেহেরপুর |</t>
  </si>
  <si>
    <t>| ২১৯ | মো: মতিয়ার রহমান | ৫৭০০৫৬৩৭৮২৩৩ | মো: আ: আজিজ | মোছা: মনোয়ারা খাতুন | ০৯/০৫/১৯৭৪ | কৃষক | জালশুকা, গাংনী, মেহেরপুর |</t>
  </si>
  <si>
    <t>| ২২০ | মো: আ: ওহাব | ৫৭০০৫৬৩৭৮২৩৪ | মফেজদ্দী | মোছা: রাহেলা খাতুন | ১০/০৭/১৯৭২ | কৃষক | জালশুকা, গাংনী, মেহেরপুর |</t>
  </si>
  <si>
    <t>| ২২১ | মো: খাইরুল ইসলাম | ৫৭০০৫৬৩৭৮২৩৬ | মো: ফজল উদ্দীন | মোছা: আনোয়ারা খাতুন | ০১/০৪/১৯৭০ | কৃষক | জালশুকা, গাংনী, মেহেরপুর |</t>
  </si>
  <si>
    <t>| ২২২ | মো: বিল্লাল হোসেন | ৫৭০০৫৬৩৭৮২৩৭ | শওকত আলী | রমলা খাতুন | ০৯/০৯/১৯৭২ | কৃষক | জালশুকা, গাংনী, মেহেরপুর |</t>
  </si>
  <si>
    <t>| ২২৩ | মো: কুতুব উদ্দীন | ৫৭০০৫৬৩৭৮২৩৯ | ছিয়ামদ্দীন | মোছা: নিহারন নেছা | ০১/০৪/১৯৭১ | কৃষক | জালশুকা, গাংনী, মেহেরপুর |</t>
  </si>
  <si>
    <t>| ২২৪ | মো: ছলেমান মন্ডল | ৫৭০০৫৬৩৭৮২৪০ | তেইজদ্দীন | সালেহার | ২৯/০৬/১৯৩৭ | কৃষক | জালশুকা, গাংনী, মেহেরপুর |</t>
  </si>
  <si>
    <t>| ২২৫ | মো: জামাত আলী | ৫৭০০৫৬৩৭৮২৪২ | মো: কোরবান মোল্লা | হামিদা | ০১/০১/১৯৮০ | কৃষক | জালশুকা, গাংনী, মেহেরপুর |</t>
  </si>
  <si>
    <t>| ২২৬ | মো: শাবান আলী | ৫৭০০৫৬৩৭৮২৪৪ | মো: ফজলুল হক | মোছা: ফরিদা খাতুন | ১০/০৯/১৯৭২ | কৃষক | জালশুকা, গাংনী, মেহেরপুর |</t>
  </si>
  <si>
    <t>| ২২৭ | মো: আলেক চাঁদ | ৫৭০০৫৬৩৭৮২৪৫ | ইয়াকুব বিশ্বাস | খাদেজান | ০১/০১/১৯৬১ | কৃষক | জালশুকা, গাংনী, মেহেরপুর |</t>
  </si>
  <si>
    <t>| ২২৮ | মো: সেটু মিয়া | ৫৭০০৫৬৩৭৮২৪৬ | মো: হিতাপ আলী | মোছা: কহিনুর | ১০/০২/১৯৮৬ | কৃষক | জালশুকা, গাংনী, মেহেরপুর |</t>
  </si>
  <si>
    <t>| ২২৯ | মো: বিশারত আলী | ৫৭০০৫৬৩৭৮২৪৯ | মো: আত্তাব আলি | মোছা: গুলসানারা | ০১/০১/১৯৮৩ | কৃষক | জালশুকা, গাংনী, মেহেরপুর |</t>
  </si>
  <si>
    <t>| ২৩০ | মো: ওসমান আলী | ৫৭০০৫৬৩৭৮২৫০ | মো: উমিদ আলী | মোছা: বেদানা খাতুন | ০১/০১/১৯৮৫ | ব্যবসা | জালশুকা, গাংনী, মেহেরপুর |</t>
  </si>
  <si>
    <t>| ২৩১ | মো: আয়ুব আলী | ৫৭০০৫৬৩৭৮২৫১ | ছাবদাল বিশ্বাস | রাহেলা খাতুন | ৩০/০৪/১৯৬২ | কৃষক | জালশুকা মসজিদ পাড়া, গাংনী, মেহেরপুর |</t>
  </si>
  <si>
    <t>| ২৩২ | মোঃ আব্দুস সাত্তার | ৫৭০0৫৬৩৭৮২৫৫ | মোঃ ছমিরদ্দীন | মোছাঃ সবজান | ৩০/০৫/১৯৭৫ | কৃষক | জালশুকা, গাংনী, মেহেরপুর |</t>
  </si>
  <si>
    <t>| ২৩৩ | মোঃ জহুরুল ইসলাম | ৫৭০0৫৬৩৭৮২৫৭ | মোঃ জানিরুদ্দীন | মোছাঃ হাজেরা বেগম | ২৮/০৪/১৯৭৩ | কৃষক | জালশুকা, গাংনী, মেহেরপুর |</t>
  </si>
  <si>
    <t>| ২৩৪ | মোঃ বিশারত আলী | ৫৭০0৫৬৩৭৮২৫৮ | আঃ খালেক | মোছাঃ সিয়তন | ০৪/০৯/১৯৭৫ | কৃষক | জালশুকা, গাংনী, মেহেরপুর |</t>
  </si>
  <si>
    <t>| ২৩৫ | মোঃ আশরাফুল ইসলাম | ৫৭০0৫৬৩৭৮২৬১ | মোঃ আয়ুব আলী | মোছাঃ মর্জিনা খাতুন | ০৫/০১/১৯৮৪ | কৃষক | জালশুকা মসজিদ পাড়া, গাংনী, মেহেরপুর |</t>
  </si>
  <si>
    <t>| ২৩৬ | মোঃ আক্তার আলী | ৫৭০0৫৬৩৭৮২৬২ | আকবার বিশ্বাস | মো: খদেজা খাতুন | ১৬/১১/১৯৮০ | কৃষক | জালশুকা মসজিদ পাড়া, গাংনী, মেহেরপুর |</t>
  </si>
  <si>
    <t>| ২৩৭ | মোঃ নবিরুদ্দীন | ৫৭০0৫৬৩৭৮২৬৩ | আঃ জলিল | রমেছা খাতুন | ১২/০৮/১৯৪৭ | কৃষক | জালশুকা, গাংনী, মেহেরপুর |</t>
  </si>
  <si>
    <t>| ২৩৮ | মোঃ শিলন আলী | ৫৭০0৫৬৩৭৮২৬৪ | মোঃ আয়ুব আলী | মোছাঃ মর্জিনা | ১৭/১২/১৯৮৮ | কৃষক | জালশুকা, গাংনী, মেহেরপুর |</t>
  </si>
  <si>
    <t>| ২৩৯ | মোঃ শুকুর আলী | ৫৭০0৫৬৩৭৮২৬৯ | খবিরুদ্দীন | আমিনা খাতুন | ১৯/১২/১৯৫০ | কৃষক | জালশুকা মসজিদপাড়া, গাংনী, মেহেরপুর |</t>
  </si>
  <si>
    <t>| ২৪০ | মোঃ জমির উদ্দীন | ৫৭০0৫৬৩৭৮২৭০ | কাইমালী মন্ডল | মোছাঃ ছমেলা খাতুন | ০৯/০৭/১৯৫৭ | কৃষক | জালশুকা মসজিদ পাড়া, গাংনী, মেহেরপুর |</t>
  </si>
  <si>
    <t>| ২৪১ | মোঃ উমিদ আলী | ৫৭০0৫৬৩৭৮২৭৩ | কায়েমালী | ছমেলা খাতুন | ০৪/০৪/১৯৬৭ | কৃষক | জালশুকা, গাংনী, মেহেরপুর |</t>
  </si>
  <si>
    <t>| ২৪২ | মোঃ শফিরদ্দীন | ৫৭০0৫৬৩৭৮২৭৪ | তাহাজদ্দীন | সফুরা খাতুন | ১৭/০৯/১৯৫২ | কৃষক | জালশুকা মসজিদপাড়া, গাংনী, মেহেরপুর |</t>
  </si>
  <si>
    <t>| ২৪৩ | মোঃ আবুল হোসেন | ৫৭০0৫৬৩৭৮২৭৫ | শফিরুদ্দীন | সুবারন নেছা | ২১/০৪/১৯৩৭ | কৃষক | জালশুকা মসজিদ পাড়া, গাংনী, মেহেরপুর |</t>
  </si>
  <si>
    <t>| ২৪৪ | মোঃ রুহুল আমিন | ৫৭০0৫৬৩৭৮২৭৭ | মোঃ দিদার বকস্ | মোছাঃ নজিরা খাতুন | ১৯/০৩/১৯৬২ | কৃষক | জালশুকা মসজিদপাড়া, গাংনী, মেহেরপুর |</t>
  </si>
  <si>
    <t>| ২৪৫ | মোঃ লিটন আলী | ৫৭০0৫৬৩৭৮২৭৮ | মোঃ আনসার মুন্সি | মোছাঃ ভানুআরা | ২১/০৭/১৯৮৭ | কৃষক | জালশুকা মসজিদপাড়া, গাংনী, মেহেরপুর |</t>
  </si>
  <si>
    <t>| ২৪৬ | মোঃ আলমগীর হোসেন | ৫৭০0৫৬৩৭৮২৭৯ | মোঃ হায়াত আলী | মোছাঃ আশান্নারা | ২৫/০৫/১৯৮৩ | কৃষক | জালশুকা, গাংনী, মেহেরপুর |</t>
  </si>
  <si>
    <t>| ২৪৭ | মোঃ তাহিরুদ্দীন | ৫৭০0৫৬৩৭৮২৮১ | তাহাজুদ্দীন | সফুরা খাতুন | ১৭/১১/১৯৬৯ | কৃষক | জালশুকা মসজিদপাড়া, গাংনী, মেহেরপুর |</t>
  </si>
  <si>
    <t>| ২৪৮ | মোঃ হাফিজুর রহমান | ৫৭০0৫৬৩৭৮২৮২ | মোঃ লুতফর রহমান | রাবিয়া বেগম | ১৮/০৭/১৯৬৯ | কৃষক | জালশুকা মসজিদ পাড়া, গাংনী, মেহেরপুর |</t>
  </si>
  <si>
    <t>| ২৪৯ | মোঃ বোল্টু মিয়া | ৫৭০0৫৬৩৭৮২৮৪ | মোঃ সিতাব মন্ডল | মোছাঃ কহিনুর বেগম | ২২/০১/১৯৮০ | কৃষক | জালশুকা, গাংনী, মেহেরপুর |</t>
  </si>
  <si>
    <t>| ২৫০ | মোঃ ভাযান আলী | ৫৭০0৫৬৩৭৮২৮৬ | মোঃ আকবর আলী | মোছাঃ মনোয়ারা | ২২/০৫/১৯৭০ | কৃষক | জালশুকা, গাংনী, মেহেরপুর |</t>
  </si>
  <si>
    <t>| ২৫১ | মোঃ রুহুল আমিন | ৫৭০0৫৬৩৭৮২৮৭ | মোঃ আবুল হোসেন | মোছাঃ ঈশারন নেছা | ০২/০৫/১৯৮৭ | কৃষক | জালশুকা মসজিদ পাড়া, গাংনী, মেহেরপুর |</t>
  </si>
  <si>
    <t>| ২৫২ | মোঃ নাসির উদ্দীন | ৫৭০0৫৬৩৭৮২৯১ | মোঃ তাহাজদ্দীন | মোছাঃ সফুরা খাতুন | ০৫/০৯/১৯৬৬ | কৃষক | জালশুকা, গাংনী, মেহেরপুর |</t>
  </si>
  <si>
    <t>| ২৫৩ | মোঃ মজিবর মন্ডল | ৫৭০0৫৬৩৭৮২৯৩ | ময়েজ উদ্দীন | বছিরন নেছা | ০৫/০৯/১৯২৭ | কৃষক | জালশুকা, গাংনী, মেহেরপুর |</t>
  </si>
  <si>
    <t>| ২৫৪ | মোঃ আঃ গফুর মন্ডল | ৫৭০0৫৬৩৭৮২৯৪ | মোঃ গোলাম রসুল মন্ডল | মোছাঃ জহুরা খাতুন | ০৩/০৮/১৯৭২ | কৃষক | জালশুকা মসজিদ পাড়া, গাংনী, মেহেরপুর |</t>
  </si>
  <si>
    <t>| ২৫৫ | মোঃ বাদশা বুলবুল | ৫৭০0৫৬৩৭৮২৯৮ | মোঃ আমিনুল ইসলাম | মোছাঃ ছালেহা খাতুন | ১৯/০৮/১৯৮৮ | কৃষক | জালশুকা উত্তর পাড়া, গাংনী, মেহেরপুর |</t>
  </si>
  <si>
    <t>| ২৫৬ | মোঃ আবুল কাশেম | ৫৭০0৫৬৩৭৮৩০৩ | মোহাঃ আব্দুল আজিজ | রোকেয়া খাতুন | ১২/১০/১৯৬৪ | দিনমজুর | জালশুকা, গাংনী, মেহেরপুর |</t>
  </si>
  <si>
    <t>| ২৫৭ | মোঃ আবুল হাশেম | ৫৭০0৫৬৩৭৮৩০৫ | মোহাঃ আব্দুল আজিজ | রোকেয়া | ১২/১০/১৯৬৬ | দিনমজুর | জালশুকা, গাংনী, মেহেরপুর |</t>
  </si>
  <si>
    <t>| ২৫৮ | মোহাঃ তহিদুল | ৫৭০0৫৬৩৭৮৩০৭ | মোহাঃ আবুল কাশেম | মোছাঃ মুর্শিদা | ০১/০৭/১৯৮৭ | দিনমজুর | জালশুকা, গাংনী, মেহেরপুর |</t>
  </si>
  <si>
    <t>| ২৫৯ | মোহাঃ জিনারুল | ৫৭০0৫৬৩৭৮৩১০ | মোঃ মোজাম্মেল হক | মোছাঃ আনজিরা খাতুন | ১২/১০/১৯৮২ | দিনমজুর | জালশুকা, গাংনী, মেহেরপুর |</t>
  </si>
  <si>
    <t>| ২৬০ | মোঃ আব্দুল কাদের | ৫৭০0৫৬৩৭৮৩১২ | রুস্তম মন্ডল | মোছাঃ তিতু বিবি | ১০/০৩/১৯৬২ | দিনমজুর | জালশুকা, গাংনী, মেহেরপুর |</t>
  </si>
  <si>
    <t>| ২৬১ | মোহাঃ বাবর আলী | ৫৭০0৫৬৩৭৮৩১৪ | আব্দুল বারী | মোছাঃ সাহার বানু | ১০/০৩/১৯৭৭ | দিনমজুর | জালশুকা, গাংনী, মেহেরপুর |</t>
  </si>
  <si>
    <t>| ২৬২ | মোঃ শরিফ উদ্দীন | ৫৭০0৫৬৩৭৮৩১৭ | মোহাঃ আব্দুল বারী | মোছাঃ সাহার বানু | ০৫/১১/১৯৮৭ | কৃষক | জালশুকা, গাংনী, মেহেরপুর |</t>
  </si>
  <si>
    <t>| ২৬৩ | মোঃ আব্দুল বারী | ৫৭০0৫৬৩৭৮৩১৯ | সিরাজ সর্দ্দার | ফুলমতি | ০৪/০৫/১৯৫৮ | অন্যান্য | জালশুকা, গাংনী, মেহেরপুর |</t>
  </si>
  <si>
    <t>| ২৬৪ | মোঃ আব্দুল মালেক | ৫৭০0৫৬৩৭৮৩২১ | আবুবকর | হালিমা | ১১/১০/১৯৬৭ | কৃষক | জালশুকা, গাংনী, মেহেরপুর |</t>
  </si>
  <si>
    <t>| ২৬৫ | মোহাঃ আরশেদ আলী | ৫৭০0৫৬৩৭৮৩২৩ | মোহাঃ আয়ুব আলী | মোছাঃ মর্জিনা খাতুন | ০৫/১২/১৯৮৬ | দিনমজুর | জালশুকা, গাংনী, মেহেরপুর |</t>
  </si>
  <si>
    <t>| ২৬৬ | মোহাঃ এনামুল হক | ৫৭০0৫৬৩৭৮৩২৪ | মোহাঃ ফাকের আলী | মোছাঃ আজিরন | ০৭/০১/১৯৬৮ | কৃষক | জালশুকা, গাংনী, মেহেরপুর |</t>
  </si>
  <si>
    <t>| ২৬৭ | মোহাঃ শফিকুল ইসলাম | ৫৭০0৫৬৩৭৮৩২৬ | আব্দুল জলিল | মোছাঃ তহুরা খাতুন | ০২/০৭/১৯৪৬ | কৃষক | জালশুকা, গাংনী, মেহেরপুর |</t>
  </si>
  <si>
    <t>| ২৬৮ | মোহাঃ আনোয়ার হোসেন | ৫৭০0৫৬৩৭৮৩২৮ | মোহাঃ শফিকুল ইসলাম | মোছাঃ ফাতেমা | ০৫/০৯/১৯৭১ | কৃষক | জালশুকা, গাংনী, মেহেরপুর |</t>
  </si>
  <si>
    <t>| ২৬৯ | মোঃ রেজাউল | ৫৭০0৫৬৩৭৮৩২৯ | জুব্বার | ঠান্ডা বুড়ি | ০১/০৬/১৯৭১ | কৃষক | জালশুকা, গাংনী, মেহেরপুর |</t>
  </si>
  <si>
    <t>| ২৭০ | মোহাঃ কোরবান আলী | ৫৭০0৫৬৩৭৮৩৩১ | মোহাঃ সফিকুল | মোছাঃ কমেলা | ০১/০১/১৯৮৮ | কৃষক | জালশুকা, গাংনী, মেহেরপুর |</t>
  </si>
  <si>
    <t>| ২৭১ | মোঃ কামাল উদ্দীন | ৫৭০0৫৬৩৭৮৩৩৬ | মোহাঃ আজিজুল হক | মোছাঃ হালিমা | ১২/১০/১৯৮২ | কৃষক | জালশুকা, গাংনী, মেহেরপুর |</t>
  </si>
  <si>
    <t>| ২৭২ | মোহাঃ আজিবার রহমান | ৫৭০0৫৬৩৭৮৩৩৯ | মোঃ আছিরুদ্দীন | শাহিদুন নেছা | ০৪/১২/১৯৮৪ | ছাত্র/ছাত্রী | জালশুকা, গাংনী, মেহেরপুর |</t>
  </si>
  <si>
    <t>| ২৭৩ | মোঃ তোফাজ্জেল | ৫৭০0৫৬৩৭৮৩৪০ | মোহাঃ আলাউদ্দিন | মোছাঃ শাহিদুন্নেছা | ১৮/১০/১৯৭৮ | শ্রমিক | জালশুকা, গাংনী, মেহেরপুর |</t>
  </si>
  <si>
    <t>| ২৭৪ | মোহাঃ আশাদুল | ৫৭০0৫৬৩৭৮৩৫০ | ছইরদ্দিন | সোনাভানু | ১০/০৮/১৯৭১ | কৃষক | জালশুকা, গাংনী, মেহেরপুর |</t>
  </si>
  <si>
    <t>| ২৭৫ | মোঃ আম্বাজ আলী | ৫৭০0৫৬৩৭৮৩৫৬ | মোহাঃ মজিবর | মোছাঃ জোহরা | ২০/০৫/১৯৮০ | কৃষক | জালশুকা, গাংনী, মেহেরপুর |</t>
  </si>
  <si>
    <t>| ২৭৬ | মোহাঃ শহিদুল | ৫৭০0৫৬৩৭৮৩৫৫ | মোহাঃ গোলাম রসুল | মোছাঃ জোহরা | ১০/১০/১৯৮৬ | কৃষক | জালশুকা, গাংনী, মেহেরপুর |</t>
  </si>
  <si>
    <t>| ২৭৭ | মোহাঃ নওশাদ | ৫৭০0৫৬৩৭৮৩৭৮ | মোহাঃ আবুছিদ্দিক | মোছাঃ রহিমা খাতুন | ১০/০২/১৯৮৪ | কৃষক | জালশুকা, গাংনী, মেহেরপুর |</t>
  </si>
  <si>
    <t>| ২৭৮ | মোহাঃ এনামুল হক | ৫৭০0৫৬৩৭৮৩৯২ | এলাহি মন্ডল | জবেদা খাতুন | ০৭/১১/১৯৭০ | কৃষক | জালশুকা, গাংনী, মেহেরপুর |</t>
  </si>
  <si>
    <t>| ২৭৯ | মো: আ: হাম্নান | ৫৭০0৫৬৩৭৮৩৯৪ | উম্মাদ | মোছা: হাবেলা | ২৩/০১/১৯৫৬ | কৃষক | জালশুকা, গাংনী, মেহেরপুর |</t>
  </si>
  <si>
    <t>| ২৮০ | মোহাঃ শামসুল হক | ৫৭০0৫৬৩৭৮৪০১ | জাহাবকস | আনুরা | ১০/১০/১৯৬৬ | কৃষক | জালশুকা, গাংনী, মেহেরপুর |</t>
  </si>
  <si>
    <t>| ২৮১ | মোহাঃ মোজাম্মেল হক | ৫৭০0৫৬৩৭৮৪০২ | মোহাঃ তজিমদ্দিন | মোছাঃ হালিমা খাতুন | ০১/০৩/১৯৭২ | কৃষক | জালশুকা, গাংনী, মেহেরপুর |</t>
  </si>
  <si>
    <t>| ২৮২ | মোহাঃ তৈয়ব আলী | ৫৭০0৫৬৩৭৮৪০৩ | আব্দুস সাত্তার | মোছাঃ ছপুরা | ১০/০৫/১৯৬১ | কৃষক | জালশুকা, গাংনী, মেহেরপুর |</t>
  </si>
  <si>
    <t>| ২৮৩ | মোহাঃ সেলিম হোসেন | ৫৭০0৫৬৩৭৮৪০৬ | মোহাঃ আব্দুল হাম্নান | মোছাঃ রেহেনা বেগম | ১০/১০/১৯৮৬ | শ্রমিক | জালশুকা, গাংনী, মেহেরপুর |</t>
  </si>
  <si>
    <t>| ২৮৪ | মোহাঃ কুদ্দুস আলী | ৫৭০0৫৬৩৭৮৪০৮ | মোহাঃ তজিমদ্দিন | মোছাঃ হালিমা খাতুন | ১০/১০/১৯৭৬ | কৃষক | জালশুকা, গাংনী, মেহেরপুর |</t>
  </si>
  <si>
    <t>| ২৮৫ | মোহাঃ মুনছুর আলী | ৫৭০0৫৬৩৭৮৪০৯ | মোহাঃ তজিমদ্দিন | মোছাঃ হালিমা | ১০/১০/১৯৭৮ | কৃষক | জালশুকা, গাংনী, মেহেরপুর |</t>
  </si>
  <si>
    <t>| ২৮৬ | মোহাঃ আব্দুর রহিম | ৫৭০০৫৬৩৭৮৪১০ | মোহাঃ গোলাম রসুল | মোহাঃ জোহরা | ০১/০৪/১৯৬৬ | কৃষক | জালশুকা, গাংনী, মেহেরপুর |</t>
  </si>
  <si>
    <t>| ২৮৭ | মোহাঃ হেলাল উদ্দিন | ৫৭০০৫৬৩৭৮৪১১ | মোহাঃ তাজিমুদ্দিন | মোহাঃ হালিমা | ১০/১০/১৯৭৪ | শ্রমিক | জালশুকা, গাংনী, মেহেরপুর |</t>
  </si>
  <si>
    <t>| ২৮৮ | মোহাঃ উমিদুল ইসলাম | ৫৭০০৫৬৩৭৮৪১৩ | মোহাঃ গোলাম রসুল | মোহাঃ জহুরা খাতুন | ১০/১০/১৯৮২ | শ্রমিক | জালশুকা, গাংনী, মেহেরপুর |</t>
  </si>
  <si>
    <t>| ২৮৯ | মোহাঃ আব্দুল খালেক | ৫৭০০৫৬৩৭৮৪১৫ | জহিরদ্দিন মন্ডল | মোহাঃ ছামিরন | ০১/০৩/১৯৭৭ | কৃষক | জালশুকা, গাংনী, মেহেরপুর |</t>
  </si>
  <si>
    <t>| ২৯০ | মোহাঃ জাহাঙ্গির আলম | ৫৭০০৫৬৩৭৮৪১৬ | মোহাঃ আব্দুল মান্নান | মোহাঃ আছিয়া | ১০/১০/১৯৮৪ | শ্রমিক | জালশুকা, গাংনী, মেহেরপুর |</t>
  </si>
  <si>
    <t>| ২৯১ | মোহাঃ আলম চাঁদ | ৫৭০০৫৬৩৭৮৪১৭ | মোহাঃ আব্দুল হম্মান | মোহাঃ আছিয়া | ০১/০১/১৯৯০ | শ্রমিক | জালশুকা, গাংনী, মেহেরপুর |</t>
  </si>
  <si>
    <t>| ২৯২ | মোহাঃ সাগর আলী | ৫৭০০৫৬৩৭৮৪১৮ | মোহাঃ আহাদ আলী | মোহাঃ জহুরা | ০১/০১/১৯৮৯ | শ্রমিক | জালশুকা, গাংনী, মেহেরপুর |</t>
  </si>
  <si>
    <t>| ২৯৩ | মোহাঃ টোকন | ৫৭০০৫৬৩৭৮৪১৯ | মোহাঃ আহাদ আলী | মোহাঃ জোহরা বেগম | ০১/০১/১৯৯০ | শ্রমিক | জালশুকা, গাংনী, মেহেরপুর |</t>
  </si>
  <si>
    <t>| ২৯৪ | মোহাঃ জালাল উদ্দিন | ৫৭০০৫৬৩৭৮৪২৫ | করিম বকস | মোহাঃ ছদিমন | ১০/১১/১৯৮২ | কৃষক | জালশুকা, গাংনী, মেহেরপুর |</t>
  </si>
  <si>
    <t>| ২৯৫ | মোহাঃ মহিবুল ইসলাম | ৫৭০০৫৬৩৭৮৪৩৩ | মোহাঃ জানু বক্স | মোহাঃ ইসারন | ১০/১০/১৯৭৮ | শ্রমিক | জালশুকা, গাংনী, মেহেরপুর |</t>
  </si>
  <si>
    <t>| ২৯৬ | মোহাঃ জালাল উদ্দিন | ৫৭০০৫৬৩৭৮৪৩৮ | মোহাঃ তাজিমুদ্দিন | মোহাঃ হালিমা | ১০/১০/১৯৭৬ | কৃষক | জালশুকা, গাংনী, মেহেরপুর |</t>
  </si>
  <si>
    <t>| ২৯৭ | মোহাঃ আলামিন | ৫৭০০৫৬৩৭৮৪৪৪ | মোহাঃ রায়হান | মোহাঃ তাছিরন | ০১/০৬/১৯৮৬ | কৃষক | জালশুকা, গাংনী, মেহেরপুর |</t>
  </si>
  <si>
    <t>| ২৯৮ | মোহাঃ সাহাবুল | ৫৭০০৫৬৩৭৮৪৫১ | মোহাঃ আহাদ আলি | মোহাঃ জোহরা | ১০/১০/১৯৭৩ | দিনমজুর | জালশুকা, গাংনী, মেহেরপুর |</t>
  </si>
  <si>
    <t>| ২৯৯ | মোহাঃ আমিরুল ইসলাম | ৫৭০০৫৬৩৭৮৪৫২ | আঃ ছাত্তার | আমেনা খাতুন | ০১/১০/১৯৬৯ | কৃষক | জালশুকা, গাংনী, মেহেরপুর |</t>
  </si>
  <si>
    <t>| ৩০০ | মোহাঃ মহশিন | ৫৭০০৫৬৩৭৮৪৫৪ | মোহাঃ মোবারক | মোহাঃ সাহারন | ১০/০৮/১৯৮১ | কৃষক | জালশুকা, গাংনী, মেহেরপুর |</t>
  </si>
  <si>
    <t>| ৩০১ | মোহাঃ সুবারেক | ৫৭০০৫৬৩৭৮৪৫৫ | আইনাল মন্ডল | মোহাঃ আনুরা খাতুন | ১০/১১/১৯৫৫ | দিনমজুর | জালশুকা, গাংনী, মেহেরপুর |</t>
  </si>
  <si>
    <t>| ৩০২ | মোহাঃ আব্দুর রাজ্জাক | ৫৭০০৫৬৩৭৮৪৫৬ | মোহাঃ খেদের আলী | মোহাঃ সোহাগী | ০২/১০/১৯৭২ | দিনমজুর | জালশুকা, গাংনী, মেহেরপুর |</t>
  </si>
  <si>
    <t>| ৩০৩ | মোহাঃ ওয়াসিম | ৫৭০০৫৬৩৭৮৪৫৭ | মোহাঃ মান্নান | মোহাঃ আনোয়ারা | ১০/০৮/১৯৮৭ | কৃষক | জালশুকা, গাংনী, মেহেরপুর |</t>
  </si>
  <si>
    <t>| ৩০৪ | মোহাঃ একরামুল | ৫৭০০৫৬৩৭৮৪৫৮ | মোহাঃ সোনাহার মোল্লা | মোহাঃ খাদিজা | ১১/১১/১৯৭২ | কৃষক | জালশুকা, গাংনী, মেহেরপুর |</t>
  </si>
  <si>
    <t>| ৩০৫ | মোহাঃ মুরাদ আলি | ৫৭০০৫৬৩৭৮৪৬১ | রুস্তম আলি | মোহাঃ ভিতু | ১২/১০/১৯৭৩ | কৃষক | জালশুকা, গাংনী, মেহেরপুর |</t>
  </si>
  <si>
    <t>| ৩০৬ | মোহাঃ জামাল উদ্দিন | ৫৭০০৫৬৩৭৮৪৬২ | রুস্তম আলি | মোহাঃ ভিতু বিবি | ১১/০৫/১৯৮২ | কৃষক | জালশুকা, গাংনী, মেহেরপুর |</t>
  </si>
  <si>
    <t>| ৩০৭ | মোহাঃ লিটন আলি | ৫৭০০৫৬৩৭৮৪৬৩ | মোহাঃ সুরাত আলি | মোহাঃ সফুরা | ১০/১০/১৯৭৭ | কৃষক | জালশুকা, গাংনী, মেহেরপুর |</t>
  </si>
  <si>
    <t>| ৩০৯ | মোহাঃ আব্দুল আলিম | ৫৭০০৫৬৩৭৮৪৬৯ | মোহাঃ ভুলু মুনসি | মোহাঃ জোহরা | ১০/০৫/১৯৮৫ | কৃষক | জালশুকা, গাংনী, মেহেরপুর |</t>
  </si>
  <si>
    <t>| ৩১০ | মোহাঃ রায়হান | ৫৭০০৫৬৩৭৮৪৭২ | মজিরদ্দিন মৃধা | মোহাঃ কমেলা | ১২/১০/১৯৮৭ | কৃষক | জালশুকা, গাংনী, মেহেরপুর |</t>
  </si>
  <si>
    <t>| ৩১১ | মোহাঃ মিনারুল | ৫৭০০৫৬৩৭৮৪৭৩ | মোহাঃ মওলা বক্স | মোহাঃ ফতেমা | ০১/০১/১৯৮৮ | কৃষক | জালশুকা, গাংনী, মেহেরপুর |</t>
  </si>
  <si>
    <t>| ৩১২ | মোহাঃ মোজাম্মেল | ৫৭০০৫৬৩৭৮৪৭৪ | কিতাব আলী | মোহাঃ আমেনা খাতুন | ১০/১০/১৯৮৭ | ব্যবসা | জালশুকা, গাংনী, মেহেরপুর |</t>
  </si>
  <si>
    <t>| ৩১৩ | মোহাঃ মোশারেফ | ৫৭০০৫৬৩৭৮৪৭৭ | মোহাঃ সুরাত আলী | মোহাঃ সফুরা | ১১/০৪/১৯৮১ | কৃষক | জালশুকা, গাংনী, মেহেরপুর |</t>
  </si>
  <si>
    <t>| ৩১৪ | মোহাঃ তরিকুল ইসলাম | ৫৭০০৫৬৩৭৮৪৭৮ | মজিরদ্দিন মৃধা | মোছাঃ কমেলা খাতুন | ০১/০১/১৯৮১ | কৃষক | জালশুকা, গাংনী, মেহেরপুর |</t>
  </si>
  <si>
    <t>| ৩১৫ | মোহাঃ মন্টু | ৫৭০০৫৬৩৭৮৪৮০ | মোহাঃ হামান | মোহাঃ আর্জিনা | ১০/১০/১৯৮২ | কৃষক | জালশুকা, গাংনী, মেহেরপুর |</t>
  </si>
  <si>
    <t>| ৩১৬ | মোহাঃ আব্দুর রহমান | ৫৭০০৫৬৩৭৮৪৮১ | মজিরদ্দিন | মোহাঃ কমেলা | ১০/০৩/১৯৬৩ | কৃষক | জালশুকা, গাংনী, মেহেরপুর |</t>
  </si>
  <si>
    <t>| ৩১৭ | মোহাঃ রইছউদ্দিন | ৫৭০০৫৬৩৭৮৪৮২ | রবকুল | মোহাঃ আনোয়ারা | ০৪/০৪/১৯৬২ | কৃষক | জালশুকা, গাংনী, মেহেরপুর |</t>
  </si>
  <si>
    <t>| ৩১৮ | মোহাঃ আব্দুর রহমান | ৫৭০০৫৬৩৭৮৪৮৬ | মোহাঃ ছলেমান | মোহাঃ রহিমা | ১৬/০৬/১৯৭২ | কৃষক | জালশুকা, গাংনী, মেহেরপুর |</t>
  </si>
  <si>
    <t>| ৩১৯ | মোহাঃ আঃ মমিন | ৫৭০০৫৬৩৭৮৪৮৭ | মোহাঃ ফাকের আলী | মোহাঃ আজিরন | ১২/১০/১৯৫৫ | কৃষক | জালশুকা, গাংনী, মেহেরপুর |</t>
  </si>
  <si>
    <t>| ৩২০ | মো: ইব্রাহিম | ৫৭০০৫৬৩৭৮৪৮৮ | করিম মন্ডল | মোহাঃ সাজেদা | ১০/১১/১৯৭১ | কৃষক | জালশুকা, গাংনী, মেহেরপুর |</t>
  </si>
  <si>
    <t>| ৩২১ | মোহাঃ আব্দুল জব্বার | ৫৭০০৫৬৩৭৮৪৮৯ | মোহাঃ ফাকের আলী | মোহাঃ আজিরন | ১০/১১/১৯৬৫ | কৃষক | জালশুকা, গাংনী, মেহেরপুর |</t>
  </si>
  <si>
    <t>| ৩২২ | মোহাঃ কাউছার | ৫৭০০৫৬৩৭৮৪৯০ | মোহাঃ জব্বার | মোহাঃ ছুরাতন | ০৭/১১/১৯৮৮ | কৃষক | জালশুকা, গাংনী, মেহেরপুর |</t>
  </si>
  <si>
    <t>| ৩২৩ | মোহাঃ বানারুল | ৫৭০০৫৬৩৭৮৪৯৪ | হারুন | মোহাঃ খুকিমন নেছা | ১০/১১/১৯৬২ | কৃষক | জালশুকা, গাংনী, মেহেরপুর |</t>
  </si>
  <si>
    <t>| ৩২৪ | মো: সেলিম হোসেন | ৫৭০০৫৬৩৭৮৪৯৯ | মোহাঃ আত্তাব আলী | মোহাঃ গুলশান আরা | ০১/০৫/১৯৭৭ | কৃষক | জালশুকা, গাংনী, মেহেরপুর |</t>
  </si>
  <si>
    <t>| ৩২৫ | মোহাঃ শহিদুল ইসলাম | ৫৭০০৫৬৩৭৮৫০০ | আখের আলী | মোহাঃ মাহিরন নেছা | ০৪/১১/১৯৭০ | কৃষক | জালশুকা, গাংনী, মেহেরপুর |</t>
  </si>
  <si>
    <t>| ৩২৬ | মোহাঃ আব্দুর রশিদ | ৫৭০০৫৬৩৭৮৫০২ | আঃজল | মোহাঃ আসমা | ০৩/০১/১৯৬০ | শ্রমিক | জালশুকা, গাংনী, মেহেরপুর |</t>
  </si>
  <si>
    <t>| ৩২৭ | মোহাঃ আবু সাঈদ | ৫৭০০৫৬৩৭৮৫০৪ | মোহাঃ মহশিন | মোহাঃ হাজেরা | ১০/১১/১৯৮৭ | দিনমজুর | জালশুকা, গাংনী, মেহেরপুর |</t>
  </si>
  <si>
    <t>| ৩২৮ | মোহাঃ সাজজু মিয়া | ৫৭০০৫৬৩৭৮৫০৬ | মোহাঃ আবু জাফর | মোহাঃ রেহেনা | ০১/১০/১৯৮৯ | শ্রমিক | জালশুকা, গাংনী, মেহেরপুর |</t>
  </si>
  <si>
    <t>| ৩২৯ | মোহাঃ আলামিন | ৫৭০০৫৬৩৭৮৫০৭ | মোহাঃ আব্দুল মান্নান | মোহাঃ আছিয়া | ১০/১০/১৯৮৮ | কৃষক | জালশুকা, গাংনী, মেহেরপুর |</t>
  </si>
  <si>
    <t>| ৩৩০ | মোহাঃ রাকিব হাসান | ৫৭০০৫৬৩৭৮৫০৮ | মোহাঃ সলিমদ্দিন | মোহাঃ জরিনা খাতুন | ২৯/০৬/১৯৮৫ | ছাত্র/ছাত্রী | জালশুকা, গাংনী, মেহেরপুর |</t>
  </si>
  <si>
    <t>| ৩৩১ | মো: ইবাদত হোসেন | ৫৭০০৫৬৩৭৮৫০৯ | মো: শাহাদত হোসেন | পানছুরাতুন নেছা | ২২/১১/১৯৮৩ | ছাত্র/ছাত্রী | জালশুকা, গাংনী, মেহেরপুর |</t>
  </si>
  <si>
    <t>| ৩৩২ | মোহাঃ জিল্লুর রহমান | ৫৭০০৫৬৩৭৮৫১০ | মোহাঃ ফজলুল হক | মোহাঃ তাহরুন নেছা | ০৯/১০/১৯৮৪ | কৃষক | জালশুকা, গাংনী, মেহেরপুর |</t>
  </si>
  <si>
    <t>| ৩৩৩ | মো: মজনু | ৫৭০০৫৬৩৭৮৫১৪ | মোক্তার | মোহাঃ রাবেয়া | ১০/০৬/১৯৭৭ | কৃষক | জালশুকা, গাংনী, মেহেরপুর |</t>
  </si>
  <si>
    <t>| ৩৩৪ | মোহাঃ মোশারাফ | ৫৭০০৫৬৩৭৮৫১৬ | মোক্তার | মোহাঃ রাবেয়া খাতুন | ১৫/০৫/১৯৬৩ | কৃষক | জালশুকা, গাংনী, মেহেরপুর |</t>
  </si>
  <si>
    <t>| ৩৩৫ | মোহাঃ আব্দুল মান্নান | ৫৭০০৫৬৩৭৮৫১৭ | জবেদ আলী | মোহাঃ আছিয়া | ০৪/০৬/১৯৭১ | দিনমজুর | জালশুকা, গাংনী, মেহেরপুর |</t>
  </si>
  <si>
    <t>| ৩৩৬ | মো: রহিমদ্দিন | ৫৭০০৫৬৩৭৮৫২২ | মোহাঃ শুকুর আলী | মোহাঃ ছামিরন নেছা | ১০/০৫/১৯৮৭ | দিনমজুর | জালশুকা, গাংনী, মেহেরপুর |</t>
  </si>
  <si>
    <t>| ৩৩৭ | মো: সামছুল | ৫৭০০৫৬৩৭৮৫২৭ | মো: মোসারফ | মোহাঃ তছলিমা | ১০/১০/১৯৮৮ | দিনমজুর | জালশুকা, গাংনী, মেহেরপুর |</t>
  </si>
  <si>
    <t>| ৩৩৮ | মোহাঃ মিলন | ৫৭০০৫৬৩৭৮৫২৮ | মোহাঃ আয়ুব আলী | মোহাঃ মর্জিনা | ১৭/১২/১৯৮৮ | শ্রমিক | জালশুকা, গাংনী, মেহেরপুর |</t>
  </si>
  <si>
    <t>| ৩৩৯ | মো: সাগর | ৫৭০০৫৬৩৭৮৫২৯ | মোহাঃ আবু তাহের | মোহাঃ তরিছান | ১০/১১/১৯৮৭ | শ্রমিক | জালশুকা, গাংনী, মেহেরপুর |</t>
  </si>
  <si>
    <t>| ৩৪০ | মোহাঃ মহশিন আলি | ৫৭০০৫৬৩৭৮৫৪০ | রিয়াজুদ্দিন | মোহাঃ রাহাতন | ১১/০১/১৯৫০ | কৃষক | জালশুকা, গাংনী, মেহেরপুর |</t>
  </si>
  <si>
    <t>| ৩৪১ | মোহাঃ বাবর আলি | ৫৭০০৫৬৩৭৮৫৪৩ | মোহাঃ আলফাজ | মোহাঃ আশানুর | ১২/১০/১৯৮০ | কৃষক | জালশুকা, গাংনী, মেহেরপুর |</t>
  </si>
  <si>
    <t>| ৩৪২ | মোহাঃ আরিফুল | ৫৭০০৫৬৩৭৮৫৪৫ | মোহাঃ আতাব আলী | মোহাঃ গুলশানারা | ১০/০৯/১৯৮৯ | কৃষক | জালশুকা, গাংনী, মেহেরপুর |</t>
  </si>
  <si>
    <t>| ৩৪৩ | মোহাঃ বিল্লাল | ৫৭০০৫৬৩৭৮৫৫১ | আনিসদ্দিন | মোহাঃ গৌশমনি | ১৮/১০/১৯৬৫ | কৃষক | জালশুকা, গাংনী, মেহেরপুর |</t>
  </si>
  <si>
    <t>| ৩৪৪ | মোহাঃ লালচাঁদ | ৫৭০০৫৬৩৭৮৫৫৫ | মোহাঃ বিল্লাল | মোহাঃ তহমিনা | ১০/১০/১৯৮৪ | কৃষক | জালশুকা, গাংনী, মেহেরপুর |</t>
  </si>
  <si>
    <t>| ৩৪৫ | মো: রুহুল আমিন | ৫৭০০৫৬৩৭৮৫৫৭ | সবদেল বিশ্বাস | মোহাঃ রাহেলা | ১০/০৬/১৯৬৫ | কৃষক | জালশুকা, গাংনী, মেহেরপুর |</t>
  </si>
  <si>
    <t>| ৩৪৬ | মোহাঃ আশাদুল | ৫৭০০৫৬৩৭৮৫৫৮ | মোহাঃ আজিজার রহমান | মোহাঃ জাহিরন নেছা | ১২/০৯/১৯৬৭ | কৃষক | জালশুকা, গাংনী, মেহেরপুর |</t>
  </si>
  <si>
    <t>| ৩৪৭ | মো: আব্দুর রাজ্জাক | ৫৭০০৫৬৩৭৮৫৫৯ | মোহাঃ আবু বক্কর | মোহাঃ জবেদা | ১০/১০/১৯৭১ | কৃষক | জালশুকা, গাংনী, মেহেরপুর |</t>
  </si>
  <si>
    <t>| ৩৪৮ | মোহাঃ মহাবুল হক | ৫৭০০৫৬৩৭৮৫৬০ | মোহাঃ খেদের বিশ্বাস | মোহাঃ সোহাগী | ১২/১০/১৯৮২ | কৃষক | জালশুকা, গাংনী, মেহেরপুর |</t>
  </si>
  <si>
    <t>| ৩৪৯ | মোহাঃ মফিজুল | ৫৭০০৫৬৩৭৮৫৬১ | মোহাঃ খেদের আলী | মোহাঃ সোহাগী | ১০/১২/১৯৮৯ | কৃষক | জালশুকা, গাংনী, মেহেরপুর |</t>
  </si>
  <si>
    <t>| ৩৫০ | মোহাঃ সাইফুল | ৫৭০০৫৬৩৭৮৫৬২ | মোহাঃ শাহাদত | মোহাঃ পানছুরাতুন | ১১/১২/১৯৮১ | শ্রমিক | জালশুকা, গাংনী, মেহেরপুর |</t>
  </si>
  <si>
    <t>| ৩৫১ | মো: শহিদুল | ৫৭০০৫৬৩৭৮৫৬৩ | মোহাঃ জাহাবক্স | মোহাঃ ইশারন | ১২/১০/১৯৬৯ | কৃষক | জালশুকা, গাংনী, মেহেরপুর |</t>
  </si>
  <si>
    <t>| ৩৫২ | মোহাঃ সাহাবুল | ৫৭০০৫৬৩৭৮৫৬৪ | মোহাঃ সুবারেক | মোহাঃ তহিরা | ১০/০৫/১৯৭৩ | শ্রমিক | জালশুকা, গাংনী, মেহেরপুর |</t>
  </si>
  <si>
    <t>| ৩৫৩ | মোহাঃ হাশমোতুল্লাহ | ৫৭০০৫৬৩৭৮৫৬৫ | মোহাঃ জামান উদ্দিন | মোহাঃ মিনারা | ১০/১২/১৯৮৮ | কৃষক | জালশুকা, গাংনী, মেহেরপুর |</t>
  </si>
  <si>
    <t>| ৩৫৪ | মোহাঃ তক্কেল | ৫৭০০৫৬৩৭৮৫৬৬ | মো: আবু তালেব মোল্লা | মোহাঃ রিজিয়া খাতুন | ১০/০৪/১৯৭২ | দিনমজুর | জালশুকা, গাংনী, মেহেরপুর |</t>
  </si>
  <si>
    <t>| ৩৫৫ | মোহাঃ হবিবর | ৫৭০০৫৬৩৭৮৫৬৭ | মোহাঃ আবুল হোসেন | মোহাঃ শহিদা খাতুন | ১০/০৬/১৯৬৭ | কৃষক | জালশুকা, গাংনী, মেহেরপুর |</t>
  </si>
  <si>
    <t>| ৩৫৬ | মোহাঃ সলিমদ্দিন | ৫৭০০৫৬৩৭৮৫৬৮ | ইছাহক | মোহাঃ আমেনা খাতুন | ২০/০৭/১৯৫৫ | কৃষক | জালশুকা, গাংনী, মেহেরপুর |</t>
  </si>
  <si>
    <t>| ৩৫৭ | মো: আব্দুল মান্নান | ৫৭০০৫৬৩৭৮৫৬৯ | উম্মদ | মোহাঃ হাবেলা | ১০/১১/১৯৬৩ | কৃষক | জালশুকা, গাংনী, মেহেরপুর |</t>
  </si>
  <si>
    <t>| ৩৫৮ | মোঃ হামিদুল | ৫৭০০৫৬৩৭৮৫৭০ | মোঃ মোবারেক | মোছাঃ ছারু খাতুন | ১৫/১০/১৯৮৫ | কৃষক | জালতকা, গাংনী, মেহেরপুর |</t>
  </si>
  <si>
    <t>| ৩৫৯ | মোঃ সাহেবুল ইসলাম | ৫৭০০৫৬৩৭৮৫৭২ | মোহাঃ মোবারেক | মোছাঃ ছাহারন | ১০/০৯/১৯৬৭ | কৃষক | জালতকা, গাংনী, মেহেরপুর |</t>
  </si>
  <si>
    <t>| ৩৬০ | মোহাঃ আবুল কাশেম | ৫৭০০৫৬৩৭৮৫৭৩ | মোহাঃ আছান আলী | আজিরন | ১০/০৩/১৯৫২ | কৃষক | জালতকা, গাংনী, মেহেরপুর |</t>
  </si>
  <si>
    <t>| ৩৬১ | মোঃ নজরুল ইসলাম | ৫৭০০৫৬৩৭৮৫৭৪ | করিম মন্ডল | মোছাঃ জিয়াতন নেছা | ১০/০৩/১৯৬২ | কৃষক | জালতকা, গাংনী, মেহেরপুর |</t>
  </si>
  <si>
    <t>| ৩৬২ | মোহাঃ তৈয়ব আলি | ৫৭০০৫৬৩৭৮৫৭৭ | ছামছদ্দিন | মোছাঃ ছাহারন | ১৫/০৪/১৯৫৭ | কৃষক | জালতকা, গাংনী, মেহেরপুর |</t>
  </si>
  <si>
    <t>| ৩৬৩ | মোহাঃ আজামেল | ৫৭০০৫৬৩৭৮৫৭৮ | ইয়াকুব | খাতুন | ১২/০৫/১৯৬৯ | কৃষক | জালতকা, গাংনী, মেহেরপুর |</t>
  </si>
  <si>
    <t>| ৩৬৪ | মোহাঃ একলাছুর রহমান | ৫৭০০৫৬৩৭৮৫৭৯ | মোহাঃ আঃ হামান | মোছাঃ অর্নজিরা | ১২/১১/১৯৮৮ | কৃষক | জালতকা, গাংনী, মেহেরপুর |</t>
  </si>
  <si>
    <t>| ৩৬৫ | মোহাঃ খবির উদ্দিন | ৫৭০০৫৬৩৭৮৫৮১ | বদরদ্দিন | হাওয়া খাতুন | ১২/১০/১৯৬৭ | কৃষক | জালতকা, গাংনী, মেহেরপুর |</t>
  </si>
  <si>
    <t>| ৩৬৬ | মোহাঃ মুনজুরুণ | ৫৭০০৫৬৩৭৮৫৮৩ | মোহাঃ মজিবর | মোছাঃ জোহরা | ১০/০৫/১৯৮৪ | কৃষক | জালতকা, গাংনী, মেহেরপুর |</t>
  </si>
  <si>
    <t>| ৩৬৭ | মোহাঃ মুজাহক | ৫৭০০৫৬৩৭৮৫৮৪ | মোহাঃ আছিরদ্দিন | মোছাঃ শাহিদা | ০৫/১০/১৯৭৭ | কৃষক | জালতকা, গাংনী, মেহেরপুর |</t>
  </si>
  <si>
    <t>| ৩৬৮ | মোঃ হযরত আলী | ৫৭০০৫৬৩৭৮৫৮৫ | মোহাঃ গোলাম রসুল | মোছাঃ জোহরা খাতুন | ০৪/০৭/১৯৭৩ | কৃষক | জালতকা, গাংনী, মেহেরপুর |</t>
  </si>
  <si>
    <t>| ৩৬৯ | মোহাঃ নুরুল ইসলাম | ৫৭০০৫৬৩৭৮৫৮৬ | মোহাঃ ম্য়াবুল হোসেন | তিতু নেছা | ০৬/০৫/১৯৬৭ | কৃষক | জালতকা, গাংনী, মেহেরপুর |</t>
  </si>
  <si>
    <t>| ৩৭০ | মোহাঃ আলি হোসেন | ৫৭০০৫৬৩৭৮৫৮৭ | মোহাঃ সুরাত আলি | মোছাঃ ছপুরা | ১১/১২/১৯৮২ | দিনমজুর | জালতকা, গাংনী, মেহেরপুর |</t>
  </si>
  <si>
    <t>| ৩৭১ | মোঃ তাহির আলী | ৫৭০০৫৬৩৭৮৫৮৮ | ছইরদ্দিন | সোনাভানু | ০৪/০৫/১৯৮১ | কৃষক | জালতকা, গাংনী, মেহেরপুর |</t>
  </si>
  <si>
    <t>| ৩৭২ | মোঃ আস্তাব আলী | ৫৭০০৫৬৩৭৮৫৯২ | ইয়াকুব | খাতুন | ০৪/০৫/১৯৫৯ | কৃষক | জালতকা, গাংনী, মেহেরপুর |</t>
  </si>
  <si>
    <t>| ৩৭৩ | মোহাঃ আইনাল হক | ৫৭০০৫৬৩৭৮৫৯৪ | মোহাঃ দবির উদ্দিন | মোছাঃ আমেনা খাতুন | ১০/০৩/১৯৮২ | কৃষক | জালতকা, গাংনী, মেহেরপুর |</t>
  </si>
  <si>
    <t>| ৩৭৪ | মোঃ আনিছুর রহমান | ৫৭০০৫৬৩৭৮৫৯৫ | মোঃ আবুচ্ছদ্দীন | মোছাঃ রমেছা খাতুন | ২৩/০৩/১৯৮১ | কৃষক | জালতকা, গাংনী, মেহেরপুর |</t>
  </si>
  <si>
    <t>| ৩৭৫ | মোঃ রিফাত আলী | ৫৭০০৫৬৩৭৮৫৯৭ | পিতা: দাউদ হোসেন | অবেজান | ১০/০৪/১৯৫২ | কৃষক | জালতকা, গাংনী, মেহেরপুর |</t>
  </si>
  <si>
    <t>| ৩৭৬ | মোঃ আনারুল ইসলাম | ৫৭০০৫৬৩৭৮৫৯৮ | মোঃ আবুচ্ছদ্দীন | মোছাঃ মর্জিনা খাতুন | ০৮/১০/১৯৮১ | কৃষক | জালতকা, গাংনী, মেহেরপুর |</t>
  </si>
  <si>
    <t>| ৩৭৭ | মোঃ রুহুল আমিন | ৫৭০০৫৬৩৭৮৫৯৯ | বদর উদ্দীন | মোছাঃ নিমারি নেছা | ১০/০৬/১৯৫৭ | কৃষক | জালতকা, গাংনী, মেহেরপুর |</t>
  </si>
  <si>
    <t>| ৩৭৮ | মোছাঃ হামিদুল ইসলাম | ৫৭০০৫৬৩৭৮৬০০ | মোঃ গোলাম রসুল | মোছাঃ জহুরা খাতুন | ১২/১০/১৯৭৯ | কৃষক | জালতকা, গাংনী, মেহেরপুর |</t>
  </si>
  <si>
    <t>| ৩৭৯ | মোঃ মন্টু মিয়া | ৫৭০০৫৬৩৭৮৬০১ | মো: তফেল উদ্দিন | মোছাঃ সোনা ভানু | ০৬/০২/১৯৮২ | ব্যবসা | জালতকা বালিয়া পাড়া, গাংনী, মেহেরপুর |</t>
  </si>
  <si>
    <t>| ৩৮০ | মোঃ আসাদুল হক | ৫৭০০৫৬৩৭৮৬০৪ | মনিরুদ্দিন | ছমিরন নেছা | ০৪/০৪/১৯৮০ | শ্রমিক | জালতকা বালিয়া পাড়া, গাংনী, মেহেরপুর |</t>
  </si>
  <si>
    <t>| ৩৮১ | মোঃ বিপ্লব হোসেন | ৫৭০০৫৬৩৭৮৬০৫ | মোঃ আসাদুল | মোছাঃ ছবেদা খাতুন | ০৮/০৪/১৯৮৫ | কৃষক | জালতকা, গাংনী, মেহেরপুর |</t>
  </si>
  <si>
    <t>| ৩৮২ | মোঃ আব্দুর রহমান | ৫৭০০৫৬৩৭৮৬০৬ | নবিছদ্দিন | মোছাঃ সকিনা খাতুন | ০৭/০৫/১৯৫২ | ব্যবসা | জালতকা, বালিয়া পাড়া, গাংনী, মেহেরপুর |</t>
  </si>
  <si>
    <t>| ৩৮৩ | মোঃ আসাফুল হক | ৫৭০০৫৬৩৭৮৬১০ | আব্দুল মলিথা | মোছাঃ খাদিজা খাতুন | ০৮/১০/১৯৭৯ | ব্যবসা | জালতকা বালিয়া পাড়া, গাংনী, মেহেরপুর |</t>
  </si>
  <si>
    <t>| ৩৮৪ | মোঃ শাহাদত হোসেন | ৫৭০০৫৬৩৭৮৬১১ | মোঃ আহাদ আলী | শাহানারা | ০১/০৫/১৯৮২ | কৃষক | জালতকা বালিয়া পাড়া, গাংনী, মেহেরপুর |</t>
  </si>
  <si>
    <t>| ৩৮৫ | মোঃ শফিকুল ইসলাম | ৫৭০০৫৬৩৭৮৬১২ | আমালত আলী | মোছাঃ ছইরন নেছা | ০৪/০৩/১৯৬৯ | কৃষক | জালতকা বালিয়া পাড়া, গাংনী, মেহেরপুর |</t>
  </si>
  <si>
    <t>| ৩৮৬ | মোঃ মিনারুল হক | ৫৭০০৫৬৩৭৮৬১৩ | মোঃ রবকুল | মোছাঃ হাজেরা খাতুন | ০৫/০৩/১৯৮০ | কৃষক | জালতকা, গাংনী, মেহেরপুর |</t>
  </si>
  <si>
    <t>| ৩৮৭ | মোঃ আরিফুল হক | ৫৭০০৫৬৩৭৮৬২০ | মোঃ বিল্টু মন্ডল | মোছাঃ ফেরদৌসি খাতুন | ০৮/০৯/১৯৮৫ | কৃষক | জালতকা, গাংনী, মেহেরপুর |</t>
  </si>
  <si>
    <t>| ৩৮৮ | মোঃ আব্দুর রহমান | ৫৭০০৫৬৩৭৮৬২১ | আজিজার রহমান | ইজারন নেছা | ০৬/০৮/১৯৫৭ | কৃষক | জালতকা বালিয়া পাড়া, গাংনী, মেহেরপুর |</t>
  </si>
  <si>
    <t>| ৩৮৯ | মোঃ সুবারেক হোসেন | ৫৭০০৫৬৩৭৮৬২৩ | মোঃ আঃ রহমান | মোছাঃ জাহানারা | ০৮/০৭/১৯৭৯ | কৃষক | জালতকা, গাংনী, মেহেরপুর |</t>
  </si>
  <si>
    <t>| ৩৯০ | মোঃ জিনারুল ইসলাম | ৫৭০০৫৬৩৭৮৬২৫ | মোঃ হায়াত আলী | মো হাঃ রহিমা বেগম | ২৫/০৭/১৯৭৯ | কূ :কে | জালতকা, গাংনী, মেহেরপুর |</t>
  </si>
  <si>
    <t>| ৩৯১ | মোঃ মোবারক হোসেন | ৫৭০০৫৬৩৭৮৬২৬ | মোঃ আঃ রহমান | মোছাঃ জাহানুর খাতুন | ২০/০৬/১৯৮১ | কৃষক | জালতকা, গাংনী, মেহেরপুর |</t>
  </si>
  <si>
    <t>| ৩৯২ | মোঃ রুহুল আমিন | ৫৭০০৫৬৩৭৮৬৩২ | অনিরুদ্দিন | রোকেয়া খাতুন | ০৯/০৮/১৯৭৭ | কৃষক | জালতকা বালিয়া পাড়া, গাংনী, মেহেরপুর |</t>
  </si>
  <si>
    <t>| ৩৯৩ | মোঃ মুকুল হোসেন | ৫৭০০৫৬৩৭৮৬৩৩ | মনিরুদ্দিন | মোছাঃ রোকেয়া খাতুন | ০৯/১০/১৯৭৯ | কৃষক | জালতকা বালিয়া পাড়া, গাংনী, মেহেরপুর |</t>
  </si>
  <si>
    <t>| ৩৯৪ | মোঃ সাজেদুল ইসলাম | ৫৭০০৫৬৩৭৮৬৩৪ | মোঃ দুলাল হোসেন | মোছাঃ সহিদা খাতুন | ০৫/০৬/১৯৯৫ | ব্যবসা | জালতকা বালিয়া পাড়া, গাংনী, মেহেরপুর |</t>
  </si>
  <si>
    <t>| ৩৯৫ | বকুল | ৫৭০০৫৬৩৭৮৬৩৫ | মনিরুদ্দিন | রোকেয়া খাতুন | ০১/০১/১৯৮৩ | ব্যবসা | জালতকা, গাংনী, মেহেরপুর |</t>
  </si>
  <si>
    <t>| ৩৯৬ | মোঃ টুটুল আলী | ৫৭০০৫৬৩৭৮৬৩৯ | মনিরুদ্দিন | মোছাঃ রোকেয়া খাতুন | ০১/১০/১৯৮৫ | কৃষক | জালতকা, গাংনী, মেহেরপুর |</t>
  </si>
  <si>
    <t>| ৩৯৭ | মোঃ আহাদ আলী | ৫৭০০৫৬৩৭৮৬৪২ | গোলাম রসুল | রত্না খাতুন | ০৮/১১/১৯৬৭ | কৃষক | জালতকা বালিয়া পাড়া, গাংনী, মেহেরপুর |</t>
  </si>
  <si>
    <t>| ৩৯৮ | মোঃ ইসরাফ আলী | ৫৭০০৫৬৩৭৮৬৪৫ | আক্কেল আলী | মোছাঃ খোয়ারী খাতুন | ১৭/১০/১৯৭২ | কৃষক | জালতকা, গাংনী, মেহেরপুর |</t>
  </si>
  <si>
    <t>| ৩৯৯ | মোঃ রাইতাল হোসেন | ৫৭০০৫৬৩৭৮৬৬০ | মোঃ জয়নাল আবেদিন | রাইমন বিবি | ০৭/০৯/১৯৬৭ | কৃষক | জালতকা, গাংনী, মেহেরপুর |</t>
  </si>
  <si>
    <t>| ৪০০ | মোঃ তারাচাদ মন্ডল | ৫৭০০৫৬৩৭৮৬৬২ | মফেজদ্দিন | বমেলা খাতুন | ০৭/১০/১৯৭২ | কৃষক | জালতকা বালিয়া পাড়া, গাংনী, মেহেরপুর |</t>
  </si>
  <si>
    <t>| ৪০১ | মোঃ ছুবান আলী | ৫৭০০৫৬৩৭৮৬৬৮ | আজিজার সর্দার | ইজারন নেছা | ১০/১২/১৯৭২ | কৃষক | জালতকা বালিয়া পাড়া, গাংনী, মেহেরপুর |</t>
  </si>
  <si>
    <t>| ৪০২ | মোঃ ঝন্টু আলী | ৫৭০০৫৬৩৭৮৬৭৩ | মোঃ তফেলদ্দীন | মোছাঃ ভানুবিবি | ২৩/০৬/১৯৮০ | ব্যবসা | জালতকা, গাংনী, মেহেরপুর |</t>
  </si>
  <si>
    <t>| ৪০৩ | মোঃ শাহাবুদ্দীন | ৫৭০০৫৬৩৭৮৬৭৮ | মোঃ জাফর আলী | শাহিদা বেগম | ৩০/১১/১৯৮২ | কৃষক | জালতকা বালিয়া পাড়া, গাংনী, মেহেরপুর |</t>
  </si>
  <si>
    <t>| ৪০৪ | মোঃ উসমান গনি | ৫৭০০৫৬৩৭৮৬৮১ | আক্বাস আলী | মোছাঃ খুদারী বেগম | ২৩/০৬/১৯৬০ | কৃষক | জালতকা বালিয়া পাড়া, গাংনী, মেহেরপুর |</t>
  </si>
  <si>
    <t>| ৪০৫ | মোঃ আঃ মালেক | ৫৭০০৫৬৩৭৮৬৮২ | মোঃ মজিবর রহমান | মোছাঃ মইমনা খাতুন | ২৬/০৬/১৯৭০ | কৃষক | জালতকা বালিয়া পাড়া, গাংনী, মেহেরপুর |</t>
  </si>
  <si>
    <t>| ৪০৬ | মোঃ হমিজদ্দীন | ৫৭০০৫৬৩৭৮৬৮৩ | বক্স মন্ডল | ইজারন খাতুন | ৩০/১২/১৯৬২ | ব্যবসা | জালতকা বালিয়া পাড়া, গাংনী, মেহেরপুর |</t>
  </si>
  <si>
    <t>| ৪০৭ | মোঃ নজরুল ইসলাম | ৫৭০০৫৬৩৭৮৬৮৪ | মফিজুদ্দিন | ওমিলা বেগম | ২২/০৫/১৯৬৭ | কৃষক | জালতকা, গাংনী, মেহেরপুর |</t>
  </si>
  <si>
    <t>| ৪০৮ | মোঃ গোলাম রসুল | ৫৭০০৫৬৩৭৮৬৮৬ | মোঃ মসলেম আলী | মোছাঃ আনোয়ারা খাতুন | ২০/০৪/১৯৮০ | কৃষক | জালতকা বালিয়া পাড়া, গাংনী, মেহেরপুর |</t>
  </si>
  <si>
    <t>| ৪০৯ | আহাম্মাদ আলী | ৫৭০০৫৬৩৭৮৬৮৭ | কফিলুদ্দিন মন্ডল | লাল বানু | ১১/০৫/১৯৫৭ | কৃষক | জালতকা, গাংনী, মেহেরপুর |</t>
  </si>
  <si>
    <t>| ৪১০ | মোঃ তফেল উদ্দীন | ৫৭০০৫৬৩৭৮৬৮৮ | মফেজদ্দীন | ওমিলা খাতুন | ১০/০৫/১৯৫৭ | কৃষক | জালতকা বালিয়া পাড়া, গাংনী, মেহেরপুর |</t>
  </si>
  <si>
    <t>| ৪১১ | মোঃ ইয়াছদ্দীন | ৫৭০০৫৬৩৭৮৬৯২ | আহাম্মাদ মন্ডল | মোছাঃ সুরাতন নেছা | ০১/০২/১৯৬২ | কৃষক | জালতকা, গাংনী, মেহেরপুর |</t>
  </si>
  <si>
    <t>| ৪১২ | মোঃ আঃ খালেক | ৫৭০০৫৬৩৭৮৬৯৩ | ওবেদ আলী | মোছাঃ খদেজা খাতুন | ০৫/১১/১৯৭০ | কৃষক | জালতকা বালিয়া পাড়া, গাংনী, মেহেরপুর |</t>
  </si>
  <si>
    <t>| ৪১৩ | মোঃ হায়াত আলী | ৫৭০০৫৬৩৭৮৬৯৪ | রবকুল মন্ডল | সুবাসী খাতুন | ০৫/০৭/১৯৫৬ | কৃষক | জালতকা, গাংনী, মেহেরপুর |</t>
  </si>
  <si>
    <t>| ৪১৪ | মোঃ নুরুজ্জামান | ৫৭০০৫৬৩৭৮৬৯৫ | মোঃ সিরাজ শেখ | মোছাঃ হাজেরা খাতুন | ০৮/০৪/১৯৭২ | কৃষক | জালতকা, গাংনী, মেহেরপুর |</t>
  </si>
  <si>
    <t>| ৪১৫ | মোঃ জিন্নাত আলী | ৫৭০০৫৬৩৭৮৬৯৬ | ইলা বক্স | মোছাঃ এলেপান বিবি | ০৮/০৫/১৯৭৫ | কৃষক | জালতকা বালিয়া পাড়া, গাংনী, মেহেরপুর |</t>
  </si>
  <si>
    <t>| ৪১৬ | মোঃ নওশাদ আলী | ৫৭০০৫৬৩৭৮৬৯৮ | আহাম্মাদ আলী | মোছাঃ বাসিরন নেছা | ০৪/০৩/১৯৮১ | কৃষক | জালতকা বালিয়া পাড়া, গাংনী, মেহেরপুর |</t>
  </si>
  <si>
    <t>| ৪১৭ | মোঃ মহসীন আলী | ৫৭০০৫৬৩৭৮৬৯৯ | মোঃ মসলেম আলী | মোছাঃ আনোয়ারা খাতুন | ১১/১২/১৯৭৩ | কৃষক | জালতকা বালিয়া পাড়া, গাংনী, মেহেরপুর |</t>
  </si>
  <si>
    <t>| ৪১৮ | মোঃ মতিয়ার রহমান | ৫৭০০৫৬৩৭৮৭০০ | আঃ রহিম | মোছাঃ রোকিয়া খাতুন | ০৯/০২/১৯৭২ | কৃষক | জালতকা বালিয়া পাড়া, গাংনী, মেহেরপুর |</t>
  </si>
  <si>
    <t>| ৪১৯ | মোঃ আবু তাহের | ৫৭০০৫৬৩৭৮৭০১ | আজিজার সর্দার | ইজারন নেছা | ০৫/০৮/১৯৬৬ | কৃষক | জালতকা বালিয়া পাড়া, গাংনী, মেহেরপুর |</t>
  </si>
  <si>
    <t>| ৪২০ | আব্দুর রাজ্জাক | ৫৭০০৫৬৩৭৮৭০২ | আকবার মন্ডল | মোছাঃ খুকি বিবি | ০৮/১০/১৯৬৭ | কৃষক | জালতকা বালিয়া পাড়া, গাংনী, মেহেরপুর |</t>
  </si>
  <si>
    <t>| ৪২১ | মোঃ শাহাজান আলী | ৫৭০০৫৬৩৭৮৭০৩ | মোঃ দবিরুদ্দীন | মোছাঃ জয়নব খাতুন | ০৯/০৩/১৯৬৫ | কৃষক | জালতকা বালিয়া পাড়া, গাংনী, মেহেরপুর |</t>
  </si>
  <si>
    <t>| ৪২২ | মোঃ মিনারুল ইসলাম | ৫৭০০৫৬৩৭৮৭০৪ | মোঃ হায়াত আলী | মোছাঃ শাহিদা বেগম | ০৮/১১/১৯৭৭ | কৃষক | জালতকা বালিয়া পাড়া, গাংনী, মেহেরপুর |</t>
  </si>
  <si>
    <t>| ৪২৩ | মোঃ আক্তারুল হক | ৫৭০০৫৬৩৭৮৭০৬ | মোঃ রবকুল মন্ডল | মোছাঃ হাজেরা খাতুন | ০৯/০৮/১৯৭৭ | কৃষক | জালতকা, গাংনী, মেহেরপুর |</t>
  </si>
  <si>
    <t>| ৪২৪ | মোঃ মিকাইল হোসেন | ৫৭০০৫৬৩৭৮৭০৭ | মোঃ গঞ্জর আলী | মোছাঃ জুলেখা খাতুন | ০৮/০৬/১৯৮৮ | কৃষক | জালতকা, গাংনী, মেহেরপুর |</t>
  </si>
  <si>
    <t>| ৪২৫ | মোঃ রবকুল সর্দার | ৫৭০০৫৬৩৭৮৭০৮ | লুৎফল সর্দার | মহিরন নেছা | ০৯/০৬/১৯৩৭ | কৃষক | জালতকা, কসবা, গাংনী, মেহেরপুর |</t>
  </si>
  <si>
    <t>| ৪২৬ | মোঃ ইসরাঈল হোসেন | ৫৭০০৫৬৩৭৮৭০৯ | মোঃ গনজর আলী | মোছাঃ জালেমা খাতুন | ১২/১১/১৯৮০ | কৃষক | জালতকা বালিয়া পাড়া, কসবা, গাংনী, মেহেরপুর |</t>
  </si>
  <si>
    <t>| ৪২৭ | মোঃ মতিয়ার রহমান | ৫৭০০৫৬৩৭৮৭১২ | মোঃ আঃ রহিম | মোছাঃ তকিরন | ০৭/০৪/১৯৮২ | কৃষক | জালতকা, গাংনী, মেহেরপুর |</t>
  </si>
  <si>
    <t>| ৪২৮ | মোঃ বাদল আলী | ৫৭০০৫৬৩৭৮৭২১ | আকবার আলী | রায়মন | ১১/০৮/১৯৬৭ | কৃষক | জালতকা বালিয়া পাড়া, কসবা, গাংনী, মেহেরপুর |</t>
  </si>
  <si>
    <t>| ৪২৯ | মাইগ্রেট হয়েছে |  |  |  |  |  |  |</t>
  </si>
  <si>
    <t>| ৪৩০ | মোঃ কামরুল হোসেন | ৫৭০০৫৬৩৭৮৭২৫ | মোঃ আক্কেল আলী | মোছাঃ হাছিনা খাতুন | ২৫/০৪/১৯৭৬ | কৃষক | জালতকা, কসবা, গাংনী, মেহেরপুর |</t>
  </si>
  <si>
    <t>| ৪৩১ | নাম: মোঃ আব্বাস আলী | ৫৭০০৫৬৩৭৮৭২৯ | মোঃ ইব্রাহিম | শহিদা খাতুন | ১১/০১/১৯৬৩ | কৃষক | জালতকা বালিয়া পাড়া, কসবা, গাংনী, মেহেরপুর |</t>
  </si>
  <si>
    <t>| ৪৩২ | নাম: মোঃ ইয়াছিন আলী | ৫৭০০৫৬৩৭৮৭৩২ | হানিফ আলী | মোছাঃ বানু খাতুন | ০২/০১/১৯৭৭ | কৃষক | জালতকা বালিয়া পাড়া, গাংনী, মেহেরপুর |</t>
  </si>
  <si>
    <t>| ৪৩৩ | মোঃ ইকলাস আলী | ৫৭০০৫৬৩৭৮৭৩৫ | মোঃ ছাদিমান | মোছাঃ শাহানারা | ০৩/০২/১৯৮৩ | কৃষক | জালতকা বালিয়া পাড়া, গাংনী, মেহেরপুর |</t>
  </si>
  <si>
    <t>| ৪৩৪ | মোঃ ইব্রাহীম আলী | ৫৭০০৫৬৩৭৮৭৩৮ | শামসুদ্দীন মোল্লাহ | মোছাঃ রুবিয়া খাতুন | ০৮/০৬/১৯৬১ | কৃষক | জালতকা বালিয়া পাড়া, গাংনী, মেহেরপুর |</t>
  </si>
  <si>
    <t>| ৪৩৫ | মোঃ ইয়াদুল হক | ৫৭০০৫৬৩৭৮৭৩৯ | মোঃ জয়নাল আবেদিন | রইমন খাতুন | ০১/০১/১৯৭৪ | কৃষক | জালতকা, গাংনী, মেহেরপুর |</t>
  </si>
  <si>
    <t>| ৪৩৬ | মোঃ রতিয়ার রহমান | ৫৭০০৫৬৩৭৮৭৪৪ | আঃ রহিম | মোছাঃ রোকিয়া খাতুন | ০৬/০৮/১৯৭৩ | কৃষক | জালতকা বালিয়া পাড়া, গাংনী, মেহেরপুর |</t>
  </si>
  <si>
    <t>| ৪৩৭ | মাইগ্রেট হয়েছে |  |  |  |  |  |  |</t>
  </si>
  <si>
    <t>| ৪৩৮ | মোঃ ইয়ার আলী | ৫৭০০৫৬৩৭৮৭৪৮ | মোঃ দেলবার হোসেন | রইমন নেছা | ০৫/১২/১৯৭৭ | কৃষক | জালতকা, গাংনী, মেহেরপুর |</t>
  </si>
  <si>
    <t>| ৪৩৯ | মোঃ শাহজাহান | ৫৭০০৫৬৩৭৮৭৫০ | মোঃ মসলেম আলী | মোছাঃ আনোয়ারা | ০৮/০৫/১৯৭৫ | কৃষক | জালতকা বালিয়া পাড়া, গাংনী, মেহেরপুর |</t>
  </si>
  <si>
    <t>| ৪৪০ | মোঃ রমছদ্দীন মন্ডল | ৫৭০০৫৬৩৭৮৭৫১ | আমালত মন্ডল | মোছাঃ করিমন নেছা | ২২/১২/১৯৫৭ | কৃষক | জালতকা বালিয়া পাড়া, গাংনী, মেহেরপুর |</t>
  </si>
  <si>
    <t>| ৪৪১ | মোঃ বাবলু আলী | ৫৭০০৫৬৩৭৮৭৫৫ | মোঃ রতন মন্ডল | মোছাঃ তরিছন নেছা | ২২/০৭/১৯৮০ | কৃষক | জালতকা বালিয়া পাড়া, গাংনী, মেহেরপুর |</t>
  </si>
  <si>
    <t>| ৪৪২ | মোঃ রতন মন্ডল | ৫৭০০৫৬৩৭৮৭৫৭ | মুজাফ মন্ডল | মাহিরন নেছা | ২২/১২/১৯৪৮ | কৃষক | জালতকা, গাংনী, মেহেরপুর |</t>
  </si>
  <si>
    <t>| ৪৪৩ | মোঃ মহিরক আলী | ৫৭০০৫৬৩৭৮৭৫৯ | আহাম্মাদ মন্ডল | মোছাঃ ছুরাতন নেছা | ০৯/০১/১৯৭২ | কৃষক | জালতকা, গাংনী, মেহেরপুর |</t>
  </si>
  <si>
    <t>| ৪৪৪ | মোঃ হাসিবুল | ৫৭০০৫৬৩৭৮৭৬০ | আহাম্মাদ মন্ডল | মোছাঃ সুরাতন | ২২/০৪/১৯৮০ | কৃষক | জালতকা, গাংনী, মেহেরপুর |</t>
  </si>
  <si>
    <t>| ৪৪৫ | মোঃ মজিবুল হক | ৫৭০০৫৬৩৭৮৭৬১ | মোঃ রতন মন্ডল | মোছাঃ তরিছন নেছা | ৩০/০৮/১৯৭৭ | কৃষক | জালতকা বালিয়া পাড়া, গাংনী, মেহেরপুর |</t>
  </si>
  <si>
    <t>| ৪৪৬ | মোঃ আলমগীর হোসেন | ৫৭০০৫৬৩৭৮৭৭৬ | হিলাল উদ্দীন | মোছাঃ কহিনুর খাতুন | ১৫/০৬/১৯৮৫ | বেসরকারী চাকুরী | জালতকা উত্তরপাড়া, গাংনী, মেহেরপুর |</t>
  </si>
  <si>
    <t>| ৪৪৭ | মাইগ্রেট হয়েছে |  |  |  |  |  |  |</t>
  </si>
  <si>
    <t>| ৪৪৮ | মোঃ রিয়াজ উদ্দীন | ৫৭০০৫৬৩৭৮৭৮৫ | মো দুধু মিয়া | রহিমা বেগম | ০১/০১/১৯৯০ | ছাত্র/ছাত্রী | জালতকা, গাংনী, মেহেরপুর |</t>
  </si>
  <si>
    <t>| ৪৪৯ | মোঃ কাওছার আলী | ৫৭০০৫৬৩৭৮৭৮৬ | মোঃ আবু তালেব | মোছাঃ ছাবিন নেছা | ৩০/০১/১৯৭৩ | কৃষক | জালতকা উত্তর পাড়া, গাংনী, মেহেরপুর |</t>
  </si>
  <si>
    <t>| ৪৫০ | মোঃ আব্দুল মান্নান | ৫৭০০৫৬৩৭৮৭৮৯ | শওকত মালিথা | আতরা খাতুন | ১৬/০১/১৯৮০ | কৃষক | জালতকা উত্তর পাড়া, গাংনী, মেহেরপুর |</t>
  </si>
  <si>
    <t>| ৪৫১ | মোঃ ইদ্রিস আলী | ৫৭০০৫৬৩৭৮৭৯০ | আমিরুদ্দিন | আলতাবানু | ০৪/০৮/১৯৬২ | কৃষক | জালতকা উত্তরপাড়া, গাংনী, মেহেরপুর |</t>
  </si>
  <si>
    <t>| ৪৫২ | মোঃ বাবুল আলী | ৫৭০০৫৬৩৭৮৭৯১ | আমদ আলী | হালিমা খাতুন | ১৭/০৯/১৯৬২ | কৃষক | জালতকা উত্তর পাড়া, গাংনী, মেহেরপুর |</t>
  </si>
  <si>
    <t>| ৪৫৩ | মোঃ বজলুল হক | ৫৭০০৫৬৩৭৮৭৯২ | মাদার শেখ | মোছাঃ জহুরা খাতুন | ১৯/০৭/১৯৬৯ | কৃষক | জালতকা, গাংনী, মেহেরপুর |</t>
  </si>
  <si>
    <t>| ৪৫৪ | মোঃ আছলদ্দীণ | ৫৭০০৫৬৩৭৮৭৯৭ | মফেজদ্দিন | মোছাঃ রাহেলা খাতুন | ২১/০৩/১৯৭৭ | কৃষক | জালতকা, গাংনী, মেহেরপুর |</t>
  </si>
  <si>
    <t>| ৪৫৫ | মোঃ সিরাজুল ইসলাম | ৫৭০০৫৬৩৭৮৭৯৮ | দুংখি শেখ | মোছাঃ রহিমা খাতুন | ২২/০৯/১৯৬৮ | কৃষক | জালতকা, গাংনী, মেহেরপুর |</t>
  </si>
  <si>
    <t>| ৪৫৬ | মোঃ মখলেছুর রহমান | ৫৭০০৫৬৩৭৮৮০০ | মোঃ সাদিমান | মোছাঃ শাহানারা | ২২/০৪/১৯৮৯ | কৃষক | জালতকা বালিয়া পাড়া, গাংনী, মেহেরপুর |</t>
  </si>
  <si>
    <t>| ৪৫৭ | মোঃ আবুল কাশেম | ৫৭০০৫৬৩৭৮৮০২ | মফেজদ্দিন | মোছাঃ রাহেলা খাতুন | ০৫/০৭/১৯৬৫ | কৃষক | জালতকা মসজিদ পাড়া, গাংনী, মেহেরপুর |</t>
  </si>
  <si>
    <t>| ৪৫৮ | মোঃ হাবিবুর রহমান | ৫৭০০৫৬৩৭৮৮০৭ | মোঃ আফিলুদ্দীন | মোছাঃ রেজিয়া খাতুন | ০৭/০৯/১৯৭৫ | কৃষক | জালতকা, গাংনী, মেহেরপুর |</t>
  </si>
  <si>
    <t>| ৪৫৯ | মোঃ শামিম হোসেন | ৫৭০০৫৬৩৭৮৮০৮ | মাদার শেখ | মোছাঃ জহুরা খাতুন | ১৩/০৪/১৯৮১ | কৃষক | জালতকা মসজিদ পাড়া, জালতকা, গাংনী, মেহেরপুর |</t>
  </si>
  <si>
    <t>| ৪৬০ | মোঃ তক্কেল আলী | ৫৭০০৫৬৩৭৮৮১০ | শামসুদ্দীন মালিথা | আইজান নেছা | ০৫/০৩/১৯৬২ | কৃষক | জালতকা, গাংনী, মেহেরপুর |</t>
  </si>
  <si>
    <t>| ৪৬১ | মোঃ আঃ সামাদ | ৫৭০০৫৬৩৭৮৮১৫ | মোঃ দবিরুদ্দীন | মোছাঃ আমিনা | ২২/০৩/১৯৭২ | কৃষক | জালতকা মসজিদপাড়া, গাংনী, মেহেরপুর |</t>
  </si>
  <si>
    <t>| ৪৬২ | মোঃ আবুছদ্দিন মন্ডল | ৫৭০০৫৬৩৭৮৮১৬ | আহাম্মাদ আলী | মোছাঃ সুরাতন নেছা | ৩০/০৪/১৯৫২ | কৃষক | জালতকা, গাংনী, মেহেরপুর |</t>
  </si>
  <si>
    <t>| ৪৬৩ | মোঃ রমজান আলী | ৫৭০০৫৬৩৭৮৮১৯ | মোঃ খেদের আলী | মোছাঃ সোহাগী | ২২/০৪/১৯৭৩ | কৃষক | জালতকা, গাংনী, মেহেরপুর |</t>
  </si>
  <si>
    <t>| ৪৬৪ | মোঃ আক্তারুল | ৫৭০০৫৬৩৭৮৮২২ | মোঃ বানু মন্ডল | আহাজান নেছা | ১০/০৬/১৯৭৮ | কৃষক | জালতকা, গাংনী, মেহেরপুর |</t>
  </si>
  <si>
    <t>| ৪৬৫ | মোঃ হাবিবুর রহমান | ৫৭০০৫৬৩৭৮৮২৩ | মোঃ দবিরুদ্দিন | মোছাঃ আমিনা | ১১/০৭/১৯৬৭ | কৃষক | জালতকা মসজিদপাড়া, গাংনী, মেহেরপুর |</t>
  </si>
  <si>
    <t>| ৪৬৬ | মোঃ বানু মন্ডল | ৫৭০০৫৬৩৭৮৮২৪ | অলি বক্স | রমেছা খাতুন | ১৭/০৪/১৯৩৫ | কৃষক | জালতকা মসজিদপাড়া, গাংনী, মেহেরপুর |</t>
  </si>
  <si>
    <t>| ৪৬৭ | মোঃ আক্কাস আলী | ৫৭০০৫৬৩৭৮৮২৬ | শামসুদ্দীন | আইজান নেছা | ১৯/০৫/১৯৫২ | কৃষক | জালতকা, গাংনী, মেহেরপুর |</t>
  </si>
  <si>
    <t>| ৪৬৮ | মোঃ ইয়ামিন হোসেন | ৫৭০০৫৬৩৭৮৮২৯ | মোঃ তক্কেল আলী | মোছাঃ কহিনুর বেগম | ০৯/০৮/১৯৮২ | কৃষক | জালতকা, গাংনী, মেহেরপুর |</t>
  </si>
  <si>
    <t>| ৪৬৯ | মোঃ রুহুল আমিন | ৫৭০০৫৬৩৭৮৮৩০ | মোঃ তক্কেল আলী | মোছাঃ কহিনুর বেগম | ০৮/০৪/১৯৭৯ | কৃষক | জালতকা মসজিদ পাড়া, গাংনী, মেহেরপুর |</t>
  </si>
  <si>
    <t>| ৪৭০ | মোঃ মহিবুল হক | ৫৭০০৫৬৩৭৮৮৩২ | মোঃ নজরুল ইসলাম | মোছাঃ মহিলা খাতুন | ১০/০৫/১৯৮০ | কৃষক | জালতকা মসজিদ পাড়া, গাংনী, মেহেরপুর |</t>
  </si>
  <si>
    <t>| ৪৭১ | মোঃ আরমান আলী | ৫৭০০৫৬৩৭৮৮৩৩ | মফেজদ্দিন | মোছাঃ রমেলা খাতুন | ১৮/০৪/১৯৭১ | কৃষক | জালতকা মসজিদপাড়া, গাংনী, মেহেরপুর |</t>
  </si>
  <si>
    <t>| ৪৭২ | মোঃ আনছারদ্দিন | ৫৭০০৫৬৩৭৮৮৩৫ | আহাম্মাদ আলী | মোছাঃ সুরাতন নেছা | ১১/০৪/১৯৭৬ | কৃষক | জালতকা মসজিদ পাড়া, গাংনী, মেহেরপুর |</t>
  </si>
  <si>
    <t>| ৪৭৩ | মোঃ গিয়াস উদ্দীন | ৫৭০০৫৬৩৭৮৮৩৬ | আহাম্মাদ আলী | মোছাঃ ছুরাতন নেছা | ২৫/০২/১৯৭৪ | শিক্ষক | জালতকা, গাংনী, মেহেরপুর |</t>
  </si>
  <si>
    <t>| ৪৭৪ | মোঃ মুন্তাজ আলী | ৫৭০০৫৬৩৭৮৮৩৮ | মোঃ দুল্লপ মালিথা | মোছাঃ ওহেদান | ০২/০৩/১৯৬২ | কৃষক | জালতকা মসজিদপাড়া, গাংনী, মেহেরপুর |</t>
  </si>
  <si>
    <t>| ৪৭৫ | মোঃ ফজলুল হক | ৫৭০০৫৬৩৭৮৮৪০ | আঃ লতিফ | রোমেলা খাতুন | ০৫/০৩/১৯৬১ | কৃষক | জালতকা, গাংনী, মেহেরপুর |</t>
  </si>
  <si>
    <t>| ৪৭৬ | মোঃ বজলুল হক | ৫৭০০৫৬৩৭৮৮৪২ | আঃ লতিফ বিশ্বাস | মৃত রমেলা খাতুন | ১৭/০৪/১৯৬৩ | কৃষক | জালতকা মসজিদপাড়া, গাংনী, মেহেরপুর |</t>
  </si>
  <si>
    <t>| ৪৭৭ | মোঃ শামসুল হক | ৫৭০০৫৬৩৭৮৮৬১ | মোঃ আজিমুদ্দীন | মোছাঃ বানুয়ারা খাতুন | ১০/০১/১৯৫৯ | কৃষক | জালতকা মসজিদ পাড়া, গাংনী, মেহেরপুর |</t>
  </si>
  <si>
    <t>| ৪৭৮ | মোঃ সাজেদুল ইসলাম | ৫৭০০৫৬৩৭৮৮৭২ | মোঃ সিরাজুল ইসলাম | মোছাঃ সুরাতন নেছা | ২০/০৮/১৯৭৯ | কৃষক | জালতকা মসজিদ পাড়া, গাংনী, মেহেরপুর |</t>
  </si>
  <si>
    <t>| ৪৭৯ | মোঃ জিনারুল ইসলাম | ৫৭০০৫৬৩৭৮৮৭৫ | মোঃ আঃ হামান | মোছাঃ মনোয়ারা | ০৫/০৭/১৯৭৫ | রিক্সা/ভ্যান চালক | জালতকা, গাংনী, মেহেরপুর |</t>
  </si>
  <si>
    <t>| ৪৮০ | মোঃ আব্বাস আলী | ৫৭০০৫৬৩৭৮৮৭৯ | আঃ কুদ্দুস | মোছাঃ সুবারন | ০৯/০৭/১৯৮২ | কৃষক | জালতকা মসজিদ পাড়া, গাংনী, মেহেরপুর |</t>
  </si>
  <si>
    <t>| ৪৮১ | মোঃ শাহাবুল | ৫৭০০৫৬৩৭৮৮৮৪ | মোঃ দবির উদ্দীন | মোছাঃ জয়নব বিবি | ১২/০৮/১৯৭৭ | কৃষক | জালতকা, গাংনী, মেহেরপুর |</t>
  </si>
  <si>
    <t>| ৪৮২ | মোঃ হাসান আলী | ৫৭০০৫৬৩৭৮৮৮৫ | উকিল মন্ডল | মোছাঃ হামিনা | ২৮/০৪/১৯৭৭ | কৃষক | জালতকা, গাংনী, মেহেরপুর |</t>
  </si>
  <si>
    <t>| ৪৮৩ | মোঃ সাজদার হোসেন | ৫৭০০৫৬৩৭৮৮৮৬ | ছাদেক আলী | মোছাঃ আমিনা | ২৭/০৩/১৯৬৬ | কৃষক | জালতকা মসজিদ পাড়া, জালতকা, গাংনী, মেহেরপুর |</t>
  </si>
  <si>
    <t>| ৪৮৪ | মোঃ বাবলু হোসেন | ৫৭০০৫৬৩৭৮৮৮৭ | ছাদেক আলী | আমিনা খাতুন | ০১/০১/১৯৮২ | কৃষক | জালতকা, গাংনী, মেহেরপুর |</t>
  </si>
  <si>
    <t>| ৪৮৫ | মোঃ মহিবুল ইসলাম | ৫৭০০৫৬৩৭৮৮৮৮ | মোঃ পিজিরুদ্দীন | মোছাঃ নুরজাহান | ২৩/০৯/১৯৬৭ | কৃষক | জালতকা মসজিদপাড়া, গাংনী, মেহেরপুর |</t>
  </si>
  <si>
    <t>| ৪৮৬ | মোঃ শহিদুল ইসলাম | ৫৭০০৫৬৩৭৮৮৯২ | মোঃ দুল্লপ মালিথা | মোছাঃ ওহেজান | ২৩/০১/১৯৬৯ | কৃষক | জালতকা মসজিদ পাড়া, গাংনী, মেহেরপুর |</t>
  </si>
  <si>
    <t>| ৪৮৭ | মোঃ আঃ কুদ্দুস | ৫৭০০৫৬৩৭৮৮৯৭ | জয়নাল | মাহিরন | ১১/০১/১৯৫৯ | কৃষক | জালতকা মসজিদ পাড়া, গাংনী, মেহেরপুর |</t>
  </si>
  <si>
    <t>| ৪৮৮ | মোঃ আয়ুব আলী | ৫৭০০৫৬৩৭৮৮৯৮ | মোঃ দেলবার | মোছাঃ রহিমা খাতুন | ২৭/০৯/১৯৫৯ | কৃষক | জালতকা মসজিদ পাড়া, গাংনী, মেহেরপুর |</t>
  </si>
  <si>
    <t>| ৪৮৯ | মোঃ নজির আলী | ৫৭০০৫৬৩৭৮৮৯৯ | ছাদেক আলী | আমিনা খাতুন | ২২/১১/১৯৮২ | কৃষক | জালতকা মসজিদ পাড়া, গাংনী, মেহেরপুর |</t>
  </si>
  <si>
    <t>| ৪৯০ | মোঃ আলমগীর হোসেন | ৫৭০০৫৬৩৭৮৯০০ | মোঃ আয়ুব আলী | মোছাঃ সুফিয়া খাতুন | ০৯/০২/১৯৮৭ | কৃষক | জালতকা, গাংনী, মেহেরপুর |</t>
  </si>
  <si>
    <t>| ৪৯১ | মোঃ ওমর আলী | ৫৭০০৫৬৩৭৮৯০২ | তালুক মন্ডল | মোছাঃ ইনছান বেওয়া | ০৩/০৫/১৯৫২ | কৃষক | জালতকা, গাংনী, মেহেরপুর |</t>
  </si>
  <si>
    <t>| ৪৯২ | মোঃ সিরাজুল ইসলাম | ৫৭০০৫৬৩৭৮৯০৫ | মোঃ ওমর আলী | মোছাঃ ছারেজান নেছা | ০১/০৬/১৯৮৯ | কৃষক | জালতকা, গাংনী, মেহেরপুর |</t>
  </si>
  <si>
    <t>| ৪৯৩ | মোঃ শহিদুল ইসলাম | ৫৭০০৫৬৩৭৮৯০৯ | আজিজার বিশ্বাস | মোছাঃ জাহানারা | ০৮/০১/১৯৭১ | ব্যবসা | জালতকা, গাংনী, মেহেরপুর |</t>
  </si>
  <si>
    <t>| ৪৯৪ | মোঃ বাবলু হোসেন | ৫৭০০৫৬৩৭৮৯১৩ | মোঃ ছইরদ্দিন | মোছাঃ খুদিমন নেছা | ২২/০৭/১৯৬২ | ব্যবসা | জালতকা, গাংনী, মেহেরপুর |</t>
  </si>
  <si>
    <t>| ৪৯৫ | মোঃ সাহিদুল ইসলাম | ৫৭০০৫৬৩৭৮৯১৭ | মোঃ মিরাজুল হক | মোছাঃ ছালেহা খাতুন | ০৩/০৭/১৯৭৭ | ব্যবসা | জালতকা, গাংনী, মেহেরপুর |</t>
  </si>
  <si>
    <t>| ৪৯৬ | মোঃ মিরাজুল হক | ৫৭০০৫৬৩৭৮৯১৮ | আব্দুল জব্বার | চাঁদমনি | ০৩/০৫/১৯৫২ | কৃষক | জালতকা, গাংনী, মেহেরপুর |</t>
  </si>
  <si>
    <t>| ৪৯৭ | মোঃ নাজমুল হুদা | ৫৭০০৫৬৩৭৮৯২৯ | মোঃ আব্দুর রাজ্জাক | মোছাঃ ফিরোজা খাতুন | ২৮/০৬/১৯৮৬ | কৃষক | জালতকা, গাংনী, মেহেরপুর |</t>
  </si>
  <si>
    <t>| ৪৯৮ | মোঃ আব্দুল মজিদ | ৫৭০০৫৬৩৭৮৯৩২ | খোদা বক্স | মোছাঃ ওকিরন নেছা | ১৪/০২/১৯৮২ | ব্যবসা | জালতকা, গাংনী, মেহেরপুর |</t>
  </si>
  <si>
    <t>| ৪৯৯ | মোঃ আমিন উল্লাহ | ৫৭০০৫৬৩৭৮৯৩৫ | মোঃ ফাকের আলী মন্ডল | মোছাঃ আজিরন নেছা | ০১/০৩/১৯৫২ | কৃষক | জালতকা, গাংনী, মেহেরপুর |</t>
  </si>
  <si>
    <t>| ৫০০ | মোঃ আব্বাস আলী | ৫৭০০৫৬৩৭৮৯৩৬ | মোঃ ঠান্ডু শেখ | মোছাঃ কাইনুর | ০৩/০২/১৯৮২ | দিনমজুর | জালতকা, গাংনী, মেহেরপুর |</t>
  </si>
  <si>
    <t>| ৫০১ | মোঃ আখতারুজ্জামান | ৫৭০০৫৬৩৭৮৯৪২ | মোঃ জামাল উদ্দীন | মোছাঃ মালেকা খাতুন | ০১/০১/১৯৯০ | ছাত্র/ছাত্রী | জালতকা, গাংনী, মেহেরপুর |</t>
  </si>
  <si>
    <t>| ৫০২ | নাম: মোঃ রুহুল আমিন | ৫৭০০৫৬৩৭৮৯৪৫ | শাবদাল বিশ্বাস | মোছাঃ রহিমা খাতুন | ১০/০৫/১৯৫০ | কৃষক | জালতকা, গাংনী, মেহেরপুর |</t>
  </si>
  <si>
    <t>| ৫০৩ | নাম: মোঃ জামিরুল ইসলাম | ৫৭০০৫৬৩৭৮৯৫৪ | মোঃ মোশাররফ হোসেন | মোছাঃ রসুলা খাতুন | ০১/০১/১৯৭৬ | দিনমজুর | জালতকা, গাংনী, মেহেরপুর |</t>
  </si>
  <si>
    <t>| ৫০৪ | নাম: মোঃ জামাল উদ্দীন | ৫৭০০৫৬৩৭৮৯৫৯ | মোঃ আজিজুল হক | মোছাঃ হালিমা খাতুন | ০১/০১/১৯৬৩ | কৃষক | জালতকা, গাংনী, মেহেরপুর |</t>
  </si>
  <si>
    <t>| ৫০৫ | নাম: মোঃ ঠান্ডু শেখ | ৫৭০০৫৬৩৭৮৯৫৬ | ইজ্জত আলী | মাতা: নুরজাহান নেছা | ২০/০৪/১৯৪২ | কৃষক | জালতকা, গাংনী, মেহেরপুর |</t>
  </si>
  <si>
    <t>| ৫০৬ | নাম: মোঃ ইউসুফ আলী | ৫৭০০৫৬৩৭৮৯৫৮ | তুরাফ বিশ্বাস | আজিরন নেছা | ২০/০৪/১৯৩৯ | কৃষক | জালতকা, গাংনী, মেহেরপুর |</t>
  </si>
  <si>
    <t>| ৫০৭ | নাম: মোঃ মনসুরুল ইসলাম | ৫৭০০৫৬৩৭৮৯৫৯ | মোঃ ইউসুফ আলি | মোছাঃ জাহিদা খাতুন | ০৬/১০/১৯৮৯ | বেকার | জালতকা, গাংনী, মেহেরপুর |</t>
  </si>
  <si>
    <t>| ৫০৮ | নাম: মোঃ আনোয়ার হোসাইন | ৫৭০০৫৬৩৭৮৯৬০ | মোঃ ইলিয়াস হোসেন | মোছা ফাহিমা খাতুন | ০৪/১০/১৯৮৪ | কৃষক | জালতকা, গাংনী, মেহেরপুর |</t>
  </si>
  <si>
    <t>| ৫০৯ | নাম: মোঃ ইলিয়াছ হোসেন | ৫৭০০৫৬৩৭৮৯৬১ | মাহাতাব উদ্দীন | মোছাঃ সাজেদা খাতুন | ১২/০১/১৯৬০ | কৃষক | জালতকা, গাংনী, মেহেরপুর |</t>
  </si>
  <si>
    <t>| ৫১০ | নাম: মোঃ মাসদুর রহমান | ৫৭০০৫৬৩৭৮৯৬৩ | মোঃ ইউসুফ বিশ্বাস | মোছাঃ জায়েদা খাতুন | ০২/০১/১৯৭০ | কৃষক | জালতকা, গাংনী, মেহেরপুর |</t>
  </si>
  <si>
    <t>| ৫১১ | নাম: মোঃ ইয়াছিন আলী | ৫৭০০৫৬৩৭৮৯৬৪ | মাহাতাব উদ্দীন | মোছাঃ সাজেদা খাতুন | ০৬/০৯/১৯৬৭ | কৃষক | জালতকা, গাংনী, মেহেরপুর |</t>
  </si>
  <si>
    <t>| ৫১২ | নাম: মোঃ মনিরুল ইসলাম | ৫৭০০৫৬৩৭৮৯৬৬ | আ: সাত্তার | মোছাঃ রওশনরা | ০২/০৪/১৯৬৫ | কৃষক | জালতকা, গাংনী, মেহেরপুর |</t>
  </si>
  <si>
    <t>| ৫১৩ | নাম: মোঃ শহিদুল ইসলাম | ৫৭০০৫৬৩৭৮৯৭০ | আ: সাত্তার | মোছাঃ রওশনরা | ০৫/০৮/১৯৪৭ | কৃষক | জালতকা, গাংনী, মেহেরপুর |</t>
  </si>
  <si>
    <t>| ৫১৪ | নাম: মোঃ খলিলুর রহমান | ৫৭০০৫৬৩৭৮৯৭২ | মাহাতাব উদ্দীন | মোছাঃ সাজেদা খাতুন | ১৬/০৫/১৯৬২ | ব্যবসা | জালতকা, গাংনী, মেহেরপুর |</t>
  </si>
  <si>
    <t>| ৫১৫ | নাম: মোঃ ইসরাইল হোসেন | ৫৭০০৫৬৩৭৮৯৭৭ | মাহাতাব উদ্দীন | মোছাঃ সাজেদা খাতুন | ২২/০৭/১৯৬৫ | কৃষক | জালতকা, গাংনী, মেহেরপুর |</t>
  </si>
  <si>
    <t>| ৫১৬ | নাম: মোঃ আমিরুল ইসলাম | ৫৭০০৫৬৩৭৮৯৮০ | মাহাতাব উদ্দীন | মোছাঃ সাজেদা খাতুন | ০২/০৩/১৯৭৫ | ব্যবসা | জালতকা, গাংনী, মেহেরপুর |</t>
  </si>
  <si>
    <t>| ৫১৭ | নাম: মোঃ জালাল উদ্দীন | ৫৭০০৫৬৩৭৮৯৮১ | মোঃ ইদ্রিস আলী | মোছাঃ রোকেয়া | ০৩/০১/১৯৭৪ | ব্যবসা | জালতকা, গাংনী, মেহেরপুর |</t>
  </si>
  <si>
    <t>| ৫১৮ | নাম: মোঃ আবু আল মামুন | ৫৭০০৫৬৩৭৮৯৮৯ | মোঃ ইউনুস আলী | মোছাঃ হোসেনয়ারা | ২৭/০২/১৯৭৮ | বেকার | জালতকা, গাংনী, মেহেরপুর |</t>
  </si>
  <si>
    <t>| ৫১৯ | নাম: মোঃ হায়দার আলী | ৫৭০০৫৬৩৭৮৯৯০ | হাবিলদ্দিন | মোছাঃ নিগারন নেছা | ১৪/০৩/১৯৬৪ | দিনমজুর | জালতকা, গাংনী, মেহেরপুর |</t>
  </si>
  <si>
    <t>| ৫২০ | নাম: মোঃ একরামুল হক | ৫৭০০৫৬৩৭৮৯৯১ | মাহাতাব উদ্দীন | মোছাঃ সাজেদা খাতুন | ১০/১২/১৯৭৩ | শিক্ষক | জালতকা, গাংনী, মেহেরপুর |</t>
  </si>
  <si>
    <t>| ৫২১ | নাম: মোঃ হিয়ামদ্দিন | ৫৭০০৫৬৩৭৮৯৯৩ | তাহাজউদ্দীন | মোছাঃ আবেদা খাতুন | ১৩/০৯/১৯৬৫ | কৃষক | জালতকা, গাংনী, মেহেরপুর |</t>
  </si>
  <si>
    <t>| ৫২২ | নাম: মোঃ ইসমাইল হোসেন | ৫৭০০৫৬৩৭৮৯৯৯ | মোঃ রফেজ উদ্দিন | মোছাঃ আছিয়া খাতুন | ০৫/০৭/১৯৮৮ | কৃষক | জালতকা, গাংনী, মেহেরপুর |</t>
  </si>
  <si>
    <t>| ৫২৩ | নাম: মোঃ রবিউল হক | ৫৭০০৫৬৩৭৯০০০ | মোঃ রফেজউদ্দীন | মোছাঃ আছিয়া খাতুন | ০৩/০৬/১৯৭০ | কৃষক | জালতকা, গাংনী, মেহেরপুর |</t>
  </si>
  <si>
    <t>| ৫২৪ | নাম: মোঃ জিয়া | ৫৭০০৫৬৫৪৪৬৩১ | মোঃ আহার উদ্দিন মন্ডল | মোছাঃ জাহানারা বেগম | ১৮/০৭/১৯৮২ | কৃষক | জালতকা, গাংনী, মেহেরপুর |</t>
  </si>
  <si>
    <t>| ৫২৫ | নাম: মোঃ মুশফিকুর রহমান | ৫৭০০৫৬০০০০০১ | মোঃ রবিউল হক | মোছাঃ আরজিনা বেগম | ০৮/১০/১৯৮৪ | বেসরকারী চাকুরী | জালতকা, গাংনী, মেহেরপুর |</t>
  </si>
  <si>
    <t>| ৫২৬ | নাম: মোঃ সোহাগ | ৫৭০০৫৬০০০০১০ | নুর ইসলাম | মোছাঃ রুশিয়া খাতুন | ৩১/১০/১৯৮৫ | ব্যবসা | জালতকা, গাংনী, মেহেরপুর |</t>
  </si>
  <si>
    <t>| ৫২৭ | নাম: মোঃ আঃ হান্নান | ৫৭০০৫৬০০০০১২ | জবেদ আলী মন্ডল | মালেজান | ১০/০৫/১৯৫১ | কৃষক | জালতকা, গাংনী, মেহেরপুর |</t>
  </si>
  <si>
    <t>| ৫২৮ | নাম: মোঃ মিরাজুল ইসলাম | ৫৭০০৫৬০০০০১৪ | মোঃ আবুবক্কর সিদ্দিক | মোছাঃ হাসিনা বেগম | ০১/০১/১৯৮৮ | বেসরকারী চাকুরী | জালতকা, গাংনী, মেহেরপুর |</t>
  </si>
  <si>
    <t>| ৫২৯ | নাম: মোঃ সোহান আলী | ৫৭০০৫৬০০০০১৭ | আয়ুব আলী | মোছাঃ মর্জিনা খাতুন | ০১/০৬/১৯৮৬ | কৃষক | জালতকা, গাংনী, মেহেরপুর |</t>
  </si>
  <si>
    <t>| ৫৩০ | নাম: মোঃ মজিবুল হক | ৫৭০০৫৬০০০০১৮ | মোঃ আঃ আজিজ | মোছাঃ সাহার বানু | ০১/০১/১৯৮৭ | কৃষক | জালতকা, গাংনী, মেহেরপুর |</t>
  </si>
  <si>
    <t>| ৫৩১ | নাম: মেহেদী হাসান | ৫৭০০৫৬০০০০১৯ | শহিদুল ইসলাম | মেহের নিগার | ০৩/০৩/১৯৮৫ | ছাত্র/ছাত্রী | জালতকা, গাংনী, মেহেরপুর |</t>
  </si>
  <si>
    <t>| ৫৩২ | নাম: মোঃ হাবিবুল বাশার | ৫৭০০৫৬০০০০২০ | মানিক মন্ডল | মোছাঃ জোহরা বেগম | ০১/০৬/১৯৮৪ | কৃষক | জালতকা, গাংনী, মেহেরপুর |</t>
  </si>
  <si>
    <t>| ৫৩৩ | নাম: মোঃ আরিফুল হক | ৫৭০০৫৬০০০০২১ | মোঃ নজির আলী | মোছাঃ ফাতেমা খাতুন | ০১/০১/১৯৯০ | কৃষক | জালতকা, গাংনী, মেহেরপুর |</t>
  </si>
  <si>
    <t>| ৫৩৪ | নাম: মোঃ হাসিবুল ইসলাম | ৫৭০০৫৬০০০০২৩ | মোঃ তৈয়ব আলী | মোছাঃ সাহারবান | ০৪/০৩/১৯৮৫ | গৃহিনী | জালতকা, গাংনী, মেহেরপুর |</t>
  </si>
  <si>
    <t>| ৫৩৫ | নাম: মোঃ ছমিরুল ইসলাম | ৫৭০০৫৬০০০০২৫ | মোঃ তনছের আলী | মোছাঃ আসমানি খাতুন | ০১/০৬/১৯৮৪ | কৃষক | জালতকা, গাংনী, মেহেরপুর |</t>
  </si>
  <si>
    <t>| ৫৩৬ | নাম: মোঃ আঃ আলীম | ৫৭০০৫৬০০০০২৬ | ইসমাইল হোসেন | মোছাঃ তাহলিমা খাতুন | ০১/০১/১৯৮৫ | কৃষক | জালতকা, গাংনী, মেহেরপুর |</t>
  </si>
  <si>
    <t>| ৫৩৭ | নাম: মোঃ রিপন আলী | ৫৭০০৫৬০০০০২৭ | মোঃ আসাদুল ইসলাম | মোছাঃ ছবেদা খাতুন | ১০/০৬/১৯৯১ | কৃষক | জালতকা, গাংনী, মেহেরপুর |</t>
  </si>
  <si>
    <t>| ৫৩৮ | নাম: মোঃ রমছদ্দিন | ৫৭০০৫৬০০০০২৮ | মোঃ আছান আলী | মোছাঃ হাসিনা বেগম | ০১/০১/১৯৮২ | কৃষক | জালতকা, গাংনী, মেহেরপুর |</t>
  </si>
  <si>
    <t>| ৫৩৯ | নাম: মোঃ আকাল উদ্দিন | ৫৭০০৫৬০০০০৩০ | খোদা বক্স মন্ডল | খুকী নেছা | ২৯/০৮/১৯৫৭ | কৃষক | জালতকা, গাংনী, মেহেরপুর |</t>
  </si>
  <si>
    <t>| ৫৪০ | নাম: মোঃ সুজন আলী | ৫৭০০৫৬০০০০৩১ | মোঃ হাফিজুর রহমান | মোছাঃ সাজেদা বেগম | ১০/০৩/১৯৮৯ | কৃষক | জালতকা, গাংনী, মেহেরপুর |</t>
  </si>
  <si>
    <t>| ৫৪১ | নাম: মোঃ লালচাদ হোসেন | ৫৭০০৫৬০০০০৩২ | মো তোফাজ্জেল হোসেন | মোছাঃ মাবিয়া খাতুন | ০৩/০৫/১৯৮৩ | কৃষক | জালতকা, গাংনী, মেহেরপুর |</t>
  </si>
  <si>
    <t>| ৫৪২ | নাম: মোঃ বাবলু আলী | ৫৭০০৫৬০০০০৪১ | মোঃ আবুল হোসেন | মোছাঃ মাহেরোন নেসা | ২৫/০৭/১৯৮২ | ব্যবসা | জালতকা, গাংনী, মেহেরপুর |</t>
  </si>
  <si>
    <t>| ৫৪৩ | নাম: সাগর | ৫৭০০৫৬০০০০৪৭ | হেলাল উদ্দীন | মোছাঃ কহিনুর খাতুন | ১০/১০/১৯৮৮ | ব্যবসা | জালতকা, গাংনী, মেহেরপুর |</t>
  </si>
  <si>
    <t>| ৫৪৪ | নাম: সাইফুল | ৫৭০০৫৬০০০০৫০ | রবিউল | ফিরোজা খাতুন | ২০/০৫/১৯৮৮ | কৃষক | জালতকা, গাংনী, মেহেরপুর |</t>
  </si>
  <si>
    <t>| ৫৪৫ | নাম: কামাল উদ্দীন | ৫৭০০৫৬০০০০৫৯ | মোঃ বাবর আলী | মোছাঃ ফরিদা খাতুন | ১০/০৫/১৯৯০ | দিনমজুর | জালতকা, গাংনী, মেহেরপুর |</t>
  </si>
  <si>
    <t>| ৫৪৬ | নাম: মোঃ ফরহাদ আলী | ৫৭০০৫৬০০০০৬৪ | গোলাম রসুল | জহুরা খাতুন | ০১/০৩/১৯৯০ | ছাত্র/ছাত্রী | জালতকা, গাংনী, মেহেরপুর |</t>
  </si>
  <si>
    <t>| ৫৪৭ | নাম: আমালত | ৫৭০০৫৬০০০০৭০ | কুদ্দুস আলী | মনোয়ারা | ০১/০১/১৯৯০ | দিনমজুর | জালতকা, গাংনী, মেহেরপুর |</t>
  </si>
  <si>
    <t>| ৫৪৮ | নাম: মোঃ রাইন আলী | ৫৭০০৫৬০০০০৭২ | খেদের আলী | সোহাগী | ০৮/১২/১৯৭১ | দিনমজুর | জালতকা, গাংনী, মেহেরপুর |</t>
  </si>
  <si>
    <t>| ৫৪৯ | নাম: মোঃ মুজাহিদ | ৫৭০০৫৬০০০০৭৭ | আলাউদ্দীন | আমেনা খাতুন | ১০/০৫/১৯৯০ | ছাত্র/ছাত্রী | জালতকা, গাংনী, মেহেরপুর |</t>
  </si>
  <si>
    <t>| ৫৫০ | নাম: মোঃ কালাম হোসেন | ৫৭০০৫৬০০০০৭৮ | ইদ্রিস আলী | রোকেয়া খাতুন | ০৩/০৮/১৯৮২ | কৃষক | জালতকা, গাংনী, মেহেরপুর |</t>
  </si>
  <si>
    <t>| ৫৫১ | মাইগ্রেট হয়েছে |  |  |  |  |  |  |</t>
  </si>
  <si>
    <t>| ৫৫২ | নাম: মোঃ জাকিরুল | ৫৭০০৫৬০০০০৮৬ | রইছদ্দীন | সুবারন নেছা | ৩০/০৩/১৯৯১ | দিনমজুর | জালতকা, গাংনী, মেহেরপুর |</t>
  </si>
  <si>
    <t>| ৫৫৩ | নাম: মোঃ ফারুক হোসেন | ৫৭০০৫৬০০০০৮৭ | আবুল হাসেম | মোছাঃ আছারন | ০৩/০৩/১৯৯০ | দিনমজুর | জালতকা, গাংনী, মেহেরপুর |</t>
  </si>
  <si>
    <t>| ৫৫৪ | নাম: বাদশা আলী | ৫৭০০৫৬০০০০৮৮ | শহিদুল ইসলাম | হাজেরা খাতুন | ০১/০১/১৯৮৭ | দিনমজুর | জালতকা, গাংনী, মেহেরপুর |</t>
  </si>
  <si>
    <t>| ৫৫৫ | নাম: মোঃ মাজিদুল ইসলাম | ৫৭০০৫৬০০০০৯১ | রবিউল | মাজেদা খাতুন | ০৫/০৩/১৯৮৮ | দিনমজুর | জালতকা, গাংনী, মেহেরপুর |</t>
  </si>
  <si>
    <t>| ৫৫৬ | নাম: মোঃ লিটন রানা | ৫৭০০৫৬০০০০৯৩ | মনিরুল ইসলাম | হাজেরা খাতুন | ০২/০৬/১৯৯১ | কৃষক | জালতকা, গাংনী, মেহেরপুর |</t>
  </si>
  <si>
    <t>| ৫৫৭ | নাম: মোহাঃ আক্তারুজ্জামান | ৫৭০০৫৬০০০০৯৬ | হবিবার রহমান | মর্জিনা খাতুন | ১০/০৬/১৯৯০ | বেসরকারী চাকুরী | জালতকা, গাংনী, মেহেরপুর |</t>
  </si>
  <si>
    <t>| ৫৫৮ | নাম: মোঃ সোহেল রানা | ৫৭০০৫৬০০০০৯৭ | আনিচুর রহমান | মোছাঃ ছালেহা | ১৬/০২/১৯৮৭ | কৃষক | জালতকা, গাংনী, মেহেরপুর |</t>
  </si>
  <si>
    <t>| ৫৫৯ | নাম: মোঃ উজ্জল আলী | ৫৭০০৫৬০০০০৯৯ | মোঃ রুহুল আমিন | জাহানারা খাতুন | ০৫/০৮/১৯৯০ | দিনমজুর | জালতকা, গাংনী, মেহেরপুর |</t>
  </si>
  <si>
    <t>| ৫৬০ | নাম: মোঃ ইয়াছিন আলী | ৫৭০০৫৬০০MDEw১ | আলাউদ্দীন | আমেনা খাতুন | ১৭/০৭/১৯৯০ | কৃষক | জালতকা, গাংনী, মেহেরপুর |</t>
  </si>
  <si>
    <t>| ৫৬১ | নাম: মোঃ আজমাঈল হক | ৫৭০০৫৬০০MDEw২ | আ: রাজ্জাক | আসরা খাতুন | ০৭/০১/১৯৯১ | ব্যবসা | জালতকা, গাংনী, মেহেরপুর |</t>
  </si>
  <si>
    <t>| ৫৬২ | নাম: মোঃ মিজানুর রহমান | ৫৭০০৫৬০০MDEw৩ | দবির মন্ডল | জয়নব নেছা | ২৩/০৯/১৯৬৯ | কৃষক | জালতকা, গাংনী, মেহেরপুর |</t>
  </si>
  <si>
    <t>| ৫৬৩ | নাম: মোঃ আনিচুর রহমান | ৫৭০০৫৬০০MDEw৭ | এন এস মুক্তার আলী | মোছাঃ রাবেয়া খাতুন | ০১/০৫/১৯৯০ | কৃষক | জালতকা, গাংনী, মেহেরপুর |</t>
  </si>
  <si>
    <t>| ৫৬৪ | নাম: সাধন আলী | ৫৭০০৫৬০০MDEw৯ | খালেক | সুরাতন | ০১/০১/১৯৯০ | দিনমজুর | জালতকা, গাংনী, মেহেরপুর |</t>
  </si>
  <si>
    <t>| ৫৬৫ | নাম: মোস্তফা মোহামাদ | ৫৭০০৫৬০০০১ ১১ | মোঃ আমজাদ হোসেন | মোছাঃ সাহেদা খাতুন | ০১/০২/১৯৯০ | ছাত্র/ছাত্রী | জালতকা, গাংনী, মেহেরপুর |</t>
  </si>
  <si>
    <t>| ৫৬৬ | নাম: মোঃ জসিম উদ্দীন | ৫৭০০৫৬০০০১১২ | মোঃ শহিদুল ইসলাম | ছাহারন নেছা | ০১/০১/১৯৮৭ | কৃষক | জালতকা, গাংনী, মেহেরপুর |</t>
  </si>
  <si>
    <t>| ৫৬৭ | নাম: মোঃ দিপক আলী | ৫৭০০৫৬০০০১ ১৩ | মোঃ আয়ুব আলী | মোছাঃ মর্জিনা খাতুন | ০১/০১/১৯৯০ | দিনমজুর | জালতকা, গাংনী, মেহেরপুর |</t>
  </si>
  <si>
    <t>| ৫৬৮ | নাম: মোঃ রেজাউল করিম | ৫৭০০৫৬০০০১ ২১ | মোঃ একরামুল হক | মোছাঃ সুলতানা খাতুন | ২৫/০৫/১৯৯১ | কৃষক | জালতকা, গাংনী, মেহেরপুর |</t>
  </si>
  <si>
    <t>| ৫৬৯ | নাম: মোহাঃ রকিবুল ইসলাম | ৫৭০০৫৬০০০১ ২৮ | মোঃ জাহা বক্স | মোঃ আকলিমা | ২৭/০৮/১৯৯১ | ছাত্র/ছাত্রী | জালতকা, গাংনী, মেহেরপুর |</t>
  </si>
  <si>
    <t>| ৫৭০ | নাম: মোঃ রানা | ৫৭০০৫৬০০০১ ২৯ | মোঃ হানিফ আলী | মোছাঃ আয়মানা | ০১/০৬/১৯৯০ | কৃষক | জালতকা, গাংনী, মেহেরপুর |</t>
  </si>
  <si>
    <t>| ৫৭১ | নাম: মোঃ মিজানুর রহমান | ৫৭০০৫৬০০০১ ৩০ | মুক্তার | মোছাঃ রাবেয়া খাতুন | ০১/০১/১৯৮৬ | দিনমজুর | জালতকা, গাংনী, মেহেরপুর |</t>
  </si>
  <si>
    <t>| ৫৭২ | নাম: মোঃ রুবেল আলী | ৫৭০০৫৬০০০১ ৩২ | আবেদুর রহমান | মোছাঃ গুলশানারা খাতুন | ১৮/০৫/১৯৮৯ | কৃষক | জালতকা, গাংনী, মেহেরপুর |</t>
  </si>
  <si>
    <t>| ৫৭৩ | নাম: মোঃ লাল্টু মিয়া | ৫৭০০৫৬০০০১ ৩৬ | ওমর আলী | মোছাঃ ছারেজান নেছা | ০১/০৫/১৯৮৬ | কৃষক | জালতকা, গাংনী, মেহেরপুর |</t>
  </si>
  <si>
    <t>| ৫৭৪ | মো: বাবুল আলী | ৫৭০০৫৬০০০১৪২ | মো: ইশারুদ্দীন | মোছা: আশানুর বেগম | ৩০/১২/১৯৮৬ | কৃষক | জালতকা, গাংনী, মেহেরপুর |</t>
  </si>
  <si>
    <t>| ৫৭৫ | নাম: মো: আশরাফুল ইসলাম | ৫৭০০৫৬০০০১৪৬ | পিতা: মো: ইশারুদ্দীন | মাতা: মোছা: আশানুর বেগম | ০৩/০৫/১৯৮৪ | কৃষক | জালতকা, গাংনী, মেহেরপুর |</t>
  </si>
  <si>
    <t>| ৫৭৬ | নাম: মো: আফেল উদ্দীন | ৫৭০০৫৬০০০১৪৪ | পিতা: মফেজ উদ্দীন | মাতা: মোছা: রাহেলা খাতুন | ২৪/১০/১৯৬১ | নাপিত | জালতকা, গাংনী, মেহেরপুর |</t>
  </si>
  <si>
    <t>| ৫৭৭ | নাম: মো: শুকুর আলী | ৫৭০০৫৬০০০১৪৯ | পিতা: নছিউদ্দীন | মাতা: খাদেজা খাতুন | ০১/০৩/১৯৭০ | দিনমজুর | জালতকা, গাংনী, মেহেরপুর |</t>
  </si>
  <si>
    <t>| ৫৭৮ | নাম: মো: কামাল উদ্দীন | ৫৭০০৫৬০০০১৫০ | পিতা: মো: রুহুল আমিন | মাতা: মোছা: আনজিরা খাতুন | ১০/০৩/১৯৮২ | কৃষক | জালতকা, গাংনী, মেহেরপুর |</t>
  </si>
  <si>
    <t>| ৫৭৯ | নাম: মো: রজব আলী | ৫৭০০৫৬০০০১৫২ | পিতা: মো: রাজ্জাক আলী | মাতা: মোছা: মর্জিনা | ১০/০৩/১৯৮৫ | দিনমজুর | জালতকা, গাংনী, মেহেরপুর |</t>
  </si>
  <si>
    <t>| ৫৮০ | নাম: মোহা: শান্ত আলী | ৫৭০০৫৬০০০১৫৩ | পিতা: মো: আব্দুল কাদের | মাতা: মোছা: জমেলা খাতুন | ০১/০১/১৯৮৯ | কৃষক | জালতকা, গাংনী, মেহেরপুর |</t>
  </si>
  <si>
    <t>| ৫৮১ | নাম: মো: তরিকুল ইসলাম | ৫৭০০৫৬০০০১৫৯ | পিতা: মো: মুকুল হোসেন | মাতা: মোছা: শান্তিয়ারা খাতুন | ১২/০৭/১৯৮৮ | কৃষক | জালতকা, গাংনী, মেহেরপুর |</t>
  </si>
  <si>
    <t>| ৫৮২ | নাম: মো: রশিদ | ৫৭০০৫৬০০০১৬১ | পিতা: খলিলুর রহমান | মাতা: মোছা: তোফারন নেছা | ১০/০২/১৯৭৭ | কৃষক | জালতকা, গাংনী, মেহেরপুর |</t>
  </si>
  <si>
    <t>| ৫৮৩ | নাম: মো: মহাবুল হক | ৫৭০০৫৬০০০১৬২ | পিতা: মো: মুছারদ্দীন | মাতা: মোছা: খাদিজা খাতুন | ১৭/১১/১৯৭৫ | কৃষক | জালতকা, গাংনী, মেহেরপুর |</t>
  </si>
  <si>
    <t>| ৫৮৪ | নাম: মো: পলান আলী | ৫৭০০৫৬০০০১৬৪ | পিতা: মো: রবকুল হোসেন | মাতা: মোছা: রহিদা খাতুন | ২০/০৬/১৯৮৬ | দিনমজুর | জালতকা, গাংনী, মেহেরপুর |</t>
  </si>
  <si>
    <t>| ৫৮৫ | নাম: মো: মিজানুর রহমান | ৫৭০০৫৬০০০১৬৫ | পিতা: মো: ইসরাইল হোসেন | মাতা: মোছা: পিনজিরা খাতুন | ০১/০৩/১৯৯০ | কৃষক | জালতকা, গাংনী, মেহেরপুর |</t>
  </si>
  <si>
    <t>| ৫৮৬ | নাম: মো: আল- ইমরান | ৫৭০০৫৬০০০১৬৬ | পিতা: মো: ইয়াছিন আলী | মাতা: মোছা: রেফেজা খাতুন | ১৮/১০/১৯৯১ | ছাত্র/ছাত্রী | জালতকা, গাংনী, মেহেরপুর |</t>
  </si>
  <si>
    <t>| ৫৮৭ | নাম: মো: কাবরুল ইসলাম | ৫৭০০৫৬০০০১৭২ | পিতা: মো: সাবের আলী | মাতা: মোছা: আসানুর | ০১/০১/১৯৯০ | দিনমজুর | জালতকা, গাংনী, মেহেরপুর |</t>
  </si>
  <si>
    <t>| ৫৮৮ | নাম: মো: ফজলু হক | ৫৭০০৫৬০০০১৭৩ | পিতা: মো: শুকুর আলী | মাতা: মোছা: রহিমা খাতুন | ৩০/১২/১৯৭১ | কৃষক | জালতকা, গাংনী, মেহেরপুর |</t>
  </si>
  <si>
    <t>| ৫৮৯ | নাম: মো: জিয়ারুল ইসলাম | ৫৭০০৫৬০০০১৭৪ | পিতা: মো: আব্দুর রহমান | মাতা: মোছা: সাহেদা খাতুন | ১২/০২/১৯৯১ | কৃষক | জালতকা, গাংনী, মেহেরপুর |</t>
  </si>
  <si>
    <t>| ৫৯০ | নাম: মো: বিপ্লব আলী | ৫৭০০৫৬০০০১৭৫ | পিতা: মোহা: আজামেল | মাতা: মোছা: ছানোয়ারা | ০৭/০২/১৯৯০ | দিনমজুর | জালতকা, গাংনী, মেহেরপুর |</t>
  </si>
  <si>
    <t>| ৫৯১ | নাম: মো: মোক্কেল আলী | ৫৭০০৫৬০০০১৭৬ | পিতা: মো: আব্দুল আজিজ | মাতা: রোকেয়া খাতুন | ০৫/০৪/১৯৭৭ | কৃষক | জালতকা, গাংনী, মেহেরপুর |</t>
  </si>
  <si>
    <t>| ৫৯২ | মো: ফুরকান আলি | ৫৭০০৫৬০০০১৭৯ | মো: বিল্লাল হোসেন | মোছা: তহমিনা | ০১/০৫/১৯৮৭ | দিনমজুর | জালতকা, গাংনী, মেহেরপুর |</t>
  </si>
  <si>
    <t>| ৫৯৩ | মো: উজ্জল আলী | ৫৭০০৫৬০০০১৮১ | আ: মান্নান | মোছা: আনোয়ারা | ০১/০৫/১৯৮৯ | দিনমজুর | জালতকা, গাংনী, মেহেরপুর |</t>
  </si>
  <si>
    <t>| ৫৯৪ | মোহা: লিটন আলি | ৫৭০০৫৬০০০১৮২ | মো: নছিরুদ্দীন | মোছা: জোসনা খাতুন | ১৪/১০/১৯৮৩ | কৃষক | জালতকা, গাংনী, মেহেরপুর |</t>
  </si>
  <si>
    <t>| ৫৯৫ | মো: ফারুক হোসেন | ৫৭০০৫৬০০০১৮৮ | মো: ইয়াদুল ইসলাম | মোছা: ফরিদা খাতুন | ০৩/০২/১৯৮৭ | ছাত্র/ছাত্রী | জালতকা, গাংনী, মেহেরপুর |</t>
  </si>
  <si>
    <t>| ৫৯৬ | মো: কিবরিয়া | ৫৭০০৫৬০০০১৯০ | মো: জালাল উদ্দীন | মোছা: আল্লাহদী খাতুন | ০৪/০৩/১৯৮৮ | দিনমজুর | জালতকা, গাংনী, মেহেরপুর |</t>
  </si>
  <si>
    <t>| ৫৯৭ | মো: রকিবুল ইসলাম | ৫৭০০৫৬০০০১৯৩ | মো: বাবলু হোসেন | মোছা: হাজেরা খাতুন | ০৫/১০/১৯৮৭ | কৃষক | জালতকা, গাংনী, মেহেরপুর |</t>
  </si>
  <si>
    <t>| ৫৯৮ | মো: মিল্টন আলী | ৫৭০০৫৬০০০১৯৪ | মো: আবু সিদ্দিক | মোছা: সুফিয়া খাতুন | ০১/০৬/১৯৮৫ | কৃষক | জালতকা, গাংনী, মেহেরপুর |</t>
  </si>
  <si>
    <t>| ৫৯৯ | মো: সাদ্দাম হোসেন | ৫৭০০৫৬০০০১৯৬ | মো: মরজেস আলী | মোছা: হানিয়াম মারিয়া | ০৫/০১/১৯৯১ | কৃষক | জালতকা, গাংনী, মেহেরপুর |</t>
  </si>
  <si>
    <t>| ৬০০ | মোহা: নাজমুল হক | ৫৭০০৫৬০০০১৯৮ | আ: কুদ্দুস | মোছা: সুবারন নেছা | ০৭/১২/১৯৯১ | ছাত্র/ছাত্রী | জালতকা, গাংনী, মেহেরপুর |</t>
  </si>
  <si>
    <t>| ৬০১ | মো: কামরুজ্জামান | ৫৭০০৫৬০০০২০০ | মো: আব্দুর রাজ্জাক | মোছা: ফিরোজা খাতুন | ০৫/০৩/১৯৯০ | দিনমজুর | জালতকা, গাংনী, মেহেরপুর |</t>
  </si>
  <si>
    <t>| ৬০২ | মো: আকাশউজ্জামান | ৫৭০০৫৬০০০০৪৯ | মো: নুরুল ইসলাম | মোছা: আদুরী খাতুন | ০১/১০/১৯৯২ | ছাত্র/ছাত্রী | জালতকা, গাংনী, মেহেরপুর |</t>
  </si>
  <si>
    <t>| ৬০৩ | মো: স্বপন আলী | ৫৭০০৫৬০০০০৫৩ | মো: জালাল উদ্দীন | মোছা: আমেনা খাতুন | ০৩/০১/১৯৯২ | সরকারী চাকুরী | জালতকা, গাংনী, মেহেরপুর |</t>
  </si>
  <si>
    <t>| ৬০৪ | মো: রিয়াজুল ইসলাম | ৫৭০০৫৬০০০০৯৮ | আ: আজিজ | মোছা: ফিরোজা খাতুন | ০১/১২/১৯৯২ | কৃষক | জালতকা, গাংনী, মেহেরপুর |</t>
  </si>
  <si>
    <t>| ৬০৫ | মো: আশরাফুল আলম | ৫৭০০৫৬০০০১২৫ | মো: জামাল উদ্দীন | মোছা: বাশিরন নেছা | ০৬/০৮/১৯৯২ | কৃষক | জালতকা, গাংনী, মেহেরপুর |</t>
  </si>
  <si>
    <t>| ৬০৬ | মো: জাহিদুল ইসলাম | ৫৭০০৫৬০০০১৩৫ | সলিমদ্দিন | জরিনা খাতুন | ২০/১০/১৯৯২ | ছাত্র/ছাত্রী | জালতকা, গাংনী, মেহেরপুর |</t>
  </si>
  <si>
    <t>| ৬০৭ | মো: জুলফিকার আলী | ৫৭০০৫৬০০০১৫৫ | মো: সামসুল হক | মোছা: জাহানারা | ০৮/০৪/১৯৯২ | দিনমজুর | জালতকা, গাংনী, মেহেরপুর |</t>
  </si>
  <si>
    <t>| ৬০৮ | মো: শাহিন আলম | ৫৭০০৫৬০০০১৯৭ | মো: আনারুল ইসলাম | মোছা: সাহেনা খাতুন | ০৮/০২/১৯৯২ | দিনমজুর | জালতকা, গাংনী, মেহেরপুর |</t>
  </si>
  <si>
    <t>| ৬০৯ | মো: সোহেল রানা | ৫৭০০৫৬০০০০৩৮ | মো: শহিদুল ইসলাম | মোছা: রাশিদা খাতুন | ০৮/০৩/১৯৯৩ | ছাত্র/ছাত্রী | জালতকা, গাংনী, মেহেরপুর |</t>
  </si>
  <si>
    <t>| ৬১০ | মোহা: জসিম উদ্দীন | ৫৭০০৫৬০০০০৫৭ | মোহা: বজলুল হক | মোছা: জাহানারা খাতুন | ০৬/০৪/১৯৯৩ | ছাত্র/ছাত্রী | জালতকা, গাংনী, মেহেরপুর |</t>
  </si>
  <si>
    <t>| ৬১১ | মো: বাপ্পারাজ | ৫৭০০৫৬০০০১০০ | রুহুল আলী | জাহানারা খাতুন | ২৭/১২/১৯৯৩ | দিনমজুর | জালতকা, গাংনী, মেহেরপুর |</t>
  </si>
  <si>
    <t>| ৬১২ | মো: তরিকুল ইসলাম | ৫৭০০৫৬০০০১৯৯ | মো: আকাল উদ্দীন | মোছা: জাহানারা | ২৫/১০/১৯৯৩ | কৃষক | জালতকা, গাংনী, মেহেরপুর |</t>
  </si>
  <si>
    <t>| ৬১৩ | আলমগীর | ৫৭০০৫৬০০০০৮১ | আসাদুল | রঞ্জীলা | ০৩/০১/১৯৯৪ | বেকার | জালতকা, গাংনী, মেহেরপুর |</t>
  </si>
  <si>
    <t>| ৬১৪ | মো: উজ্জল ইসলাম | ৫৭০০৫৬০০০০৭৯ | মো: ঠান্ডু আলী | আরজিনা খাতুন | ০৬/০৭/১৯৯৪ | ছাত্র/ছাত্রী | জালতকা, গাংনী, মেহেরপুর |</t>
  </si>
  <si>
    <t>| ৬১৫ | মো: আকরাম আলী | ৫৭০০৫৬০০০১০৮ | হায়দার আলী | জায়েদা খাতুন | ১২/০১/১৯৯৪ | দিনমজুর | জালতকা, গাংনী, মেহেরপুর |</t>
  </si>
  <si>
    <t>| ৬১৬ | মো: জিয়ারুল ইসলাম | ৫৭০০৫৬০০০১২৬ | হাসেম আলি | হানোয়ারা খাতুন | ০৩/০৪/১৯৯৪ | বেসরকারী চাকুরী | জালতকা, গাংনী, মেহেরপুর |</t>
  </si>
  <si>
    <t>| ৬১৭ | মো: আজমাইন হোসেন | ৫৭০০৫৬০০০১৪৬ | মো: মজনুর রহমান | মোছা: ফিরোজা খাতুন | ০৬/০৩/১৯৯৪ | বেকার | জালতকা, গাংনী, মেহেরপুর |</t>
  </si>
  <si>
    <t>| ৬১৮ | মো: সমসের আলি | ৫৭০০৫৬০০০১৬০ | হিলাল উদ্দীন | ফরনা খাতুন | ১৬/০১/১৯৯৪ | কৃষক | জালতকা, গাংনী, মেহেরপুর |</t>
  </si>
  <si>
    <t>| ৬১৯ | মো: আলামিন | ৫৭০০৫৬০০০২০২ | মো: শহিদুল ইসলাম | মোছা: সাহারন খাতুন | ০৪/১২/১৯৯৪ | কৃষক | জালতকা, গাংনী, মেহেরপুর |</t>
  </si>
  <si>
    <t>| ৬২০ | আবু সাঈদ | ৫৭০০৫৬০০০২০৩ | জালাল উদ্দীন | ফাতিমা খাতুন | ১৬/১২/১৯৯৪ | কৃষক | জালতকা, গাংনী, মেহেরপুর |</t>
  </si>
  <si>
    <t>| ৬২১ | মো: আতিয়ার রহমান | ৫৭০০৫৬০০০২০৪ | মো: সুলতান | মোছা: রহিমা খাতুন | ৩০/১২/১৯৯৪ | দিনমজুর | জালতকা, গাংনী, মেহেরপুর |</t>
  </si>
  <si>
    <t>| ৬২২ | মো: শিমুল আলী | ৫৭০০৫৬০০০২০৫ | মো: শহিদুল ইসলাম | মোছা: রপিনা খাতুন | ২৭/১২/১৯৯৪ | দিনমজুর | জালতকা, গাংনী, মেহেরপুর |</t>
  </si>
  <si>
    <t>| ৬২৩ | মো: ইকবাল হাসান | ৫৭০০৫৬০০০২০৭ | মো: ইব্রাহিম | মোছা: সারজিনা খাতুন | ২৬/১২/১৯৯৫ | ছাত্র/ছাত্রী | জালতকা, গাংনী, মেহেরপুর |</t>
  </si>
  <si>
    <t>| ৬২৪ | মো: আল- মামুন | ৫৭০০৫৬০০০২০৯ | মাবুদ আলী | মোছা: চায়না খাতুন | ০৭/০৭/১৯৯৪ | কৃষক | জালতকা, গাংনী, মেহেরপুর |</t>
  </si>
  <si>
    <t>| ৬২৫ | মো: আশিকুর রহমান | ৫৭০০৫৬০০০২১১ | রিফাত উদ্দীন | জালিমিন নেছা | ০৮/০৫/১৯৯৫ | কৃষক | জালতকা, গাংনী, মেহেরপুর |</t>
  </si>
  <si>
    <t>| ৬২৬ | মো: রজব আলী | ৫৭০০৫৬০০০২১৩ | হামিদুল | রজিনা | ১০/১১/১৯৯৫ | ছাত্র/ছাত্রী | আহাদ মোড়, জালতকা, গাংনী, মেহেরপুর |</t>
  </si>
  <si>
    <t>| ৬২৭ | উসমান গনি | ৫৭০০৫৬০০০২১৪ | রমজান আলী | সাহারবানু | ১৫/০৫/১৯৯০ | দিনমজুর | উত্তরপাড়া, জালতকা, গাংনী, মেহেরপুর |</t>
  </si>
  <si>
    <t>| ৬২৮ | মো: টুটুল আলী | ৫৭০০৫৬০০০২১৭ | মো: মজনু | মোছা: জরিনা খাতুন | ০১/০৫/১৯৯৫ | দিনমজুর | জালতকা, গাংনী, মেহেরপুর |</t>
  </si>
  <si>
    <t>| ৬২৯ | কবিরুল | ৫৭০০৫৬০০০২১৮ | কুদ্দুস | অনজিরা | ০৮/০২/১৯৮৯ | দিনমজুর | ভিটাপাড়া, জালতকা, গাংনী, মেহেরপুর |</t>
  </si>
  <si>
    <t>| ৬৩০ | মো: তোতা | ৫৭০০৫৬০০০২২১ | আনুহুদ্দিন | ফিরোজা খাতুন | ০৭/১১/১৯৮৬ | শ্রমিক | জালতকা, কসবা, গাংনী, মেহেরপুর |</t>
  </si>
  <si>
    <t>| ৬৩১ | আ: বারী | ৫৭০০৫৬০০০২২৯ | আবুল হোসেন | মোছা: সাহিদা খাতুন | ১৪/০৩/১৯৭৪ | ব্যবসা | জালতকা, গাংনী, মেহেরপুর |</t>
  </si>
  <si>
    <t>| ৬৩২ | মো: রকিবুল | ৫৭০০৫৬০০০২৩০ | রইছ উদ্দীন | সুবারন নেছা | ২৭/১১/১৯৮৯ | শ্রমিক | জালতকা, গাংনী, মেহেরপুর |</t>
  </si>
  <si>
    <t>| ৬৩৩ | ঝন্টু আলি | ৫৭০০৫৬০০০২৩২ | এনামুল হক | নাজেরা খাতুন | ০১/০১/১৯৯৬ | কৃষক | ভিটাপাড়া, জালতকা, গাংনী, মেহেরপুর |</t>
  </si>
  <si>
    <t>| ৬৩৪ | শাহিনুজ্জামান | ৫৭০০৫৬০০০২৩৩ | বানারুল হক | রমেছা খাতুন | ০১/০৪/১৯৯৩ | শ্রমিক | ভিটাপাড়া, জালতকা, গাংনী, মেহেরপুর |</t>
  </si>
  <si>
    <t>| ৬৩৫ | মো: নাজমুল | ৫৭০০৫৬০০০২৩৪ | আলতাব হোসেন | জেসমিন খাতুন | ২৫/০৩/১৯৯০ | শ্রমিক | বালিপাড়া, কসবা, গাংনী, মেহেরপুর |</t>
  </si>
  <si>
    <t>| ৬৩৬ | ছালাম | ৫৭০০৫৬০০০২৩৬ | রাইতাল | রাহেলা | ০৫/০১/১৯৮৯ | শ্রমিক | মসজিদপাড়া, জালতকা, গাংনী, মেহেরপুর |</t>
  </si>
  <si>
    <t>| ৬৩৭ | মো: তোতা মিয়া | ৫৭০০৫৬০০০২৩৭ | মো: সিদ্দিক আলী | মেহের নিগার | ০২/০১/১৯৯৬ | শ্রমিক | জালতকা, গাংনী, মেহেরপুর |</t>
  </si>
  <si>
    <t>| ৬৩৮ | মো: সুজন আলী | ৫৭০০৫৬০০০২৪১ | মো: সাগর ভাষা | মোছা: মলিদা খাতুন | ২০/০৬/১৯৮৯ | দিনমজুর | জালতকা, গাংনী, মেহেরপুর |</t>
  </si>
  <si>
    <t>| ৬৩৯ | হাকিম | ৫৭০০৫৬০০০২৪২ | গফ্ফার আলী | মোছা: জুলেখা খাতুন | ২৭/০২/১৯৯১ | শ্রমিক | জালতকা, কসবা, গাংনী, মেহেরপুর |</t>
  </si>
  <si>
    <t>| ৬৪০ | মো: ওবাইদুল্লাহ | ৫৭০০৫৬০০০২৪৮ | মো: জমসেদ আলী | মোছা: হালিমা খাতুন | ০৮/০৯/১৯৯৬ | ছাত্র/ছাত্রী | জালতকা, গাংনী, মেহেরপুর |</t>
  </si>
  <si>
    <t>| ৬৪১ | মো: ওয়াসিম রেজা | ৫৭০০৫৬০০০২৫১ | নজরুল ইসলাম | বানিয়া খাতুন | ০১/১১/১৯৯৬ | ছাত্র/ছাত্রী | জালতকা, গাংনী, মেহেরপুর |</t>
  </si>
  <si>
    <t>| ৬৪২ | মো: সুজন আলী | ৫৭০০৫৬০০০২৫৩ | ইসলাম আলী | ফিরোজা খাতুন | ২১/০১/১৯৯৭ | দিনমজুর | ভিটা পাড়া, জালতকা, গাংনী, মেহেরপুর |</t>
  </si>
  <si>
    <t>| ৬৪৩ | মো: জুলফিকুর আলি | ৫৭০০৫৬০০০২৫৪ | ইয়াসিন আলি | জুলেখা খাতুন | ০৪/০১/১৯৯৭ | কৃষক | জালতকা বালিয়া পাড়া, জালতকা, গাংনী, মেহেরপুর |</t>
  </si>
  <si>
    <t>| ৬৪৪ | মো: মনোয়ার হোসেন | ৫৭০০৫৬০০০২৬০ | মো: আ: মজিদ | মোছা: সারজিনা খাতুন | ২৮/১১/১৯৯৭ | শ্রমিক | জালতকা দাঁড়িয়া পাড়া, জালতকা, গাংনী, মেহেরপুর |</t>
  </si>
  <si>
    <t>| ৬৪৫ | সুজন আলী | ৫৭০০৫৬০০০২৬১ | মো: ইকারুদ্দীন | সুলতানা খাতুন | ১৮/১১/১৯৯০ | ব্যবসা | মোল্লা পাড়া, জালতকা, গাংনী, মেহেরপুর |</t>
  </si>
  <si>
    <t>| ৬৪৬ | মোঃ নাজিম | ৫৭০0৫৬০০০২৬২ | রশিদ | নাসিমা খাতুন | ০১/০৩/১৯৯০ | প্রবাসী | উত্তর পাড়া, জালশুকা, গাংনী, মেহেরপুর |</t>
  </si>
  <si>
    <t>| ৬৪৭ | মোঃ ইকবাল হোসেন | ৫৭০0৫৬০০০২৬৩ | মোঃ রুহুল আমিন | মোছাঃ তানজিরা খাতুন | ১৫/০২/১৯৭৭ | সরকারী চাকুরী | জালশুকা উত্তর পাড়া, জালশুকা, গাংনী, মেহেরপুর |</t>
  </si>
  <si>
    <t>| ৬৪৮ | মোঃ মিয়ারুল ইসলাম | ৫৭০0৫৬০০০২৬৫ | মোঃ আশাদুল ইসলাম | মোছাঃ আনোয়ারা খাতুন | ০৫/০৯/১৯৯৬ | ছাত্র/ছাত্রী | জালশুকা মধ্যপাড়া, জালশুকা, গাংনী, মেহেরপুর |</t>
  </si>
  <si>
    <t>| ৬৪৯ | মোঃ লিটুক আলী | ৫৭০0৫৬০০০২৬৬ | মোঃ ইলিয়াস হোসেন | আকলিমা | ২২/০৮/১৯৯৪ | কৃষক | জালশুকা, গাংনী, মেহেরপুর |</t>
  </si>
  <si>
    <t>| ৬৫০ | রুবেল আলী | ৫৭০0৫৬০০০২৬৭ | মোঃ মজনুর রহমান | মোছাঃ জরিনা খাতুন | ২৭/০১/১৯৯৫ | কৃষক | জালশুকা, গাংনী, মেহেরপুর |</t>
  </si>
  <si>
    <t>| ৬৫১ | মোঃ ওমর ফারুক | ৫৭০0৫৬০০০২৬৮ | মোঃ হায়দার | মোছাঃ জাহেরা খাতুন | ০৯/১১/১৯৯৬ | কৃষক | জালশুকা উত্তর পাড়া, জালশুকা, গাংনী, মেহেরপুর |</t>
  </si>
  <si>
    <t>| ৬৫২ | মোঃ আতাউল হক | ৫৭০0৫৬০০০২৭০ | মোঃ মহিবুল হক | মোছাঃ বেদেনা খাতুন | ০৪/০৩/১৯৯৭ | ছাত্র/ছাত্রী | মাঝ পাড়া, জালশুকা, গাংনী, মেহেরপুর |</t>
  </si>
  <si>
    <t>| ৬৫৩ | শাহাজান | ৫৭০0৫৬০০০২৭২ | নাজিম উদ্দীন | শাহনাজ | মিস্ত্রী | ১০/০৭/১৯৯০ | মধ্যপাড়া, জালশুকা, গাংনী, মেহেরপুর |</t>
  </si>
  <si>
    <t>| ৬৫৪ | মোঃ সাহাবুল হক | ৫৭০0৫৬০০০২৭৩ | তারাচাঁদ আলী | রেবেকা | ১০/০১/১৯৮৯ | কৃষক | জালশুকা বেলে পাড়া, জালশুকা, গাংনী, মেহেরপুর |</t>
  </si>
  <si>
    <t>| ৬৫৫ | মোঃ আতিয়ার রহমান | ৫৭০0৫৬০০০২৭৭ | মোঃ আঃ রহিম | সখিরন | ১২/১০/১৯৮৫ | কৃষক | জালশুকা, গাংনী, মেহেরপুর |</t>
  </si>
  <si>
    <t>| ৬৫৬ | মোঃ সুজন আলী | ৫৭০0৫৬০০০২৭৯ | মোঃ নূর ইসলাম | আদুরী খাতুন | ১৮/১২/১৯৯৭ | ছাত্র/ছাত্রী | মাঝের পাড়া, জালশুকা, গাংনী, মেহেরপুর |</t>
  </si>
  <si>
    <t>| ৬৫৭ | আবুজর গিফারী | ৫৭০0৫৬০০০২৮০ | আবদুর রাজ্জাক | সেলিনা খাতুন | ২৯/১১/১৯৯৭ | ব্যবসা | মাঝ পাড়া, জালশুকা, গাংনী, মেহেরপুর |</t>
  </si>
  <si>
    <t>| ৬৫৮ | মোঃ হুমায়ন কবির | ৫৭০0৫৬০০০২৮২ | হাফিজুর রহমান | মোছাঃ আকলিমা খাতুন | ১৩/০৩/১৯৭৩ | কৃষক | জালশুকা, গাংনী, মেহেরপুর |</t>
  </si>
  <si>
    <t>| ৬৫৯ | মোঃ বিপ্লব হোসেন | ৫৭০0৫৬০০০২৮৩ | মোঃ ফজলুল হক | মোছাঃ সাহেদা খাতুন | ০৪/১২/১৯৯৫ | ছাত্র/ছাত্রী | জালশুকা, গাংনী, মেহেরপুর |</t>
  </si>
  <si>
    <t>| ৬৬০ | মোঃ হাবিবুর রহমান | ৫৭০0৫৬০০০২৮৫ | মোঃ আবু তালেব মোল্লা | মোছাঃ রেজিয়া খাতুন | ০১/০১/১৯৮৯ | কৃষক | জালশুকা, গাংনী, মেহেরপুর |</t>
  </si>
  <si>
    <t>| ৬৬১ | মোঃ আনোয়ার হোসেন | ৫৭০0৫৬০০০২৮৮ | মোঃ আমিরুল ইসলাম | মোছাঃ আসুরা খাতুন | ২৪/১০/১৯৯৬ | ছাত্র/ছাত্রী | উত্তর পাড়া, জালশুকা, গাংনী, মেহেরপুর |</t>
  </si>
  <si>
    <t>| ৬৬২ | মোঃ হাকিমদ্দীন | ৫৭০0৫৬০০০২৮৭ | মোঃ আমিরুল ইসলাম | মোছাঃ আসুরা খাতুন | ০২/০২/১৯৯৬ | কৃষক | উত্তর পাড়া, জালশুকা, গাংনী, মেহেরপুর |</t>
  </si>
  <si>
    <t>| ৬৬৩ | মোঃ বাদশা মিয়া | ৫৭০0৫৬০০০২৮৯ | মোঃ হাবিবুর রহমান | মোছাঃ মরজিনা খাতুন | ১১/০৩/১৯৯৬ | ছাত্র/ছাত্রী | উত্তর পাড়া, জালশুকা, গাংনী, মেহেরপুর |</t>
  </si>
  <si>
    <t>| ৬৬৪ | নূর ধাম্মাদ | ৫৭০0৫৬০০০২৯৫ | মোঃ মতিয়ার রহমান | মোছাঃ আজমিরা খাতুন | ২০/০৩/১৯৯০ | প্রবাসী | মাঝ পাড়া, জালশুকা, গাংনী, মেহেরপুর |</t>
  </si>
  <si>
    <t>| ৬৬৫ | মোঃ ফারুক হোসেন | ৫৭০0৫৬০০০২৯৮ | কাদের আলী | মোছাঃ আনোয়ারা খাতুন | ২৯/০৯/১৯৯৭ | শ্রমিক | উত্তর পাড়া, জালশুকা, গাংনী, মেহেরপুর |</t>
  </si>
  <si>
    <t>| ৬৬৬ | মোঃ আবু শাহিন | ৫৭০0৫৬০০০২৯৯ | ছিদ্দিকুর রহমান | মোছাঃ কুলছুম | ০২/০৩/১৯৯১ | দিনমজুর | বালিয়া পাড়া, কসবা, গাংনী, মেহেরপুর |</t>
  </si>
  <si>
    <t>| ৬৬৭ | শাহরুল ইসলাম | ৫৭০0৫৬০০০৩০০ | মজিবুল হক | শাহিনুর খাতুন | ১০/০৫/১৯৯৭ | ছাত্র/ছাত্রী | বালিয়া পাড়া, জালশুকা, গাংনী, মেহেরপুর |</t>
  </si>
  <si>
    <t>| ৬৬৮ | মোঃ আকরামুল হক | ৫৭০0৫৬০০০৩০১ | মোঃ হযরত আলী | মোছাঃ জরিনা খাতুন | ২৩/১২/১৯৯৭ | ছাত্র/ছাত্রী | উত্তর পাড়া, জালশুকা, গাংনী, মেহেরপুর |</t>
  </si>
  <si>
    <t>| ৬৬৯ | মোঃ জিহাদ আলী | ৫৭০0৫৬০০০৩০২ | মোঃ মুকুল হোসেন | মোছাঃ রওশনাৱা | ০২/০৬/১৯৯৬ | ছাত্র/ছাত্রী | বালিয়া পাড়া, জালশুকা, গাংনী, মেহেরপুর |</t>
  </si>
  <si>
    <t>| ৬৭০ | মামুন আলী | ৫৭০0৫৬০০০৩০৪ | মোঃ সুলতান | মোছাঃ রহিমা খাতুন | ১৫/০২/১৯৯৭ | কৃষক | জালশুকা মুলা পাড়া, জালশুকা, গাংনী, মেহেরপুর |</t>
  </si>
  <si>
    <t>| ৬৭১ | মোঃ কারিমুল হক | ৫৭০0৫৬০০০৩০৬ | মোঃ সাজদার আলী | মোছাঃ ফজিলা খাতুন | ০১/১২/১৯৯২ | কৃষক | মাঝ পাড়া, জালশুকা, গাংনী, মেহেরপুর |</t>
  </si>
  <si>
    <t>| ৬৭২ | মোঃ লাল চাঁদ আলী | ৫৭০0৫৬০০০৩০৮ | মোঃ বাবুর আলী | মোছাঃ ফরিদা খাতুন | ০৮/০৫/১৯৯৫ | শ্রমিক | উত্তর পাড়া, জালশুকা, গাংনী, মেহেরপুর |</t>
  </si>
  <si>
    <t>| ৬৭৩ | মোহাঃ ইব্রাহীম হাসান | ৫৭০0৫৬০০০৩১১ | মোহাঃ আব্দুর রাজ্জাক | নাসিবা খাতুন | ০৬/০৭/১৯৯৮ | ছাত্র/ছাত্রী | জালশুকা, গাংনী, মেহেরপুর |</t>
  </si>
  <si>
    <t>| ৬৭৪ | নাজমুল হোসেন | ৫৭০0৫৬০০০৩১২ | মোঃ ইদ্রিস আলী | মোছাঃ মালিয়া খাতুন | ২২/০৭/১৯৯৮ | ছাত্র/ছাত্রী | জালশুকা, গাংনী, মেহেরপুর |</t>
  </si>
  <si>
    <t>| ৬৭৫ | মোহাঃ আক্তারুজ্জামান | ৫৭০0৫৬০০০৩১৩ | মোহাঃ এনামুল হক | মোছাঃ রেহেনা খাতুন | ০৬/০৬/১৯৯৮ | ছাত্র/ছাত্রী | জালশুকা, গাংনী, মেহেরপুর |</t>
  </si>
  <si>
    <t>| ৬৭৬ | মোঃ ইমরান হোসেন | ৫৭০0৫৬০০০৩১৪ | মুতালেব | রঙ্গিলা | ১৭/০৯/১৯৯০ | ছাত্র/ছাত্রী | জালশুকা, গাংনী, মেহেরপুর |</t>
  </si>
  <si>
    <t>| ৬৭৭ | মোঃ হারুন-অর-রশিদ | ৫৭০0৫৬০০০৩১৬ | মোঃ জমির উদ্দিন | মোছাঃ নাসের খাতুন | ০১/০৩/১৯৯৮ | ছাত্র/ছাত্রী | জালশুকা, গাংনী, মেহেরপুর |</t>
  </si>
  <si>
    <t>| ৬৭৮ | মোঃ আমজাদ আলী | ৫৭০0৫৬০০০৩১৭ | মোঃ ইউছুফ আলী | মোছাঃ রোহিলা খাতুন | ১০/১০/১৯৮৬ | ব্যবসা | জালশুকা, গাংনী, মেহেরপুর |</t>
  </si>
  <si>
    <t>| ৬৭৯ | মোঃ সাইদুল ইসলাম | ৫৭০0৫৬০০০৩২১ | মোঃ ইউছুফ আলী | মোছাঃ রোহিলা খাতুন | ১৪/১২/১৯৯৭ | ছাত্র/ছাত্রী | জালশুকা, গাংনী, মেহেরপুর |</t>
  </si>
  <si>
    <t>| ৬৮০ | মোঃ ইব্রাহিম ইসলাম | ৫৭০0৫৬০০০৩২৩ | পিতা: মোঃ আঃ বারী | মোছাঃ আঙ্গুরা খাতুন | ১০/১২/১৯৯৭ | ছাত্র/ছাত্রী | জালশুকা, গাংনী, মেহেরপুর |</t>
  </si>
  <si>
    <t>| ৬৮১ | মোঃ আবেদ | ৫৭০0৫৬০০০৩২৪ | আব্দুল কাদের | জামেলা | ০৪/০৮/১৯৭৪ | ব্যবসা | জালশুকা, গাংনী, মেহেরপুর |</t>
  </si>
  <si>
    <t>| ৬৮২ | নাম: হাসিবুল ইসলাম | ৫৭০0৫৬০০০৩২৫ | পিতা: নুর ইসলাম | মাতা: আদুরী খাতুন | ১০/০৪/১৯৯৮ | কৃষক | জালশুকা, গাংনী, মেহেরপুর |</t>
  </si>
  <si>
    <t>| ৬৮৩ | নাম: লিখন | ৫৭০0৫৬০০০৩২৬ | পিতা: মহিবুল | মাতা: শিউলী | ০১/০৩/১৯৯২ | ছাত্র/ছাত্রী | জালশুকা, গাংনী, মেহেরপুর |</t>
  </si>
  <si>
    <t>| ৬৮৪ | নাম: মোঃ শিহাব উদ্দিন | ৫৭০0৫৬০০০৩২৮ | পিতা: মোঃ শহিদুল ইসলাম | মাতা: মোছাঃ রাশিদা খাতুন | ২৩/১০/১৯৯৫ | সরকারী চাকুরী | জালশুকা, গাংনী, মেহেরপুর |</t>
  </si>
  <si>
    <t>| ৬৮৫ | নাম: মোঃ সাইফুল ইসলাম | ৫৭০0৫৬০০০৩২৯ | পিতা: মোঃ শুকুর আলী | মাতা: হালিমা খাতুন | ১৫/০১/১৯৯৫ | সরকারী চাকুরী | জালশুকা, গাংনী, মেহেরপুর |</t>
  </si>
  <si>
    <t>| ৬৮৬ | নাম: মোঃ কাউছার আলী | ৫৭০0৫৬০০০৩৩০ | পিতা: মোঃ নূর ইসলাম | মাতা: মোছাঃ নিছারন নেছা | ১২/১০/১৯৯২ | সরকারী চাকুরী | জালশুকা, কসবা, গাংনী, মেহেরপুর |</t>
  </si>
  <si>
    <t>| ৬৮৭ | নাম: মোঃ শিমুল | ৫৭০0৫৬০০০৩৩১ | পিতা: মোঃ মোশারেফ | মাতা: মোছাঃ আদরী খাতুন | ০১/০১/২০০০ | কৃষক | জালশুকা, গাংনী, মেহেরপুর |</t>
  </si>
  <si>
    <t>| ৬৮৮ | নাম: মোহাঃ রিপন আলী | ৫৭০0৫৬০০০৩৩২ | পিতা: মোহাঃ আঃ কুদ্দুস | মাতা: মোছাঃ মনোয়ারা খাতুন | ০৩/০১/১৯৯৯ | ছাত্র/ছাত্রী | জালশুকা, গাংনী, মেহেরপুর |</t>
  </si>
  <si>
    <t>| ৬৮৯ | নাম: মোঃ সুমন আলী | ৫৭০0৫৬০০০২৯৪ | পিতা: মোঃ রমজদ্দীন | মাতা: মোছাঃ জুলেখা খাতুন | ১২/১১/১৯৯৮ | ছাত্র/ছাত্রী | উত্তর পাড়া, জালশুকা, গাংনী, মেহেরপুর |</t>
  </si>
  <si>
    <t>| ৬৯০ | নাম: মোঃ জসিম উদ্দীন | ৫৭০0৫৬০০০৩৩৫ | পিতা: মোঃ আঃ মালেক | মাতা: মোছাঃ ফাতেমা খাতুন | ২৭/০১/১৯৯৬ | মিস্ত্রী | বালিয়া পাড়া, জালশুকা, কসবা, গাংনী, মেহেরপুর |</t>
  </si>
  <si>
    <t>| ৬৯১ | নাম: ওয়ায়েন কুরুনি | ৫৭০0৫৬০০০৩৩৭ | পিতা: হামিদুর রহমান | মাতা: ফরিদা খাতুন | ২০/০৮/১৯৯৮ | ছাত্র/ছাত্রী | স্কুল পাড়া, জালশুকা, গাংনী, মেহেরপুর |</t>
  </si>
  <si>
    <t>| ৬৯২ | নাম: মোঃ হাসমত | ৫৭০0৫৬০০০৩৪০ | পিতা: আমিরুল ইসলাম | মাতা: হাওয়া খাতুন | ১৩/১০/১৯৯৮ | কৃষক | বালিয়া পাড়া, জালশুকা, কসবা, গাংনী, মেহেরপুর |</t>
  </si>
  <si>
    <t>| ৬৯৩ | নাম: মোঃ আবুল বাসার মনা | ৫৭০0৫৬০০০৩৪১ | পিতা: মৃত শওকত মালিথা | মাতা: মৃত রমলা খাতুন | ১৮/১১/১৯৭৬ | কৃষক | মাঝেরপাড়া, জালশুকা, গাংনী, মেহেরপুর |</t>
  </si>
  <si>
    <t>| ৬৯৪ | নাম: মোঃ মুনজুর আলী | ৫৭০0৫৬০০০৩৪২ | পিতা: মৃত গনজের আলী | মাতা: মোছাঃ জুলেখা খাতুন | ০২/০১/১৯৮৪ | কৃষক | কসবা, গাংনী, মেহেরপুর |</t>
  </si>
  <si>
    <t>| ৬৯৫ | নাম: মোঃ রাশেদুল ইসলাম | ৫৭০0৫৬০০০৩৪৩ | পিতা: মোঃ আফজলুদ্দিন | মাতা: মোছাঃ রওশনারা | ০৭/০১/১৯৮৯ | কৃষক | স্কুলপাড়া, জালশুকা, গাংনী, মেহেরপুর |</t>
  </si>
  <si>
    <t>| ৬৯৬ | নাম: মোঃ মাঝারুল ইসলাম | ৫৭০0৫৬০০০৩৫০ | পিতা: মোঃ মামল উদ্দীন | মাতা: বেলী আরা খাতুন | ২৬/০৩/১৯৯৮ | ছাত্র/ছাত্রী | মুলাপাড়া, জালশুকা, গাংনী, মেহেরপুর |</t>
  </si>
  <si>
    <t>| ৬৯৭ | নাম: মোঃ বিদ্যুত হুসাইন | ৫৭০0৫৬০০০৩৫২ | পিতা: মোঃ মোজাম্মেল হক | মাতা: মোছাঃ লাল বানু | ০২/১০/১৯৯৬ | কৃষক | দাড়িপাড়া, জালশুকা, গাংনী, মেহেরপুর |</t>
  </si>
  <si>
    <t>| ৬৯৮ | নাম: মোঃ হাসিবুল ইসলাম | ৫৭০0৫৬০০০৩৫৩ | পিতা: মোঃ আশাদুল | মাতা: চাইনা খাতুন | ১০/১১/১৯৯৮ | ছাত্র/ছাত্রী | উত্তরপাড়া, জালশুকা, গাংনী, মেহেরপুর |</t>
  </si>
  <si>
    <t>| ৬৯৯ | নাম: শামীম হাসান | ৫৭০0৫৬০০০৩৬০ | পিতা: বাদল আলী | মাতা: জাহেদা খাতুন | ১৫/০৬/১৯৯৯ | ছাত্র/ছাত্রী | বালিয়া পাড়া, জালশুকা, কসবা, গাংনী, মেহেরপুর |</t>
  </si>
  <si>
    <t>| ৭০০ | নাম: সালমান ফারসী | ৫৭০0৫৬০০০৩৬১ | পিতা: বজলু রহমান | মাতা: রেহেনা | ১৬/০১/১৯৯৯ | ছাত্র/ছাত্রী | দক্ষিণপাড়া, জালশুকা, গাংনী, মেহেরপুর |</t>
  </si>
  <si>
    <t>| ৭০১ | নাম: নাজমুস সাকিব | ৫৭০0৫৬০০০৩৬৪ | পিতা: মজিবুল হক | মাতা: শাহিনুর খাতুন | ২৫/১২/১৯৯৯ | ছাত্র/ছাত্রী | বালিয়া পাড়া, জালশুকা, কসবা, গাংনী, মেহেরপুর |</t>
  </si>
  <si>
    <t>| ৭০২ | নাম: মোঃ হাসু | ৫৭০0৫৬০০০০৮৮ | পিতা: মৃত শওকত মালিথা | মাতা: মৃত রমলা খাতুন | ২৭/১২/১৯৮৭ | কৃষক | জালশুকা, গাংনী, মেহেরপুর |</t>
  </si>
  <si>
    <t>| ৭০৩ | নাম: উজ্জল আলী | ৫৭০0৫৬০০০১২৭ | পিতা: মোঃ আরমান | মাতা: সাহেরা খাতুন | ০১/০৫/১৯৮৪ | কৃষক | জালশুকা, কসবা, গাংনী, মেহেরপুর |</t>
  </si>
  <si>
    <t>| ৭০৪ | নাম: মোঃ রাশিদুল ইসলাম | ৫৭০0৫৬০০০২৫৬ | পিতা: মোঃ আঃ রহমান | মাতা: মোছাঃ মহিরন নেছা | ০১/০১/১৯৯৭ | প্রবাসী | জালশুকা, ধানখোলা, গাংনী, মেহেরপুর |</t>
  </si>
  <si>
    <t>| ৭০৫ | নাম: মোঃ রাকিবুল ইসলাম | ৫৭০0৫৬০০০৩৬৯ | পিতা: মোঃ হাসিবুল | মাতা: মোছাঃ আইমানা খাতুন | ১৫/১২/২০০২ | কৃষক | জালশুকা, গাংনী, মেহেরপুর |</t>
  </si>
  <si>
    <t>| ৭০৬ | নাম: মোঃ কনক আলী | ৫৭০0৫৬০০০৩৭১ | পিতা: মোঃ বাবলু আলী | মাতা: মোছাঃ চন্দনা খাতুন | ০১/০১/২০০৪ | ছাত্র/ছাত্রী | জালশুকা, গাংনী, মেহেরপুর |</t>
  </si>
  <si>
    <t>| ৭০৭ | নাম: মোঃ আলমগীর হোসেন | ৫৭০0৫৬০০০৩৭২ | পিতা: মোঃ ইয়াকুব মন্ডল | মাতা: মোছাঃ শাহনাজ পারভীন | ১৪/০৩/১৯৯৮ | কৃষক | জালশুকা, গাংনী, মেহেরপুর |</t>
  </si>
  <si>
    <t>| ৭০৮ | নাম: মোঃ মজিবুল হক | ৫৭০0৫৬০০০৩৭৩ | পিতা: আব্দুল মান্নান | মাতা: আনোয়ারা খাতুন | ০১/০৩/২০০২ | ছাত্র/ছাত্রী | জালশুকা, গাংনী, মেহেরপুর |</t>
  </si>
  <si>
    <t>| ৭০৯ | নাম: হোসেন | ৫৭০0৫৬০০০৩৭৪ | পিতা: মোঃ বরকত আলী | মাতা: মোছাঃ বহিরন নেছা | ১৮/১২/১৯৯০ | কৃষক | জালশুকা, গাংনী, মেহেরপুর |</t>
  </si>
  <si>
    <t>| ৭১০ | নাম: মোঃ জুয়েল রানা | ৫৭০0৫৬০০০৩৭৫ | পিতা: মোঃ রবিউল ইসলাম | মাতা: মোছাঃ মাজিনা খাতুন | ২৮/০২/১৯৯৮ | সরকারী চাকুরী | জালশুকা, গাংনী, মেহেরপুর |</t>
  </si>
  <si>
    <t>| ৭১১ | নাম: মোঃ ইসরাফিল হোসেন | ৫৭০0৫৬০০০৩৭৬ | পিতা: মৃত মিনাজ উদ্দীন | মাতা: মোছাঃ মিনারা খাতুন | ১৫/০৭/২০০১ | কৃষক | জালশুকা, গাংনী, মেহেরপুর |</t>
  </si>
  <si>
    <t>| ৭১২ | নাম: মোঃ পানু মিয়া | ৫৭০0৫৬০০০৩৮১ | পিতা: মোঃ তরিকুল ইসলাম | মাতা: মোছাঃ ফেন্সি খাতুন | ১৫/১০/২০০০ | ছাত্র/ছাত্রী | জালশুকা, গাংনী, মেহেরপুর |</t>
  </si>
  <si>
    <t>| ৭১৩ | নাম: শেখ হাবিবুর চৌধুরী | ৫৭০0৫৬০০০৩৮২ | পিতা: মোঃ জমির উদ্দীন | মাতা: নাসের খাতুন | ২৮/১২/২০০১ | ছাত্র/ছাত্রী | জালশুকা, গাংনী, মেহেরপুর |</t>
  </si>
  <si>
    <t>| ৭১৪ | নাম: মোঃ সাগর আলী | ৫৭০0৫৬০০০৩৮৪ | পিতা: আশাদুল ইসলাম | মাতা: মোছাঃ জাহেদা | ২৭/১২/১৯৯৭ | কৃষক | জালশুকা, গাংনী, মেহেরপুর |</t>
  </si>
  <si>
    <t>| ৭১৫ | নাম: মোঃ ছামিউল্লাহ | ৫৭০0৫৬০০০৩৮৫ | পিতা: মোঃ সিদ্দিক আলী | মাতা: মোছাঃ রমেলা খাতুন | ০১/০২/২০০৩ | ছাত্র/ছাত্রী | জালশুকা, গাংনী, মেহেরপুর |</t>
  </si>
  <si>
    <t>| ৭১৬ | নাম: মোঃ চঞ্চল আলী | ৫৭০0৫৬০০০৩৮৬ | পিতা: মোঃ আরমান আলী | মাতা: মোছাঃ সাহেরা খাতুন | ০১/০১/১৯৯৯ | ছাত্র/ছাত্রী | জালশুকা, গাংনী, মেহেরপুর |</t>
  </si>
  <si>
    <t>| ৭১৭ | নাম: মোঃ সাঈদুল ইসলাম | ৫৭০0৫৬০০০৩৮৭ | পিতা: মোঃ রবিউল ইসলাম | মাতা: মোছাঃ ফিরোজা খাতুন | ১০/০৫/১৯৯১ | কৃষক | জালশুকা, গাংনী, মেহেরপুর |</t>
  </si>
  <si>
    <t>| ৭১৮ | মো: তৌফিকুজ্জামান | ৫৭০0৫৬০০০৩৮৮ | মোঃ আনিচুর রহমান | মোছাঃ সাবিনা ইয়াসমিন | ২৫/১০/১৯৯৭ | ব্যবসা | জালশুকা, গাংনী, মেহেরপুর |</t>
  </si>
  <si>
    <t>| ৭১৯ | মোঃ রাকিবুল হক | ৫৭০0৫৬০০০৩৮৯ | মোঃ আনারুল ইসলাম | মোছাঃ শাহিনা খাতুন | ০১/০১/২০০১ | শ্রমিক | জালশুকা, গাংনী, মেহেরপুর |</t>
  </si>
  <si>
    <t>| ৭২০ | মুন্না | ৫৭০0৫৬০০০৩৯২ | মোশারফ | তহলিমা | ০১/০১/১৯৯৫ | কৃষক | জালশুকা, গাংনী, মেহেরপুর |</t>
  </si>
  <si>
    <t>| ৭২১ | মো: হাসান আলী | ৫৭০0৫৬০০০৩৯৩ | মোঃ বছির উদ্দীন | হাজেরা খাতুন | ১৫/০১/২০০২ | কৃষক | জালশুকা, গাংনী, মেহেরপুর |</t>
  </si>
  <si>
    <t>| ৭২২ | মোঃ মুলুক চাঁদ | ৫৭০0৫৬০০০৩৯৬ | মৃত ইদবার আলী | মোছাঃ শাহনারা | ১৪/০১/১৯৯৭ | কৃষক | জালশুকা, গাংনী, মেহেরপুর |</t>
  </si>
  <si>
    <t>| ৭২৩ | মোঃ আব্দুল্লাহ | ৫৭০0৫৬০০০৩৯৭ | মোঃ আবুল কাশেম | মোছাঃ তাসলিমা খাতুন | ১৮/১২/২০০১ | ছাত্র/ছাত্রী | জালশুকা, গাংনী, মেহেরপুর |</t>
  </si>
  <si>
    <t>| ৭২৪ | মো: বাপরাজ | ৫৭০0৫৬০০০৩৯৮ | মো: বিল্লাল হোসেন | মোছা: কুলছন খাতুন | ১৪/১২/২০০৩ | কৃষক | জালশুকা, গাংনী, মেহেরপুর |</t>
  </si>
  <si>
    <t>| ৭২৫ | মো: আল মামুন | ৫৭০0৫৬০০০৪০০ | মো: আব্দুল মামন | মোছা: জামেনা খাতুন | ১২/১০/২০০০ | ছাত্র/ছাত্রী | জালশুকা, গাংনী, মেহেরপুর |</t>
  </si>
  <si>
    <t>| ৭২৬ | মোঃ ইমরান হোসেন | ৫৭০0৫৬০০০৪০৪ | মোঃ মিনারুল ইসলাম | মোছাঃ অরশিদা খাতুন | ০৫/১২/১৯৯৯ | ছাত্র/ছাত্রী | জালশুকা, গাংনী, মেহেরপুর |</t>
  </si>
  <si>
    <t>| ৭২৭ | মোঃ ইমন আলী | ৫৭০0৫৬০০০৪০৫ | মোঃ ইদ্রিস আলী | মোছাঃ রুবিয়া খাতুন | ২৯/১১/২০০১ | কৃষক | জালশুকা, গাংনী, মেহেরপুর |</t>
  </si>
  <si>
    <t>| ৭২৮ | মো: রনি বিশ্বাস | ৫৭০0৫৬০০০৪০৬ | মো: আকতার আলী | মোছা: রংফুল | ২৩/১২/২০০০ | ছাত্র/ছাত্রী | জালশুকা, গাংনী, মেহেরপুর |</t>
  </si>
  <si>
    <t>| ৭২৯ | মোঃ জাহাঙ্গীর আলম | ৫৭০0৫৬০০০৪০৮ | মোঃ ছুবান আলী | মোছাঃ কমেলা খাতুন | ১৭/১০/১৯৮৮ | কৃষক | জালশুকা, গাংনী, মেহেরপুর |</t>
  </si>
  <si>
    <t>| ৭৩০ | মো: শিমুল হোসেন | ৫৭০0৫৬০০০৪১০ | মো: শামীম হোসেন | মোছা: শিউলি খাতুন | ১০/০৩/২০০২ | কৃষক | জালশুকা, গাংনী, মেহেরপুর |</t>
  </si>
  <si>
    <t>| ৭৩১ | মোঃ জাহিদুল ইসলাম | ৫৭০0৫৬০০০৪১৩ | মৃত শহিদুল ইসলাম | মোছাঃ রহিমা খাতুন | ১৫/১২/১৯৯৭ | কৃষক | জালশুকা, গাংনী, মেহেরপুর |</t>
  </si>
  <si>
    <t>| ৭৩২ | মোঃ রাশেদুল ইসলাম | ৫৭০0৫৬০০০৪১৪ | মোঃ শামসুল হক | মোছাঃ জাহামারা | ০১/০১/২০০১ | ছাত্র/ছাত্রী | জালশুকা, গাংনী, মেহেরপুর |</t>
  </si>
  <si>
    <t>| ৭৩৩ | মোঃ রাকিবুল ইসলাম | ৫৭০0৫৬০০০৪১৯ | মোঃ আবেদুর রহমান | মোছাঃ গুলশানারা | ২৫/০২/২০০১ | ছাত্র/ছাত্রী | জালশুকা, গাংনী, মেহেরপুর |</t>
  </si>
  <si>
    <t>| ৭৩৪ | মোঃ আল আমিন | ৫৭০0৫৬০০০৪২২ | মোঃ শামীম হোসেন | মোছাঃ পারুলা খাতুন | ০২/০২/১৯৯৮ | কৃষক | জালশুকা, গাংনী, মেহেরপুর |</t>
  </si>
  <si>
    <t>| ৭৩৫ | মো: ছাব্বির হোসেন | ৫৭০0৫৬০০০৪২৩ | মো: বকুল হোসেন | মোছা: সাবিনা ইয়াসমিন | ৩০/১২/২০০২ | ছাত্র/ছাত্রী | জালশুকা, গাংনী, মেহেরপুর |</t>
  </si>
  <si>
    <t>| ৭৩৬ | মাহাবুল | ৫৭০0৫৬০০০৪২৪ | জামাল | বাসিরন | ০৫/০২/১৯৯০ | কৃষক | জালশুকা, গাংনী, মেহেরপুর |</t>
  </si>
  <si>
    <t>| ৭৩৭ | মোঃ নাইম আলী | ৫৭০0৫৬০০০৪২৬ | মোঃ আব্দুর রশিদ | মোছাঃ নাসিমা খাতুন | ২০/০৭/২০০৩ | ছাত্র/ছাত্রী | জালশুকা, গাংনী, মেহেরপুর |</t>
  </si>
  <si>
    <t>| ৭৩৮ | মোঃ আল আমিন | ৫৭০0৫৬০০০৪২৭ | আব্দুল খালেক | মোছাঃ সাহানারা | ২০/০৩/২০০০ | কৃষক | জালশুকা, গাংনী, মেহেরপুর |</t>
  </si>
  <si>
    <t>| ৭৩৯ | মোঃ নাজমুল হুদা | ৫৭০0৫৬০০০৪২৮ | মোঃ রুহুল আমিন | মোছাঃ শাহেদা খাতুন | ১৫/০৬/১৯৮৫ | কৃষক | জালশুকা, গাংনী, মেহেরপুর |</t>
  </si>
  <si>
    <t>| ৭৪০ | মোঃ রাকিব হোসেন | ৫৭০0৫৬০০০৪২৯ | মোছাঃ রইছউদ্দিন | মোছাঃ সুবারন নেছা | ০১/০১/২০০৩ | কৃষক | জালশুকা, গাংনী, মেহেরপুর |</t>
  </si>
  <si>
    <t>| ৭৪১ | মোঃ পলাশ আলী | ৫৭০0৫৬০০০৪৩০ | আনারুল | সকিরন নেছা | ২৪/০৫/২০০৩ | ছাত্র/ছাত্রী | জালশুকা, গাংনী, মেহেরপুর |</t>
  </si>
  <si>
    <t>| ৭৪২ | মোঃ ইমরান আলী | ৫৭০0৫৬০০০৪৩১ | মোছাঃ নওশাদ | মোছাঃ নাজিরা খাতুন | ০১/০৩/২০০৩ | কৃষক | জালশুকা, গাংনী, মেহেরপুর |</t>
  </si>
  <si>
    <t>| ৭৪৩ | মোঃ মিলন আলী | ৫৭০0৫৬০০০৪৩৭ | মোঃ আব্বাস আলী | মোছাঃ ময়না খাতুন | ০১/০৩/২০০৩ | ছাত্র/ছাত্রী | জালশুকা, গাংনী, মেহেরপুর |</t>
  </si>
  <si>
    <t>| ৭৪৪ | মোঃ তোতা আলী | ৫৭০0৫৬০০০৪৩৯ | মোঃ জাজাল উদ্দীন | মোছাঃ রেবেকা খাতুন | ০৩/০১/২০০২ | ছাত্র/ছাত্রী | জালশুকা, গাংনী, মেহেরপুর |</t>
  </si>
  <si>
    <t>| ৭৪৫ | মোঃ আসাদ | ৫৭০0৫৬০০০৪৪০ | মোঃ মেহের আলী | মোছাঃ নাসিমা খাতুন | ৩০/১০/১৯৯৬ | কৃষক | জালশুকা, গাংনী, মেহেরপুর |</t>
  </si>
  <si>
    <t>| ৭৪৬ | মোঃ নিসান আলী | ৫৭০0৫৬০০০৪৪১ | মোঃ জামিরুল ইসলাম | মোছাঃ তাসলিমা খাতুন | ০১/০১/২০০০ | ছাত্র/ছাত্রী | জালশুকা, গাংনী, মেহেরপুর |</t>
  </si>
  <si>
    <t>| ৭৪৭ | মোঃ লিখন আলী | ৫৭০0৫৬০০০৪৪৩ | মোঃ নজরুল ইসলাম | মোছাঃ ফিরোজা খাতুন | ০১/০১/২০০২ | ছাত্র/ছাত্রী | জালশুকা, গাংনী, মেহেরপুর |</t>
  </si>
  <si>
    <t>| ৭৪৮ | মোঃ হুসাইন আলী | ৫৭০0৫৬০০০৪৪৬ | আব্দুর রাজ্জাক | মোছাঃ নাজিরা খাতুন | ১৭/১২/২০০১ | ছাত্র/ছাত্রী | জালশুকা, গাংনী, মেহেরপুর |</t>
  </si>
  <si>
    <t>| ৭৪৯ | মোঃ মারিজুল ইসলাম | ৫৭০0৫৬০০০৪৪৭ | মোঃ আসাদুল হক | মোছাঃ কামরুন্নাহার | ০১/১০/২০০১ | ছাত্র/ছাত্রী | জালশুকা, গাংনী, মেহেরপুর |</t>
  </si>
  <si>
    <t>| ৭৫০ | মোঃ হৃদয় হোসেন | ৫৭০0৫৬০০০৪৫২ | মোঃ জিয়াউর রহমান | মোছাঃ বেদেনা খাতুন | ২৭/১০/১৯৯৮ | ছাত্র/ছাত্রী | জালশুকা, গাংনী, মেহেরপুর |</t>
  </si>
  <si>
    <t>| ৭৫১ | মোঃ বকুল আহমেদ | ৫৭০0৫৬০০০৪৫৪ | মোঃ আহাদ আলী | জহুরা খাতুন | ২০/১১/১৯৯৭ | ছাত্র/ছাত্রী | জালশুকা, গাংনী, মেহেরপুর |</t>
  </si>
  <si>
    <t>| ৭৫২ | মোঃ স্বপন আলী | ৫৭০0৫৬০০০৪৫৫ | মোঃ রেজাউল হক | মৃত হালিমা খাতুন | ০৯/১২/১৯৮৮ | কৃষক | জালশুকা, গাংনী, মেহেরপুর |</t>
  </si>
  <si>
    <t>| ৭৫৩ | মোঃ সেরেফুল | ৫৭০0৫৬০০০৪৫৬ | মোঃ নুজির আলী | মোছাঃ ফাতেমা খাতুন | ০১/০১/২০০২ | ছাত্র/ছাত্রী | জালশুকা, গাংনী, মেহেরপুর |</t>
  </si>
  <si>
    <t>| ৭৫৪ | নাম: মোঃ জিয়াউর রহমান | ৫৭০0৫৬০০০৪৫৮ | পিতা: হাফেজ উদ্দীন | মাতা: বাসিরন নেছা | ০২/০৩/১৯৮০ | কৃষক | জালশুকা, গাংনী, মেহেরপুর |</t>
  </si>
  <si>
    <t>| ৭৫৫ | নাম: মোঃ শাকিল | ৫৭০0৫৬০০০৪৬২ | পিতা: মোঃ মুন্টু আলী | মাতা: মোছাঃ আসমিনা খাতুন | ০১/০১/২০০২ | কৃষক | জালশুকা, গাংনী, মেহেরপুর |</t>
  </si>
  <si>
    <t>| ৭৫৬ | নাম: মোঃ আঃ সামাদ | ৫৭০0৫৬০০০৪৬৩ | পিতা: মোঃ আঃ ওহাব | মাতা: মোছাঃ হাজেরা খাতুন | ২৭/১২/১৯৯৯ | কৃষক | জালশুকা, গাংনী, মেহেরপুর |</t>
  </si>
  <si>
    <t>| ৭৫৭ | নাম: মোঃ সজিব রানা | ৫৭০0৫৬০০০৪৬৭ | পিতা: মোঃ শাহজান আলী | মাতা: মোছাঃ রহিমা খাতুন | ১৯/১২/১৯৯৭ | ছাত্র/ছাত্রী | জালশুকা, গাংনী, মেহেরপুর |</t>
  </si>
  <si>
    <t>| ৭৫৮ | নাম: মোঃ শরিফুল ইসলাম | ৫৭০0৫৬০০০৪৬৯ | পিতা: মোঃ তারাচাঁদ মন্ডল | মাতা: মোছাঃ রেবেকা খাতুন | ২০/০১/১৯৯৬ | কৃষক | জালশুকা, গাংনী, মেহেরপুর |</t>
  </si>
  <si>
    <t>| ৭৫৯ | নাম: মোঃ সেন্টু আলী | ৫৭০0৫৬০০০৪৭২ | পিতা: নজরুল ইসলাম | মাতা: মোছাঃ মহিলা | ০৫/১২/১৯৯৭ | কৃষক | জালশুকা, গাংনী, মেহেরপুর |</t>
  </si>
  <si>
    <t>| ৭৬০ | নাম: মোঃ ফারুক হোসেন | ৫৭০0৫৬০০০৪৭৩ | পিতা: মোঃ মমতাজ আলী | মাতা: মোছাঃ ইশারন নেছা | ১৫/১২/২০০০ | ছাত্র/ছাত্রী | জালশুকা, গাংনী, মেহেরপুর |</t>
  </si>
  <si>
    <t>| ৭৬১ | নাম: মোঃ শিমুল | ৫৭০0৫৬০০০৪৭৫ | পিতা: মোঃ আশাদুল ইসলাম | মাতা: শাহনাজ বেগম | ২১/১১/২০০১ | ছাত্র/ছাত্রী | জালশুকা, গাংনী, মেহেরপুর |</t>
  </si>
  <si>
    <t>| ৭৬২ | নাম: মোঃ আঃ মমিন | ৫৭০0৫৬০০০৪৮১ | পিতা: মৃত মাদার শেখ | মাতা: মোছাঃ জহুরা খাতুন | ১০/০৭/১৯৮৪ | ব্যবসা | জালশুকা, গাংনী, মেহেরপুর |</t>
  </si>
  <si>
    <t>| ৭৬৩ | নাম: মোঃ শরিফুল ইসলাম | ৫৭০0৫৬০০০৪৮৩ | পিতা: মোঃ বিল্টু আলী | মাতা: মোছাঃ ফেরদৌসি খাতুন | ১৩/০৩/২০০৩ | ছাত্র/ছাত্রী | জালশুকা, গাংনী, মেহেরপুর |</t>
  </si>
  <si>
    <t>| ৭৬৪ | নাম: শাহিনুজ্জামান | ৫৭০0৫৬০০০৪৮৫ | পিতা: মোঃ শফিকুল ইসলাম | মাতা: মোছাঃ আনজিরা খাতুন | ০৩/০২/১৯৮৩ | কৃষক | জালশুকা, গাংনী, মেহেরপুর |</t>
  </si>
  <si>
    <t>| ৭৬৫ | নাম: মোঃ রাকিব আলী | ৫৭০0৫৬০০০৪৮৬ | পিতা: মোঃ রুহুল আমিন | মাতা: মোছাঃ রেহেনা খাতুন | ১৮/০২/২০০২ | কৃষক | জালশুকা, গাংনী, মেহেরপুর |</t>
  </si>
  <si>
    <t>| ৭৬৬ | নাম: আলীরাাজ | ৫৭০0৫৬০০০৪৮৯ | পিতা: মহিবুল | মাতা: মর্জিনা | ২৯/১০/২০০১ | ছাত্র/ছাত্রী | জালশুকা, গাংনী, মেহেরপুর |</t>
  </si>
  <si>
    <t>| ৭৬৭ | নাম: মোঃ হানিফ আলী | ৫৭০0৫৬০০০৪৯০ | পিতা: মোঃ শফিকুল ইসলাম | মাতা: মোছাঃ সাহানা খাতুন | ১৯/০৯/১৯৯৯ | কৃষক | জালশুকা, গাংনী, মেহেরপুর |</t>
  </si>
  <si>
    <t>| ৭৬৮ | নাম: মোঃ শান্ত | ৫৭০0৫৬০০০৪৯১ | পিতা: মোঃ বাবলু হোসেন | মাতা: মোছাঃ ধনী খাতুন | ০১/০৪/২০০১ | ছাত্র/ছাত্রী | জালশুকা, গাংনী, মেহেরপুর |</t>
  </si>
  <si>
    <t>| ৭৬৯ | নাম: মোহাম্মাদ দেলোয়ার হোসেন | ৫৭০0৫৬০০০৪৯২ | পিতা: আব্দুল খালেক | মাতা: মোছাঃ মনোয়ারা | ০৪/১০/১৯৯০ | কৃষক | -০, জালশুকা, গাংনী, মেহেরপুর |</t>
  </si>
  <si>
    <t>| ৭৭০ | নাম: মোঃ সোহাগ মিয়া | ৫৭০0৫৬০০০৪৯৩ | পিতা: মৃত হাসেম আলী | মাতা: মোছাঃ মদিনা খাতুন | ০২/০১/১৯৯৬ | কৃষক | জালশুকা, গাংনী, মেহেরপুর |</t>
  </si>
  <si>
    <t>| ৭৭১ | নাম: মোঃ শিলু মিয়া | ৫৭০0৫৬০০০৪৯৫ | পিতা: মোঃ শুকুর আলী | মাতা: মোছাঃ হালিমা খাতুন | ২৪/১২/২০০১ | ছাত্র/ছাত্রী | জালশুকা, গাংনী, মেহেরপুর |</t>
  </si>
  <si>
    <t>| ৭৭২ | মোঃ টনিক | ৫৭০0৫৬০০০৪৯৭ | মোঃ গোলাম রসুল | মোছাঃ নাগিসয়ারা | ১৫/০৭/২০০১ | ছাত্র/ছাত্রী | জালশুকা, গাংনী, মেহেরপুর |</t>
  </si>
  <si>
    <t>| ৭৭৩ | মোঃ সজিব আলী | ৫৭০0৫৬০০০৪৯৮ | মোঃ সাহাজুল হক | মোছাঃ হালিমা খাতুন | ১৫/০৫/২০০০ | ছাত্র/ছাত্রী | জালশুকা, গাংনী, মেহেরপুর |</t>
  </si>
  <si>
    <t>| ৭৭৪ | মোঃ ইলিয়াস হোসেন | ৫৭০0৫৬০০০৪৯৯ | ইদ্রিস আলী | সারা খাতুন | ২০/১০/১৯৮৩ | কৃষক | জালশুকা, গাংনী, মেহেরপুর |</t>
  </si>
  <si>
    <t>| ৭৭৫ | মোঃ ওয়াহেদ ইসলাম | ৫৭০0৫৬০০০৫০০ | মোঃ আব্দুল গফুর | মোছাঃ উফিয়া খাতুন | ০১/০৩/২০০২ | ছাত্র/ছাত্রী | জালশুকা, গাংনী, মেহেরপুর |</t>
  </si>
  <si>
    <t>| ৭৭৬ | মোঃ আলী কবির | ৫৭০0৫৬০০০৫০৩ | মোঃ ইউছুফ আলী | মোছাঃ রহিলা খাতুন | ১০/০৬/১৯৯৫ | কৃষক | জালশুকা, গাংনী, মেহেরপুর |</t>
  </si>
  <si>
    <t>| ৭৭৭ | মোঃ রাশেদ খান | ৫৭০0৫৬০০০৫০৬ | মোঃ ইসরাফ আলী | মোছাঃ জরিনা খাতুন | ০৫/০৩/২০০২ | কৃষক | জালশুকা, গাংনী, মেহেরপুর |</t>
  </si>
  <si>
    <t>| ৭৭৮ | নাম: আনোয়ার আলী | ৫৭০0৫৬০০০৩৬৭ | ওয়াজ আলী (মুল্লা) | রমেছা | ০৭/০৫/১৯৫২ | দিনমজুর | জালশুকা, গাংনী, মেহেরপুর |</t>
  </si>
  <si>
    <t>| ৭৭৯ | নাম: মাহাবুল | ৫৭০0৫৬০০০৪০৭ | তারাচাঁদ | রেবেকা | ১৭/১১/১৯৯১ | কৃষক | জালশুকা, গাংনী, মেহেরপুর |</t>
  </si>
  <si>
    <t>| ৭৮০ | মোঃ ইলিয়াস হোসেন | ৫৭০0৫৬২৪৪৪৬৩৪ | মোঃ রমিনু উদ্দীন মন্ডল | মোছাঃ আকলিমা বেগম | ০২/০৩/১৯৭৪ | কৃষক | জালশুকা, জালশুকা, গাংনী, মেহেরপুর |</t>
  </si>
  <si>
    <t>| ৭৮১ | নাম: মোঃ ইয়াকুব মন্ডল | ৫৭০0৫৬০০০৫০৭ | শামসুদ্দীন মন্ডল | মোছাঃ রুবিয়া বেগম | ১৮/০১/১৯৭৭ | রিক্সা/ভ্যান চালক | জালশুকা, গাংনী, মেহেরপুর |</t>
  </si>
  <si>
    <t>| ৭৮২ | নাম: মোঃ বকুল শিকদার | ৫৭০0৫৬২৪৪৪৬৩৬ | পিতা: মোঃ ইদ্রিস আলী | মাতা: মোছাঃ রোকেয়া খাতুন | ০১/০১/২০০২ | শ্রমিক | ১২৫৩, জালশুকা, গাংনী, মেহেরপুর |</t>
  </si>
  <si>
    <t>| ৭৮৩ | নাম: মোঃ ফিরোজ আলী | ৫৭০0৫৬২৪৪৪৬৩৮ | পিতা: মোছাঃ তক্কেল | মাতা: মোছাঃ ফাতেমা খাতুন | ১২/০৩/১৯৯৯ | বেকার | জালশুকা, গাংনী, মেহেরপুর |</t>
  </si>
  <si>
    <t>| ৭৮৪ | নাম: মোঃ স্বাধীন আলী | ৫৭০0৫৬২৪৪৪৬৪০ | পিতা: মোঃ মজিবুল ইসলাম | মাতা: মোছা: মুক্তা খাতুন | ১৩/০২/২০০১ | শ্রমিক | ১৫০, জালশুকা, গাংনী, মেহেরপুর |</t>
  </si>
  <si>
    <t>| ৭৮৫ | নাম: মোঃ জিয়ারুল | ৫৭০0৫৬২৪৪৪৬৪১ | পিতা: মোঃ জমির উদ্দীন | মাতা: মোছা: হাজেরা বেগম | ২০/০৩/১৯৮৫ | কৃষক | জালশুকা, জালশুকা, গাংনী, মেহেরপুর |</t>
  </si>
  <si>
    <t>| ৭৮৬ | নাম: আজাদ | ৫৭০0৫৬২৪৪৪৬৪২ | পিতা: আবুহুদ্দিন | মাতা: কুলছন | ১৭/০২/১৯৯২ | ব্যবসা | জালশুকা, গাংনী, মেহেরপুর |</t>
  </si>
  <si>
    <t>| ৭৮৭ | নাম: মোঃ সবুর আলী | ৫৭০0৫৬০০০০০৪৫ | পিতা: মোঃ হযরত আলী | মাতা: মোছা: জরিনা খাতুন | ০৩/০৯/২০০৪ | ছাত্র/ছাত্রী | জালশুকা, গাংনী, মেহেরপুর |</t>
  </si>
  <si>
    <t>| ৭৮৮ | নাম: মোঃ রাশেদ আলী | ৫৭০0৫৬০০০০০৫০৯ | পিতা: মোঃ চাঁদালী | মাতা: মোছাঃ রুশিয়া খাতুন | ০১/০১/২০০৫ | ছাত্র/ছাত্রী | ৯৪০, জালশুকা, গাংনী, মেহেরপুর |</t>
  </si>
  <si>
    <t>| ৭৮৯ | নাম: মোঃ লিখন | ৫৭০0৫৬০০০০৫১০ | পিতা: মোহা: মহিবুল ইসলাম | মাতা: মোছাঃ সুরভী খাতুন | ০১/০১/২০০৫ | ছাত্র/ছাত্রী | ১১৬০, জালশুকা, গাংনী, মেহেরপুর |</t>
  </si>
  <si>
    <t>| ৭৯০ | মো: তামিম আলী | ৫৭০০৫৬৫০০০৫১২ | মো: আব্দুল আলিম | মোছা: মমতাজ খাতুন | ০১/০৩/২০০৪ | কৃষক | ২৭৮, জালশুকা, গাংনী, মেহেরপুর |</t>
  </si>
  <si>
    <t>| ৭৯১ | মোঃ সুমন আলী | ৫৭০০৫৬৫০০০৫১৩ | মো: হাফিজুর রহমান | মোছাঃ সাজেদা বেগম | ০১/০১/২০০৫ | ছাত্র/ছাত্রী | ৯৭৪, জালশুকা, গাংনী, মেহেরপুর |</t>
  </si>
  <si>
    <t>| ৭৯২ | মো: লিপন আলী | ৫৭০০৫৬৫০০০৫১৬ | মো: লিটন আলী | মোছা: রাশিদা খাতুন | ০১/০১/২০০৫ | ছাত্র/ছাত্রী | ১০৯৭, জালশুকা, গাংনী, মেহেরপুর |</t>
  </si>
  <si>
    <t>| ৭৯৩ | মো: মাহফুজুর রহমান | ৫৭০০৫৬৫০০০৫১৮ | মো: আব্দুস সাত্তার | মোছা: লিলি খাতুন | ০১/০৬/২০০৪ | ছাত্র/ছাত্রী | ১০০৮, জালশুকা, গাংনী, মেহেরপুর |</t>
  </si>
  <si>
    <t>| ৭৯৪ | মো: সাব্বির হোসেন | ৫৭০০৫৬৫০০০৫২১ | মো: আবুল বাশার মনা | মোছা: ছাবিনা খাতুন | ২৫/১১/২০০৪ | ছাত্র/ছাত্রী | জালশুকা, গাংনী, মেহেরপুর |</t>
  </si>
  <si>
    <t>| ৭৯৫ | মো: বুলবুল মাহমুদ | ৫৭০০৫৬৫০০০৫২৩ | মো: মোক্কেল আলী | মোছা: গুলশান আরা | ০১/০১/২০০৫ | ছাত্র/ছাত্রী | জালশুকা, গাংনী, মেহেরপুর |</t>
  </si>
  <si>
    <t>| ৭৯৬ | মো: মোজাহিদ ইসলাম | ৫৭০০৫৬৫০০০৫৩১ | মো: লিটন আলী | মোছা: আনজিরা বেগম | ০৩/০২/২০০৫ | ছাত্র/ছাত্রী | জালশুকা, গাংনী, মেহেরপুর |</t>
  </si>
  <si>
    <t>| ৭৯৭ | মো: রাজু আহমেদ | ৫৭০০৫৬৫০০০৫৩২ | মো: আবু তাহের | মোছা: নাছিমা খাতুন | ২৫/১২/২০০৫ | কৃষক | ৭৯১, জালশুকা, গাংনী, মেহেরপুর |</t>
  </si>
  <si>
    <t>| ৭৯৮ | মো: আ: ছালাম | ৫৭০০৫৬৫০০০৫৩৫ | আবু সাঈদ | শিরিনা | ০১/০৩/২০০৫ | ছাত্র/ছাত্রী | জালশুকা, গাংনী, মেহেরপুর |</t>
  </si>
  <si>
    <t>| ৭৯৯ | মো: তুষার আলী | ৫৭০০৫৬৫০০০৫৩৬ | মো: হাবিবুর রহমান | মোছা: এসমেতারা | ০১/০৬/২০০৫ | ছাত্র/ছাত্রী | ১২৬৪, জালশুকা, গাংনী, মেহেরপুর |</t>
  </si>
  <si>
    <t>| ৮০০ | মো: সুমন আলী | ৫৭০০৫৬৫০০০৫৩৭ | মো: বিল্লাল হোসেন | মোছা: রেহেনা খাতুন | ৩০/০৬/২০০৪ | ছাত্র/ছাত্রী | ১০৭৫, জালশুকা, গাংনী, মেহেরপুর |</t>
  </si>
  <si>
    <t>| ৮০১ | মো: মোহাদ্দিক হোসেন | ৫৭০০৫৬৫০০০৫৪২ | মো: খায়রুল ইসলাম | মোছা: পপিয়ারা বেগম | ০১/০২/২০০৬ | ছাত্র/ছাত্রী | ১৩১১, জালশুকা, গাংনী, মেহেরপুর |</t>
  </si>
  <si>
    <t>| ৮০২ | মো: হুসাইন আলী | ৫৭০০৫৬৫০০০৫৪৫ | মো: নিজাম উদ্দীন | মোছা: হোসেনারা | ০১/০৪/২০০৬ | কৃষক | ১২৬৫, জালশুকা, গাংনী, মেহেরপুর |</t>
  </si>
  <si>
    <t>| ৮০৩ | মো: নাহিম আলী | ৫৭০০৫৬৫০০০৫৪৬ | মো: সাহাবুল | মোছা: নাছরিন | ৩০/১২/২০০৬ | ছাত্র/ছাত্রী | ১১৫১, জালশুকা, গাংনী, মেহেরপুর |</t>
  </si>
  <si>
    <t>| ৮০৪ | কাউছার আলী | ৫৭০০৫৬৫৪৪৪৬৪৫ | মৃত আকবার আলী | মোছা: মনোয়ারা খাতুন | ১১/০১/১৯৮৮ | শ্রমিক | জালশুকা, গাংনী, মেহেরপুর |</t>
  </si>
  <si>
    <t>| ৮০৫ | মো: শাহিনুজ্জামান | ৫৭০০৫৬৫৪৪৪৬৪৭ | মো: আহাদ আলী | জহুরা খাতুন | ০১/১১/১৯৯৯ | ছাত্র/ছাত্রী | জালশুকা, গাংনী, মেহেরপুর |</t>
  </si>
  <si>
    <t>| ৮০৬ | মোহাঃ রিপন আলী | ৫৭০০৫৬৫৪৪৪৬৪৮ | মোহাঃ আঃজাম্মেল | মোহাঃ হানেয়ারা | ০১/০৬/১৯৯৯ | শ্রমিক | জালশুকা, গাংনী, মেহেরপুর |</t>
  </si>
  <si>
    <t>| ৮০৭ | মো: রুবেল আলী | ৫৭০০৫৬৫৪৪৪৬৪৯ | মো: জহুরুল ইসলাম | মোছা: রেহেনা খাতুন | ২৭/১২/২০০০ | ছাত্র/ছাত্রী | ১২৬১, জালশুকা, গাংনী, মেহেরপুর |</t>
  </si>
  <si>
    <t>| ৮২৬ | মো: হাবিবুর রহমান | ৫৭০০৫৬৫৪৪৪৬৭৭ | মো: আসান আলী | মোছা: মর্জিনা খাতুন | ১৭/১২/১৯৯৯ | শ্রমিক | জালশুকা, গাংনী, মেহেরপুর |</t>
  </si>
  <si>
    <t>| ৮২৭ | লিকেন আলী | ৫৭০০৫৬৫৪৪৪৬৭৯ | মো: জাহাঙ্গীর আলম | মোছা: শাহনাজ খাতুন | ০১/০১/২০০৪ | ছাত্র/ছাত্রী | জালশুকা, গাংনী, মেহেরপুর |</t>
  </si>
  <si>
    <t>| ৮২৮ | মো: জুয়েল আলী | ৫৭০০৫৬৫৪৪৪৬৮৪ | মো: কালু বিশ্বাস | মোছা: জুলেখা খাতুন | ০৬/০৬/১৯৯৯ | কৃষক | ১১৩২, জালশুকা, গাংনী, মেহেরপুর |</t>
  </si>
  <si>
    <t>| ৮২৯ | মো: সাইফুল | ৫৭০০৫৬৫৪৪৪৬৮৫ | মো: মিরাজুল | ছলেহা | ০২/০৫/১৯৯০ | প্রবাসী | জালশুকা, গাংনী, মেহেরপুর |</t>
  </si>
  <si>
    <t>| ৮৩০ | মো: আরিফুল ইসলাম | ৫৭০০৫৬৫৪৪৪৬৮৬ | মো: রেজাউল | মৃত মিনা খাতুন | ০১/০১/২০০২ | কৃষক | জালশুকা, গাংনী, মেহেরপুর |</t>
  </si>
  <si>
    <t>| ৮৩১ | মো: সজিব হোসেন | ৫৭০০৫৬৫৪৪৪৬৮৭ | মো: নজরুল ইসলাম | মোছা: বানেয়া খাতুন | ০৮/০২/২০০৩ | মিস্ত্রী | জালশুকা, গাংনী, মেহেরপুর |</t>
  </si>
  <si>
    <t>| ৮৩২ | মো: শাহজান আলী | ৫৭০০৫৬৫৪৪৪৬৮৮ | মো: মোকসেদ আলী | মোছা: শাহনাজ খাতুন | ২৬/১১/১৯৯৫ | কৃষক | জালশুকা, গাংনী, মেহেরপুর |</t>
  </si>
  <si>
    <t>| ৮৩৩ | মো: মাসুদ মিয়া | ৫৭০০৫৬৫৪৪৪৬৮৯ | মো: মুনসাদ আলী | মোছা: মাছুরা খাতুন | ০১/০৯/২০০৩ | ছাত্র/ছাত্রী | জালশুকা, গাংনী, মেহেরপুর |</t>
  </si>
  <si>
    <t>| ৮৩৪ | মো: মিজানুর রহমান | ৫৭০০৫৬৫৪৪৪৬৯০ | মো: মহাবুল হক | মোছা: আংগুরা খাতুন | ১২/০৩/২০০৩ | ছাত্র/ছাত্রী | জালশুকা, গাংনী, মেহেরপুর |</t>
  </si>
  <si>
    <t>| ৮৩৫ | মো: রায়হান আলী | ৫৭০০৫৬৫৪৪৪৬৯৭ | মো: জামাত আলী | মোছা: ছালিমা খাতুন | ০১/০৬/২০০২ | কৃষক | জালশুকা, গাংনী, মেহেরপুর |</t>
  </si>
  <si>
    <t>| ৮৩৬ | মো: শিপন আলী | ৫৭০০৫৬৫৪৪৪৬৯৮ | মো: বিশারত আলী | মোছা: রিনা খাতুন | ০১/০২/২০০০ | কৃষক | জালশুকা, গাংনী, মেহেরপুর |</t>
  </si>
  <si>
    <t>| ৮৩৭ | মো: আলহামদু | ৫৭০০৫৬৫৪৪৪৬৯৯ | মো: নওশাদ আলী | মোছা: ববিতা খাতুন | ০১/০১/২০০৪ | ছাত্র/ছাত্রী | ৮২৬, জালশুকা, গাংনী, মেহেরপুর |</t>
  </si>
  <si>
    <t>| ৮৩৮ | মো: জুবায়ের আলী | ৫৭০০৫৬৫৪৪৪৭০০ | জিনারুল ইসলাম | মোছা: বেদেনা খাতুন | ১০/০২/২০০২ | কৃষক | জালশুকা, গাংনী, মেহেরপুর |</t>
  </si>
  <si>
    <t>| ৮৩৯ | মো: বিপুল হোসেন | ৫৭০০৫৬৫০০০৫১৪ | মো: বাবুল হোসেন | মোছা: ডলিয়ার খাতুন | ০৪/০৩/২০০৪ | ছাত্র/ছাত্রী | জালশুকা, গাংনী, মেহেরপুর |</t>
  </si>
  <si>
    <t>| ৮৪০ | মো: সাব্বির আহমদ | ৫৭০০৫৬৫০০০৫২৯ | মো: আতিয়ার রহমান | মোছা: সাহেরা খাতুন | ০৫/০৬/২০০৫ | কৃষক | জালশুকা, গাংনী, মেহেরপুর |</t>
  </si>
  <si>
    <t>| ৮৪১ | মো: ফরজ আলী | ৫৭০০৫৬৫০০০৫৪৪ | মো: আবু শাহিন | মোছা: শিল্পীয়ারা খাতুন | ৩০/১২/২০০৬ | কৃষক | জালশুকা, গাংনী, মেহেরপুর |</t>
  </si>
  <si>
    <t>| ৮৪২ | মো: পারভেজ হোসেন | ৫৭০০৫৬৫৪৪৪৭০৩ | মো: শহিদুল | মোছা: পারভিনা খাতুন | ০১/০১/২০০২ | ছাত্র/ছাত্রী | জালশুকা, গাংনী, মেহেরপুর |</t>
  </si>
  <si>
    <t>| ৮৪৩ | মো: পারভেজ | ৫৭০০৫৬৫৪৪৪৭০৮ | মো: মোশারফ | মোছা: পারিছা খাতুন | ০১/০১/১৯৯৫ | শ্রমিক | জালশুকা, গাংনী, মেহেরপুর |</t>
  </si>
  <si>
    <t>| ৮৪৪ | মোহামাদ রাকিব রেজা | ৫৭০০৫৬৫০০০৫৩৯ | সিরাজুল হক | রওশনারা খাতুন | ১২/১০/১৯৯০ | শ্রমিক | ৯৭১, জালশুকা, গাংনী, মেহেরপুর |</t>
  </si>
  <si>
    <t>| ৮৪৫ | মো: রকিবুল হক | ৫৭০০৫৬৫০০০৫৪০ | মোহা: আশাদুল | মোহা: চাইনা খাতুন | ১৫/০২/১৯৯৬ | কৃষক | জালশুকা, গাংনী, মেহেরপুর |</t>
  </si>
  <si>
    <t>| ৮৪৬ | মো: সুমন আলী | ৫৭০০৫৬৫৪৪৪৭১১ | মো: আনুছদ্দিন | মোছা: ফিরোজা খাতুন | ২৫/০২/২০০৪ | শ্রমিক | জালশুকা, গাংনী, মেহেরপুর |</t>
  </si>
  <si>
    <t>| ৮৪৭ | সাকিল আহমেদ | ৫৭০০৫৬৫৪৪৪৭১২ | মো: রইছউদ্দিন | মোছা: সুবারোন | ১৮/০১/২০০৪ | শ্রমিক | জালশুকা, গাংনী, মেহেরপুর |</t>
  </si>
  <si>
    <t>| ৮৪৮ | মো: আরাফাত আলী | ৫৭০০৫৬৫৪৪৪৭১৩ | মো: মোজাম্মেল | মোছা: রাবিয়া খাতুন | ০১/০১/২০০৫ | শ্রমিক | জালশুকা, গাংনী, মেহেরপুর |</t>
  </si>
  <si>
    <t>| ৮৪৯ | মো: হাসান | ৫৭০০৫৬৫০০০৫৩০ | মো: আবুল কাশেম | মোছা: নুরজাহান | ০২/০৬/২০০৩ | শ্রমিক | ৯২৫, জালশুকা, গাংনী, মেহেরপুর |</t>
  </si>
  <si>
    <t>| ৮৫০ | মো: মুনছের | ৫৭০০৫৬৫০০০৫৪১ | মো: আকাল উদ্দিন | মোছা: জাহানারা খাতুন | ১০/০৪/১৯৮১ | কৃষক | জালশুকা, গাংনী, মেহেরপুর |</t>
  </si>
  <si>
    <t>| ৮৫১ | শফি উদ্দীন | ৫৭০০৫৬৫৪৪৪৭২০ | ছাদেক আলী | হাজেরা খাতুন | ০২/০১/১৯৮৫ | শ্রমিক | ৭৭৯, জালশুকা, গাংনী, মেহেরপুর |</t>
  </si>
  <si>
    <t>| ৮৫২ | মো: আতিয়ার রহমান | ৫৭০০৫৬৫৪৪৪৭২১ | ছামছের | মোছা: ফুলছুরাতন খাতুন | ২০/০৪/১৯৭২ | কৃষক | ৭৭৯, জালশুকা, গাংনী, মেহেরপুর |</t>
  </si>
  <si>
    <t>| ৮৫৩ | মো: পলাশ আলী | ৫৭০০৫৬৫০০০৫৪৩ | মো: নাসির উদ্দীন | মোছা: সাহেরা খাতুন | ২৯/০৯/২০০৬ | বেকার | ৮৬৭, জালশুকা, গাংনী, মেহেরপুর |</t>
  </si>
  <si>
    <t>| ৮৫৪ | মো: মশিউর রহমান | ৫৭০০৫৬৫৪৪৪৭৩৩ | মো: দুলাল হোসেন | মোছা: আরজিয়া খাতুন | ১০/০৫/২০০৩ | শ্রমিক | ১২৫২, জালশুকা, গাংনী, মেহেরপুর |</t>
  </si>
  <si>
    <t>| ৮৫৫ | মো: সবুজ আলী | ৫৭০০৫৬৫৪৪৪৭৩৪ | মো: ইসরাফিল হোসেন | মোছা: রোজিফা খাতুন | ২৯/০৭/২০০৩ | শ্রমিক | ৭৯৯, জালশুকা, গাংনী, মেহেরপুর |</t>
  </si>
  <si>
    <t>| ৮৫৬ | মো: মুরছালিন মিয়া | ৫৭০০৫৬৫৪৪৪৭৩৬ | মো: বাবুল হোসেন | মোছা: তহুরা খাতুন | ১০/০৫/২০০৫ | কৃষক | জালশুকা, গাংনী, মেহেরপুর |</t>
  </si>
  <si>
    <t>| ৮৫৭ | মো: জিয়ারুল হক | ৫৭০০৫৬৫৪৪৪৭৪০ | মো: আশাদুল ইসলাম | মোছা: আনোয়ারা খাতুন | ০১/০১/২০০৪ | কৃষক | জালশুকা, গাংনী, মেহেরপুর |</t>
  </si>
  <si>
    <t>| ৮৫৮ | রিপন | ৫৭০০৫৬৫৪৪৪৭৩০ | মো: বিশারত | রিনা খাতুন | ২২/১০/১৯৯২ | শ্রমিক | জালশুকা, গাংনী, মেহেরপুর |</t>
  </si>
  <si>
    <t>| ৮৫৯ | উজ্জ্বল | ৫৭০০৫৬৫৪৪৪৭৪১ | গোলাম রসুল | রবিছন | ১১/০৪/১৯৭৭ | কৃষক | জালশুকা, গাংনী, মেহেরপুর |</t>
  </si>
  <si>
    <t>| ৮৬০ | মো: আশিক আহমেদ | ৫৭০০৫৬৫৪৪৪৭৪৩ | মো: আ: আলীম | মোছা: রূপালী খাতুন | ০১/০১/২০০৪ | শ্রমিক | ৯১২, জালশুকা, গাংনী, মেহেরপুর |</t>
  </si>
  <si>
    <t>| ৮৬১ | মাসুদ রানা | ৫৭০০৫৬৫৪৪৪৭৪৪ | দবির উদ্দীন | জয়নব | ০১/০৩/১৯৮৩ | প্রবাসী | জালশুকা, গাংনী, মেহেরপুর |</t>
  </si>
  <si>
    <t>| ৮০৮ | মামুন | ৫৭০০৫৬৫৪৪৪৬৫১ | মোজাম্মেল হক | মুক্তি | ০২/০৩/১৯৮৮ | ব্যবসা | জালশুকা, গাংনী, মেহেরপুর |</t>
  </si>
  <si>
    <t>| ৮০৯ | মো: কাশেম চৌধুরী | ৫৭০০৫৬৫৪৪৪৬৫২ | মৃত উকিল চৌধুরী | মৃত হাসিনা বেগম | ০১/০২/১৯৭৮ | প্রবাসী | জালশুকা, গাংনী, মেহেরপুর |</t>
  </si>
  <si>
    <t>| ৮১০ | মো: আশিকুর রহমান | ৫৭০০৫৬৫৪৪৪৬৫৩ | মো: সিদ্দিক আলী | মোছা: রমেলা খাতুন | ০১/১২/২০০০ | শ্রমিক | জালশুকা, গাংনী, মেহেরপুর |</t>
  </si>
  <si>
    <t>| ৮১১ | মো: আসাদ আলী | ৫৭০০৫৬৫৪৪৪৬৫৪ | মো: মহিবুল হক | মোছা: ময়না খাতুন | ১৩/১০/১৯৯৯ | ছাত্র/ছাত্রী | জালশুকা, গাংনী, মেহেরপুর |</t>
  </si>
  <si>
    <t>| ৮১২ | মো: নয়ন আলী | ৫৭০০৫৬৫৪৪৪৬৫৫ | মোহাঃ আব্দুর রাজ্জাক | মোহাঃ বেদানা | ০১/০১/২০০৪ | শ্রমিক | ১০৪৭, জালশুকা, গাংনী, মেহেরপুর |</t>
  </si>
  <si>
    <t>| ৮১৩ | মো: ইউনুস আলি | ৫৭০০৫৬৫৪৪৪৬৫৬ | মো: মিনারুল ইসলাম | মো: অর্শিদা খাতুন | ২০/০২/২০০২ | কৃষক | জালশুকা, গাংনী, মেহেরপুর |</t>
  </si>
  <si>
    <t>| ৮১৪ | মো: সাগর আলী | ৫৭০০৫৬৫৪৪৪৬৫৭ | মো: মুকুল হোসেন | মোছা: শান্তিয়ারা খাতুন | ১৭/১১/২০০২ | ছাত্র/ছাত্রী | ৮৬৭, জালশুকা, গাংনী, মেহেরপুর |</t>
  </si>
  <si>
    <t>| ৮১৫ | মো: সাব্বির হোসেন | ৫৭০০৫৬৫৪৪৪৬৫৮ | মো: দাউদ হোসেন | মোছা: আফরোজা খাতুন | ০৪/০৬/২০০০ | শ্রমিক | জালশুকা, গাংনী, মেহেরপুর |</t>
  </si>
  <si>
    <t>| ৮১৬ | মো: তৌফিক হোসেন | ৫৭০০৫৬৫৪৪৪৬৫৯ | মোছা: তৈয়ব আলী | মোছা: মহিমা খাতুন | ০৫/০৮/২০০০ | কৃষক | ১২২৫, জালশুকা, গাংনী, মেহেরপুর |</t>
  </si>
  <si>
    <t>| ৮১৭ | মো: নূরামিন | ৫৭০০৫৬৫৪৪৪৬৬০ | মোহা: আব্দুল খালেক | মোছা: সাহানারা | ০৫/০২/২০০০ | কৃষক | ১২১৩, জালশুকা, গাংনী, মেহেরপুর |</t>
  </si>
  <si>
    <t>| ৮১৮ | মো: নাহিদ | ৫৭০০৫৬৫৪৪৪৬৬২ | মো: আতিয়ার রহমান | মোছা: নাছরিন খাতুন | ০২/১১/২০০৩ | কৃষক | ১১১৯, জালশুকা, গাংনী, মেহেরপুর |</t>
  </si>
  <si>
    <t>| ৮১৯ | মো: হুমায়ন কবির | ৫৭০০৫৬৫৪৪৪৬৬৩ | মো: আলী হোসেন | মোছা: আবেদা খাতুন | ০১/০১/২০০৪ | কৃষক | জালশুকা, গাংনী, মেহেরপুর |</t>
  </si>
  <si>
    <t>| ৮২০ | মো: শাকিব আলী | ৫৭০০৫৬৫৪৪৪৬৬৪ | মো: হাবিবুর রহমান | মোছা: তছলিমা খাতুন | ০৫/০৭/২০০৩ | ছাত্র/ছাত্রী | জালশুকা, গাংনী, মেহেরপুর |</t>
  </si>
  <si>
    <t>| ৮২১ | সুমন | ৫৭০০৫৬৫৪৪৪৬৬৫ | মোহা: মোশারফ | মোহা: তছলিমা | ০১/০১/২০০০ | কৃষক | ১০৬৯, জালশুকা, গাংনী, মেহেরপুর |</t>
  </si>
  <si>
    <t>| ৮২২ | মো: সাব্বির হোসেন | ৫৭০০৫৬৫৪৪৪৬৬৭ | মো: ইমদাদুল | মোছা: রূপালী খাতুন | ০১/০১/২০০৩ | কৃষক | ১১৭৫, জালশুকা, গাংনী, মেহেরপুর |</t>
  </si>
  <si>
    <t>| ৮২৩ | মো: ইসমাইল হক | ৫৭০০৫৬৫৪৪৪৬৭০ | মো: আ: রাজ্জাক | মোছা: আত্তরা খাতুন | ০১/০৫/২০০০ | কৃষক | জালশুকা, গাংনী, মেহেরপুর |</t>
  </si>
  <si>
    <t>| ৮২৪ | মো: রাসেল আলী | ৫৭০০৫৬৫৪৪৪৬৭৪ | মো: জিনারুল ইসলাম | মোছা: বিলকিস বানু | ০১/০৩/২০০০ | কৃষক | ১০৪২, জালশুকা, গাংনী, মেহেরপুর |</t>
  </si>
  <si>
    <t>| ৮২৫ | মো: আম্মার | ৫৭০০৫৬৫৪৪৪৬৭৬ | মো: মিরাজুল | শিল্পী বেগম | ০২/০৯/১৯৯০ | মিস্ত্রী | ৯৪৫, জালশুকা, গাংনী, মেহেরপুর |</t>
  </si>
  <si>
    <t>| ৮২৬ | মোঃ হাবিবুর রহমান | ৫৭০0৫৬৫৮৪৬৭৭ | মো আসাদ আলী | মোছাঃ মর্জিনা খাতুন | ১৭/১২/১৯৯৯ | শ্রমিক | জালশুকা, গাংনী, মেহেরপুর |</t>
  </si>
  <si>
    <t>| ৮২৭ | লিকেল আলী | ৫৭০0৫৬৫৮৪৬৭৯ | মোঃ জাহাঙ্গীর আলম | মোছাঃ শাহনাজ খাতুন | ০১/০১/২০০৪ | ছাত্র/ছাত্রী | জালশুকা, গাংনী, মেহেরপুর |</t>
  </si>
  <si>
    <t>| ৮২৮ | মোঃ জুয়েল আলী | ৫৭০0৫৬৫৮৪৬8৪ | মোঃ কালু বিশ্বাস | মোছাঃ জুলেখা খাতুন | ০৬/০৬/১৯৯৯ | কৃষক | ১১৩২, জালশুকা, গাংনী, মেহেরপুর |</t>
  </si>
  <si>
    <t>| ৮২৯ | মোঃ সাইফুল | ৫৭০0৫৬৫৮৪৬৮৫ | মোঃ সিরাজুল | মৃতঃ ছলেহা | ০২/০৫/১৯৯০ | প্রবাসী | জালশুকা, গাংনী, মেহেরপুর |</t>
  </si>
  <si>
    <t>| ৮৩০ | মোঃ আরিফুল ইসলাম | ৫৭০0৫৬৫৮৪৬৮৬ | মোঃ রেজাউল | মৃতঃ মিনা খাতুন | ০১/০১/২০০২ | কৃষক | জালশুকা, গাংনী, মেহেরপুর |</t>
  </si>
  <si>
    <t>| ৮৩১ | মোঃ সজিব হোসেন | ৫৭০0৫৬৫৮৪৬৮৭ | মোঃ নজরুল ইসলাম | মোছাঃ বালেছা খাতুন | ০৮/০১/২০০৩ | মিস্ত্রী | জালশুকা, গাংনী, মেহেরপুর |</t>
  </si>
  <si>
    <t>| ৮৩২ | মোঃ শাহজান আলী | ৫৭০0৫৬৫৮৪৬৮৮ | মোঃ মোক্কেল আলী | মোছাঃ শাহনাজ খাতুন | ২৬/১১/১৯৯৫ | কৃষক | জালশুকা, গাংনী, মেহেরপুর |</t>
  </si>
  <si>
    <t>| ৮৩৩ | মোঃ মাসুদ মিয়্যা | ৫৭০0৫৬৫৮৪৬৮৯ | মোঃ মুনসাদ আলী | মোছাঃ মকছুরা খাতুন | ০১/০৯/২০০০ | ছাত্র/ছাত্রী | জালশুকা, গাংনী, মেহেরপুর |</t>
  </si>
  <si>
    <t>| ৮৩৪ | মোঃ মিজানুর রহমান | ৫৭০0৫৬৫৮৪৬৯০ | মোঃ মহাবুল হক | মোছাঃ আলেরা খাতুন | ১২/০৩/২০০৩ | ছাত্র/ছাত্রী | জালশুকা, গাংনী, মেহেরপুর |</t>
  </si>
  <si>
    <t>| ৮৩৫ | মোঃ রায়হান আলী | ৫৭০0৫৬৫৮৪৬৯৭ | মোঃ জামাত আলী | মোছাঃ হালিমা খাতুন | ০১/০৬/২০০২ | কৃষক | জালশুকা, গাংনী, মেহেরপুর |</t>
  </si>
  <si>
    <t>| ৮৩৬ | মোঃ শিপন আলী | ৫৭০0৫৬৫৮৪৬৯৮ | মোঃ বিশারত আলী | মোছাঃ রিণা খাতুন | ০১/০২/২০০০ | কৃষক | জালশুকা, গাংনী, মেহেরপুর |</t>
  </si>
  <si>
    <t>| ৮৩৭ | মোঃ আলহামদু | ৫৭০0৫৬৫৮৪৬৯৯ | মোঃ নওশাদ আলী | মোছাঃ ববিতা খাতুন | ০১/০১/২০০৪ | ছাত্র/ছাত্রী | ৮২৬, জালশুকা, গাংনী, মেহেরপুর |</t>
  </si>
  <si>
    <t>| ৮৩৮ | মোঃ জুবায়ের আলী | ৫৭০0৫৬৫৮৪৭০০ | জিনারুল ইসলাম | মোছাঃ বেদেনা খাতুন | ১০/০২/২০০২ | কৃষক | জালশুকা, গাংনী, মেহেরপুর |</t>
  </si>
  <si>
    <t>| ৮৩৯ | মোঃ বিপুল হোসেন | ৫৭০0৫৬০০০৫১৪ | মোঃ বাবুল হোসেন | মোছাঃ ডলিয়ার খাতুন | ০৪/০৩/২০০৪ | ছাত্র/ছাত্রী | জালশুকা, গাংনী, মেহেরপুর |</t>
  </si>
  <si>
    <t>| ৮৪০ | মোঃ সাব্বির আহমদ | ৫৭০0৫৬০০০৫২৯ | মোঃ আতিয়ার রহমান | মোছাঃ সাহেরা খাতুন | ০৫/০৬/২০০৫ | কৃষক | জালশুকা, গাংনী, মেহেরপুর |</t>
  </si>
  <si>
    <t>| ৮৪১ | মোঃ ফরজ আলী | ৫৭০0৫৬০০০৫৪৪ | মোঃ আবু শাহিন | মোছাঃ পিলিয়ার খাতুন | ৩০/১২/২০০৬ | কৃষক | জালশুকা, গাংনী, মেহেরপুর |</t>
  </si>
  <si>
    <t>| ৮৪২ | মোঃ পারভেজ হোসেন | ৫৭০0৫৬৫৮৪৭০৩ | মোঃ শহিদুল | মোছাঃ পারভিনা খাতুন | ০১/০১/২০০২ | ছাত্র/ছাত্রী | জালশুকা, গাংনী, মেহেরপুর |</t>
  </si>
  <si>
    <t>| ৮৪৩ | পারভেজ | ৫৭০0৫৬৫৮৪৭০৮ | মোঃ মোশারফ | মোছাঃ পারিছা খাতুন | ০১/০১/১৯৯৫ | শ্রমিক | জালশুকা, গাংনী, মেহেরপুর |</t>
  </si>
  <si>
    <t>| ৮৪৪ | নাম: মোহাম্মাদ রাকিব রেজা | ৫৭০0৫৬০০০৫৩৯ | সিরাজুল হক | রওশনারা খাতুন | ১২/১০/১৯৯০ | শ্রমিক | ১৭১, জালশুকা, গাংনী, মেহেরপুর |</t>
  </si>
  <si>
    <t>| ৮৪৫ | নাম: মোঃ রকিবুল হক | ৫৭০0৫৬০০০৫৪০ | মোঃ আশাদুল | মোছাঃ চাইনা খাতুন | ১৫/০২/১৯৯৬ | কৃষক | জালশুকা, গাংনী, মেহেরপুর |</t>
  </si>
  <si>
    <t>| ৮৪৬ | নাম: মোঃ সুমন আলী | ৫৭০0৫৬৫৮৪৭১১ | মোঃ আনুছদ্দিন | মোছাঃ ফিরোজা খাতুন | ২৫/০২/২০০৪ | শ্রমিক | জালশুকা, গাংনী, মেহেরপুর |</t>
  </si>
  <si>
    <t>| ৮৪৭ | নাম: সাকিল আহমেদ | ৫৭০0৫৬৫৮৪৭১২ | মোঃ রইছউদ্দীন | মোছাঃ সুবারোন | ১৮/০১/২০০৪ | শ্রমিক | জালশুকা, গাংনী, মেহেরপুর |</t>
  </si>
  <si>
    <t>| ৮৪৮ | নাম: মোঃ আরাফাত আলী | ৫৭০0৫৬৫৮৪৭১৩ | মোছাঃ মোজাম্মেল | মোছাঃ রাবিয়া খাতুন | ০১/০১/২০০৫ | শ্রমিক | জালশুকা, গাংনী, মেহেরপুর |</t>
  </si>
  <si>
    <t>| ৮৪৯ | নাম: মোঃ হাসান | ৫৭০0৫৬০০০৫৩০ | মোঃ আবুল কাশেম | মোছাঃ নুরজাহান | ০২/০৬/২০০৩ | শ্রমিক | ৯২৩, জালশুকা, গাংনী, মেহেরপুর |</t>
  </si>
  <si>
    <t>| ৮৫০ | নাম: মোঃ মুনছের | ৫৭০0৫৬০০০৫৪১ | মোঃ আকাল উদ্দিন | মোছাঃ জাহানারা খাতুন | ১০/০৮/১৯৮১ | কৃষক | জালশুকা, গাংনী, মেহেরপুর |</t>
  </si>
  <si>
    <t>| ৮৫১ | নাম: শফি উদ্দীন | ৫৭০0৫৬৫৮৪৭২০ | ছাদেক আলী | হাজেরা খাতুন | ০২/০১/১৯৮৫ | শ্রমিক | ৭৭৯, জালশুকা, গাংনী, মেহেরপুর |</t>
  </si>
  <si>
    <t>| ৮৫২ | নাম: মোঃ আতিয়ার রহমান | ৫৭০0৫৬৫৮৪৭২১ | ছামছের | মোছাঃ ফুলছুরাতন খাতুন | ২০/০৪/১৯৭২ | কৃষক | ৭৭৯, জালশুকা, গাংনী, মেহেরপুর |</t>
  </si>
  <si>
    <t>| ৮৫৩ | নাম: মোঃ পলাশ আলী | ৫৭০0৫৬০০০৫৪৩ | মোঃ নাছীর উদ্দীন | মোছাঃ সাহেরা খাতুন | ২৯/০৯/২০০৬ | বেকার | ৮৬৭, জালশুকা, গাংনী, মেহেরপুর |</t>
  </si>
  <si>
    <t>| ৮৫৪ | নাম: মোঃ মশিউর রহমান | ৫৭০0৫৬৫৮৪৭৩৩ | মোঃ দুলাল হোসেন | মোছাঃ আরবিয়া খাতুন | ১০/০৫/২০০৩ | শ্রমিক | ২৩২, জালশুকা, গাংনী, মেহেরপুর |</t>
  </si>
  <si>
    <t>| ৮৫৫ | নাম: মোঃ সবুজ আলী | ৫৭০0৫৬৫৮৪৭৩৪ | মোঃ ইসরাফিল হোসেন | মোছাঃ রোজিফা খাতুন | ২৯/০৭/২০০৩ | শ্রমিক | ৭৯৯, জালশুকা, গাংনী, মেহেরপুর |</t>
  </si>
  <si>
    <t>| ৮৫৬ | নাম: মোঃ মুরছালিন মিয়া | ৫৭০0৫৬৫৮৪৭৩৬ | মোঃ বাবুল হোসেন | মোছাঃ তহুরা খাতুন | ১০/০৫/২০০৫ | কৃষক | জালশুকা, গাংনী, মেহেরপুর |</t>
  </si>
  <si>
    <t>| ৮৫৭ | নাম: মোঃ জিয়ারুল হক | ৫৭০0৫৬৫৮৪৭৪০ | মোঃ আশাদুল ইসলাম | মোছাঃ আনোয়ারা খাতুন | ০১/০১/২০০৪ | কৃষক | জালশুকা, গাংনী, মেহেরপুর |</t>
  </si>
  <si>
    <t>| ৮৫৮ | নাম: রিপন | ৫৭০0৫৬৫৮৪৭৩০ | মোঃ বিশারত | রিনা খাতুন | ২২/১০/১৯৯২ | শ্রমিক | জালশুকা, গাংনী, মেহেরপুর |</t>
  </si>
  <si>
    <t>| ৮৫৯ | নাম: উজ্জ্বল | ৫৭০0৫৬৫৮৪৭৪১ | গোলাম রসুল | রবিছন | ১১/০৪/১৯৭৭ | কৃষক | জালশুকা, গাংনী, মেহেরপুর |</t>
  </si>
  <si>
    <t>| ৮৬০ | নাম: মোঃ আশিক আহমেদ | ৫৭০0৫৬৫৮৪৭৪৩ | মোঃ আলীম | মোছাঃ রূপালী খাতুন | ০১/০১/২০০৪ | শ্রমিক | ৯১২, জালশুকা, গাংনী, মেহেরপুর |</t>
  </si>
  <si>
    <t>| ৮৬১ | নাম: মাসুদ রানা | ৫৭০0৫৬৫৮৪৭৪৪ | দবির উদ্দীন | জয়নব | ০১/০৩/১৯৮৩ | প্রবাসী | জালশুকা, গাংনী, মেহেরপুর |</t>
  </si>
  <si>
    <t>| ৮৬২ | মোঃ তৈয়ব আলী | ৫৭০0৫৬৫৮৪৭৪৫ | হিলাল উদ্দীন | ঝরনা খাতুন | ০৫/০১/১৯৮৬ | শ্রমিক | ৮৭৮, জালশুকা, গাংনী, মেহেরপুর |</t>
  </si>
  <si>
    <t>| ৮৬৩ | মোঃ হৃদয় | ৫৭০0৫৬৫৮৪৭৪৯ | মোঃ জিনারুল | মোছাঃ পিজিলা (আসমা) | ২০/০৬/২০০২ | শ্রমিক | জালশুকা, গাংনী, মেহেরপুর |</t>
  </si>
  <si>
    <t>| ৮৬৪ | মোঃ কাকন আহমেদ | ৫৭০0৫৬৫৮৪৭৫১ | মোঃ কুদ্দুস আলি | মোছাঃ ফারজিনা | ৩০/১২/২০০৬ | ছাত্র/ছাত্রী | জালশুকা, গাংনী, মেহেরপুর |</t>
  </si>
  <si>
    <t>| ৮৬৫ | মোঃ মিজানুর রহমান | ৫৭০0৫৬৫৮৪৭৫২ | মোঃ আমিরুল ইসলাম | মোছাঃ সোনা ভানু খাতুন | ১০/০৫/২০০৪ | ছাত্র/ছাত্রী | জালশুকা, গাংনী, মেহেরপুর |</t>
  </si>
  <si>
    <t>| ৮৬৬ | মোঃ জোনায়েদ হোসেন | ৫৭০0৫৬৫৮৪৭৫৩ | মোঃ ইলিয়াস হোসেন | মোছাঃ বিউটি খাতুন | ১৫/১১/২০০২ | ছাত্র/ছাত্রী | জালশুকা, গাংনী, মেহেরপুর |</t>
  </si>
  <si>
    <t>| ৮৬৭ | মোঃ মিলন আলী | ৫৭০0৫৬৫৮৪৭৫৫ | মোঃ ফজলুল হক | মোছাঃ হাজেরা | ০৮/০৫/২০০২ | শ্রমিক | জালশুকা, গাংনী, মেহেরপুর |</t>
  </si>
  <si>
    <t>| ৮৬৮ | মোঃ মিলন | ৫৭০0৫৬৫৮৪৭৫৬ | মোঃ ফজলুল হক | মোছাঃ হাজেরা | ০৪/১০/২০০২ | শ্রমিক | জালশুকা, গাংনী, মেহেরপুর |</t>
  </si>
  <si>
    <t>| ৮৬৯ | মোঃ হাসিব আলী | ৫৭০0৫৬৫৮৪৭৬২ | মোঃ বিশারত আলী | মোছাঃ সুরাইয়া | ০১/০১/২০০৭ | ছাত্র/ছাত্রী | জালশুকা, গাংনী, মেহেরপুর |</t>
  </si>
  <si>
    <t>| ৮৭০ | বায়েজিদ | ৫৭০0৫৬৫৮৪৭৬৭ | মোঃ শাহাজুল ইসলাম | হুসনেয়ারা খাতুন | ২২/০৫/১৯৯৯ | শ্রমিক | জালশুকা, গাংনী, মেহেরপুর |</t>
  </si>
  <si>
    <t>| ৮৭১ | মোঃ ইয়াসিন আরাফাত | ৫৭০0৫৬৫৮৪৭৬৮ | মোছাঃ মুরাদ আলি | মোছাঃ সোনা ভানু | ০১/০১/২০০৩ | বেকার | জালশুকা, গাংনী, মেহেরপুর |</t>
  </si>
  <si>
    <t>| ৮৭২ | মোঃ সাফায়েত | ৫৭০0৫৬৫৮৪৭৬৯ | মোঃ জয়নাল আলী | মোছাঃ হুরজান খাতুন | ০১/০১/২০০৫ | শ্রমিক | জালশুকা, গাংনী, মেহেরপুর |</t>
  </si>
  <si>
    <t>| ৮৭৩ | মোঃ আবু তালহা | ৫৭০0৫৬৫৮৪৭৭০ | মোঃ রুহুল আমিন | মোছাঃ নাজিরা | ৩০/১২/২০০৫ | ছাত্র/ছাত্রী | জালশুকা, গাংনী, মেহেরপুর |</t>
  </si>
  <si>
    <t>| ৮৭৪ | মোঃ ইব্রাহিম আলী | ৫৭০0৫৬৫৮৪৭৭১ | মোঃ আ: খালেক | মোছাঃ ছামসুন্নাহার | ২০/০৫/২০০৬ | শ্রমিক | জালশুকা, গাংনী, মেহেরপুর |</t>
  </si>
  <si>
    <t>| ৮৭৫ | মোঃ লিজন আলী | ৫৭০0৫৬৫৮৪৭৭২ | মোঃ জিয়াউর রহমান | মোছাঃ বেদেনা খাতুন | ১৮/০২/২০০৪ | কৃষক | জালশুকা, গাংনী, মেহেরপুর |</t>
  </si>
  <si>
    <t>| ৮৭৬ | মোঃ সোহরাব হোসেন | ৫৭০0৫৬৫৮৪৭৭৫ | মোঃ আব্দুর রহমান | মৃত রাহিমা খাতুন | ০১/০১/২০০০ | ছাত্র/ছাত্রী | জালশুকা, গাংনী, মেহেরপুর |</t>
  </si>
  <si>
    <t>| ৮৭৭ | মোঃ মামুন আলী | ৫৭০0৫৬৫৮৪৭৭৯ | মোঃ ইসরাফ আলী | মোছাঃ জরিনা খাতুন | ০৩/০১/২০০৪ | কৃষক | জালশুকা, গাংনী, মেহেরপুর |</t>
  </si>
  <si>
    <t>| ৮৭৮ | মোঃ আকাশ আলী | ৫৭০0৫৬৫৮৪৭৮০ | মোঃ জিনারুল ইসলাম | মোছাঃ পারুল খাতুন | ১৮/০৭/২০০৬ | শ্রমিক | জালশুকা, গাংনী, মেহেরপুর |</t>
  </si>
  <si>
    <t>| ৮৭৯ | মোঃ সুমন আলী | ৫৭০0৫৬৫৮৪৭৮৬ | মোঃ মিজানুর রহমান | মোছাঃ আজিনা খাতুন | ০১/০৬/২০০৫ | ব্যবসা | জালশুকা, গাংনী, মেহেরপুর |</t>
  </si>
  <si>
    <t>| ৮৮০ | মোঃ মাসুদ রানা | ৫৭০0৫৬৫৮৪৭৯২ | মো: শাহজাহান | মোছা: বিউটি খাতুন | ০১/০১/২০০৬ | কৃষক | জালশুকা, গাংনী, মেহেরপুর |</t>
  </si>
  <si>
    <t>| ৮৮১ | মোঃ আবুল বাসার | ৫৭০0৫৬৫৮৪৭৯৪ | মৃত আনারুল ইসলাম | মোছা: সকিরন নেছা | ০১/০৯/২০০৫ | কৃষক | জালশুকা, গাংনী, মেহেরপুর |</t>
  </si>
  <si>
    <t>| ৮৮২ | মো: হৃদয় মন্ডল | ৫৭০0৫৬৫৮৪৭৯৫ | মোঃ মতিয়ার রহমান | মোছা: লিপিয়ারা | ০৫/০৮/২০০৫ | শ্রমিক | জালশুকা, গাংনী, মেহেরপুর |</t>
  </si>
  <si>
    <t>| ৮৮৩ | মোঃ সাব্বির হাসান অন্তর | ৫৭০0৫৬৫৮৪৮০৩ | মো: গিয়াস উদ্দীন | মোছা: সাহার বানু | ১৫/১০/২০০৬ | ছাত্র/ছাত্রী | জালশুকা, গাংনী, মেহেরপুর |</t>
  </si>
  <si>
    <t>| ৮৮৪ | মোহাঃ মুস্তাফিজুর রহমান | ৫৭০0৫৬৫৮৪৮০৪ | মোঃ আনিচুর রহমান | মোছাঃ বিউটি খাতুন | ৩০/০৭/২০০৪ | ছাত্র/ছাত্রী | জালশুকা, গাংনী, মেহেরপুর |</t>
  </si>
  <si>
    <t>| ৮৮৫ | মোঃ রাকিব হোসেন | ৫৭০0৫৬৫৮৪৮০৫ | মোঃ ঝন্টু আলী | মোছা: শিউলী খাতুন | ১২/০২/২০০৪ | শ্রমিক | জালশুকা, গাংনী, মেহেরপুর |</t>
  </si>
  <si>
    <t>| ৮৮৬ | মোঃ ইমন | ৫৭০0৫৬৫৮৪৭৪৬ | মো: কবু | মোছা: খাদেজা | ০৫/০২/২০০৪ | কৃষক | জালশুকা, গাংনী, মেহেরপুর |</t>
  </si>
  <si>
    <t>| ৮৮৭ | মোঃ কবু | ৫৭০0৫৬৫৮৪৭৪৮ | আবু ছদ্দিন | কুলছন | ১১/০৮/১৯৮৩ | কৃষক | জালশুকা, গাংনী, মেহেরপুর |</t>
  </si>
  <si>
    <t>| ৮৮৮ | জিয়ার আলী | ৫৭০0৫৬৫৮৪৮০৮ | নাজিম উদ্দীন | সাহিদা খাতুন | ০৭/০৫/১৯৮৩ | দিনমজুর | ৮৯১, জালশুকা, গাংনী, মেহেরপুর |</t>
  </si>
  <si>
    <t>| ৮৮৯ | মোঃ ইসমাইল হোসেন | ৫৭০0৫৬৫৮৪৮১৩ | শামছদ্দিন মোল্লা | মোছা: রুবিয়া বেগম | ১২/০৩/১৯৭০ | রিক্সা/ভ্যান চালক | জালশুকা, গাংনী, মেহেরপুর |</t>
  </si>
  <si>
    <t>| ৮৯০ | মোঃ ইকরামুল হক | ৫৭০0৫৬৫৮৪৮১৫ | মোঃ আকতার আলী | মোছা: রেক্সা খাতুন | ০১/০১/১৯৯৮ | দিনমজুর | জালশুকা, গাংনী, মেহেরপুর |</t>
  </si>
  <si>
    <t>| ৮৯১ | মোঃ আল ফাহাদ হোসেন | ৫৭০0৫৬০০০৫৪৮ | শায়জান | মোছা: শেফালী খাতুন | ১৩/০১/২০০৭ | ছাত্র/ছাত্রী | জালশুকা, গাংনী, মেহেরপুর |</t>
  </si>
  <si>
    <t>| ৮৯২ | মোঃ আরাফাত হোসেন | ৫৭০0৫৬০০০৫৫১ | মোছাঃ আনোয়ার হোসেন | মোছাঃ রাশিদা খাতুন | ০৫/০৫/২০০৭ | ছাত্র/ছাত্রী | ১২২৬, জালশুকা, গাংনী, মেহেরপুর |</t>
  </si>
  <si>
    <t>| ৮৯৩ | মোঃ হাফিজুল রহমান | ৫৭০0৫৬০০০৫৫২ | মোঃ কামাল উদ্দীন | মোছাঃ সেলিনা খাতুন | ২০/০৪/২০০৭ | ছাত্র/ছাত্রী | জালশুকা, গাংনী, মেহেরপুর |</t>
  </si>
  <si>
    <t>| ৮৯৪ | মোঃ নাফিজুর রহমান | ৫৭০0৫৬০০০৫৫৩ | মোঃ সাহেবুল ইসলাম | মোছাঃ হালিমা খাতুন | ৩০/০৮/২০০৭ | ব্যবসা | জালশুকা, গাংনী, মেহেরপুর |</t>
  </si>
  <si>
    <t>| ৮৯৫ | মোঃ সাহেদ রেজা | ৫৭০0৫৬০০০৫৫৬ | মোছাঃ জিল্লুর রহমান | মোছাঃ সেগিনা খাতুন | ২৫/০৪/২০০৭ | বেকার | জালশুকা, গাংনী, মেহেরপুর |</t>
  </si>
  <si>
    <t>| ৮৯৬ | মোঃ রাজিব | ৫৭০0৫৬০০০৫৫৮ | মৃত মহরম আলী | মোছাঃ রেক্সোনা খাতুন | ১০/১০/২০০৭ | শ্রমিক | জালশুকা, গাংনী, মেহেরপুর |</t>
  </si>
  <si>
    <t>| ৮৯৭ | মোঃ হাবিবুল্লাহ | ৫৭০0৫৬০০০৫৫৯ | মোঃ নাজমুল ইসলাম | মোছাঃ সাবিনা ইয়াসমিন | ১২/০৪/২০০৭ | ছাত্র/ছাত্রী | জালশুকা, গাংনী, মেহেরপুর |</t>
  </si>
  <si>
    <t>| ৮৯৮ | মোঃ ফিরোজুল হক রাজু | ৫৭০০৫৬৫০০০৫৬০ | মোহাঃ মহাবুল হক | মোছাঃ ফিরোজা খাতুন | ২৪/০৭/২০০৭ | কৃষক | জালশুকা, গাংনী, মেহেরপুর |</t>
  </si>
  <si>
    <t>| ৮৯৯ | শাহিনুল জামান | ৫৭০০৫৬৫৪৪৮০৭ | শফিকুল ইসলাম | মোছাঃ ফাতেমা খাতুন | ১৫/০৯/১৯৮১ | শ্রমিক | ১১৪৪, জালশুকা, গাংনী, মেহেরপুর |</t>
  </si>
  <si>
    <t>| ৯০০ | মোহাম্মাদ বিপুল আলী | ৫৭০০৫৬৫৪৪৮১০ | আসান আলী | মৃত মর্জিনা | ০১/০৪/১৯৯১ | শ্রমিক | ৯১৮, জালশুকা, গাংনী, মেহেরপুর |</t>
  </si>
  <si>
    <t>| ৯০১ | হেদায়েতুল্লাহ বিন আসওয়াদ | ৫৭০০৫৬৫৪৪৮১২ | মোঃ জহুরুল আলম | মোছাঃ ছুরাতন খাতুন | ১৯/০৭/২০০৬ | বেকার | ১১৭০, জালশুকা, গাংনী, মেহেরপুর |</t>
  </si>
  <si>
    <t>| ৯০২ | বিল্লাল | ৫৭০০৫৬৫৪৪৮২১ | আ: ছাত্তার | অজিফা | ১৩/০৪/১৯৮৪ | শ্রমিক | ৯০৩, জালশুকা, গাংনী, মেহেরপুর |</t>
  </si>
  <si>
    <t>| ৯০৩ | মোঃ শরিফ উদ্দীন | ৫৭০০৫৬৫৪৪৮১৯ | মৃত ওয়াজ বকস | ইজারন নেছা | ০২/০১/১৯৬৪ | শ্রমিক | জালশুকা, গাংনী, মেহেরপুর |</t>
  </si>
  <si>
    <t>| ৯০৪ | মোঃ হাসিবুল ইসলাম | ৫৭০০৫৬৫৪৪৮২২ | মোঃ বাবুল হোসেন | হাজেরা খাতুন | ০২/০৩/১৯৮৫ | শ্রমিক | ১২৮২, জালশুকা, গাংনী, মেহেরপুর |</t>
  </si>
  <si>
    <t>| ৯০৫ | মোঃ মোহন আলী | ৫৭০০৫৬৫৪৪৮২৩ | মোঃ আবুছুদ্দীন | মোছাঃ সেলিনা | ২৫/০৯/১৯৯০ | শ্রমিক | ১২৮৪, জালশুকা, গাংনী, মেহেরপুর |</t>
  </si>
  <si>
    <t>| ১৯৬ | মো: মরিকুল ইসলাম | ৫৭০০৫৬৩৭৮১৯৫ | মো: তমছের আলী | মোছা: তাসলিমা খাতুন | ০৫/০৩/১৯৮৪ | কৃষক | জালশুকা, গাংনী, মেহেরপুর |</t>
  </si>
  <si>
    <t>| ১৯৭ | মো: নজরুল ইসলাম | ৫৭০০৫৬৩৭৮১৯৭ | খলিলুর রহমান | মোছা: তোফারন নেছা | ০২/০১/১৯৭২ | কৃষক | জালশুকা, গাংনী, মেহেরপুর |</t>
  </si>
  <si>
    <t>| ১৯৮ | মো: আ: রাজ্জাক | ৫৭০০৫৬৩৭৮১৯৮ | জবেদ আলী | শরিফান নেছা | ২৫/১১/১৯৮২ | কৃষক | জালশুকা, গাংনী, মেহেরপুর |</t>
  </si>
  <si>
    <t>| ১৯৯ | মো: তুহিন আলী | ৫৭০০৫৬৩৭৮২০১ | মো: বাবলু আলী | মোছা: আলিয়া খাতুন | ০৫/০৭/১৯৮৪ | কৃষক | জালশুকা, গাংনী, মেহেরপুর |</t>
  </si>
  <si>
    <t>| ২০০ | মো: বাবলু আলী | ৫৭০০৫৬৩৭৮২০০ | লুতফর রহমান | মোছা: রাবিয়া খাতুন | ১৯/০৪/১৯৫৯ | ব্যবসা | জালশুকা উত্তর পাড়া, গাংনী, মেহেরপুর |</t>
  </si>
  <si>
    <t>| ২০১ | মো: ফজলুল হক | ৫৭০০৫৬৩৭৮২০৮ | লুৎফর রহমান | মোছা: রাবিয়া খাতুন | ১২/১০/১৯৪৫ | কৃষক | জালশুকা মসজিদ পাড়া, গাংনী, মেহেরপুর |</t>
  </si>
  <si>
    <t>| ২০২ | মো: সাইফুল ইসলাম | ৫৭০০৫৬৩৭৮২০৯ | মো: ফজলুল হক | মোছা: রোকেয়া বেগম | ১১/০৮/১৯৮০ | কৃষক | জালশুকা, গাংনী, মেহেরপুর |</t>
  </si>
  <si>
    <t>| ২০৩ | মো: বাবুল হোসেন | ৫৭০০৫৬৩৭৮২১১ | মো: আবুল হোসেন | মোছা: মাহিরন নেছা | ০৪/০৭/১৯৭২ | কৃষক | জালশুকা, গাংনী, মেহেরপুর |</t>
  </si>
  <si>
    <t>| ২০৪ | মো: ইশারুদ্দীন | ৫৭০০৫৬৩৭৮২১২ | তাহাজুদ্দীন | মোছা: সফুরা খাতুন | ১৭/০৮/১৯৬৪ | কৃষক | জালশুকা মসজিদ পাড়া, গাংনী, মেহেরপুর |</t>
  </si>
  <si>
    <t>| ২০৫ | মো: আমিরুল ইসলাম | ৫৭০০৫৬৩৭৮২১৫ | যাদু মন্ডল | মোছা: জেলেজান | ২১/০৪/১৯৭০ | কৃষক | জালশুকা মসজিদ পাড়া, গাংনী, মেহেরপুর |</t>
  </si>
  <si>
    <t>| ২০৬ | মো: জাহাঙ্গীর আলম | ৫৭০০৫৬৩৭৮২১৮ | মো: ইশারুদ্দীন | মোছা: আম্বিয়া খাতুন | ০৯/০৪/১৯৭৩ | কৃষক | জালশুকা মসজিদ পাড়া, গাংনী, মেহেরপুর |</t>
  </si>
  <si>
    <t>| ২০৭ | মো: শিপলু আলী | ৫৭০০৫৬৩৭৮২১৯ | মো: তাহিরুদ্দীন | মোছা: রেবেকা খাতুন | ০৮/০৫/১৯৮৮ | কৃষক | জালশুকা মসজিদ পাড়া, গাংনী, মেহেরপুর |</t>
  </si>
  <si>
    <t>| ২০৮ | মো: মাসুদ আলী | ৫৭০০৫৬৩৭৮২২০ | মো: দবির উদ্দীন | মোছা: জয়নব নেছা | ১৫/০৩/১৯৮৩ | কৃষক | জালশুকা, গাংনী, মেহেরপুর |</t>
  </si>
  <si>
    <t>| ২০৯ | মো: ছনিরুদ্দীন | ৫৭০০৫৬৩৭৮২২২ | ছামছুদ্দি মলিথা | আইজান নেছা | ০১/০১/১৯৪৮ | কৃষক | জালশুকা, গাংনী, মেহেরপুর |</t>
  </si>
  <si>
    <t>| ২১০ | মো: অপছের আলী | ৫৭০০৫৬৩৭৮২২৩ | মো: ছনিরুদ্দিন | মোছা: শবজান | ২৫/০৯/১৯৬৭ | কৃষক | জালশুকা, গাংনী, মেহেরপুর |</t>
  </si>
  <si>
    <t>| ২১১ | মো: এনামুল হক | ৫৭০০৫৬৩৭৮২২৪ | মো: ছনিরুদ্দীন | মোছা: শবজান | ০৫/০২/১৯৭৭ | বেকার | জালশুকা, গাংনী, মেহেরপুর |</t>
  </si>
  <si>
    <t>| ২১২ | মো: মিয়াজান | ৫৭০০৫৬৩৭৮২২৫ | মো: দবির উদ্দীন | মোছা: জয়নব নেছা | ১৭/০৪/১৯৭২ | কৃষক | জালশুকা, গাংনী, মেহেরপুর |</t>
  </si>
  <si>
    <t>| ২১৩ | মো: সুজন আলী | ৫৭০০৫৬৩৭৮২২৬ | মো: মহসিন আলী | মোছা: ছামসুনার | ২৬/০৬/১৯৮৮ | কৃষক | জালশুকা, গাংনী, মেহেরপুর |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</si>
</sst>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14.38"/>
    <col customWidth="1" min="2" max="2" width="19.38"/>
    <col customWidth="1" min="3" max="3" width="19.75"/>
    <col customWidth="1" min="4" max="4" width="19.88"/>
    <col customWidth="1" min="5" max="5" width="20.38"/>
    <col customWidth="1" min="6" max="8" width="14.38"/>
    <col customWidth="1" min="9" max="9" width="15.0"/>
    <col customWidth="1" min="10" max="10" width="3.88"/>
    <col customWidth="1" min="1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8</v>
      </c>
      <c r="C2" s="1" t="s">
        <v>9</v>
      </c>
      <c r="D2" s="1" t="s">
        <v>10</v>
      </c>
      <c r="E2" s="1">
        <v>5.70056375662E11</v>
      </c>
      <c r="F2" s="1" t="s">
        <v>11</v>
      </c>
      <c r="G2" s="1" t="s">
        <v>12</v>
      </c>
      <c r="H2" s="1" t="s">
        <v>13</v>
      </c>
    </row>
    <row r="3" ht="15.75" customHeight="1">
      <c r="A3" s="1">
        <v>2.0</v>
      </c>
      <c r="B3" s="1" t="s">
        <v>14</v>
      </c>
      <c r="C3" s="1" t="s">
        <v>15</v>
      </c>
      <c r="D3" s="1" t="s">
        <v>16</v>
      </c>
      <c r="E3" s="1">
        <v>5.70556376533E11</v>
      </c>
      <c r="F3" s="1" t="s">
        <v>17</v>
      </c>
      <c r="G3" s="1" t="s">
        <v>12</v>
      </c>
      <c r="H3" s="1" t="s">
        <v>13</v>
      </c>
    </row>
    <row r="4" ht="15.75" customHeight="1">
      <c r="A4" s="1">
        <v>3.0</v>
      </c>
      <c r="B4" s="1" t="s">
        <v>18</v>
      </c>
      <c r="C4" s="1"/>
      <c r="D4" s="1"/>
      <c r="E4" s="1"/>
      <c r="F4" s="1"/>
      <c r="G4" s="1"/>
      <c r="H4" s="1"/>
    </row>
    <row r="5" ht="15.75" customHeight="1">
      <c r="A5" s="1">
        <v>4.0</v>
      </c>
      <c r="B5" s="1" t="s">
        <v>19</v>
      </c>
      <c r="C5" s="1" t="s">
        <v>20</v>
      </c>
      <c r="D5" s="1" t="s">
        <v>21</v>
      </c>
      <c r="E5" s="1">
        <v>5.70556376538E11</v>
      </c>
      <c r="F5" s="1" t="s">
        <v>22</v>
      </c>
      <c r="G5" s="1" t="s">
        <v>12</v>
      </c>
      <c r="H5" s="1" t="s">
        <v>13</v>
      </c>
    </row>
    <row r="6" ht="15.75" customHeight="1">
      <c r="A6" s="1">
        <v>5.0</v>
      </c>
      <c r="B6" s="1" t="s">
        <v>23</v>
      </c>
      <c r="C6" s="1" t="s">
        <v>24</v>
      </c>
      <c r="D6" s="1" t="s">
        <v>25</v>
      </c>
      <c r="E6" s="1">
        <v>5.70556376544E11</v>
      </c>
      <c r="F6" s="1" t="s">
        <v>26</v>
      </c>
      <c r="G6" s="1" t="s">
        <v>27</v>
      </c>
      <c r="H6" s="1" t="s">
        <v>28</v>
      </c>
    </row>
    <row r="7" ht="15.75" customHeight="1">
      <c r="A7" s="1">
        <v>6.0</v>
      </c>
      <c r="B7" s="1" t="s">
        <v>29</v>
      </c>
      <c r="C7" s="1" t="s">
        <v>30</v>
      </c>
      <c r="D7" s="1" t="s">
        <v>31</v>
      </c>
      <c r="E7" s="1">
        <v>5.70556376977E11</v>
      </c>
      <c r="F7" s="1" t="s">
        <v>32</v>
      </c>
      <c r="G7" s="1" t="s">
        <v>12</v>
      </c>
      <c r="H7" s="1" t="s">
        <v>13</v>
      </c>
    </row>
    <row r="8" ht="15.75" customHeight="1">
      <c r="A8" s="1">
        <v>7.0</v>
      </c>
      <c r="B8" s="1" t="s">
        <v>33</v>
      </c>
      <c r="C8" s="1" t="s">
        <v>34</v>
      </c>
      <c r="D8" s="1" t="s">
        <v>35</v>
      </c>
      <c r="E8" s="1">
        <v>5.70556376986E11</v>
      </c>
      <c r="F8" s="1" t="s">
        <v>36</v>
      </c>
      <c r="G8" s="1" t="s">
        <v>37</v>
      </c>
      <c r="H8" s="1" t="s">
        <v>13</v>
      </c>
    </row>
    <row r="9" ht="15.75" customHeight="1">
      <c r="A9" s="1">
        <v>8.0</v>
      </c>
      <c r="B9" s="1" t="s">
        <v>38</v>
      </c>
      <c r="C9" s="1" t="s">
        <v>39</v>
      </c>
      <c r="D9" s="1" t="s">
        <v>40</v>
      </c>
      <c r="E9" s="1">
        <v>5.70556377206E11</v>
      </c>
      <c r="F9" s="1" t="s">
        <v>41</v>
      </c>
      <c r="G9" s="1" t="s">
        <v>12</v>
      </c>
      <c r="H9" s="1" t="s">
        <v>13</v>
      </c>
    </row>
    <row r="10" ht="15.75" customHeight="1">
      <c r="A10" s="1">
        <v>9.0</v>
      </c>
      <c r="B10" s="1" t="s">
        <v>18</v>
      </c>
      <c r="C10" s="1"/>
      <c r="D10" s="1"/>
      <c r="E10" s="1"/>
      <c r="F10" s="1"/>
      <c r="G10" s="1"/>
      <c r="H10" s="1"/>
    </row>
    <row r="11" ht="15.75" customHeight="1">
      <c r="A11" s="1">
        <v>10.0</v>
      </c>
      <c r="B11" s="1" t="s">
        <v>42</v>
      </c>
      <c r="C11" s="1" t="s">
        <v>43</v>
      </c>
      <c r="D11" s="1" t="s">
        <v>44</v>
      </c>
      <c r="E11" s="1">
        <v>5.7055637721E11</v>
      </c>
      <c r="F11" s="1" t="s">
        <v>45</v>
      </c>
      <c r="G11" s="1" t="s">
        <v>12</v>
      </c>
      <c r="H11" s="1" t="s">
        <v>13</v>
      </c>
    </row>
    <row r="12" ht="15.75" customHeight="1">
      <c r="A12" s="1">
        <v>11.0</v>
      </c>
      <c r="B12" s="1" t="s">
        <v>46</v>
      </c>
      <c r="C12" s="1" t="s">
        <v>47</v>
      </c>
      <c r="D12" s="1" t="s">
        <v>48</v>
      </c>
      <c r="E12" s="1">
        <v>5.70556377211E11</v>
      </c>
      <c r="F12" s="1" t="s">
        <v>49</v>
      </c>
      <c r="G12" s="1" t="s">
        <v>50</v>
      </c>
      <c r="H12" s="1" t="s">
        <v>13</v>
      </c>
    </row>
    <row r="13" ht="15.75" customHeight="1">
      <c r="A13" s="1">
        <v>12.0</v>
      </c>
      <c r="B13" s="1" t="s">
        <v>51</v>
      </c>
      <c r="C13" s="1" t="s">
        <v>52</v>
      </c>
      <c r="D13" s="1" t="s">
        <v>53</v>
      </c>
      <c r="E13" s="1">
        <v>5.70556377212E11</v>
      </c>
      <c r="F13" s="1" t="s">
        <v>54</v>
      </c>
      <c r="G13" s="1" t="s">
        <v>37</v>
      </c>
      <c r="H13" s="1" t="s">
        <v>13</v>
      </c>
    </row>
    <row r="14" ht="15.75" customHeight="1">
      <c r="A14" s="1">
        <v>13.0</v>
      </c>
      <c r="B14" s="1" t="s">
        <v>55</v>
      </c>
      <c r="C14" s="1" t="s">
        <v>56</v>
      </c>
      <c r="D14" s="1" t="s">
        <v>57</v>
      </c>
      <c r="E14" s="1">
        <v>5.70556377213E11</v>
      </c>
      <c r="F14" s="1" t="s">
        <v>41</v>
      </c>
      <c r="G14" s="1" t="s">
        <v>12</v>
      </c>
      <c r="H14" s="1" t="s">
        <v>13</v>
      </c>
    </row>
    <row r="15" ht="15.75" customHeight="1">
      <c r="A15" s="1">
        <v>14.0</v>
      </c>
      <c r="B15" s="1" t="s">
        <v>58</v>
      </c>
      <c r="C15" s="1" t="s">
        <v>59</v>
      </c>
      <c r="D15" s="1" t="s">
        <v>60</v>
      </c>
      <c r="E15" s="1">
        <v>5.70556377214E11</v>
      </c>
      <c r="F15" s="1" t="s">
        <v>61</v>
      </c>
      <c r="G15" s="1" t="s">
        <v>62</v>
      </c>
      <c r="H15" s="1" t="s">
        <v>13</v>
      </c>
    </row>
    <row r="16" ht="15.75" customHeight="1">
      <c r="A16" s="1">
        <v>15.0</v>
      </c>
      <c r="B16" s="1" t="s">
        <v>59</v>
      </c>
      <c r="C16" s="1" t="s">
        <v>63</v>
      </c>
      <c r="D16" s="1" t="s">
        <v>64</v>
      </c>
      <c r="E16" s="1">
        <v>5.70556377216E11</v>
      </c>
      <c r="F16" s="1" t="s">
        <v>65</v>
      </c>
      <c r="G16" s="1" t="s">
        <v>12</v>
      </c>
      <c r="H16" s="1" t="s">
        <v>13</v>
      </c>
    </row>
    <row r="17" ht="15.75" customHeight="1">
      <c r="A17" s="1">
        <v>16.0</v>
      </c>
      <c r="B17" s="1" t="s">
        <v>66</v>
      </c>
      <c r="C17" s="1" t="s">
        <v>67</v>
      </c>
      <c r="D17" s="1" t="s">
        <v>68</v>
      </c>
      <c r="E17" s="1">
        <v>5.70556377218E11</v>
      </c>
      <c r="F17" s="1" t="s">
        <v>69</v>
      </c>
      <c r="G17" s="1" t="s">
        <v>12</v>
      </c>
      <c r="H17" s="1" t="s">
        <v>13</v>
      </c>
    </row>
    <row r="18" ht="15.75" customHeight="1">
      <c r="A18" s="1">
        <v>17.0</v>
      </c>
      <c r="B18" s="1" t="s">
        <v>9</v>
      </c>
      <c r="C18" s="1" t="s">
        <v>70</v>
      </c>
      <c r="D18" s="1" t="s">
        <v>71</v>
      </c>
      <c r="E18" s="1">
        <v>5.70556377219E11</v>
      </c>
      <c r="F18" s="1" t="s">
        <v>72</v>
      </c>
      <c r="G18" s="1" t="s">
        <v>12</v>
      </c>
      <c r="H18" s="1" t="s">
        <v>13</v>
      </c>
    </row>
    <row r="19" ht="15.75" customHeight="1">
      <c r="A19" s="1">
        <v>18.0</v>
      </c>
      <c r="B19" s="1" t="s">
        <v>73</v>
      </c>
      <c r="C19" s="1" t="s">
        <v>39</v>
      </c>
      <c r="D19" s="1" t="s">
        <v>40</v>
      </c>
      <c r="E19" s="1">
        <v>5.70556377221E11</v>
      </c>
      <c r="F19" s="1" t="s">
        <v>74</v>
      </c>
      <c r="G19" s="1" t="s">
        <v>12</v>
      </c>
      <c r="H19" s="1" t="s">
        <v>13</v>
      </c>
    </row>
    <row r="20" ht="15.75" customHeight="1">
      <c r="A20" s="1">
        <v>19.0</v>
      </c>
      <c r="B20" s="1" t="s">
        <v>75</v>
      </c>
      <c r="C20" s="1" t="s">
        <v>76</v>
      </c>
      <c r="D20" s="1" t="s">
        <v>77</v>
      </c>
      <c r="E20" s="1">
        <v>5.70556377222E11</v>
      </c>
      <c r="F20" s="1" t="s">
        <v>78</v>
      </c>
      <c r="G20" s="1" t="s">
        <v>50</v>
      </c>
      <c r="H20" s="1" t="s">
        <v>13</v>
      </c>
    </row>
    <row r="21" ht="15.75" customHeight="1">
      <c r="A21" s="1">
        <v>20.0</v>
      </c>
      <c r="B21" s="1" t="s">
        <v>79</v>
      </c>
      <c r="C21" s="1" t="s">
        <v>80</v>
      </c>
      <c r="D21" s="1" t="s">
        <v>81</v>
      </c>
      <c r="E21" s="1">
        <v>5.70556377225E11</v>
      </c>
      <c r="F21" s="1" t="s">
        <v>82</v>
      </c>
      <c r="G21" s="1" t="s">
        <v>12</v>
      </c>
      <c r="H21" s="1" t="s">
        <v>13</v>
      </c>
    </row>
    <row r="22" ht="15.75" customHeight="1">
      <c r="A22" s="1">
        <v>21.0</v>
      </c>
      <c r="B22" s="1" t="s">
        <v>83</v>
      </c>
      <c r="C22" s="1" t="s">
        <v>84</v>
      </c>
      <c r="D22" s="1" t="s">
        <v>85</v>
      </c>
      <c r="E22" s="1">
        <v>5.70556377227E11</v>
      </c>
      <c r="F22" s="1" t="s">
        <v>74</v>
      </c>
      <c r="G22" s="1" t="s">
        <v>12</v>
      </c>
      <c r="H22" s="1" t="s">
        <v>13</v>
      </c>
    </row>
    <row r="23" ht="15.75" customHeight="1">
      <c r="A23" s="1">
        <v>22.0</v>
      </c>
      <c r="B23" s="1" t="s">
        <v>86</v>
      </c>
      <c r="C23" s="1" t="s">
        <v>70</v>
      </c>
      <c r="D23" s="1" t="s">
        <v>87</v>
      </c>
      <c r="E23" s="1">
        <v>5.70556377231E11</v>
      </c>
      <c r="F23" s="1" t="s">
        <v>88</v>
      </c>
      <c r="G23" s="1" t="s">
        <v>12</v>
      </c>
      <c r="H23" s="1" t="s">
        <v>13</v>
      </c>
    </row>
    <row r="24" ht="15.75" customHeight="1">
      <c r="A24" s="1">
        <v>23.0</v>
      </c>
      <c r="B24" s="1" t="s">
        <v>89</v>
      </c>
      <c r="C24" s="1" t="s">
        <v>90</v>
      </c>
      <c r="D24" s="1" t="s">
        <v>91</v>
      </c>
      <c r="E24" s="1">
        <v>5.70556377232E11</v>
      </c>
      <c r="F24" s="1" t="s">
        <v>92</v>
      </c>
      <c r="G24" s="1" t="s">
        <v>93</v>
      </c>
      <c r="H24" s="1" t="s">
        <v>13</v>
      </c>
    </row>
    <row r="25" ht="15.75" customHeight="1">
      <c r="A25" s="1">
        <v>24.0</v>
      </c>
      <c r="B25" s="1" t="s">
        <v>94</v>
      </c>
      <c r="C25" s="1" t="s">
        <v>95</v>
      </c>
      <c r="D25" s="1" t="s">
        <v>91</v>
      </c>
      <c r="E25" s="1">
        <v>5.7055637724E11</v>
      </c>
      <c r="F25" s="1" t="s">
        <v>96</v>
      </c>
      <c r="G25" s="1" t="s">
        <v>62</v>
      </c>
      <c r="H25" s="1" t="s">
        <v>13</v>
      </c>
    </row>
    <row r="26" ht="15.75" customHeight="1">
      <c r="A26" s="1">
        <v>25.0</v>
      </c>
      <c r="B26" s="1" t="s">
        <v>97</v>
      </c>
      <c r="C26" s="1" t="s">
        <v>98</v>
      </c>
      <c r="D26" s="1" t="s">
        <v>99</v>
      </c>
      <c r="E26" s="1">
        <v>5.70556377242E11</v>
      </c>
      <c r="F26" s="1" t="s">
        <v>100</v>
      </c>
      <c r="G26" s="1" t="s">
        <v>12</v>
      </c>
      <c r="H26" s="1" t="s">
        <v>13</v>
      </c>
    </row>
    <row r="27" ht="15.75" customHeight="1">
      <c r="A27" s="1">
        <v>26.0</v>
      </c>
      <c r="B27" s="1" t="s">
        <v>101</v>
      </c>
      <c r="C27" s="1" t="s">
        <v>95</v>
      </c>
      <c r="D27" s="1" t="s">
        <v>91</v>
      </c>
      <c r="E27" s="1">
        <v>5.70556377245E11</v>
      </c>
      <c r="F27" s="1" t="s">
        <v>102</v>
      </c>
      <c r="G27" s="1" t="s">
        <v>12</v>
      </c>
      <c r="H27" s="1" t="s">
        <v>13</v>
      </c>
    </row>
    <row r="28" ht="15.75" customHeight="1">
      <c r="A28" s="1">
        <v>27.0</v>
      </c>
      <c r="B28" s="1" t="s">
        <v>103</v>
      </c>
      <c r="C28" s="1" t="s">
        <v>9</v>
      </c>
      <c r="D28" s="1" t="s">
        <v>35</v>
      </c>
      <c r="E28" s="1">
        <v>5.70556377246E11</v>
      </c>
      <c r="F28" s="1" t="s">
        <v>104</v>
      </c>
      <c r="G28" s="1" t="s">
        <v>12</v>
      </c>
      <c r="H28" s="1" t="s">
        <v>13</v>
      </c>
    </row>
    <row r="29" ht="15.75" customHeight="1">
      <c r="A29" s="1">
        <v>28.0</v>
      </c>
      <c r="B29" s="1" t="s">
        <v>105</v>
      </c>
      <c r="C29" s="1" t="s">
        <v>106</v>
      </c>
      <c r="D29" s="1" t="s">
        <v>107</v>
      </c>
      <c r="E29" s="1">
        <v>5.70556377247E11</v>
      </c>
      <c r="F29" s="1" t="s">
        <v>108</v>
      </c>
      <c r="G29" s="1" t="s">
        <v>12</v>
      </c>
      <c r="H29" s="1" t="s">
        <v>13</v>
      </c>
    </row>
    <row r="30" ht="15.75" customHeight="1">
      <c r="A30" s="1">
        <v>29.0</v>
      </c>
      <c r="B30" s="1" t="s">
        <v>109</v>
      </c>
      <c r="C30" s="1" t="s">
        <v>9</v>
      </c>
      <c r="D30" s="1" t="s">
        <v>35</v>
      </c>
      <c r="E30" s="1">
        <v>5.70556377248E11</v>
      </c>
      <c r="F30" s="1" t="s">
        <v>110</v>
      </c>
      <c r="G30" s="1" t="s">
        <v>12</v>
      </c>
      <c r="H30" s="1" t="s">
        <v>13</v>
      </c>
    </row>
    <row r="31" ht="15.75" customHeight="1">
      <c r="A31" s="1">
        <v>30.0</v>
      </c>
      <c r="B31" s="1" t="s">
        <v>111</v>
      </c>
      <c r="C31" s="1" t="s">
        <v>112</v>
      </c>
      <c r="D31" s="1" t="s">
        <v>113</v>
      </c>
      <c r="E31" s="1">
        <v>5.70556377252E11</v>
      </c>
      <c r="F31" s="1" t="s">
        <v>114</v>
      </c>
      <c r="G31" s="1" t="s">
        <v>12</v>
      </c>
      <c r="H31" s="1" t="s">
        <v>13</v>
      </c>
    </row>
    <row r="32" ht="15.75" customHeight="1">
      <c r="A32" s="1">
        <v>31.0</v>
      </c>
      <c r="B32" s="1" t="s">
        <v>115</v>
      </c>
      <c r="C32" s="1" t="s">
        <v>116</v>
      </c>
      <c r="D32" s="1" t="s">
        <v>117</v>
      </c>
      <c r="E32" s="1">
        <v>5.70556377255E11</v>
      </c>
      <c r="F32" s="1" t="s">
        <v>118</v>
      </c>
      <c r="G32" s="1" t="s">
        <v>12</v>
      </c>
      <c r="H32" s="1" t="s">
        <v>13</v>
      </c>
    </row>
    <row r="33" ht="15.75" customHeight="1">
      <c r="A33" s="1">
        <v>32.0</v>
      </c>
      <c r="B33" s="1" t="s">
        <v>119</v>
      </c>
      <c r="C33" s="1" t="s">
        <v>120</v>
      </c>
      <c r="D33" s="1" t="s">
        <v>121</v>
      </c>
      <c r="E33" s="1">
        <v>5.70556377256E11</v>
      </c>
      <c r="F33" s="1" t="s">
        <v>122</v>
      </c>
      <c r="G33" s="1" t="s">
        <v>12</v>
      </c>
      <c r="H33" s="1" t="s">
        <v>13</v>
      </c>
    </row>
    <row r="34" ht="15.75" customHeight="1">
      <c r="A34" s="1">
        <v>33.0</v>
      </c>
      <c r="B34" s="1" t="s">
        <v>123</v>
      </c>
      <c r="C34" s="1" t="s">
        <v>124</v>
      </c>
      <c r="D34" s="1" t="s">
        <v>125</v>
      </c>
      <c r="E34" s="1">
        <v>5.70556377257E11</v>
      </c>
      <c r="F34" s="1" t="s">
        <v>126</v>
      </c>
      <c r="G34" s="1" t="s">
        <v>12</v>
      </c>
      <c r="H34" s="1" t="s">
        <v>13</v>
      </c>
    </row>
    <row r="35" ht="15.75" customHeight="1">
      <c r="A35" s="1">
        <v>34.0</v>
      </c>
      <c r="B35" s="1" t="s">
        <v>127</v>
      </c>
      <c r="C35" s="1" t="s">
        <v>128</v>
      </c>
      <c r="D35" s="1" t="s">
        <v>129</v>
      </c>
      <c r="E35" s="1">
        <v>5.700563772259E12</v>
      </c>
      <c r="F35" s="1" t="s">
        <v>130</v>
      </c>
      <c r="G35" s="1" t="s">
        <v>12</v>
      </c>
      <c r="H35" s="1" t="s">
        <v>131</v>
      </c>
    </row>
    <row r="36" ht="15.75" customHeight="1">
      <c r="A36" s="1">
        <v>35.0</v>
      </c>
      <c r="B36" s="1" t="s">
        <v>132</v>
      </c>
      <c r="C36" s="1" t="s">
        <v>133</v>
      </c>
      <c r="D36" s="1" t="s">
        <v>134</v>
      </c>
      <c r="E36" s="1">
        <v>5.70056377226E12</v>
      </c>
      <c r="F36" s="1" t="s">
        <v>114</v>
      </c>
      <c r="G36" s="1" t="s">
        <v>12</v>
      </c>
      <c r="H36" s="1" t="s">
        <v>131</v>
      </c>
    </row>
    <row r="37" ht="15.75" customHeight="1">
      <c r="A37" s="1">
        <v>36.0</v>
      </c>
      <c r="B37" s="1" t="s">
        <v>132</v>
      </c>
      <c r="C37" s="1" t="s">
        <v>135</v>
      </c>
      <c r="D37" s="1" t="s">
        <v>87</v>
      </c>
      <c r="E37" s="1">
        <v>5.700563772261E12</v>
      </c>
      <c r="F37" s="1" t="s">
        <v>136</v>
      </c>
      <c r="G37" s="1" t="s">
        <v>12</v>
      </c>
      <c r="H37" s="1" t="s">
        <v>131</v>
      </c>
    </row>
    <row r="38" ht="15.75" customHeight="1">
      <c r="A38" s="1">
        <v>37.0</v>
      </c>
      <c r="B38" s="1" t="s">
        <v>137</v>
      </c>
      <c r="C38" s="1" t="s">
        <v>86</v>
      </c>
      <c r="D38" s="1" t="s">
        <v>138</v>
      </c>
      <c r="E38" s="1">
        <v>5.700563772263E12</v>
      </c>
      <c r="F38" s="1" t="s">
        <v>139</v>
      </c>
      <c r="G38" s="1" t="s">
        <v>12</v>
      </c>
      <c r="H38" s="1" t="s">
        <v>131</v>
      </c>
    </row>
    <row r="39" ht="15.75" customHeight="1">
      <c r="A39" s="1">
        <v>38.0</v>
      </c>
      <c r="B39" s="1" t="s">
        <v>140</v>
      </c>
      <c r="C39" s="1" t="s">
        <v>141</v>
      </c>
      <c r="D39" s="1" t="s">
        <v>142</v>
      </c>
      <c r="E39" s="1">
        <v>5.700563772264E12</v>
      </c>
      <c r="F39" s="1" t="s">
        <v>143</v>
      </c>
      <c r="G39" s="1" t="s">
        <v>12</v>
      </c>
      <c r="H39" s="1" t="s">
        <v>131</v>
      </c>
    </row>
    <row r="40" ht="15.75" customHeight="1">
      <c r="A40" s="1">
        <v>39.0</v>
      </c>
      <c r="B40" s="1" t="s">
        <v>144</v>
      </c>
      <c r="C40" s="1" t="s">
        <v>145</v>
      </c>
      <c r="D40" s="1" t="s">
        <v>146</v>
      </c>
      <c r="E40" s="1">
        <v>5.700563772265E12</v>
      </c>
      <c r="F40" s="1" t="s">
        <v>147</v>
      </c>
      <c r="G40" s="1" t="s">
        <v>12</v>
      </c>
      <c r="H40" s="1" t="s">
        <v>131</v>
      </c>
    </row>
    <row r="41" ht="15.75" customHeight="1">
      <c r="A41" s="1">
        <v>40.0</v>
      </c>
      <c r="B41" s="1" t="s">
        <v>148</v>
      </c>
      <c r="C41" s="1" t="s">
        <v>149</v>
      </c>
      <c r="D41" s="1" t="s">
        <v>129</v>
      </c>
      <c r="E41" s="1">
        <v>5.700563772266E12</v>
      </c>
      <c r="F41" s="1" t="s">
        <v>150</v>
      </c>
      <c r="G41" s="1" t="s">
        <v>12</v>
      </c>
      <c r="H41" s="1" t="s">
        <v>131</v>
      </c>
    </row>
    <row r="42" ht="15.75" customHeight="1">
      <c r="A42" s="1">
        <v>41.0</v>
      </c>
      <c r="B42" s="1" t="s">
        <v>151</v>
      </c>
      <c r="C42" s="1" t="s">
        <v>152</v>
      </c>
      <c r="D42" s="1" t="s">
        <v>153</v>
      </c>
      <c r="E42" s="1">
        <v>5.700563772267E12</v>
      </c>
      <c r="F42" s="1" t="s">
        <v>154</v>
      </c>
      <c r="G42" s="1" t="s">
        <v>12</v>
      </c>
      <c r="H42" s="1" t="s">
        <v>131</v>
      </c>
    </row>
    <row r="43" ht="15.75" customHeight="1">
      <c r="A43" s="1">
        <v>42.0</v>
      </c>
      <c r="B43" s="1" t="s">
        <v>155</v>
      </c>
      <c r="C43" s="1" t="s">
        <v>156</v>
      </c>
      <c r="D43" s="1" t="s">
        <v>157</v>
      </c>
      <c r="E43" s="1">
        <v>5.700563772274E12</v>
      </c>
      <c r="F43" s="1" t="s">
        <v>158</v>
      </c>
      <c r="G43" s="1" t="s">
        <v>37</v>
      </c>
      <c r="H43" s="1" t="s">
        <v>131</v>
      </c>
    </row>
    <row r="44" ht="15.75" customHeight="1">
      <c r="A44" s="1">
        <v>43.0</v>
      </c>
      <c r="B44" s="1" t="s">
        <v>159</v>
      </c>
      <c r="C44" s="1" t="s">
        <v>160</v>
      </c>
      <c r="D44" s="1" t="s">
        <v>161</v>
      </c>
      <c r="E44" s="1">
        <v>5.700563772284E12</v>
      </c>
      <c r="F44" s="1" t="s">
        <v>162</v>
      </c>
      <c r="G44" s="1" t="s">
        <v>62</v>
      </c>
      <c r="H44" s="1" t="s">
        <v>131</v>
      </c>
    </row>
    <row r="45" ht="15.75" customHeight="1">
      <c r="A45" s="1">
        <v>44.0</v>
      </c>
      <c r="B45" s="1" t="s">
        <v>163</v>
      </c>
      <c r="C45" s="1" t="s">
        <v>164</v>
      </c>
      <c r="D45" s="1" t="s">
        <v>165</v>
      </c>
      <c r="E45" s="1">
        <v>5.700563772286E12</v>
      </c>
      <c r="F45" s="1" t="s">
        <v>166</v>
      </c>
      <c r="G45" s="1" t="s">
        <v>12</v>
      </c>
      <c r="H45" s="1" t="s">
        <v>131</v>
      </c>
    </row>
    <row r="46" ht="15.75" customHeight="1">
      <c r="A46" s="1">
        <v>45.0</v>
      </c>
      <c r="B46" s="1" t="s">
        <v>167</v>
      </c>
      <c r="C46" s="1" t="s">
        <v>168</v>
      </c>
      <c r="D46" s="1" t="s">
        <v>169</v>
      </c>
      <c r="E46" s="1">
        <v>5.700563772288E12</v>
      </c>
      <c r="F46" s="1" t="s">
        <v>170</v>
      </c>
      <c r="G46" s="1" t="s">
        <v>37</v>
      </c>
      <c r="H46" s="1" t="s">
        <v>131</v>
      </c>
    </row>
    <row r="47" ht="15.75" customHeight="1">
      <c r="A47" s="1">
        <v>46.0</v>
      </c>
      <c r="B47" s="1" t="s">
        <v>171</v>
      </c>
      <c r="C47" s="1" t="s">
        <v>168</v>
      </c>
      <c r="D47" s="1" t="s">
        <v>169</v>
      </c>
      <c r="E47" s="1">
        <v>5.700563772289E12</v>
      </c>
      <c r="F47" s="1" t="s">
        <v>172</v>
      </c>
      <c r="G47" s="1" t="s">
        <v>12</v>
      </c>
      <c r="H47" s="1" t="s">
        <v>131</v>
      </c>
    </row>
    <row r="48" ht="15.75" customHeight="1">
      <c r="A48" s="1">
        <v>47.0</v>
      </c>
      <c r="B48" s="1" t="s">
        <v>173</v>
      </c>
      <c r="C48" s="1" t="s">
        <v>159</v>
      </c>
      <c r="D48" s="1" t="s">
        <v>174</v>
      </c>
      <c r="E48" s="1">
        <v>5.700563772292E12</v>
      </c>
      <c r="F48" s="1" t="s">
        <v>175</v>
      </c>
      <c r="G48" s="1" t="s">
        <v>62</v>
      </c>
      <c r="H48" s="1" t="s">
        <v>131</v>
      </c>
    </row>
    <row r="49" ht="15.75" customHeight="1">
      <c r="A49" s="1">
        <v>48.0</v>
      </c>
      <c r="B49" s="1" t="s">
        <v>132</v>
      </c>
      <c r="C49" s="1" t="s">
        <v>176</v>
      </c>
      <c r="D49" s="1" t="s">
        <v>177</v>
      </c>
      <c r="E49" s="1">
        <v>5.700563772297E12</v>
      </c>
      <c r="F49" s="1" t="s">
        <v>178</v>
      </c>
      <c r="G49" s="1" t="s">
        <v>12</v>
      </c>
      <c r="H49" s="1" t="s">
        <v>131</v>
      </c>
    </row>
    <row r="50" ht="15.75" customHeight="1">
      <c r="A50" s="1">
        <v>49.0</v>
      </c>
      <c r="B50" s="1" t="s">
        <v>115</v>
      </c>
      <c r="C50" s="1" t="s">
        <v>179</v>
      </c>
      <c r="D50" s="1" t="s">
        <v>180</v>
      </c>
      <c r="E50" s="1">
        <v>5.700563772298E12</v>
      </c>
      <c r="F50" s="1" t="s">
        <v>181</v>
      </c>
      <c r="G50" s="1" t="s">
        <v>37</v>
      </c>
      <c r="H50" s="1" t="s">
        <v>131</v>
      </c>
    </row>
    <row r="51" ht="15.75" customHeight="1">
      <c r="A51" s="1">
        <v>50.0</v>
      </c>
      <c r="B51" s="1" t="s">
        <v>182</v>
      </c>
      <c r="C51" s="1" t="s">
        <v>183</v>
      </c>
      <c r="D51" s="1" t="s">
        <v>184</v>
      </c>
      <c r="E51" s="1">
        <v>5.700563772299E12</v>
      </c>
      <c r="F51" s="1" t="s">
        <v>185</v>
      </c>
      <c r="G51" s="1" t="s">
        <v>12</v>
      </c>
      <c r="H51" s="1" t="s">
        <v>131</v>
      </c>
    </row>
    <row r="52" ht="15.75" customHeight="1">
      <c r="A52" s="1">
        <v>51.0</v>
      </c>
      <c r="B52" s="1" t="s">
        <v>186</v>
      </c>
      <c r="C52" s="1" t="str">
        <f t="shared" ref="C52:C53" si="1">C51</f>
        <v>রবগুল মন্ডল</v>
      </c>
      <c r="D52" s="1" t="s">
        <v>184</v>
      </c>
      <c r="E52" s="1">
        <v>5.7005637723E12</v>
      </c>
      <c r="F52" s="1" t="s">
        <v>187</v>
      </c>
      <c r="G52" s="1" t="s">
        <v>12</v>
      </c>
      <c r="H52" s="1" t="s">
        <v>131</v>
      </c>
    </row>
    <row r="53" ht="15.75" customHeight="1">
      <c r="A53" s="1">
        <v>52.0</v>
      </c>
      <c r="B53" s="1" t="s">
        <v>188</v>
      </c>
      <c r="C53" s="1" t="str">
        <f t="shared" si="1"/>
        <v>রবগুল মন্ডল</v>
      </c>
      <c r="D53" s="1" t="s">
        <v>184</v>
      </c>
      <c r="E53" s="1">
        <v>5.700563772301E12</v>
      </c>
      <c r="F53" s="1" t="s">
        <v>189</v>
      </c>
      <c r="G53" s="1" t="s">
        <v>12</v>
      </c>
      <c r="H53" s="1" t="s">
        <v>131</v>
      </c>
    </row>
    <row r="54" ht="15.75" customHeight="1">
      <c r="A54" s="1">
        <v>53.0</v>
      </c>
      <c r="B54" s="1" t="s">
        <v>190</v>
      </c>
      <c r="C54" s="1" t="s">
        <v>191</v>
      </c>
      <c r="D54" s="1" t="s">
        <v>157</v>
      </c>
      <c r="E54" s="1">
        <v>5.700563772302E12</v>
      </c>
      <c r="F54" s="1" t="s">
        <v>192</v>
      </c>
      <c r="G54" s="1" t="s">
        <v>12</v>
      </c>
      <c r="H54" s="1" t="s">
        <v>131</v>
      </c>
    </row>
    <row r="55" ht="15.75" customHeight="1">
      <c r="A55" s="1">
        <v>54.0</v>
      </c>
      <c r="B55" s="1" t="s">
        <v>193</v>
      </c>
      <c r="C55" s="1" t="s">
        <v>194</v>
      </c>
      <c r="D55" s="1" t="s">
        <v>195</v>
      </c>
      <c r="E55" s="1">
        <v>5.700563772303E12</v>
      </c>
      <c r="F55" s="1" t="s">
        <v>196</v>
      </c>
      <c r="G55" s="1" t="s">
        <v>197</v>
      </c>
      <c r="H55" s="1" t="s">
        <v>131</v>
      </c>
    </row>
    <row r="56" ht="15.75" customHeight="1">
      <c r="A56" s="1">
        <v>55.0</v>
      </c>
      <c r="B56" s="1" t="s">
        <v>198</v>
      </c>
      <c r="C56" s="1" t="s">
        <v>199</v>
      </c>
      <c r="D56" s="1" t="s">
        <v>138</v>
      </c>
      <c r="E56" s="1">
        <v>5.700563772305E12</v>
      </c>
      <c r="F56" s="1" t="s">
        <v>200</v>
      </c>
      <c r="G56" s="1" t="s">
        <v>62</v>
      </c>
      <c r="H56" s="1" t="s">
        <v>131</v>
      </c>
    </row>
    <row r="57" ht="15.75" customHeight="1">
      <c r="A57" s="1">
        <v>56.0</v>
      </c>
      <c r="B57" s="1" t="s">
        <v>201</v>
      </c>
      <c r="C57" s="1" t="s">
        <v>202</v>
      </c>
      <c r="D57" s="1" t="s">
        <v>203</v>
      </c>
      <c r="E57" s="1">
        <v>5.700563772306E12</v>
      </c>
      <c r="F57" s="1" t="s">
        <v>204</v>
      </c>
      <c r="G57" s="1" t="s">
        <v>12</v>
      </c>
      <c r="H57" s="1" t="s">
        <v>131</v>
      </c>
    </row>
    <row r="58" ht="15.75" customHeight="1">
      <c r="A58" s="1">
        <v>57.0</v>
      </c>
      <c r="B58" s="1" t="s">
        <v>205</v>
      </c>
      <c r="C58" s="1" t="s">
        <v>206</v>
      </c>
      <c r="D58" s="1" t="s">
        <v>207</v>
      </c>
      <c r="E58" s="1">
        <v>5.700563772308E12</v>
      </c>
      <c r="F58" s="1" t="s">
        <v>208</v>
      </c>
      <c r="G58" s="1" t="s">
        <v>12</v>
      </c>
      <c r="H58" s="1" t="s">
        <v>131</v>
      </c>
    </row>
    <row r="59" ht="15.75" customHeight="1">
      <c r="A59" s="1">
        <v>58.0</v>
      </c>
      <c r="B59" s="1" t="s">
        <v>209</v>
      </c>
      <c r="C59" s="1" t="s">
        <v>210</v>
      </c>
      <c r="D59" s="1" t="s">
        <v>211</v>
      </c>
      <c r="E59" s="1">
        <v>5.70056377231E12</v>
      </c>
      <c r="F59" s="1" t="s">
        <v>212</v>
      </c>
      <c r="G59" s="1" t="s">
        <v>12</v>
      </c>
      <c r="H59" s="1" t="s">
        <v>131</v>
      </c>
    </row>
    <row r="60" ht="15.75" customHeight="1">
      <c r="A60" s="1">
        <v>59.0</v>
      </c>
      <c r="B60" s="1" t="s">
        <v>213</v>
      </c>
      <c r="C60" s="1" t="s">
        <v>109</v>
      </c>
      <c r="D60" s="1" t="s">
        <v>214</v>
      </c>
      <c r="E60" s="1">
        <v>5.700563772311E12</v>
      </c>
      <c r="F60" s="1" t="s">
        <v>118</v>
      </c>
      <c r="G60" s="1" t="s">
        <v>12</v>
      </c>
      <c r="H60" s="1" t="s">
        <v>131</v>
      </c>
    </row>
    <row r="61" ht="15.75" customHeight="1">
      <c r="A61" s="1">
        <v>60.0</v>
      </c>
      <c r="B61" s="1" t="s">
        <v>215</v>
      </c>
      <c r="C61" s="1" t="s">
        <v>216</v>
      </c>
      <c r="D61" s="1" t="s">
        <v>217</v>
      </c>
      <c r="E61" s="1">
        <v>5.700563772313E12</v>
      </c>
      <c r="F61" s="1" t="s">
        <v>218</v>
      </c>
      <c r="G61" s="1" t="s">
        <v>12</v>
      </c>
      <c r="H61" s="1" t="s">
        <v>131</v>
      </c>
    </row>
    <row r="62" ht="15.75" customHeight="1">
      <c r="A62" s="1">
        <v>61.0</v>
      </c>
      <c r="B62" s="1" t="s">
        <v>8</v>
      </c>
      <c r="C62" s="1" t="s">
        <v>216</v>
      </c>
      <c r="D62" s="1" t="s">
        <v>217</v>
      </c>
      <c r="E62" s="1">
        <v>5.700563772314E12</v>
      </c>
      <c r="F62" s="1" t="s">
        <v>219</v>
      </c>
      <c r="G62" s="1" t="s">
        <v>37</v>
      </c>
      <c r="H62" s="1" t="s">
        <v>131</v>
      </c>
    </row>
    <row r="63" ht="15.75" customHeight="1">
      <c r="A63" s="1">
        <v>62.0</v>
      </c>
      <c r="B63" s="1" t="s">
        <v>220</v>
      </c>
      <c r="C63" s="1" t="s">
        <v>221</v>
      </c>
      <c r="D63" s="1" t="s">
        <v>222</v>
      </c>
      <c r="E63" s="1">
        <v>5.700563772316E12</v>
      </c>
      <c r="F63" s="1" t="s">
        <v>223</v>
      </c>
      <c r="G63" s="1" t="s">
        <v>12</v>
      </c>
      <c r="H63" s="1" t="s">
        <v>131</v>
      </c>
    </row>
    <row r="64" ht="15.75" customHeight="1">
      <c r="A64" s="1">
        <v>63.0</v>
      </c>
      <c r="B64" s="1" t="s">
        <v>224</v>
      </c>
      <c r="C64" s="1" t="s">
        <v>216</v>
      </c>
      <c r="D64" s="1" t="s">
        <v>217</v>
      </c>
      <c r="E64" s="1">
        <v>5.700563772321E12</v>
      </c>
      <c r="F64" s="1" t="s">
        <v>225</v>
      </c>
      <c r="G64" s="1" t="s">
        <v>12</v>
      </c>
      <c r="H64" s="1" t="s">
        <v>131</v>
      </c>
    </row>
    <row r="65" ht="15.75" customHeight="1">
      <c r="A65" s="1">
        <v>64.0</v>
      </c>
      <c r="B65" s="1" t="s">
        <v>226</v>
      </c>
      <c r="C65" s="1" t="s">
        <v>106</v>
      </c>
      <c r="D65" s="1" t="s">
        <v>227</v>
      </c>
      <c r="E65" s="1">
        <v>5.700563772323E12</v>
      </c>
      <c r="F65" s="1" t="s">
        <v>228</v>
      </c>
      <c r="G65" s="1" t="s">
        <v>12</v>
      </c>
      <c r="H65" s="1" t="s">
        <v>131</v>
      </c>
    </row>
    <row r="66" ht="15.75" customHeight="1">
      <c r="A66" s="1">
        <v>65.0</v>
      </c>
      <c r="B66" s="1" t="s">
        <v>229</v>
      </c>
      <c r="C66" s="1" t="s">
        <v>106</v>
      </c>
      <c r="D66" s="1" t="s">
        <v>227</v>
      </c>
      <c r="E66" s="1">
        <v>5.700563772324E12</v>
      </c>
      <c r="F66" s="1" t="s">
        <v>230</v>
      </c>
      <c r="G66" s="1" t="s">
        <v>50</v>
      </c>
      <c r="H66" s="1" t="s">
        <v>131</v>
      </c>
    </row>
    <row r="67" ht="15.75" customHeight="1">
      <c r="A67" s="1">
        <v>66.0</v>
      </c>
      <c r="B67" s="1" t="s">
        <v>163</v>
      </c>
      <c r="C67" s="1" t="s">
        <v>231</v>
      </c>
      <c r="D67" s="1" t="s">
        <v>232</v>
      </c>
      <c r="E67" s="1">
        <v>5.700563772328E12</v>
      </c>
      <c r="F67" s="1" t="s">
        <v>233</v>
      </c>
      <c r="G67" s="1" t="s">
        <v>12</v>
      </c>
      <c r="H67" s="1" t="s">
        <v>131</v>
      </c>
    </row>
    <row r="68" ht="15.75" customHeight="1">
      <c r="A68" s="1">
        <v>67.0</v>
      </c>
      <c r="B68" s="1" t="s">
        <v>213</v>
      </c>
      <c r="C68" s="1" t="s">
        <v>106</v>
      </c>
      <c r="D68" s="1" t="s">
        <v>227</v>
      </c>
      <c r="E68" s="1">
        <v>5.700563772329E12</v>
      </c>
      <c r="F68" s="1" t="s">
        <v>234</v>
      </c>
      <c r="G68" s="1" t="s">
        <v>12</v>
      </c>
      <c r="H68" s="1" t="s">
        <v>131</v>
      </c>
    </row>
    <row r="69" ht="15.75" customHeight="1">
      <c r="A69" s="1">
        <v>68.0</v>
      </c>
      <c r="B69" s="1" t="s">
        <v>235</v>
      </c>
      <c r="C69" s="1" t="s">
        <v>236</v>
      </c>
      <c r="D69" s="1" t="s">
        <v>237</v>
      </c>
      <c r="E69" s="1">
        <v>5.700563772333E12</v>
      </c>
      <c r="F69" s="1" t="s">
        <v>238</v>
      </c>
      <c r="G69" s="1" t="s">
        <v>12</v>
      </c>
      <c r="H69" s="1" t="s">
        <v>131</v>
      </c>
    </row>
    <row r="70" ht="15.75" customHeight="1">
      <c r="A70" s="1">
        <v>69.0</v>
      </c>
      <c r="B70" s="1" t="s">
        <v>239</v>
      </c>
      <c r="C70" s="1" t="s">
        <v>240</v>
      </c>
      <c r="D70" s="1" t="s">
        <v>241</v>
      </c>
      <c r="E70" s="1">
        <v>5.700563772337E12</v>
      </c>
      <c r="F70" s="1" t="s">
        <v>242</v>
      </c>
      <c r="G70" s="1" t="s">
        <v>12</v>
      </c>
      <c r="H70" s="1" t="s">
        <v>131</v>
      </c>
    </row>
    <row r="71" ht="15.75" customHeight="1">
      <c r="A71" s="1">
        <v>70.0</v>
      </c>
      <c r="B71" s="1" t="s">
        <v>243</v>
      </c>
      <c r="C71" s="1" t="s">
        <v>239</v>
      </c>
      <c r="D71" s="1" t="s">
        <v>244</v>
      </c>
      <c r="E71" s="1">
        <v>5.70056377304E12</v>
      </c>
      <c r="F71" s="1" t="s">
        <v>245</v>
      </c>
      <c r="G71" s="1" t="s">
        <v>12</v>
      </c>
      <c r="H71" s="1" t="s">
        <v>131</v>
      </c>
    </row>
    <row r="72" ht="15.75" customHeight="1">
      <c r="A72" s="1">
        <v>71.0</v>
      </c>
      <c r="B72" s="1" t="s">
        <v>246</v>
      </c>
      <c r="C72" s="1" t="s">
        <v>148</v>
      </c>
      <c r="D72" s="1" t="s">
        <v>214</v>
      </c>
      <c r="E72" s="1">
        <v>5.700563773042E12</v>
      </c>
      <c r="F72" s="1" t="s">
        <v>247</v>
      </c>
      <c r="G72" s="1" t="s">
        <v>12</v>
      </c>
      <c r="H72" s="1" t="s">
        <v>131</v>
      </c>
    </row>
    <row r="73" ht="15.75" customHeight="1">
      <c r="A73" s="1">
        <v>72.0</v>
      </c>
      <c r="B73" s="1" t="s">
        <v>198</v>
      </c>
      <c r="C73" s="1" t="s">
        <v>248</v>
      </c>
      <c r="D73" s="1" t="s">
        <v>249</v>
      </c>
      <c r="E73" s="1">
        <v>5.700563773043E12</v>
      </c>
      <c r="F73" s="1" t="s">
        <v>250</v>
      </c>
      <c r="G73" s="1" t="s">
        <v>37</v>
      </c>
      <c r="H73" s="1" t="s">
        <v>131</v>
      </c>
    </row>
    <row r="74" ht="15.75" customHeight="1">
      <c r="A74" s="1">
        <v>73.0</v>
      </c>
      <c r="B74" s="1" t="s">
        <v>251</v>
      </c>
      <c r="C74" s="1" t="s">
        <v>95</v>
      </c>
      <c r="D74" s="1" t="s">
        <v>252</v>
      </c>
      <c r="E74" s="1">
        <v>5.700563773346E12</v>
      </c>
      <c r="F74" s="1" t="s">
        <v>253</v>
      </c>
      <c r="G74" s="1" t="s">
        <v>12</v>
      </c>
      <c r="H74" s="1" t="s">
        <v>131</v>
      </c>
    </row>
    <row r="75" ht="15.75" customHeight="1">
      <c r="A75" s="1">
        <v>74.0</v>
      </c>
      <c r="B75" s="1" t="s">
        <v>254</v>
      </c>
      <c r="C75" s="1" t="s">
        <v>202</v>
      </c>
      <c r="D75" s="1" t="s">
        <v>203</v>
      </c>
      <c r="E75" s="1">
        <v>5.700563773347E12</v>
      </c>
      <c r="F75" s="1" t="s">
        <v>255</v>
      </c>
      <c r="G75" s="1" t="s">
        <v>12</v>
      </c>
      <c r="H75" s="1" t="s">
        <v>131</v>
      </c>
    </row>
    <row r="76" ht="15.75" customHeight="1">
      <c r="A76" s="1">
        <v>75.0</v>
      </c>
      <c r="B76" s="1" t="s">
        <v>256</v>
      </c>
      <c r="C76" s="1" t="s">
        <v>101</v>
      </c>
      <c r="D76" s="1" t="s">
        <v>257</v>
      </c>
      <c r="E76" s="1">
        <v>5.700563773348E12</v>
      </c>
      <c r="F76" s="1" t="s">
        <v>258</v>
      </c>
      <c r="G76" s="1" t="s">
        <v>12</v>
      </c>
      <c r="H76" s="1" t="s">
        <v>131</v>
      </c>
    </row>
    <row r="77" ht="15.75" customHeight="1">
      <c r="A77" s="1">
        <v>76.0</v>
      </c>
      <c r="B77" s="1" t="s">
        <v>259</v>
      </c>
      <c r="C77" s="1" t="s">
        <v>220</v>
      </c>
      <c r="D77" s="1" t="s">
        <v>260</v>
      </c>
      <c r="E77" s="1">
        <v>5.70056377359E11</v>
      </c>
      <c r="F77" s="1" t="s">
        <v>261</v>
      </c>
      <c r="G77" s="1" t="s">
        <v>50</v>
      </c>
      <c r="H77" s="1" t="s">
        <v>131</v>
      </c>
    </row>
    <row r="78" ht="15.75" customHeight="1">
      <c r="A78" s="1">
        <v>77.0</v>
      </c>
      <c r="B78" s="1" t="s">
        <v>262</v>
      </c>
      <c r="C78" s="1" t="s">
        <v>263</v>
      </c>
      <c r="D78" s="1" t="s">
        <v>264</v>
      </c>
      <c r="E78" s="1">
        <v>5.70056377351E11</v>
      </c>
      <c r="F78" s="1" t="s">
        <v>265</v>
      </c>
      <c r="G78" s="1" t="s">
        <v>12</v>
      </c>
      <c r="H78" s="1" t="s">
        <v>131</v>
      </c>
    </row>
    <row r="79" ht="15.75" customHeight="1">
      <c r="A79" s="1">
        <v>78.0</v>
      </c>
      <c r="B79" s="1" t="s">
        <v>266</v>
      </c>
      <c r="C79" s="1" t="s">
        <v>267</v>
      </c>
      <c r="D79" s="1" t="s">
        <v>268</v>
      </c>
      <c r="E79" s="1">
        <v>5.70056377355E11</v>
      </c>
      <c r="F79" s="1" t="s">
        <v>269</v>
      </c>
      <c r="G79" s="1" t="s">
        <v>12</v>
      </c>
      <c r="H79" s="1" t="s">
        <v>131</v>
      </c>
    </row>
    <row r="80" ht="15.75" customHeight="1">
      <c r="A80" s="1">
        <v>79.0</v>
      </c>
      <c r="B80" s="1" t="s">
        <v>270</v>
      </c>
      <c r="C80" s="1" t="s">
        <v>271</v>
      </c>
      <c r="D80" s="1" t="s">
        <v>272</v>
      </c>
      <c r="E80" s="1">
        <v>5.70056377357E11</v>
      </c>
      <c r="F80" s="1" t="s">
        <v>273</v>
      </c>
      <c r="G80" s="1" t="s">
        <v>12</v>
      </c>
      <c r="H80" s="1" t="s">
        <v>131</v>
      </c>
    </row>
    <row r="81" ht="15.75" customHeight="1">
      <c r="A81" s="1">
        <v>80.0</v>
      </c>
      <c r="B81" s="1" t="s">
        <v>274</v>
      </c>
      <c r="C81" s="1" t="s">
        <v>275</v>
      </c>
      <c r="D81" s="1" t="s">
        <v>276</v>
      </c>
      <c r="E81" s="1">
        <v>5.70056377361E11</v>
      </c>
      <c r="F81" s="1" t="s">
        <v>277</v>
      </c>
      <c r="G81" s="1" t="s">
        <v>12</v>
      </c>
      <c r="H81" s="1" t="s">
        <v>131</v>
      </c>
    </row>
    <row r="82" ht="15.75" customHeight="1">
      <c r="A82" s="1">
        <v>81.0</v>
      </c>
      <c r="B82" s="1" t="s">
        <v>18</v>
      </c>
      <c r="C82" s="1"/>
      <c r="D82" s="1"/>
      <c r="E82" s="1"/>
      <c r="F82" s="1"/>
      <c r="G82" s="1"/>
      <c r="H82" s="1"/>
    </row>
    <row r="83" ht="15.75" customHeight="1">
      <c r="A83" s="1">
        <v>82.0</v>
      </c>
      <c r="B83" s="1" t="s">
        <v>278</v>
      </c>
      <c r="C83" s="1" t="s">
        <v>279</v>
      </c>
      <c r="D83" s="1" t="s">
        <v>280</v>
      </c>
      <c r="E83" s="1">
        <v>5.70056377374E11</v>
      </c>
      <c r="F83" s="1" t="s">
        <v>281</v>
      </c>
      <c r="G83" s="1" t="s">
        <v>12</v>
      </c>
      <c r="H83" s="1" t="s">
        <v>131</v>
      </c>
    </row>
    <row r="84" ht="15.75" customHeight="1">
      <c r="A84" s="1">
        <v>83.0</v>
      </c>
      <c r="B84" s="1" t="s">
        <v>128</v>
      </c>
      <c r="C84" s="1" t="s">
        <v>282</v>
      </c>
      <c r="D84" s="1" t="s">
        <v>283</v>
      </c>
      <c r="E84" s="1">
        <v>5.70056377375E11</v>
      </c>
      <c r="F84" s="1" t="s">
        <v>284</v>
      </c>
      <c r="G84" s="1" t="s">
        <v>12</v>
      </c>
      <c r="H84" s="1" t="s">
        <v>131</v>
      </c>
    </row>
    <row r="85" ht="15.75" customHeight="1">
      <c r="A85" s="1">
        <v>84.0</v>
      </c>
      <c r="B85" s="1" t="s">
        <v>119</v>
      </c>
      <c r="C85" s="1" t="s">
        <v>285</v>
      </c>
      <c r="D85" s="1" t="s">
        <v>286</v>
      </c>
      <c r="E85" s="1">
        <v>5.70056377377E11</v>
      </c>
      <c r="F85" s="1" t="s">
        <v>287</v>
      </c>
      <c r="G85" s="1" t="s">
        <v>12</v>
      </c>
      <c r="H85" s="1" t="s">
        <v>131</v>
      </c>
    </row>
    <row r="86" ht="15.75" customHeight="1">
      <c r="A86" s="1">
        <v>85.0</v>
      </c>
      <c r="B86" s="1" t="s">
        <v>288</v>
      </c>
      <c r="C86" s="1" t="s">
        <v>289</v>
      </c>
      <c r="D86" s="1" t="s">
        <v>241</v>
      </c>
      <c r="E86" s="1">
        <v>5.70056377378E11</v>
      </c>
      <c r="F86" s="1" t="s">
        <v>290</v>
      </c>
      <c r="G86" s="1" t="s">
        <v>12</v>
      </c>
      <c r="H86" s="1" t="s">
        <v>131</v>
      </c>
    </row>
    <row r="87" ht="15.75" customHeight="1">
      <c r="A87" s="1">
        <v>86.0</v>
      </c>
      <c r="B87" s="1" t="s">
        <v>291</v>
      </c>
      <c r="C87" s="1" t="s">
        <v>289</v>
      </c>
      <c r="D87" s="1" t="s">
        <v>241</v>
      </c>
      <c r="E87" s="1">
        <v>5.70056377381E11</v>
      </c>
      <c r="F87" s="1" t="s">
        <v>292</v>
      </c>
      <c r="G87" s="1" t="s">
        <v>12</v>
      </c>
      <c r="H87" s="1" t="s">
        <v>131</v>
      </c>
    </row>
    <row r="88" ht="15.75" customHeight="1">
      <c r="A88" s="1">
        <v>87.0</v>
      </c>
      <c r="B88" s="1" t="s">
        <v>293</v>
      </c>
      <c r="C88" s="1" t="s">
        <v>279</v>
      </c>
      <c r="D88" s="1" t="s">
        <v>280</v>
      </c>
      <c r="E88" s="1">
        <v>5.70056377384E11</v>
      </c>
      <c r="F88" s="1" t="s">
        <v>294</v>
      </c>
      <c r="G88" s="1" t="s">
        <v>12</v>
      </c>
      <c r="H88" s="1" t="s">
        <v>131</v>
      </c>
    </row>
    <row r="89" ht="15.75" customHeight="1">
      <c r="A89" s="1">
        <v>88.0</v>
      </c>
      <c r="B89" s="1" t="s">
        <v>295</v>
      </c>
      <c r="C89" s="1" t="s">
        <v>296</v>
      </c>
      <c r="D89" s="1" t="s">
        <v>297</v>
      </c>
      <c r="E89" s="1">
        <v>5.700563773786E12</v>
      </c>
      <c r="F89" s="1" t="s">
        <v>298</v>
      </c>
      <c r="G89" s="1" t="s">
        <v>12</v>
      </c>
      <c r="H89" s="1" t="s">
        <v>131</v>
      </c>
    </row>
    <row r="90" ht="15.75" customHeight="1">
      <c r="A90" s="1">
        <v>89.0</v>
      </c>
      <c r="B90" s="1" t="s">
        <v>299</v>
      </c>
      <c r="C90" s="1" t="s">
        <v>300</v>
      </c>
      <c r="D90" s="1" t="s">
        <v>301</v>
      </c>
      <c r="E90" s="1">
        <v>5.70056377387E11</v>
      </c>
      <c r="F90" s="1" t="s">
        <v>302</v>
      </c>
      <c r="G90" s="1" t="s">
        <v>12</v>
      </c>
      <c r="H90" s="1" t="s">
        <v>131</v>
      </c>
    </row>
    <row r="91" ht="15.75" customHeight="1">
      <c r="A91" s="1">
        <v>90.0</v>
      </c>
      <c r="B91" s="1" t="s">
        <v>173</v>
      </c>
      <c r="C91" s="1" t="s">
        <v>270</v>
      </c>
      <c r="D91" s="1" t="s">
        <v>268</v>
      </c>
      <c r="E91" s="1">
        <v>5.70056377388E11</v>
      </c>
      <c r="F91" s="1" t="s">
        <v>303</v>
      </c>
      <c r="G91" s="1" t="s">
        <v>12</v>
      </c>
      <c r="H91" s="1" t="s">
        <v>131</v>
      </c>
    </row>
    <row r="92" ht="15.75" customHeight="1">
      <c r="A92" s="1">
        <v>91.0</v>
      </c>
      <c r="B92" s="1" t="s">
        <v>304</v>
      </c>
      <c r="C92" s="1" t="s">
        <v>305</v>
      </c>
      <c r="D92" s="1" t="s">
        <v>306</v>
      </c>
      <c r="E92" s="1">
        <v>5.70056377395E11</v>
      </c>
      <c r="F92" s="1" t="s">
        <v>307</v>
      </c>
      <c r="G92" s="1" t="s">
        <v>12</v>
      </c>
      <c r="H92" s="1" t="s">
        <v>131</v>
      </c>
    </row>
    <row r="93" ht="15.75" customHeight="1">
      <c r="A93" s="1">
        <v>92.0</v>
      </c>
      <c r="B93" s="1" t="s">
        <v>308</v>
      </c>
      <c r="C93" s="1" t="s">
        <v>305</v>
      </c>
      <c r="D93" s="1" t="s">
        <v>306</v>
      </c>
      <c r="E93" s="1">
        <v>5.70056377396E11</v>
      </c>
      <c r="F93" s="1" t="s">
        <v>309</v>
      </c>
      <c r="G93" s="1" t="s">
        <v>12</v>
      </c>
      <c r="H93" s="1" t="s">
        <v>131</v>
      </c>
    </row>
    <row r="94" ht="15.75" customHeight="1">
      <c r="A94" s="1">
        <v>93.0</v>
      </c>
      <c r="B94" s="1" t="s">
        <v>310</v>
      </c>
      <c r="C94" s="1" t="s">
        <v>311</v>
      </c>
      <c r="D94" s="1" t="s">
        <v>312</v>
      </c>
      <c r="E94" s="1">
        <v>5.70056377398E11</v>
      </c>
      <c r="F94" s="1" t="s">
        <v>313</v>
      </c>
      <c r="G94" s="1" t="s">
        <v>12</v>
      </c>
      <c r="H94" s="1" t="s">
        <v>131</v>
      </c>
    </row>
    <row r="95" ht="15.75" customHeight="1">
      <c r="A95" s="1">
        <v>94.0</v>
      </c>
      <c r="B95" s="1" t="s">
        <v>314</v>
      </c>
      <c r="C95" s="1" t="s">
        <v>315</v>
      </c>
      <c r="D95" s="1" t="s">
        <v>268</v>
      </c>
      <c r="E95" s="1">
        <v>5.700563774E11</v>
      </c>
      <c r="F95" s="1" t="s">
        <v>316</v>
      </c>
      <c r="G95" s="1" t="s">
        <v>12</v>
      </c>
      <c r="H95" s="1" t="s">
        <v>131</v>
      </c>
    </row>
    <row r="96" ht="15.75" customHeight="1">
      <c r="A96" s="1">
        <v>95.0</v>
      </c>
      <c r="B96" s="1" t="s">
        <v>317</v>
      </c>
      <c r="C96" s="1" t="s">
        <v>318</v>
      </c>
      <c r="D96" s="1" t="s">
        <v>319</v>
      </c>
      <c r="E96" s="1">
        <v>5.70056377801E11</v>
      </c>
      <c r="F96" s="1" t="s">
        <v>320</v>
      </c>
      <c r="G96" s="1" t="s">
        <v>50</v>
      </c>
      <c r="H96" s="1" t="s">
        <v>131</v>
      </c>
    </row>
    <row r="97" ht="15.75" customHeight="1">
      <c r="A97" s="1">
        <v>96.0</v>
      </c>
      <c r="B97" s="1" t="s">
        <v>321</v>
      </c>
      <c r="C97" s="1" t="s">
        <v>322</v>
      </c>
      <c r="D97" s="1" t="s">
        <v>323</v>
      </c>
      <c r="E97" s="1">
        <v>5.70056377805E11</v>
      </c>
      <c r="F97" s="1" t="s">
        <v>324</v>
      </c>
      <c r="G97" s="1" t="s">
        <v>12</v>
      </c>
      <c r="H97" s="1" t="s">
        <v>325</v>
      </c>
    </row>
    <row r="98" ht="15.75" customHeight="1">
      <c r="A98" s="1">
        <v>97.0</v>
      </c>
      <c r="B98" s="1" t="s">
        <v>326</v>
      </c>
      <c r="C98" s="1" t="s">
        <v>327</v>
      </c>
      <c r="D98" s="1" t="s">
        <v>328</v>
      </c>
      <c r="E98" s="1">
        <v>5.7005637781E11</v>
      </c>
      <c r="F98" s="1" t="s">
        <v>329</v>
      </c>
      <c r="G98" s="1" t="s">
        <v>37</v>
      </c>
      <c r="H98" s="1" t="s">
        <v>131</v>
      </c>
    </row>
    <row r="99" ht="15.75" customHeight="1">
      <c r="A99" s="1">
        <v>98.0</v>
      </c>
      <c r="B99" s="1" t="s">
        <v>330</v>
      </c>
      <c r="C99" s="1" t="s">
        <v>331</v>
      </c>
      <c r="D99" s="1" t="s">
        <v>332</v>
      </c>
      <c r="E99" s="1">
        <v>5.70056377812E11</v>
      </c>
      <c r="F99" s="1" t="s">
        <v>333</v>
      </c>
      <c r="G99" s="1" t="s">
        <v>50</v>
      </c>
      <c r="H99" s="1" t="s">
        <v>131</v>
      </c>
    </row>
    <row r="100" ht="15.75" customHeight="1">
      <c r="A100" s="1">
        <v>99.0</v>
      </c>
      <c r="B100" s="1" t="s">
        <v>334</v>
      </c>
      <c r="C100" s="1" t="s">
        <v>335</v>
      </c>
      <c r="D100" s="1" t="s">
        <v>336</v>
      </c>
      <c r="E100" s="1">
        <v>5.70056377813E11</v>
      </c>
      <c r="F100" s="1" t="s">
        <v>337</v>
      </c>
      <c r="G100" s="1" t="s">
        <v>12</v>
      </c>
      <c r="H100" s="1" t="s">
        <v>131</v>
      </c>
    </row>
    <row r="101" ht="15.75" customHeight="1">
      <c r="A101" s="1">
        <v>100.0</v>
      </c>
      <c r="B101" s="1" t="s">
        <v>295</v>
      </c>
      <c r="C101" s="1" t="s">
        <v>338</v>
      </c>
      <c r="D101" s="1" t="s">
        <v>339</v>
      </c>
      <c r="E101" s="1">
        <v>5.70056377816E11</v>
      </c>
      <c r="F101" s="1" t="s">
        <v>340</v>
      </c>
      <c r="G101" s="1" t="s">
        <v>37</v>
      </c>
      <c r="H101" s="1" t="s">
        <v>131</v>
      </c>
    </row>
    <row r="102" ht="15.75" customHeight="1">
      <c r="A102" s="1">
        <v>101.0</v>
      </c>
      <c r="B102" s="1" t="s">
        <v>341</v>
      </c>
      <c r="C102" s="1" t="s">
        <v>342</v>
      </c>
      <c r="D102" s="1" t="s">
        <v>343</v>
      </c>
      <c r="E102" s="1">
        <v>5.70056377818E11</v>
      </c>
      <c r="F102" s="1" t="s">
        <v>344</v>
      </c>
      <c r="G102" s="1" t="s">
        <v>12</v>
      </c>
      <c r="H102" s="1" t="s">
        <v>345</v>
      </c>
    </row>
    <row r="103" ht="15.75" customHeight="1">
      <c r="A103" s="1">
        <v>102.0</v>
      </c>
      <c r="B103" s="1" t="s">
        <v>346</v>
      </c>
      <c r="C103" s="1" t="s">
        <v>347</v>
      </c>
      <c r="D103" s="1" t="s">
        <v>297</v>
      </c>
      <c r="E103" s="1">
        <v>5.70056377819E11</v>
      </c>
      <c r="F103" s="1" t="s">
        <v>348</v>
      </c>
      <c r="G103" s="1" t="s">
        <v>12</v>
      </c>
      <c r="H103" s="1" t="s">
        <v>345</v>
      </c>
    </row>
    <row r="104" ht="15.75" customHeight="1">
      <c r="A104" s="1">
        <v>103.0</v>
      </c>
      <c r="B104" s="1" t="s">
        <v>331</v>
      </c>
      <c r="C104" s="1" t="s">
        <v>349</v>
      </c>
      <c r="D104" s="1" t="s">
        <v>350</v>
      </c>
      <c r="E104" s="1">
        <v>5.70056377821E11</v>
      </c>
      <c r="F104" s="1" t="s">
        <v>351</v>
      </c>
      <c r="G104" s="1" t="s">
        <v>12</v>
      </c>
      <c r="H104" s="1" t="s">
        <v>345</v>
      </c>
    </row>
    <row r="105" ht="15.75" customHeight="1">
      <c r="A105" s="1">
        <v>104.0</v>
      </c>
      <c r="B105" s="1" t="s">
        <v>352</v>
      </c>
      <c r="C105" s="1" t="s">
        <v>353</v>
      </c>
      <c r="D105" s="1" t="s">
        <v>354</v>
      </c>
      <c r="E105" s="1">
        <v>5.70056377822E11</v>
      </c>
      <c r="F105" s="1" t="s">
        <v>355</v>
      </c>
      <c r="G105" s="1" t="s">
        <v>12</v>
      </c>
      <c r="H105" s="1" t="s">
        <v>131</v>
      </c>
    </row>
    <row r="106" ht="15.75" customHeight="1">
      <c r="A106" s="1">
        <v>105.0</v>
      </c>
      <c r="B106" s="1" t="s">
        <v>356</v>
      </c>
      <c r="C106" s="1" t="s">
        <v>357</v>
      </c>
      <c r="D106" s="1" t="s">
        <v>358</v>
      </c>
      <c r="E106" s="1">
        <v>5.70056377827E11</v>
      </c>
      <c r="F106" s="1" t="s">
        <v>359</v>
      </c>
      <c r="G106" s="1" t="s">
        <v>12</v>
      </c>
      <c r="H106" s="1" t="s">
        <v>131</v>
      </c>
    </row>
    <row r="107" ht="15.75" customHeight="1">
      <c r="A107" s="1">
        <v>106.0</v>
      </c>
      <c r="B107" s="1" t="s">
        <v>33</v>
      </c>
      <c r="C107" s="1" t="s">
        <v>360</v>
      </c>
      <c r="D107" s="1" t="s">
        <v>361</v>
      </c>
      <c r="E107" s="1">
        <v>5.70056377828E11</v>
      </c>
      <c r="F107" s="1" t="s">
        <v>362</v>
      </c>
      <c r="G107" s="1" t="s">
        <v>12</v>
      </c>
      <c r="H107" s="1" t="s">
        <v>363</v>
      </c>
    </row>
    <row r="108" ht="15.75" customHeight="1">
      <c r="A108" s="1">
        <v>107.0</v>
      </c>
      <c r="B108" s="1" t="s">
        <v>364</v>
      </c>
      <c r="C108" s="1" t="s">
        <v>365</v>
      </c>
      <c r="D108" s="1" t="s">
        <v>366</v>
      </c>
      <c r="E108" s="1">
        <v>5.70056377875E11</v>
      </c>
      <c r="F108" s="1" t="s">
        <v>367</v>
      </c>
      <c r="G108" s="1" t="s">
        <v>12</v>
      </c>
      <c r="H108" s="1" t="s">
        <v>363</v>
      </c>
    </row>
    <row r="109" ht="15.75" customHeight="1">
      <c r="A109" s="1">
        <v>108.0</v>
      </c>
      <c r="B109" s="1" t="s">
        <v>368</v>
      </c>
      <c r="C109" s="1" t="s">
        <v>369</v>
      </c>
      <c r="D109" s="1" t="s">
        <v>370</v>
      </c>
      <c r="E109" s="1">
        <v>5.70056377838E11</v>
      </c>
      <c r="F109" s="1" t="s">
        <v>371</v>
      </c>
      <c r="G109" s="1" t="s">
        <v>12</v>
      </c>
      <c r="H109" s="1" t="s">
        <v>372</v>
      </c>
    </row>
    <row r="110" ht="15.75" customHeight="1">
      <c r="A110" s="1">
        <v>109.0</v>
      </c>
      <c r="B110" s="1" t="s">
        <v>373</v>
      </c>
      <c r="C110" s="1" t="s">
        <v>84</v>
      </c>
      <c r="D110" s="1" t="s">
        <v>374</v>
      </c>
      <c r="E110" s="1">
        <v>5.70056377841E11</v>
      </c>
      <c r="F110" s="1" t="s">
        <v>375</v>
      </c>
      <c r="G110" s="1" t="s">
        <v>12</v>
      </c>
      <c r="H110" s="1" t="s">
        <v>372</v>
      </c>
    </row>
    <row r="111" ht="15.75" customHeight="1">
      <c r="A111" s="1">
        <v>110.0</v>
      </c>
      <c r="B111" s="1" t="s">
        <v>376</v>
      </c>
      <c r="C111" s="1" t="s">
        <v>377</v>
      </c>
      <c r="D111" s="1" t="s">
        <v>378</v>
      </c>
      <c r="E111" s="1">
        <v>5.70056377842E11</v>
      </c>
      <c r="F111" s="1" t="s">
        <v>379</v>
      </c>
      <c r="G111" s="1" t="s">
        <v>12</v>
      </c>
      <c r="H111" s="1" t="s">
        <v>372</v>
      </c>
    </row>
    <row r="112" ht="15.75" customHeight="1">
      <c r="A112" s="1">
        <v>111.0</v>
      </c>
      <c r="B112" s="1" t="s">
        <v>380</v>
      </c>
      <c r="C112" s="1" t="s">
        <v>381</v>
      </c>
      <c r="D112" s="1" t="s">
        <v>370</v>
      </c>
      <c r="E112" s="1">
        <v>5.70056377845E11</v>
      </c>
      <c r="F112" s="1" t="s">
        <v>382</v>
      </c>
      <c r="G112" s="1" t="s">
        <v>12</v>
      </c>
      <c r="H112" s="1" t="s">
        <v>372</v>
      </c>
    </row>
    <row r="113" ht="15.75" customHeight="1">
      <c r="A113" s="1">
        <v>112.0</v>
      </c>
      <c r="B113" s="1" t="s">
        <v>383</v>
      </c>
      <c r="C113" s="1" t="s">
        <v>384</v>
      </c>
      <c r="D113" s="1" t="s">
        <v>297</v>
      </c>
      <c r="E113" s="1">
        <v>5.70056377846E11</v>
      </c>
      <c r="F113" s="1" t="s">
        <v>385</v>
      </c>
      <c r="G113" s="1" t="s">
        <v>12</v>
      </c>
      <c r="H113" s="1" t="s">
        <v>372</v>
      </c>
    </row>
    <row r="114" ht="15.75" customHeight="1">
      <c r="A114" s="1">
        <v>113.0</v>
      </c>
      <c r="B114" s="1" t="s">
        <v>386</v>
      </c>
      <c r="C114" s="1" t="s">
        <v>387</v>
      </c>
      <c r="D114" s="1" t="s">
        <v>388</v>
      </c>
      <c r="E114" s="1">
        <v>5.70056377849E11</v>
      </c>
      <c r="F114" s="1" t="s">
        <v>389</v>
      </c>
      <c r="G114" s="1" t="s">
        <v>390</v>
      </c>
      <c r="H114" s="1" t="s">
        <v>372</v>
      </c>
    </row>
    <row r="115" ht="15.75" customHeight="1">
      <c r="A115" s="1">
        <v>114.0</v>
      </c>
      <c r="B115" s="1" t="s">
        <v>391</v>
      </c>
      <c r="C115" s="1" t="s">
        <v>392</v>
      </c>
      <c r="D115" s="1" t="s">
        <v>374</v>
      </c>
      <c r="E115" s="1">
        <v>5.7005637785E11</v>
      </c>
      <c r="F115" s="1" t="s">
        <v>333</v>
      </c>
      <c r="G115" s="1" t="s">
        <v>50</v>
      </c>
      <c r="H115" s="1" t="s">
        <v>372</v>
      </c>
    </row>
    <row r="116" ht="15.75" customHeight="1">
      <c r="A116" s="1">
        <v>115.0</v>
      </c>
      <c r="B116" s="1" t="s">
        <v>393</v>
      </c>
      <c r="C116" s="1" t="s">
        <v>394</v>
      </c>
      <c r="D116" s="1" t="s">
        <v>395</v>
      </c>
      <c r="E116" s="1">
        <v>5.70056377851E11</v>
      </c>
      <c r="F116" s="1" t="s">
        <v>396</v>
      </c>
      <c r="G116" s="1" t="s">
        <v>12</v>
      </c>
      <c r="H116" s="1" t="s">
        <v>372</v>
      </c>
    </row>
    <row r="117" ht="15.75" customHeight="1">
      <c r="A117" s="1">
        <v>116.0</v>
      </c>
      <c r="B117" s="1" t="s">
        <v>397</v>
      </c>
      <c r="C117" s="1" t="s">
        <v>398</v>
      </c>
      <c r="D117" s="1" t="s">
        <v>399</v>
      </c>
      <c r="E117" s="1">
        <v>5.70056377852E11</v>
      </c>
      <c r="F117" s="1" t="s">
        <v>400</v>
      </c>
      <c r="G117" s="1" t="s">
        <v>37</v>
      </c>
      <c r="H117" s="1" t="s">
        <v>372</v>
      </c>
    </row>
    <row r="118" ht="15.75" customHeight="1">
      <c r="A118" s="1">
        <v>117.0</v>
      </c>
      <c r="B118" s="1" t="s">
        <v>401</v>
      </c>
      <c r="C118" s="1" t="s">
        <v>402</v>
      </c>
      <c r="D118" s="1" t="s">
        <v>403</v>
      </c>
      <c r="E118" s="1">
        <v>5.7005637786E11</v>
      </c>
      <c r="F118" s="1" t="s">
        <v>404</v>
      </c>
      <c r="G118" s="1" t="s">
        <v>12</v>
      </c>
      <c r="H118" s="1" t="s">
        <v>372</v>
      </c>
    </row>
    <row r="119" ht="15.75" customHeight="1">
      <c r="A119" s="1">
        <v>118.0</v>
      </c>
      <c r="B119" s="1" t="s">
        <v>405</v>
      </c>
      <c r="C119" s="1" t="s">
        <v>406</v>
      </c>
      <c r="D119" s="1" t="s">
        <v>407</v>
      </c>
      <c r="E119" s="1">
        <v>5.70056378004E11</v>
      </c>
      <c r="F119" s="1" t="s">
        <v>408</v>
      </c>
      <c r="G119" s="1" t="s">
        <v>12</v>
      </c>
      <c r="H119" s="1" t="s">
        <v>372</v>
      </c>
    </row>
    <row r="120" ht="15.75" customHeight="1">
      <c r="A120" s="1">
        <v>119.0</v>
      </c>
      <c r="B120" s="1" t="s">
        <v>409</v>
      </c>
      <c r="C120" s="1" t="s">
        <v>410</v>
      </c>
      <c r="D120" s="1" t="s">
        <v>411</v>
      </c>
      <c r="E120" s="1">
        <v>5.70056378007E11</v>
      </c>
      <c r="F120" s="1" t="s">
        <v>412</v>
      </c>
      <c r="G120" s="1" t="s">
        <v>12</v>
      </c>
      <c r="H120" s="1" t="s">
        <v>372</v>
      </c>
    </row>
    <row r="121" ht="15.75" customHeight="1">
      <c r="A121" s="1">
        <v>120.0</v>
      </c>
      <c r="B121" s="1" t="s">
        <v>413</v>
      </c>
      <c r="C121" s="1" t="s">
        <v>414</v>
      </c>
      <c r="D121" s="1" t="s">
        <v>415</v>
      </c>
      <c r="E121" s="1">
        <v>5.70056378009E11</v>
      </c>
      <c r="F121" s="1" t="s">
        <v>416</v>
      </c>
      <c r="G121" s="1" t="s">
        <v>12</v>
      </c>
      <c r="H121" s="1" t="s">
        <v>372</v>
      </c>
    </row>
    <row r="122" ht="15.75" customHeight="1">
      <c r="A122" s="1">
        <v>121.0</v>
      </c>
      <c r="B122" s="1" t="s">
        <v>417</v>
      </c>
      <c r="C122" s="1" t="s">
        <v>410</v>
      </c>
      <c r="D122" s="1" t="s">
        <v>418</v>
      </c>
      <c r="E122" s="1">
        <v>5.70056378013E11</v>
      </c>
      <c r="F122" s="1" t="s">
        <v>419</v>
      </c>
      <c r="G122" s="1" t="s">
        <v>12</v>
      </c>
      <c r="H122" s="1" t="s">
        <v>372</v>
      </c>
    </row>
    <row r="123" ht="15.75" customHeight="1">
      <c r="A123" s="1">
        <v>122.0</v>
      </c>
      <c r="B123" s="1" t="s">
        <v>420</v>
      </c>
      <c r="C123" s="1" t="s">
        <v>421</v>
      </c>
      <c r="D123" s="1" t="s">
        <v>422</v>
      </c>
      <c r="E123" s="1">
        <v>5.70056378015E11</v>
      </c>
      <c r="F123" s="1" t="s">
        <v>423</v>
      </c>
      <c r="G123" s="1" t="s">
        <v>12</v>
      </c>
      <c r="H123" s="1" t="s">
        <v>372</v>
      </c>
    </row>
    <row r="124" ht="15.75" customHeight="1">
      <c r="A124" s="1">
        <v>123.0</v>
      </c>
      <c r="B124" s="1" t="s">
        <v>424</v>
      </c>
      <c r="C124" s="1" t="s">
        <v>425</v>
      </c>
      <c r="D124" s="1" t="s">
        <v>426</v>
      </c>
      <c r="E124" s="1">
        <v>5.70056378018E11</v>
      </c>
      <c r="F124" s="1" t="s">
        <v>427</v>
      </c>
      <c r="G124" s="1" t="s">
        <v>12</v>
      </c>
      <c r="H124" s="1" t="s">
        <v>428</v>
      </c>
    </row>
    <row r="125" ht="15.75" customHeight="1">
      <c r="A125" s="1">
        <v>124.0</v>
      </c>
      <c r="B125" s="1" t="s">
        <v>429</v>
      </c>
      <c r="C125" s="1" t="s">
        <v>430</v>
      </c>
      <c r="D125" s="1" t="s">
        <v>431</v>
      </c>
      <c r="E125" s="1">
        <v>5.70056378021E11</v>
      </c>
      <c r="F125" s="1" t="s">
        <v>432</v>
      </c>
      <c r="G125" s="1" t="s">
        <v>12</v>
      </c>
      <c r="H125" s="1" t="s">
        <v>372</v>
      </c>
    </row>
    <row r="126" ht="15.75" customHeight="1">
      <c r="A126" s="1">
        <v>125.0</v>
      </c>
      <c r="B126" s="1" t="s">
        <v>215</v>
      </c>
      <c r="C126" s="1" t="s">
        <v>433</v>
      </c>
      <c r="D126" s="1" t="s">
        <v>434</v>
      </c>
      <c r="E126" s="2" t="s">
        <v>435</v>
      </c>
      <c r="F126" s="1" t="s">
        <v>436</v>
      </c>
      <c r="G126" s="1" t="s">
        <v>12</v>
      </c>
      <c r="H126" s="1" t="s">
        <v>372</v>
      </c>
    </row>
    <row r="127" ht="15.75" customHeight="1">
      <c r="A127" s="1">
        <v>126.0</v>
      </c>
      <c r="B127" s="1" t="s">
        <v>437</v>
      </c>
      <c r="C127" s="1" t="s">
        <v>430</v>
      </c>
      <c r="D127" s="1" t="s">
        <v>438</v>
      </c>
      <c r="E127" s="2" t="s">
        <v>439</v>
      </c>
      <c r="F127" s="1" t="s">
        <v>440</v>
      </c>
      <c r="G127" s="1" t="s">
        <v>37</v>
      </c>
      <c r="H127" s="1" t="s">
        <v>372</v>
      </c>
    </row>
    <row r="128" ht="15.75" customHeight="1">
      <c r="A128" s="1">
        <v>127.0</v>
      </c>
      <c r="B128" s="1" t="s">
        <v>441</v>
      </c>
      <c r="C128" s="1" t="s">
        <v>164</v>
      </c>
      <c r="D128" s="1" t="s">
        <v>442</v>
      </c>
      <c r="E128" s="2" t="s">
        <v>443</v>
      </c>
      <c r="F128" s="1" t="s">
        <v>444</v>
      </c>
      <c r="G128" s="1" t="s">
        <v>37</v>
      </c>
      <c r="H128" s="1" t="s">
        <v>372</v>
      </c>
    </row>
    <row r="129" ht="15.75" customHeight="1">
      <c r="A129" s="1">
        <v>128.0</v>
      </c>
      <c r="B129" s="1" t="s">
        <v>18</v>
      </c>
      <c r="C129" s="1"/>
      <c r="D129" s="1"/>
      <c r="E129" s="2"/>
      <c r="F129" s="1"/>
      <c r="G129" s="1"/>
      <c r="H129" s="1"/>
    </row>
    <row r="130" ht="15.75" customHeight="1">
      <c r="A130" s="1">
        <v>129.0</v>
      </c>
      <c r="B130" s="1" t="s">
        <v>123</v>
      </c>
      <c r="C130" s="1" t="s">
        <v>445</v>
      </c>
      <c r="D130" s="1" t="s">
        <v>446</v>
      </c>
      <c r="E130" s="2" t="s">
        <v>447</v>
      </c>
      <c r="F130" s="1" t="s">
        <v>448</v>
      </c>
      <c r="G130" s="1" t="s">
        <v>12</v>
      </c>
      <c r="H130" s="1" t="s">
        <v>372</v>
      </c>
    </row>
    <row r="131" ht="15.75" customHeight="1">
      <c r="A131" s="1">
        <v>130.0</v>
      </c>
      <c r="B131" s="1" t="s">
        <v>449</v>
      </c>
      <c r="C131" s="1" t="s">
        <v>450</v>
      </c>
      <c r="D131" s="1" t="s">
        <v>451</v>
      </c>
      <c r="E131" s="2" t="s">
        <v>452</v>
      </c>
      <c r="F131" s="1" t="s">
        <v>453</v>
      </c>
      <c r="G131" s="1" t="s">
        <v>12</v>
      </c>
      <c r="H131" s="1" t="s">
        <v>372</v>
      </c>
    </row>
    <row r="132" ht="15.75" customHeight="1">
      <c r="A132" s="1">
        <v>131.0</v>
      </c>
      <c r="B132" s="1" t="s">
        <v>18</v>
      </c>
      <c r="C132" s="1"/>
      <c r="D132" s="1"/>
      <c r="E132" s="2"/>
      <c r="F132" s="1"/>
      <c r="G132" s="1"/>
      <c r="H132" s="1"/>
    </row>
    <row r="133" ht="15.75" customHeight="1">
      <c r="A133" s="1">
        <v>132.0</v>
      </c>
      <c r="B133" s="1" t="s">
        <v>454</v>
      </c>
      <c r="C133" s="1" t="s">
        <v>455</v>
      </c>
      <c r="D133" s="1" t="s">
        <v>456</v>
      </c>
      <c r="E133" s="2" t="s">
        <v>457</v>
      </c>
      <c r="F133" s="1" t="s">
        <v>458</v>
      </c>
      <c r="G133" s="1" t="s">
        <v>12</v>
      </c>
      <c r="H133" s="1" t="s">
        <v>372</v>
      </c>
    </row>
    <row r="134" ht="15.75" customHeight="1">
      <c r="A134" s="1">
        <v>133.0</v>
      </c>
      <c r="B134" s="1" t="s">
        <v>459</v>
      </c>
      <c r="C134" s="1" t="s">
        <v>460</v>
      </c>
      <c r="D134" s="1" t="s">
        <v>461</v>
      </c>
      <c r="E134" s="2" t="s">
        <v>462</v>
      </c>
      <c r="F134" s="1" t="s">
        <v>463</v>
      </c>
      <c r="G134" s="1" t="s">
        <v>37</v>
      </c>
      <c r="H134" s="1" t="s">
        <v>372</v>
      </c>
    </row>
    <row r="135" ht="15.75" customHeight="1">
      <c r="A135" s="1">
        <v>134.0</v>
      </c>
      <c r="B135" s="1" t="s">
        <v>464</v>
      </c>
      <c r="C135" s="1" t="s">
        <v>465</v>
      </c>
      <c r="D135" s="1" t="s">
        <v>466</v>
      </c>
      <c r="E135" s="2" t="s">
        <v>467</v>
      </c>
      <c r="F135" s="1" t="s">
        <v>468</v>
      </c>
      <c r="G135" s="1" t="s">
        <v>12</v>
      </c>
      <c r="H135" s="1" t="s">
        <v>372</v>
      </c>
    </row>
    <row r="136" ht="15.75" customHeight="1">
      <c r="A136" s="1">
        <v>135.0</v>
      </c>
      <c r="B136" s="1" t="s">
        <v>469</v>
      </c>
      <c r="C136" s="1" t="s">
        <v>347</v>
      </c>
      <c r="D136" s="1" t="s">
        <v>470</v>
      </c>
      <c r="E136" s="2" t="s">
        <v>471</v>
      </c>
      <c r="F136" s="1" t="s">
        <v>472</v>
      </c>
      <c r="G136" s="1" t="s">
        <v>12</v>
      </c>
      <c r="H136" s="1" t="s">
        <v>372</v>
      </c>
    </row>
    <row r="137" ht="15.75" customHeight="1">
      <c r="A137" s="1">
        <v>136.0</v>
      </c>
      <c r="B137" s="1" t="s">
        <v>473</v>
      </c>
      <c r="C137" s="1" t="s">
        <v>474</v>
      </c>
      <c r="D137" s="1" t="s">
        <v>470</v>
      </c>
      <c r="E137" s="2" t="s">
        <v>475</v>
      </c>
      <c r="F137" s="1" t="s">
        <v>476</v>
      </c>
      <c r="G137" s="1" t="s">
        <v>12</v>
      </c>
      <c r="H137" s="1" t="s">
        <v>372</v>
      </c>
    </row>
    <row r="138" ht="15.75" customHeight="1">
      <c r="A138" s="1">
        <v>137.0</v>
      </c>
      <c r="B138" s="1" t="s">
        <v>477</v>
      </c>
      <c r="C138" s="1" t="s">
        <v>478</v>
      </c>
      <c r="D138" s="1" t="s">
        <v>479</v>
      </c>
      <c r="E138" s="2" t="s">
        <v>480</v>
      </c>
      <c r="F138" s="1" t="s">
        <v>481</v>
      </c>
      <c r="G138" s="1" t="s">
        <v>12</v>
      </c>
      <c r="H138" s="1" t="s">
        <v>372</v>
      </c>
    </row>
    <row r="139" ht="15.75" customHeight="1">
      <c r="A139" s="1">
        <v>138.0</v>
      </c>
      <c r="B139" s="1" t="s">
        <v>482</v>
      </c>
      <c r="C139" s="1" t="s">
        <v>263</v>
      </c>
      <c r="D139" s="1" t="s">
        <v>483</v>
      </c>
      <c r="E139" s="2" t="s">
        <v>484</v>
      </c>
      <c r="F139" s="1" t="s">
        <v>485</v>
      </c>
      <c r="G139" s="1" t="s">
        <v>12</v>
      </c>
      <c r="H139" s="1" t="s">
        <v>372</v>
      </c>
    </row>
    <row r="140" ht="15.75" customHeight="1">
      <c r="A140" s="1">
        <v>139.0</v>
      </c>
      <c r="B140" s="1" t="s">
        <v>486</v>
      </c>
      <c r="C140" s="1" t="s">
        <v>487</v>
      </c>
      <c r="D140" s="1" t="s">
        <v>488</v>
      </c>
      <c r="E140" s="2" t="s">
        <v>489</v>
      </c>
      <c r="F140" s="1" t="s">
        <v>490</v>
      </c>
      <c r="G140" s="1" t="s">
        <v>12</v>
      </c>
      <c r="H140" s="1" t="s">
        <v>372</v>
      </c>
    </row>
    <row r="141" ht="15.75" customHeight="1">
      <c r="A141" s="1">
        <v>140.0</v>
      </c>
      <c r="B141" s="1" t="s">
        <v>491</v>
      </c>
      <c r="C141" s="1" t="s">
        <v>492</v>
      </c>
      <c r="D141" s="1" t="s">
        <v>493</v>
      </c>
      <c r="E141" s="2" t="s">
        <v>494</v>
      </c>
      <c r="F141" s="1" t="s">
        <v>495</v>
      </c>
      <c r="G141" s="1" t="s">
        <v>12</v>
      </c>
      <c r="H141" s="1" t="s">
        <v>428</v>
      </c>
    </row>
    <row r="142" ht="15.75" customHeight="1">
      <c r="A142" s="1">
        <v>141.0</v>
      </c>
      <c r="B142" s="1" t="s">
        <v>496</v>
      </c>
      <c r="C142" s="1" t="s">
        <v>497</v>
      </c>
      <c r="D142" s="1" t="s">
        <v>498</v>
      </c>
      <c r="E142" s="2" t="s">
        <v>499</v>
      </c>
      <c r="F142" s="1" t="s">
        <v>500</v>
      </c>
      <c r="G142" s="1" t="s">
        <v>12</v>
      </c>
      <c r="H142" s="1" t="s">
        <v>372</v>
      </c>
    </row>
    <row r="143" ht="15.75" customHeight="1">
      <c r="A143" s="1">
        <v>142.0</v>
      </c>
      <c r="B143" s="1" t="s">
        <v>501</v>
      </c>
      <c r="C143" s="1" t="s">
        <v>502</v>
      </c>
      <c r="D143" s="1" t="s">
        <v>503</v>
      </c>
      <c r="E143" s="2" t="s">
        <v>504</v>
      </c>
      <c r="F143" s="1" t="s">
        <v>453</v>
      </c>
      <c r="G143" s="1" t="s">
        <v>37</v>
      </c>
      <c r="H143" s="1" t="s">
        <v>372</v>
      </c>
    </row>
    <row r="144" ht="15.75" customHeight="1">
      <c r="A144" s="1">
        <v>143.0</v>
      </c>
      <c r="B144" s="1" t="s">
        <v>505</v>
      </c>
      <c r="C144" s="1" t="s">
        <v>506</v>
      </c>
      <c r="D144" s="1" t="s">
        <v>507</v>
      </c>
      <c r="E144" s="2" t="s">
        <v>508</v>
      </c>
      <c r="F144" s="1" t="s">
        <v>104</v>
      </c>
      <c r="G144" s="1" t="s">
        <v>12</v>
      </c>
      <c r="H144" s="1" t="s">
        <v>372</v>
      </c>
    </row>
    <row r="145" ht="15.75" customHeight="1">
      <c r="A145" s="1">
        <v>144.0</v>
      </c>
      <c r="B145" s="1" t="s">
        <v>509</v>
      </c>
      <c r="C145" s="1" t="s">
        <v>510</v>
      </c>
      <c r="D145" s="1" t="s">
        <v>470</v>
      </c>
      <c r="E145" s="2" t="s">
        <v>511</v>
      </c>
      <c r="F145" s="1" t="s">
        <v>512</v>
      </c>
      <c r="G145" s="1" t="s">
        <v>12</v>
      </c>
      <c r="H145" s="1" t="s">
        <v>372</v>
      </c>
    </row>
    <row r="146" ht="15.75" customHeight="1">
      <c r="A146" s="1">
        <v>145.0</v>
      </c>
      <c r="B146" s="1" t="s">
        <v>513</v>
      </c>
      <c r="C146" s="1" t="s">
        <v>502</v>
      </c>
      <c r="D146" s="1" t="s">
        <v>503</v>
      </c>
      <c r="E146" s="2" t="s">
        <v>514</v>
      </c>
      <c r="F146" s="1" t="s">
        <v>333</v>
      </c>
      <c r="G146" s="1" t="s">
        <v>12</v>
      </c>
      <c r="H146" s="1" t="s">
        <v>372</v>
      </c>
    </row>
    <row r="147" ht="15.75" customHeight="1">
      <c r="A147" s="1">
        <v>146.0</v>
      </c>
      <c r="B147" s="1" t="s">
        <v>515</v>
      </c>
      <c r="C147" s="1" t="s">
        <v>516</v>
      </c>
      <c r="D147" s="1" t="s">
        <v>517</v>
      </c>
      <c r="E147" s="2" t="s">
        <v>518</v>
      </c>
      <c r="F147" s="1" t="s">
        <v>519</v>
      </c>
      <c r="G147" s="1" t="s">
        <v>12</v>
      </c>
      <c r="H147" s="1" t="s">
        <v>372</v>
      </c>
    </row>
    <row r="148" ht="15.75" customHeight="1">
      <c r="A148" s="1">
        <v>147.0</v>
      </c>
      <c r="B148" s="1" t="s">
        <v>520</v>
      </c>
      <c r="C148" s="1" t="s">
        <v>516</v>
      </c>
      <c r="D148" s="1" t="s">
        <v>517</v>
      </c>
      <c r="E148" s="2" t="s">
        <v>521</v>
      </c>
      <c r="F148" s="1" t="s">
        <v>522</v>
      </c>
      <c r="G148" s="1" t="s">
        <v>12</v>
      </c>
      <c r="H148" s="1" t="s">
        <v>523</v>
      </c>
    </row>
    <row r="149" ht="15.75" customHeight="1">
      <c r="A149" s="1">
        <v>148.0</v>
      </c>
      <c r="B149" s="1" t="s">
        <v>524</v>
      </c>
      <c r="C149" s="1" t="s">
        <v>525</v>
      </c>
      <c r="D149" s="1" t="s">
        <v>526</v>
      </c>
      <c r="E149" s="2" t="s">
        <v>527</v>
      </c>
      <c r="F149" s="1" t="s">
        <v>528</v>
      </c>
      <c r="G149" s="1" t="s">
        <v>12</v>
      </c>
      <c r="H149" s="1" t="s">
        <v>372</v>
      </c>
    </row>
    <row r="150" ht="15.75" customHeight="1">
      <c r="A150" s="1">
        <v>149.0</v>
      </c>
      <c r="B150" s="1" t="s">
        <v>529</v>
      </c>
      <c r="C150" s="1" t="s">
        <v>525</v>
      </c>
      <c r="D150" s="1" t="s">
        <v>526</v>
      </c>
      <c r="E150" s="2" t="s">
        <v>530</v>
      </c>
      <c r="F150" s="1" t="s">
        <v>531</v>
      </c>
      <c r="G150" s="1" t="s">
        <v>12</v>
      </c>
      <c r="H150" s="1" t="s">
        <v>372</v>
      </c>
    </row>
    <row r="151" ht="15.75" customHeight="1">
      <c r="A151" s="1">
        <v>150.0</v>
      </c>
      <c r="B151" s="1" t="s">
        <v>532</v>
      </c>
      <c r="C151" s="1" t="s">
        <v>533</v>
      </c>
      <c r="D151" s="1" t="s">
        <v>534</v>
      </c>
      <c r="E151" s="2" t="s">
        <v>535</v>
      </c>
      <c r="F151" s="1" t="s">
        <v>536</v>
      </c>
      <c r="G151" s="1" t="s">
        <v>197</v>
      </c>
      <c r="H151" s="1" t="s">
        <v>363</v>
      </c>
    </row>
    <row r="152" ht="15.75" customHeight="1">
      <c r="A152" s="1">
        <v>151.0</v>
      </c>
      <c r="B152" s="1" t="s">
        <v>537</v>
      </c>
      <c r="C152" s="1" t="s">
        <v>538</v>
      </c>
      <c r="D152" s="1" t="s">
        <v>466</v>
      </c>
      <c r="E152" s="2" t="s">
        <v>539</v>
      </c>
      <c r="F152" s="1" t="s">
        <v>540</v>
      </c>
      <c r="G152" s="1" t="s">
        <v>12</v>
      </c>
      <c r="H152" s="1" t="s">
        <v>372</v>
      </c>
    </row>
    <row r="153" ht="15.75" customHeight="1">
      <c r="A153" s="1">
        <v>152.0</v>
      </c>
      <c r="B153" s="1" t="s">
        <v>541</v>
      </c>
      <c r="C153" s="1" t="s">
        <v>542</v>
      </c>
      <c r="D153" s="1" t="s">
        <v>543</v>
      </c>
      <c r="E153" s="2" t="s">
        <v>544</v>
      </c>
      <c r="F153" s="1" t="s">
        <v>545</v>
      </c>
      <c r="G153" s="1" t="s">
        <v>12</v>
      </c>
      <c r="H153" s="1" t="s">
        <v>363</v>
      </c>
    </row>
    <row r="154" ht="15.75" customHeight="1">
      <c r="A154" s="1">
        <v>153.0</v>
      </c>
      <c r="B154" s="1" t="s">
        <v>546</v>
      </c>
      <c r="C154" s="1" t="s">
        <v>547</v>
      </c>
      <c r="D154" s="1" t="s">
        <v>548</v>
      </c>
      <c r="E154" s="2" t="s">
        <v>549</v>
      </c>
      <c r="F154" s="1" t="s">
        <v>550</v>
      </c>
      <c r="G154" s="1" t="s">
        <v>12</v>
      </c>
      <c r="H154" s="1" t="s">
        <v>372</v>
      </c>
    </row>
    <row r="155" ht="15.75" customHeight="1">
      <c r="A155" s="1">
        <v>154.0</v>
      </c>
      <c r="B155" s="1" t="s">
        <v>551</v>
      </c>
      <c r="C155" s="1" t="s">
        <v>510</v>
      </c>
      <c r="D155" s="1" t="s">
        <v>470</v>
      </c>
      <c r="E155" s="2" t="s">
        <v>552</v>
      </c>
      <c r="F155" s="1" t="s">
        <v>553</v>
      </c>
      <c r="G155" s="1" t="s">
        <v>12</v>
      </c>
      <c r="H155" s="1" t="s">
        <v>372</v>
      </c>
    </row>
    <row r="156" ht="15.75" customHeight="1">
      <c r="A156" s="1">
        <v>155.0</v>
      </c>
      <c r="B156" s="1" t="s">
        <v>554</v>
      </c>
      <c r="C156" s="1" t="s">
        <v>555</v>
      </c>
      <c r="D156" s="1" t="s">
        <v>466</v>
      </c>
      <c r="E156" s="2" t="s">
        <v>556</v>
      </c>
      <c r="F156" s="1" t="s">
        <v>557</v>
      </c>
      <c r="G156" s="1" t="s">
        <v>12</v>
      </c>
      <c r="H156" s="1" t="s">
        <v>372</v>
      </c>
    </row>
    <row r="157" ht="15.75" customHeight="1">
      <c r="A157" s="1">
        <v>156.0</v>
      </c>
      <c r="B157" s="1" t="s">
        <v>558</v>
      </c>
      <c r="C157" s="1" t="s">
        <v>559</v>
      </c>
      <c r="D157" s="1" t="s">
        <v>415</v>
      </c>
      <c r="E157" s="2" t="s">
        <v>560</v>
      </c>
      <c r="F157" s="1" t="s">
        <v>561</v>
      </c>
      <c r="G157" s="1" t="s">
        <v>12</v>
      </c>
      <c r="H157" s="1" t="s">
        <v>372</v>
      </c>
    </row>
    <row r="158" ht="15.75" customHeight="1">
      <c r="A158" s="1">
        <v>157.0</v>
      </c>
      <c r="B158" s="1" t="s">
        <v>562</v>
      </c>
      <c r="C158" s="1" t="s">
        <v>563</v>
      </c>
      <c r="D158" s="1" t="s">
        <v>564</v>
      </c>
      <c r="E158" s="2" t="s">
        <v>565</v>
      </c>
      <c r="F158" s="1" t="s">
        <v>566</v>
      </c>
      <c r="G158" s="1" t="s">
        <v>12</v>
      </c>
      <c r="H158" s="1" t="s">
        <v>372</v>
      </c>
    </row>
    <row r="159" ht="15.75" customHeight="1">
      <c r="A159" s="1">
        <v>158.0</v>
      </c>
      <c r="B159" s="1" t="s">
        <v>567</v>
      </c>
      <c r="C159" s="1" t="s">
        <v>568</v>
      </c>
      <c r="D159" s="1" t="s">
        <v>569</v>
      </c>
      <c r="E159" s="2" t="s">
        <v>570</v>
      </c>
      <c r="F159" s="1" t="s">
        <v>571</v>
      </c>
      <c r="G159" s="1" t="s">
        <v>12</v>
      </c>
      <c r="H159" s="1" t="s">
        <v>372</v>
      </c>
    </row>
    <row r="160" ht="15.75" customHeight="1">
      <c r="A160" s="1">
        <v>159.0</v>
      </c>
      <c r="B160" s="1" t="s">
        <v>572</v>
      </c>
      <c r="C160" s="1" t="s">
        <v>573</v>
      </c>
      <c r="D160" s="1" t="s">
        <v>574</v>
      </c>
      <c r="E160" s="2" t="s">
        <v>575</v>
      </c>
      <c r="F160" s="1" t="s">
        <v>576</v>
      </c>
      <c r="G160" s="1" t="s">
        <v>62</v>
      </c>
      <c r="H160" s="1" t="s">
        <v>372</v>
      </c>
    </row>
    <row r="161" ht="15.75" customHeight="1">
      <c r="A161" s="3">
        <v>160.0</v>
      </c>
      <c r="B161" s="3" t="s">
        <v>577</v>
      </c>
      <c r="C161" s="3" t="s">
        <v>578</v>
      </c>
      <c r="D161" s="3" t="s">
        <v>579</v>
      </c>
      <c r="E161" s="3">
        <v>5.70056378103E11</v>
      </c>
      <c r="F161" s="3" t="s">
        <v>580</v>
      </c>
      <c r="G161" s="3" t="s">
        <v>581</v>
      </c>
      <c r="H161" s="3" t="s">
        <v>582</v>
      </c>
    </row>
    <row r="162" ht="15.75" customHeight="1">
      <c r="A162" s="3">
        <v>161.0</v>
      </c>
      <c r="B162" s="3" t="s">
        <v>583</v>
      </c>
      <c r="C162" s="3" t="s">
        <v>578</v>
      </c>
      <c r="D162" s="3" t="s">
        <v>579</v>
      </c>
      <c r="E162" s="3">
        <v>5.70056378104E11</v>
      </c>
      <c r="F162" s="3" t="s">
        <v>584</v>
      </c>
      <c r="G162" s="3" t="s">
        <v>581</v>
      </c>
      <c r="H162" s="3" t="s">
        <v>582</v>
      </c>
    </row>
    <row r="163" ht="15.75" customHeight="1">
      <c r="A163" s="3">
        <v>162.0</v>
      </c>
      <c r="B163" s="3" t="s">
        <v>585</v>
      </c>
      <c r="C163" s="3" t="s">
        <v>586</v>
      </c>
      <c r="D163" s="3" t="s">
        <v>587</v>
      </c>
      <c r="E163" s="3">
        <v>5.70056378105E11</v>
      </c>
      <c r="F163" s="3" t="s">
        <v>588</v>
      </c>
      <c r="G163" s="3" t="s">
        <v>581</v>
      </c>
      <c r="H163" s="3" t="s">
        <v>582</v>
      </c>
    </row>
    <row r="164" ht="15.75" customHeight="1">
      <c r="A164" s="3">
        <v>163.0</v>
      </c>
      <c r="B164" s="3" t="s">
        <v>589</v>
      </c>
      <c r="C164" s="3" t="s">
        <v>586</v>
      </c>
      <c r="D164" s="3" t="s">
        <v>587</v>
      </c>
      <c r="E164" s="3">
        <v>5.70056378107E11</v>
      </c>
      <c r="F164" s="3" t="s">
        <v>590</v>
      </c>
      <c r="G164" s="3" t="s">
        <v>581</v>
      </c>
      <c r="H164" s="3" t="s">
        <v>582</v>
      </c>
    </row>
    <row r="165" ht="15.75" customHeight="1">
      <c r="A165" s="3">
        <v>164.0</v>
      </c>
      <c r="B165" s="3" t="s">
        <v>591</v>
      </c>
      <c r="C165" s="3" t="s">
        <v>592</v>
      </c>
      <c r="D165" s="3" t="s">
        <v>579</v>
      </c>
      <c r="E165" s="3">
        <v>5.7005637811E11</v>
      </c>
      <c r="F165" s="3" t="s">
        <v>593</v>
      </c>
      <c r="G165" s="3" t="s">
        <v>581</v>
      </c>
      <c r="H165" s="3" t="s">
        <v>582</v>
      </c>
    </row>
    <row r="166" ht="15.75" customHeight="1">
      <c r="A166" s="3">
        <v>165.0</v>
      </c>
      <c r="B166" s="3" t="s">
        <v>594</v>
      </c>
      <c r="C166" s="3" t="s">
        <v>578</v>
      </c>
      <c r="D166" s="3" t="s">
        <v>579</v>
      </c>
      <c r="E166" s="3">
        <v>5.70056378112E11</v>
      </c>
      <c r="F166" s="3" t="s">
        <v>595</v>
      </c>
      <c r="G166" s="3" t="s">
        <v>581</v>
      </c>
      <c r="H166" s="3" t="s">
        <v>582</v>
      </c>
    </row>
    <row r="167" ht="15.75" customHeight="1">
      <c r="A167" s="3">
        <v>166.0</v>
      </c>
      <c r="B167" s="3" t="s">
        <v>596</v>
      </c>
      <c r="C167" s="3" t="s">
        <v>583</v>
      </c>
      <c r="D167" s="3" t="s">
        <v>597</v>
      </c>
      <c r="E167" s="3">
        <v>5.70056378114E11</v>
      </c>
      <c r="F167" s="3" t="s">
        <v>598</v>
      </c>
      <c r="G167" s="3" t="s">
        <v>599</v>
      </c>
      <c r="H167" s="3" t="s">
        <v>582</v>
      </c>
    </row>
    <row r="168" ht="15.75" customHeight="1">
      <c r="A168" s="3">
        <v>167.0</v>
      </c>
      <c r="B168" s="3" t="s">
        <v>600</v>
      </c>
      <c r="C168" s="3" t="s">
        <v>583</v>
      </c>
      <c r="D168" s="3" t="s">
        <v>597</v>
      </c>
      <c r="E168" s="3">
        <v>5.70056378115E11</v>
      </c>
      <c r="F168" s="3" t="s">
        <v>601</v>
      </c>
      <c r="G168" s="3" t="s">
        <v>581</v>
      </c>
      <c r="H168" s="3" t="s">
        <v>582</v>
      </c>
    </row>
    <row r="169" ht="15.75" customHeight="1">
      <c r="A169" s="3">
        <v>168.0</v>
      </c>
      <c r="B169" s="3" t="s">
        <v>602</v>
      </c>
      <c r="C169" s="3" t="s">
        <v>578</v>
      </c>
      <c r="D169" s="3" t="s">
        <v>579</v>
      </c>
      <c r="E169" s="3">
        <v>5.70056378117E11</v>
      </c>
      <c r="F169" s="3" t="s">
        <v>603</v>
      </c>
      <c r="G169" s="3" t="s">
        <v>581</v>
      </c>
      <c r="H169" s="3" t="s">
        <v>582</v>
      </c>
    </row>
    <row r="170" ht="15.75" customHeight="1">
      <c r="A170" s="3">
        <v>169.0</v>
      </c>
      <c r="B170" s="3" t="s">
        <v>604</v>
      </c>
      <c r="C170" s="3" t="s">
        <v>605</v>
      </c>
      <c r="D170" s="3" t="s">
        <v>606</v>
      </c>
      <c r="E170" s="3">
        <v>5.70056378119E11</v>
      </c>
      <c r="F170" s="3" t="s">
        <v>607</v>
      </c>
      <c r="G170" s="3" t="s">
        <v>608</v>
      </c>
      <c r="H170" s="3" t="s">
        <v>582</v>
      </c>
    </row>
    <row r="171" ht="15.75" customHeight="1">
      <c r="A171" s="3">
        <v>170.0</v>
      </c>
      <c r="B171" s="3" t="s">
        <v>609</v>
      </c>
      <c r="C171" s="3" t="s">
        <v>604</v>
      </c>
      <c r="D171" s="3" t="s">
        <v>610</v>
      </c>
      <c r="E171" s="3">
        <v>5.7005637812E11</v>
      </c>
      <c r="F171" s="3" t="s">
        <v>611</v>
      </c>
      <c r="G171" s="3" t="s">
        <v>581</v>
      </c>
      <c r="H171" s="3" t="s">
        <v>582</v>
      </c>
    </row>
    <row r="172" ht="15.75" customHeight="1">
      <c r="A172" s="3">
        <v>171.0</v>
      </c>
      <c r="B172" s="3" t="s">
        <v>612</v>
      </c>
      <c r="C172" s="3" t="s">
        <v>613</v>
      </c>
      <c r="D172" s="3" t="s">
        <v>614</v>
      </c>
      <c r="E172" s="3">
        <v>5.70056378128E11</v>
      </c>
      <c r="F172" s="3" t="s">
        <v>615</v>
      </c>
      <c r="G172" s="3" t="s">
        <v>581</v>
      </c>
      <c r="H172" s="3" t="s">
        <v>582</v>
      </c>
    </row>
    <row r="173" ht="15.75" customHeight="1">
      <c r="A173" s="3">
        <v>172.0</v>
      </c>
      <c r="B173" s="3" t="s">
        <v>616</v>
      </c>
      <c r="C173" s="3" t="s">
        <v>617</v>
      </c>
      <c r="D173" s="3" t="s">
        <v>618</v>
      </c>
      <c r="E173" s="3">
        <v>5.70056378131E11</v>
      </c>
      <c r="F173" s="3" t="s">
        <v>619</v>
      </c>
      <c r="G173" s="3" t="s">
        <v>581</v>
      </c>
      <c r="H173" s="3" t="s">
        <v>582</v>
      </c>
    </row>
    <row r="174" ht="15.75" customHeight="1">
      <c r="A174" s="3">
        <v>173.0</v>
      </c>
      <c r="B174" s="3" t="s">
        <v>620</v>
      </c>
      <c r="C174" s="3" t="s">
        <v>621</v>
      </c>
      <c r="D174" s="3" t="s">
        <v>622</v>
      </c>
      <c r="E174" s="3">
        <v>5.70056378133E11</v>
      </c>
      <c r="F174" s="3" t="s">
        <v>623</v>
      </c>
      <c r="G174" s="3" t="s">
        <v>581</v>
      </c>
      <c r="H174" s="3" t="s">
        <v>582</v>
      </c>
    </row>
    <row r="175" ht="15.75" customHeight="1">
      <c r="A175" s="3">
        <v>174.0</v>
      </c>
      <c r="B175" s="3" t="s">
        <v>624</v>
      </c>
      <c r="C175" s="3" t="s">
        <v>625</v>
      </c>
      <c r="D175" s="3" t="s">
        <v>622</v>
      </c>
      <c r="E175" s="3">
        <v>5.70056378136E11</v>
      </c>
      <c r="F175" s="3" t="s">
        <v>626</v>
      </c>
      <c r="G175" s="3" t="s">
        <v>581</v>
      </c>
      <c r="H175" s="3" t="s">
        <v>582</v>
      </c>
    </row>
    <row r="176" ht="15.75" customHeight="1">
      <c r="A176" s="3">
        <v>175.0</v>
      </c>
      <c r="B176" s="3" t="s">
        <v>627</v>
      </c>
      <c r="C176" s="3" t="s">
        <v>628</v>
      </c>
      <c r="D176" s="3" t="s">
        <v>629</v>
      </c>
      <c r="E176" s="3">
        <v>5.7005637814E11</v>
      </c>
      <c r="F176" s="3" t="s">
        <v>630</v>
      </c>
      <c r="G176" s="3" t="s">
        <v>581</v>
      </c>
      <c r="H176" s="3" t="s">
        <v>582</v>
      </c>
    </row>
    <row r="177" ht="15.75" customHeight="1">
      <c r="A177" s="3">
        <v>176.0</v>
      </c>
      <c r="B177" s="3" t="s">
        <v>631</v>
      </c>
      <c r="C177" s="3" t="s">
        <v>632</v>
      </c>
      <c r="D177" s="3" t="s">
        <v>633</v>
      </c>
      <c r="E177" s="3">
        <v>5.70056378143E11</v>
      </c>
      <c r="F177" s="3" t="s">
        <v>634</v>
      </c>
      <c r="G177" s="3" t="s">
        <v>581</v>
      </c>
      <c r="H177" s="3" t="s">
        <v>582</v>
      </c>
    </row>
    <row r="178" ht="15.75" customHeight="1">
      <c r="A178" s="3">
        <v>177.0</v>
      </c>
      <c r="B178" s="3" t="s">
        <v>635</v>
      </c>
      <c r="C178" s="3" t="s">
        <v>636</v>
      </c>
      <c r="D178" s="3" t="s">
        <v>637</v>
      </c>
      <c r="E178" s="3">
        <v>5.70056378146E11</v>
      </c>
      <c r="F178" s="3" t="s">
        <v>638</v>
      </c>
      <c r="G178" s="3" t="s">
        <v>581</v>
      </c>
      <c r="H178" s="3" t="s">
        <v>582</v>
      </c>
    </row>
    <row r="179" ht="15.75" customHeight="1">
      <c r="A179" s="3">
        <v>178.0</v>
      </c>
      <c r="B179" s="3" t="s">
        <v>632</v>
      </c>
      <c r="C179" s="3" t="s">
        <v>639</v>
      </c>
      <c r="D179" s="3" t="s">
        <v>640</v>
      </c>
      <c r="E179" s="3">
        <v>5.70056378147E11</v>
      </c>
      <c r="F179" s="3" t="s">
        <v>641</v>
      </c>
      <c r="G179" s="3" t="s">
        <v>581</v>
      </c>
      <c r="H179" s="3" t="s">
        <v>582</v>
      </c>
    </row>
    <row r="180" ht="15.75" customHeight="1">
      <c r="A180" s="3">
        <v>179.0</v>
      </c>
      <c r="B180" s="3" t="s">
        <v>642</v>
      </c>
      <c r="C180" s="3" t="s">
        <v>643</v>
      </c>
      <c r="D180" s="3" t="s">
        <v>644</v>
      </c>
      <c r="E180" s="3">
        <v>5.7005637815E11</v>
      </c>
      <c r="F180" s="3" t="s">
        <v>645</v>
      </c>
      <c r="G180" s="3" t="s">
        <v>581</v>
      </c>
      <c r="H180" s="3" t="s">
        <v>582</v>
      </c>
    </row>
    <row r="181" ht="15.75" customHeight="1">
      <c r="A181" s="3">
        <v>180.0</v>
      </c>
      <c r="B181" s="3" t="s">
        <v>646</v>
      </c>
      <c r="C181" s="3" t="s">
        <v>647</v>
      </c>
      <c r="D181" s="3" t="s">
        <v>648</v>
      </c>
      <c r="E181" s="3">
        <v>5.70056378152E11</v>
      </c>
      <c r="F181" s="3" t="s">
        <v>649</v>
      </c>
      <c r="G181" s="3" t="s">
        <v>581</v>
      </c>
      <c r="H181" s="3" t="s">
        <v>582</v>
      </c>
    </row>
    <row r="182" ht="15.75" customHeight="1">
      <c r="A182" s="3">
        <v>181.0</v>
      </c>
      <c r="B182" s="3" t="s">
        <v>650</v>
      </c>
      <c r="C182" s="3" t="s">
        <v>651</v>
      </c>
      <c r="D182" s="3" t="s">
        <v>652</v>
      </c>
      <c r="E182" s="3">
        <v>5.70056378153E11</v>
      </c>
      <c r="F182" s="3" t="s">
        <v>649</v>
      </c>
      <c r="G182" s="3" t="s">
        <v>608</v>
      </c>
      <c r="H182" s="3" t="s">
        <v>582</v>
      </c>
    </row>
    <row r="183" ht="15.75" customHeight="1">
      <c r="A183" s="3">
        <v>182.0</v>
      </c>
      <c r="B183" s="3" t="s">
        <v>653</v>
      </c>
      <c r="C183" s="3" t="s">
        <v>654</v>
      </c>
      <c r="D183" s="3" t="s">
        <v>655</v>
      </c>
      <c r="E183" s="3">
        <v>5.70056378157E11</v>
      </c>
      <c r="F183" s="3" t="s">
        <v>656</v>
      </c>
      <c r="G183" s="3" t="s">
        <v>581</v>
      </c>
      <c r="H183" s="3" t="s">
        <v>582</v>
      </c>
    </row>
    <row r="184" ht="15.75" customHeight="1">
      <c r="A184" s="3">
        <v>183.0</v>
      </c>
      <c r="B184" s="3" t="s">
        <v>657</v>
      </c>
      <c r="C184" s="3" t="s">
        <v>658</v>
      </c>
      <c r="D184" s="3" t="s">
        <v>659</v>
      </c>
      <c r="E184" s="3">
        <v>5.70056378159E11</v>
      </c>
      <c r="F184" s="3" t="s">
        <v>660</v>
      </c>
      <c r="G184" s="3" t="s">
        <v>581</v>
      </c>
      <c r="H184" s="3" t="s">
        <v>582</v>
      </c>
    </row>
    <row r="185" ht="15.75" customHeight="1">
      <c r="A185" s="3">
        <v>184.0</v>
      </c>
      <c r="B185" s="3" t="s">
        <v>661</v>
      </c>
      <c r="C185" s="3" t="s">
        <v>662</v>
      </c>
      <c r="D185" s="3" t="s">
        <v>663</v>
      </c>
      <c r="E185" s="3">
        <v>5.7005637816E11</v>
      </c>
      <c r="F185" s="3" t="s">
        <v>664</v>
      </c>
      <c r="G185" s="3" t="s">
        <v>581</v>
      </c>
      <c r="H185" s="3" t="s">
        <v>582</v>
      </c>
    </row>
    <row r="186" ht="15.75" customHeight="1">
      <c r="A186" s="3">
        <v>185.0</v>
      </c>
      <c r="B186" s="3" t="s">
        <v>665</v>
      </c>
      <c r="C186" s="3" t="s">
        <v>666</v>
      </c>
      <c r="D186" s="3" t="s">
        <v>667</v>
      </c>
      <c r="E186" s="3">
        <v>5.70056378161E11</v>
      </c>
      <c r="F186" s="3" t="s">
        <v>668</v>
      </c>
      <c r="G186" s="3" t="s">
        <v>581</v>
      </c>
      <c r="H186" s="3" t="s">
        <v>582</v>
      </c>
    </row>
    <row r="187" ht="15.75" customHeight="1">
      <c r="A187" s="3">
        <v>186.0</v>
      </c>
      <c r="B187" s="3" t="s">
        <v>632</v>
      </c>
      <c r="C187" s="3" t="s">
        <v>669</v>
      </c>
      <c r="D187" s="3" t="s">
        <v>670</v>
      </c>
      <c r="E187" s="3">
        <v>5.70056378163E11</v>
      </c>
      <c r="F187" s="3" t="s">
        <v>671</v>
      </c>
      <c r="G187" s="3" t="s">
        <v>581</v>
      </c>
      <c r="H187" s="3" t="s">
        <v>582</v>
      </c>
    </row>
    <row r="188" ht="15.75" customHeight="1">
      <c r="A188" s="3">
        <v>187.0</v>
      </c>
      <c r="B188" s="3" t="s">
        <v>672</v>
      </c>
      <c r="C188" s="3" t="s">
        <v>673</v>
      </c>
      <c r="D188" s="3" t="s">
        <v>674</v>
      </c>
      <c r="E188" s="3">
        <v>5.70056378164E11</v>
      </c>
      <c r="F188" s="3" t="s">
        <v>675</v>
      </c>
      <c r="G188" s="3" t="s">
        <v>676</v>
      </c>
      <c r="H188" s="3" t="s">
        <v>582</v>
      </c>
    </row>
    <row r="189" ht="15.75" customHeight="1">
      <c r="A189" s="3">
        <v>188.0</v>
      </c>
      <c r="B189" s="3" t="s">
        <v>677</v>
      </c>
      <c r="C189" s="3" t="s">
        <v>666</v>
      </c>
      <c r="D189" s="3" t="s">
        <v>667</v>
      </c>
      <c r="E189" s="3">
        <v>5.70056378172E11</v>
      </c>
      <c r="F189" s="3" t="s">
        <v>619</v>
      </c>
      <c r="G189" s="3" t="s">
        <v>581</v>
      </c>
      <c r="H189" s="3" t="s">
        <v>582</v>
      </c>
    </row>
    <row r="190" ht="15.75" customHeight="1">
      <c r="A190" s="3">
        <v>189.0</v>
      </c>
      <c r="B190" s="3" t="s">
        <v>678</v>
      </c>
      <c r="C190" s="3" t="s">
        <v>679</v>
      </c>
      <c r="D190" s="3" t="s">
        <v>680</v>
      </c>
      <c r="E190" s="3">
        <v>5.70056378173E11</v>
      </c>
      <c r="F190" s="3" t="s">
        <v>645</v>
      </c>
      <c r="G190" s="3" t="s">
        <v>608</v>
      </c>
      <c r="H190" s="3" t="s">
        <v>582</v>
      </c>
    </row>
    <row r="191" ht="15.75" customHeight="1">
      <c r="A191" s="3">
        <v>190.0</v>
      </c>
      <c r="B191" s="3" t="s">
        <v>681</v>
      </c>
      <c r="C191" s="3" t="s">
        <v>682</v>
      </c>
      <c r="D191" s="3" t="s">
        <v>683</v>
      </c>
      <c r="E191" s="3">
        <v>5.70056378179E11</v>
      </c>
      <c r="F191" s="3" t="s">
        <v>684</v>
      </c>
      <c r="G191" s="3" t="s">
        <v>581</v>
      </c>
      <c r="H191" s="3" t="s">
        <v>685</v>
      </c>
    </row>
    <row r="192" ht="15.75" customHeight="1">
      <c r="A192" s="3">
        <v>191.0</v>
      </c>
      <c r="B192" s="3" t="s">
        <v>686</v>
      </c>
      <c r="C192" s="3" t="s">
        <v>687</v>
      </c>
      <c r="D192" s="3" t="s">
        <v>688</v>
      </c>
      <c r="E192" s="3">
        <v>5.7005637818E11</v>
      </c>
      <c r="F192" s="3" t="s">
        <v>689</v>
      </c>
      <c r="G192" s="3" t="s">
        <v>581</v>
      </c>
      <c r="H192" s="3" t="s">
        <v>582</v>
      </c>
    </row>
    <row r="193" ht="15.75" customHeight="1">
      <c r="A193" s="3">
        <v>192.0</v>
      </c>
      <c r="B193" s="3" t="s">
        <v>690</v>
      </c>
      <c r="C193" s="3" t="s">
        <v>691</v>
      </c>
      <c r="D193" s="3" t="s">
        <v>692</v>
      </c>
      <c r="E193" s="3">
        <v>5.70056378185E11</v>
      </c>
      <c r="F193" s="3" t="s">
        <v>693</v>
      </c>
      <c r="G193" s="3" t="s">
        <v>581</v>
      </c>
      <c r="H193" s="3" t="s">
        <v>582</v>
      </c>
    </row>
    <row r="194" ht="15.75" customHeight="1">
      <c r="A194" s="3">
        <v>193.0</v>
      </c>
      <c r="B194" s="3" t="s">
        <v>694</v>
      </c>
      <c r="C194" s="3" t="s">
        <v>695</v>
      </c>
      <c r="D194" s="3" t="s">
        <v>696</v>
      </c>
      <c r="E194" s="3">
        <v>5.70056378187E11</v>
      </c>
      <c r="F194" s="3" t="s">
        <v>697</v>
      </c>
      <c r="G194" s="3" t="s">
        <v>581</v>
      </c>
      <c r="H194" s="3" t="s">
        <v>685</v>
      </c>
    </row>
    <row r="195" ht="15.75" customHeight="1">
      <c r="A195" s="3">
        <v>194.0</v>
      </c>
      <c r="B195" s="3" t="s">
        <v>698</v>
      </c>
      <c r="C195" s="3" t="s">
        <v>679</v>
      </c>
      <c r="D195" s="3" t="s">
        <v>680</v>
      </c>
      <c r="E195" s="3">
        <v>5.7005637819E11</v>
      </c>
      <c r="F195" s="3" t="s">
        <v>699</v>
      </c>
      <c r="G195" s="3" t="s">
        <v>581</v>
      </c>
      <c r="H195" s="3" t="s">
        <v>582</v>
      </c>
    </row>
    <row r="196" ht="15.75" customHeight="1" collapsed="1">
      <c r="A196" s="3">
        <v>195.0</v>
      </c>
      <c r="B196" s="3" t="s">
        <v>700</v>
      </c>
      <c r="C196" s="3" t="s">
        <v>701</v>
      </c>
      <c r="D196" s="3" t="s">
        <v>702</v>
      </c>
      <c r="E196" s="3">
        <v>5.70056378193E11</v>
      </c>
      <c r="F196" s="3" t="s">
        <v>703</v>
      </c>
      <c r="G196" s="3" t="s">
        <v>581</v>
      </c>
      <c r="H196" s="3" t="s">
        <v>582</v>
      </c>
    </row>
    <row r="197" ht="15.75" hidden="1" customHeight="1" outlineLevel="1">
      <c r="A197" s="3"/>
      <c r="B197" s="3"/>
      <c r="C197" s="3"/>
      <c r="D197" s="3"/>
      <c r="E197" s="3"/>
      <c r="F197" s="3"/>
      <c r="G197" s="3"/>
      <c r="H197" s="3"/>
    </row>
    <row r="198" ht="15.75" hidden="1" customHeight="1" outlineLevel="1">
      <c r="A198" s="3">
        <v>214.0</v>
      </c>
      <c r="B198" s="3" t="s">
        <v>704</v>
      </c>
      <c r="C198" s="3" t="s">
        <v>705</v>
      </c>
      <c r="D198" s="3" t="s">
        <v>706</v>
      </c>
      <c r="E198" s="3">
        <v>5.70056378227E11</v>
      </c>
      <c r="F198" s="3" t="s">
        <v>707</v>
      </c>
      <c r="G198" s="3" t="s">
        <v>581</v>
      </c>
      <c r="H198" s="3" t="s">
        <v>582</v>
      </c>
    </row>
    <row r="199" ht="15.75" hidden="1" customHeight="1" outlineLevel="1">
      <c r="A199" s="3">
        <v>215.0</v>
      </c>
      <c r="B199" s="3" t="s">
        <v>708</v>
      </c>
      <c r="C199" s="3" t="s">
        <v>709</v>
      </c>
      <c r="D199" s="3" t="s">
        <v>710</v>
      </c>
      <c r="E199" s="3">
        <v>5.70056378229E11</v>
      </c>
      <c r="F199" s="3" t="s">
        <v>711</v>
      </c>
      <c r="G199" s="3" t="s">
        <v>581</v>
      </c>
      <c r="H199" s="3" t="s">
        <v>582</v>
      </c>
    </row>
    <row r="200" ht="15.75" hidden="1" customHeight="1" outlineLevel="1">
      <c r="A200" s="3">
        <v>216.0</v>
      </c>
      <c r="B200" s="3" t="s">
        <v>712</v>
      </c>
      <c r="C200" s="3" t="s">
        <v>713</v>
      </c>
      <c r="D200" s="3" t="s">
        <v>714</v>
      </c>
      <c r="E200" s="3">
        <v>5.7005637823E11</v>
      </c>
      <c r="F200" s="3" t="s">
        <v>715</v>
      </c>
      <c r="G200" s="3" t="s">
        <v>581</v>
      </c>
      <c r="H200" s="3" t="s">
        <v>582</v>
      </c>
    </row>
    <row r="201" ht="15.75" hidden="1" customHeight="1" outlineLevel="1">
      <c r="A201" s="3">
        <v>217.0</v>
      </c>
      <c r="B201" s="3" t="s">
        <v>716</v>
      </c>
      <c r="C201" s="3" t="s">
        <v>717</v>
      </c>
      <c r="D201" s="3" t="s">
        <v>718</v>
      </c>
      <c r="E201" s="3">
        <v>5.70056378231E11</v>
      </c>
      <c r="F201" s="3" t="s">
        <v>719</v>
      </c>
      <c r="G201" s="3" t="s">
        <v>581</v>
      </c>
      <c r="H201" s="3" t="s">
        <v>582</v>
      </c>
    </row>
    <row r="202" ht="15.75" hidden="1" customHeight="1" outlineLevel="1">
      <c r="A202" s="3">
        <v>218.0</v>
      </c>
      <c r="B202" s="3" t="s">
        <v>720</v>
      </c>
      <c r="C202" s="3" t="s">
        <v>721</v>
      </c>
      <c r="D202" s="3" t="s">
        <v>722</v>
      </c>
      <c r="E202" s="3">
        <v>5.70056378232E11</v>
      </c>
      <c r="F202" s="3" t="s">
        <v>723</v>
      </c>
      <c r="G202" s="3" t="s">
        <v>581</v>
      </c>
      <c r="H202" s="3" t="s">
        <v>582</v>
      </c>
    </row>
    <row r="203" ht="15.75" hidden="1" customHeight="1" outlineLevel="1">
      <c r="A203" s="3">
        <v>219.0</v>
      </c>
      <c r="B203" s="3" t="s">
        <v>724</v>
      </c>
      <c r="C203" s="3" t="s">
        <v>725</v>
      </c>
      <c r="D203" s="3" t="s">
        <v>726</v>
      </c>
      <c r="E203" s="3">
        <v>5.70056378233E11</v>
      </c>
      <c r="F203" s="3" t="s">
        <v>727</v>
      </c>
      <c r="G203" s="3" t="s">
        <v>581</v>
      </c>
      <c r="H203" s="3" t="s">
        <v>582</v>
      </c>
    </row>
    <row r="204" ht="15.75" hidden="1" customHeight="1" outlineLevel="1">
      <c r="A204" s="3">
        <v>220.0</v>
      </c>
      <c r="B204" s="3" t="s">
        <v>728</v>
      </c>
      <c r="C204" s="3" t="s">
        <v>729</v>
      </c>
      <c r="D204" s="3" t="s">
        <v>730</v>
      </c>
      <c r="E204" s="3">
        <v>5.70056378234E11</v>
      </c>
      <c r="F204" s="3" t="s">
        <v>731</v>
      </c>
      <c r="G204" s="3" t="s">
        <v>581</v>
      </c>
      <c r="H204" s="3" t="s">
        <v>582</v>
      </c>
    </row>
    <row r="205" ht="15.75" hidden="1" customHeight="1" outlineLevel="1">
      <c r="A205" s="3">
        <v>221.0</v>
      </c>
      <c r="B205" s="3" t="s">
        <v>732</v>
      </c>
      <c r="C205" s="3" t="s">
        <v>661</v>
      </c>
      <c r="D205" s="3" t="s">
        <v>733</v>
      </c>
      <c r="E205" s="3">
        <v>5.70056378236E11</v>
      </c>
      <c r="F205" s="3" t="s">
        <v>734</v>
      </c>
      <c r="G205" s="3" t="s">
        <v>581</v>
      </c>
      <c r="H205" s="3" t="s">
        <v>582</v>
      </c>
    </row>
    <row r="206" ht="15.75" hidden="1" customHeight="1" outlineLevel="1">
      <c r="A206" s="3">
        <v>222.0</v>
      </c>
      <c r="B206" s="3" t="s">
        <v>631</v>
      </c>
      <c r="C206" s="3" t="s">
        <v>735</v>
      </c>
      <c r="D206" s="3" t="s">
        <v>736</v>
      </c>
      <c r="E206" s="3">
        <v>5.70056378237E11</v>
      </c>
      <c r="F206" s="3" t="s">
        <v>737</v>
      </c>
      <c r="G206" s="3" t="s">
        <v>581</v>
      </c>
      <c r="H206" s="3" t="s">
        <v>582</v>
      </c>
    </row>
    <row r="207" ht="15.75" hidden="1" customHeight="1" outlineLevel="1">
      <c r="A207" s="3">
        <v>223.0</v>
      </c>
      <c r="B207" s="3" t="s">
        <v>738</v>
      </c>
      <c r="C207" s="3" t="s">
        <v>739</v>
      </c>
      <c r="D207" s="3" t="s">
        <v>740</v>
      </c>
      <c r="E207" s="3">
        <v>5.70056378239E11</v>
      </c>
      <c r="F207" s="3" t="s">
        <v>741</v>
      </c>
      <c r="G207" s="3" t="s">
        <v>581</v>
      </c>
      <c r="H207" s="3" t="s">
        <v>582</v>
      </c>
    </row>
    <row r="208" ht="15.75" hidden="1" customHeight="1" outlineLevel="1">
      <c r="A208" s="3">
        <v>224.0</v>
      </c>
      <c r="B208" s="3" t="s">
        <v>742</v>
      </c>
      <c r="C208" s="3" t="s">
        <v>743</v>
      </c>
      <c r="D208" s="3" t="s">
        <v>744</v>
      </c>
      <c r="E208" s="3">
        <v>5.7005637824E11</v>
      </c>
      <c r="F208" s="3" t="s">
        <v>745</v>
      </c>
      <c r="G208" s="3" t="s">
        <v>581</v>
      </c>
      <c r="H208" s="3" t="s">
        <v>582</v>
      </c>
    </row>
    <row r="209" ht="15.75" hidden="1" customHeight="1" outlineLevel="1">
      <c r="A209" s="3">
        <v>225.0</v>
      </c>
      <c r="B209" s="3" t="s">
        <v>746</v>
      </c>
      <c r="C209" s="3" t="s">
        <v>747</v>
      </c>
      <c r="D209" s="3" t="s">
        <v>748</v>
      </c>
      <c r="E209" s="3">
        <v>5.70056378242E11</v>
      </c>
      <c r="F209" s="3" t="s">
        <v>749</v>
      </c>
      <c r="G209" s="3" t="s">
        <v>581</v>
      </c>
      <c r="H209" s="3" t="s">
        <v>582</v>
      </c>
    </row>
    <row r="210" ht="15.75" hidden="1" customHeight="1" outlineLevel="1">
      <c r="A210" s="3">
        <v>226.0</v>
      </c>
      <c r="B210" s="3" t="s">
        <v>750</v>
      </c>
      <c r="C210" s="3" t="s">
        <v>717</v>
      </c>
      <c r="D210" s="3" t="s">
        <v>751</v>
      </c>
      <c r="E210" s="3">
        <v>5.70056378244E11</v>
      </c>
      <c r="F210" s="3" t="s">
        <v>752</v>
      </c>
      <c r="G210" s="3" t="s">
        <v>581</v>
      </c>
      <c r="H210" s="3" t="s">
        <v>582</v>
      </c>
    </row>
    <row r="211" ht="15.75" hidden="1" customHeight="1" outlineLevel="1">
      <c r="A211" s="3">
        <v>227.0</v>
      </c>
      <c r="B211" s="3" t="s">
        <v>753</v>
      </c>
      <c r="C211" s="3" t="s">
        <v>754</v>
      </c>
      <c r="D211" s="3" t="s">
        <v>755</v>
      </c>
      <c r="E211" s="3">
        <v>5.70056378245E11</v>
      </c>
      <c r="F211" s="3" t="s">
        <v>756</v>
      </c>
      <c r="G211" s="3" t="s">
        <v>581</v>
      </c>
      <c r="H211" s="3" t="s">
        <v>582</v>
      </c>
    </row>
    <row r="212" ht="15.75" hidden="1" customHeight="1" outlineLevel="1">
      <c r="A212" s="3">
        <v>228.0</v>
      </c>
      <c r="B212" s="3" t="s">
        <v>757</v>
      </c>
      <c r="C212" s="3" t="s">
        <v>758</v>
      </c>
      <c r="D212" s="3" t="s">
        <v>759</v>
      </c>
      <c r="E212" s="3">
        <v>5.70056378246E11</v>
      </c>
      <c r="F212" s="3" t="s">
        <v>760</v>
      </c>
      <c r="G212" s="3" t="s">
        <v>581</v>
      </c>
      <c r="H212" s="3" t="s">
        <v>582</v>
      </c>
    </row>
    <row r="213" ht="15.75" hidden="1" customHeight="1" outlineLevel="1">
      <c r="A213" s="3">
        <v>229.0</v>
      </c>
      <c r="B213" s="3" t="s">
        <v>761</v>
      </c>
      <c r="C213" s="3" t="s">
        <v>762</v>
      </c>
      <c r="D213" s="3" t="s">
        <v>763</v>
      </c>
      <c r="E213" s="3">
        <v>5.70056378249E11</v>
      </c>
      <c r="F213" s="3" t="s">
        <v>619</v>
      </c>
      <c r="G213" s="3" t="s">
        <v>581</v>
      </c>
      <c r="H213" s="3" t="s">
        <v>582</v>
      </c>
    </row>
    <row r="214" ht="15.75" hidden="1" customHeight="1" outlineLevel="1">
      <c r="A214" s="3">
        <v>230.0</v>
      </c>
      <c r="B214" s="3" t="s">
        <v>764</v>
      </c>
      <c r="C214" s="3" t="s">
        <v>765</v>
      </c>
      <c r="D214" s="3" t="s">
        <v>766</v>
      </c>
      <c r="E214" s="3">
        <v>5.7005637825E11</v>
      </c>
      <c r="F214" s="3" t="s">
        <v>767</v>
      </c>
      <c r="G214" s="3" t="s">
        <v>608</v>
      </c>
      <c r="H214" s="3" t="s">
        <v>582</v>
      </c>
    </row>
    <row r="215" ht="15.75" hidden="1" customHeight="1" outlineLevel="1">
      <c r="A215" s="3">
        <v>231.0</v>
      </c>
      <c r="B215" s="3" t="s">
        <v>768</v>
      </c>
      <c r="C215" s="3" t="s">
        <v>769</v>
      </c>
      <c r="D215" s="3" t="s">
        <v>770</v>
      </c>
      <c r="E215" s="3">
        <v>5.70056378251E11</v>
      </c>
      <c r="F215" s="3" t="s">
        <v>771</v>
      </c>
      <c r="G215" s="3" t="s">
        <v>581</v>
      </c>
      <c r="H215" s="3" t="s">
        <v>772</v>
      </c>
    </row>
    <row r="216" ht="15.75" hidden="1" customHeight="1" outlineLevel="1">
      <c r="A216" s="3"/>
      <c r="B216" s="3"/>
      <c r="C216" s="3"/>
      <c r="D216" s="3"/>
      <c r="E216" s="3"/>
      <c r="F216" s="3"/>
      <c r="G216" s="3"/>
      <c r="H216" s="3"/>
    </row>
    <row r="217" ht="15.75" hidden="1" customHeight="1" outlineLevel="1">
      <c r="A217" s="3">
        <v>160.0</v>
      </c>
      <c r="B217" s="3" t="s">
        <v>577</v>
      </c>
      <c r="C217" s="3" t="s">
        <v>578</v>
      </c>
      <c r="D217" s="3" t="s">
        <v>579</v>
      </c>
      <c r="E217" s="3">
        <v>5.70056378103E11</v>
      </c>
      <c r="F217" s="3" t="s">
        <v>580</v>
      </c>
      <c r="G217" s="3" t="s">
        <v>581</v>
      </c>
      <c r="H217" s="3" t="s">
        <v>582</v>
      </c>
    </row>
    <row r="218" ht="15.75" hidden="1" customHeight="1" outlineLevel="1">
      <c r="A218" s="3">
        <v>161.0</v>
      </c>
      <c r="B218" s="3" t="s">
        <v>583</v>
      </c>
      <c r="C218" s="3" t="s">
        <v>578</v>
      </c>
      <c r="D218" s="3" t="s">
        <v>579</v>
      </c>
      <c r="E218" s="3">
        <v>5.70056378104E11</v>
      </c>
      <c r="F218" s="3" t="s">
        <v>584</v>
      </c>
      <c r="G218" s="3" t="s">
        <v>581</v>
      </c>
      <c r="H218" s="3" t="s">
        <v>582</v>
      </c>
    </row>
    <row r="219" ht="15.75" hidden="1" customHeight="1" outlineLevel="1">
      <c r="A219" s="3">
        <v>162.0</v>
      </c>
      <c r="B219" s="3" t="s">
        <v>585</v>
      </c>
      <c r="C219" s="3" t="s">
        <v>586</v>
      </c>
      <c r="D219" s="3" t="s">
        <v>587</v>
      </c>
      <c r="E219" s="3">
        <v>5.70056378105E11</v>
      </c>
      <c r="F219" s="3" t="s">
        <v>588</v>
      </c>
      <c r="G219" s="3" t="s">
        <v>581</v>
      </c>
      <c r="H219" s="3" t="s">
        <v>582</v>
      </c>
    </row>
    <row r="220" ht="15.75" hidden="1" customHeight="1" outlineLevel="1">
      <c r="A220" s="3">
        <v>163.0</v>
      </c>
      <c r="B220" s="3" t="s">
        <v>589</v>
      </c>
      <c r="C220" s="3" t="s">
        <v>586</v>
      </c>
      <c r="D220" s="3" t="s">
        <v>587</v>
      </c>
      <c r="E220" s="3">
        <v>5.70056378107E11</v>
      </c>
      <c r="F220" s="3" t="s">
        <v>590</v>
      </c>
      <c r="G220" s="3" t="s">
        <v>581</v>
      </c>
      <c r="H220" s="3" t="s">
        <v>582</v>
      </c>
    </row>
    <row r="221" ht="15.75" hidden="1" customHeight="1" outlineLevel="1">
      <c r="A221" s="3">
        <v>164.0</v>
      </c>
      <c r="B221" s="3" t="s">
        <v>591</v>
      </c>
      <c r="C221" s="3" t="s">
        <v>592</v>
      </c>
      <c r="D221" s="3" t="s">
        <v>579</v>
      </c>
      <c r="E221" s="3">
        <v>5.7005637811E11</v>
      </c>
      <c r="F221" s="3" t="s">
        <v>593</v>
      </c>
      <c r="G221" s="3" t="s">
        <v>581</v>
      </c>
      <c r="H221" s="3" t="s">
        <v>582</v>
      </c>
    </row>
    <row r="222" ht="15.75" hidden="1" customHeight="1" outlineLevel="1">
      <c r="A222" s="3">
        <v>165.0</v>
      </c>
      <c r="B222" s="3" t="s">
        <v>594</v>
      </c>
      <c r="C222" s="3" t="s">
        <v>578</v>
      </c>
      <c r="D222" s="3" t="s">
        <v>579</v>
      </c>
      <c r="E222" s="3">
        <v>5.70056378112E11</v>
      </c>
      <c r="F222" s="3" t="s">
        <v>595</v>
      </c>
      <c r="G222" s="3" t="s">
        <v>581</v>
      </c>
      <c r="H222" s="3" t="s">
        <v>582</v>
      </c>
    </row>
    <row r="223" ht="15.75" hidden="1" customHeight="1" outlineLevel="1">
      <c r="A223" s="3">
        <v>166.0</v>
      </c>
      <c r="B223" s="3" t="s">
        <v>596</v>
      </c>
      <c r="C223" s="3" t="s">
        <v>583</v>
      </c>
      <c r="D223" s="3" t="s">
        <v>597</v>
      </c>
      <c r="E223" s="3">
        <v>5.70056378114E11</v>
      </c>
      <c r="F223" s="3" t="s">
        <v>598</v>
      </c>
      <c r="G223" s="3" t="s">
        <v>599</v>
      </c>
      <c r="H223" s="3" t="s">
        <v>582</v>
      </c>
    </row>
    <row r="224" ht="15.75" hidden="1" customHeight="1" outlineLevel="1">
      <c r="A224" s="3">
        <v>167.0</v>
      </c>
      <c r="B224" s="3" t="s">
        <v>600</v>
      </c>
      <c r="C224" s="3" t="s">
        <v>583</v>
      </c>
      <c r="D224" s="3" t="s">
        <v>597</v>
      </c>
      <c r="E224" s="3">
        <v>5.70056378115E11</v>
      </c>
      <c r="F224" s="3" t="s">
        <v>601</v>
      </c>
      <c r="G224" s="3" t="s">
        <v>581</v>
      </c>
      <c r="H224" s="3" t="s">
        <v>582</v>
      </c>
    </row>
    <row r="225" ht="15.75" hidden="1" customHeight="1" outlineLevel="1">
      <c r="A225" s="3">
        <v>168.0</v>
      </c>
      <c r="B225" s="3" t="s">
        <v>602</v>
      </c>
      <c r="C225" s="3" t="s">
        <v>578</v>
      </c>
      <c r="D225" s="3" t="s">
        <v>579</v>
      </c>
      <c r="E225" s="3">
        <v>5.70056378117E11</v>
      </c>
      <c r="F225" s="3" t="s">
        <v>603</v>
      </c>
      <c r="G225" s="3" t="s">
        <v>581</v>
      </c>
      <c r="H225" s="3" t="s">
        <v>582</v>
      </c>
    </row>
    <row r="226" ht="15.75" hidden="1" customHeight="1" outlineLevel="1">
      <c r="A226" s="3">
        <v>169.0</v>
      </c>
      <c r="B226" s="3" t="s">
        <v>604</v>
      </c>
      <c r="C226" s="3" t="s">
        <v>605</v>
      </c>
      <c r="D226" s="3" t="s">
        <v>606</v>
      </c>
      <c r="E226" s="3">
        <v>5.70056378119E11</v>
      </c>
      <c r="F226" s="3" t="s">
        <v>607</v>
      </c>
      <c r="G226" s="3" t="s">
        <v>608</v>
      </c>
      <c r="H226" s="3" t="s">
        <v>582</v>
      </c>
    </row>
    <row r="227" ht="15.75" hidden="1" customHeight="1" outlineLevel="1">
      <c r="A227" s="3">
        <v>170.0</v>
      </c>
      <c r="B227" s="3" t="s">
        <v>609</v>
      </c>
      <c r="C227" s="3" t="s">
        <v>604</v>
      </c>
      <c r="D227" s="3" t="s">
        <v>610</v>
      </c>
      <c r="E227" s="3">
        <v>5.7005637812E11</v>
      </c>
      <c r="F227" s="3" t="s">
        <v>611</v>
      </c>
      <c r="G227" s="3" t="s">
        <v>581</v>
      </c>
      <c r="H227" s="3" t="s">
        <v>582</v>
      </c>
    </row>
    <row r="228" ht="15.75" hidden="1" customHeight="1" outlineLevel="1">
      <c r="A228" s="3">
        <v>171.0</v>
      </c>
      <c r="B228" s="3" t="s">
        <v>612</v>
      </c>
      <c r="C228" s="3" t="s">
        <v>613</v>
      </c>
      <c r="D228" s="3" t="s">
        <v>614</v>
      </c>
      <c r="E228" s="3">
        <v>5.70056378128E11</v>
      </c>
      <c r="F228" s="3" t="s">
        <v>615</v>
      </c>
      <c r="G228" s="3" t="s">
        <v>581</v>
      </c>
      <c r="H228" s="3" t="s">
        <v>582</v>
      </c>
    </row>
    <row r="229" ht="15.75" hidden="1" customHeight="1" outlineLevel="1">
      <c r="A229" s="3">
        <v>172.0</v>
      </c>
      <c r="B229" s="3" t="s">
        <v>616</v>
      </c>
      <c r="C229" s="3" t="s">
        <v>617</v>
      </c>
      <c r="D229" s="3" t="s">
        <v>618</v>
      </c>
      <c r="E229" s="3">
        <v>5.70056378131E11</v>
      </c>
      <c r="F229" s="3" t="s">
        <v>619</v>
      </c>
      <c r="G229" s="3" t="s">
        <v>581</v>
      </c>
      <c r="H229" s="3" t="s">
        <v>582</v>
      </c>
    </row>
    <row r="230" ht="15.75" hidden="1" customHeight="1" outlineLevel="1">
      <c r="A230" s="3">
        <v>173.0</v>
      </c>
      <c r="B230" s="3" t="s">
        <v>620</v>
      </c>
      <c r="C230" s="3" t="s">
        <v>621</v>
      </c>
      <c r="D230" s="3" t="s">
        <v>622</v>
      </c>
      <c r="E230" s="3">
        <v>5.70056378133E11</v>
      </c>
      <c r="F230" s="3" t="s">
        <v>623</v>
      </c>
      <c r="G230" s="3" t="s">
        <v>581</v>
      </c>
      <c r="H230" s="3" t="s">
        <v>582</v>
      </c>
    </row>
    <row r="231" ht="15.75" hidden="1" customHeight="1" outlineLevel="1">
      <c r="A231" s="3">
        <v>174.0</v>
      </c>
      <c r="B231" s="3" t="s">
        <v>624</v>
      </c>
      <c r="C231" s="3" t="s">
        <v>625</v>
      </c>
      <c r="D231" s="3" t="s">
        <v>622</v>
      </c>
      <c r="E231" s="3">
        <v>5.70056378136E11</v>
      </c>
      <c r="F231" s="3" t="s">
        <v>626</v>
      </c>
      <c r="G231" s="3" t="s">
        <v>581</v>
      </c>
      <c r="H231" s="3" t="s">
        <v>582</v>
      </c>
    </row>
    <row r="232" ht="15.75" hidden="1" customHeight="1" outlineLevel="1">
      <c r="A232" s="3">
        <v>175.0</v>
      </c>
      <c r="B232" s="3" t="s">
        <v>627</v>
      </c>
      <c r="C232" s="3" t="s">
        <v>628</v>
      </c>
      <c r="D232" s="3" t="s">
        <v>629</v>
      </c>
      <c r="E232" s="3">
        <v>5.7005637814E11</v>
      </c>
      <c r="F232" s="3" t="s">
        <v>630</v>
      </c>
      <c r="G232" s="3" t="s">
        <v>581</v>
      </c>
      <c r="H232" s="3" t="s">
        <v>582</v>
      </c>
    </row>
    <row r="233" ht="15.75" hidden="1" customHeight="1" outlineLevel="1">
      <c r="A233" s="3">
        <v>176.0</v>
      </c>
      <c r="B233" s="3" t="s">
        <v>631</v>
      </c>
      <c r="C233" s="3" t="s">
        <v>632</v>
      </c>
      <c r="D233" s="3" t="s">
        <v>633</v>
      </c>
      <c r="E233" s="3">
        <v>5.70056378143E11</v>
      </c>
      <c r="F233" s="3" t="s">
        <v>634</v>
      </c>
      <c r="G233" s="3" t="s">
        <v>581</v>
      </c>
      <c r="H233" s="3" t="s">
        <v>582</v>
      </c>
    </row>
    <row r="234" ht="15.75" hidden="1" customHeight="1" outlineLevel="1">
      <c r="A234" s="3">
        <v>177.0</v>
      </c>
      <c r="B234" s="3" t="s">
        <v>635</v>
      </c>
      <c r="C234" s="3" t="s">
        <v>636</v>
      </c>
      <c r="D234" s="3" t="s">
        <v>637</v>
      </c>
      <c r="E234" s="3">
        <v>5.70056378146E11</v>
      </c>
      <c r="F234" s="3" t="s">
        <v>638</v>
      </c>
      <c r="G234" s="3" t="s">
        <v>581</v>
      </c>
      <c r="H234" s="3" t="s">
        <v>582</v>
      </c>
    </row>
    <row r="235" ht="15.75" hidden="1" customHeight="1" outlineLevel="1">
      <c r="A235" s="3">
        <v>178.0</v>
      </c>
      <c r="B235" s="3" t="s">
        <v>632</v>
      </c>
      <c r="C235" s="3" t="s">
        <v>639</v>
      </c>
      <c r="D235" s="3" t="s">
        <v>640</v>
      </c>
      <c r="E235" s="3">
        <v>5.70056378147E11</v>
      </c>
      <c r="F235" s="3" t="s">
        <v>641</v>
      </c>
      <c r="G235" s="3" t="s">
        <v>581</v>
      </c>
      <c r="H235" s="3" t="s">
        <v>582</v>
      </c>
    </row>
    <row r="236" ht="15.75" hidden="1" customHeight="1" outlineLevel="1">
      <c r="A236" s="3">
        <v>179.0</v>
      </c>
      <c r="B236" s="3" t="s">
        <v>642</v>
      </c>
      <c r="C236" s="3" t="s">
        <v>643</v>
      </c>
      <c r="D236" s="3" t="s">
        <v>644</v>
      </c>
      <c r="E236" s="3">
        <v>5.7005637815E11</v>
      </c>
      <c r="F236" s="3" t="s">
        <v>645</v>
      </c>
      <c r="G236" s="3" t="s">
        <v>581</v>
      </c>
      <c r="H236" s="3" t="s">
        <v>582</v>
      </c>
    </row>
    <row r="237" ht="15.75" hidden="1" customHeight="1" outlineLevel="1">
      <c r="A237" s="3">
        <v>180.0</v>
      </c>
      <c r="B237" s="3" t="s">
        <v>646</v>
      </c>
      <c r="C237" s="3" t="s">
        <v>647</v>
      </c>
      <c r="D237" s="3" t="s">
        <v>648</v>
      </c>
      <c r="E237" s="3">
        <v>5.70056378152E11</v>
      </c>
      <c r="F237" s="3" t="s">
        <v>649</v>
      </c>
      <c r="G237" s="3" t="s">
        <v>581</v>
      </c>
      <c r="H237" s="3" t="s">
        <v>582</v>
      </c>
    </row>
    <row r="238" ht="15.75" hidden="1" customHeight="1" outlineLevel="1">
      <c r="A238" s="3">
        <v>181.0</v>
      </c>
      <c r="B238" s="3" t="s">
        <v>650</v>
      </c>
      <c r="C238" s="3" t="s">
        <v>651</v>
      </c>
      <c r="D238" s="3" t="s">
        <v>652</v>
      </c>
      <c r="E238" s="3">
        <v>5.70056378153E11</v>
      </c>
      <c r="F238" s="3" t="s">
        <v>649</v>
      </c>
      <c r="G238" s="3" t="s">
        <v>608</v>
      </c>
      <c r="H238" s="3" t="s">
        <v>582</v>
      </c>
    </row>
    <row r="239" ht="15.75" hidden="1" customHeight="1" outlineLevel="1">
      <c r="A239" s="3">
        <v>182.0</v>
      </c>
      <c r="B239" s="3" t="s">
        <v>653</v>
      </c>
      <c r="C239" s="3" t="s">
        <v>654</v>
      </c>
      <c r="D239" s="3" t="s">
        <v>655</v>
      </c>
      <c r="E239" s="3">
        <v>5.70056378157E11</v>
      </c>
      <c r="F239" s="3" t="s">
        <v>656</v>
      </c>
      <c r="G239" s="3" t="s">
        <v>581</v>
      </c>
      <c r="H239" s="3" t="s">
        <v>582</v>
      </c>
    </row>
    <row r="240" ht="15.75" hidden="1" customHeight="1" outlineLevel="1">
      <c r="A240" s="3">
        <v>183.0</v>
      </c>
      <c r="B240" s="3" t="s">
        <v>657</v>
      </c>
      <c r="C240" s="3" t="s">
        <v>658</v>
      </c>
      <c r="D240" s="3" t="s">
        <v>659</v>
      </c>
      <c r="E240" s="3">
        <v>5.70056378159E11</v>
      </c>
      <c r="F240" s="3" t="s">
        <v>660</v>
      </c>
      <c r="G240" s="3" t="s">
        <v>581</v>
      </c>
      <c r="H240" s="3" t="s">
        <v>582</v>
      </c>
    </row>
    <row r="241" ht="15.75" hidden="1" customHeight="1" outlineLevel="1">
      <c r="A241" s="3">
        <v>184.0</v>
      </c>
      <c r="B241" s="3" t="s">
        <v>661</v>
      </c>
      <c r="C241" s="3" t="s">
        <v>662</v>
      </c>
      <c r="D241" s="3" t="s">
        <v>663</v>
      </c>
      <c r="E241" s="3">
        <v>5.7005637816E11</v>
      </c>
      <c r="F241" s="3" t="s">
        <v>664</v>
      </c>
      <c r="G241" s="3" t="s">
        <v>581</v>
      </c>
      <c r="H241" s="3" t="s">
        <v>582</v>
      </c>
    </row>
    <row r="242" ht="15.75" hidden="1" customHeight="1" outlineLevel="1">
      <c r="A242" s="3">
        <v>185.0</v>
      </c>
      <c r="B242" s="3" t="s">
        <v>665</v>
      </c>
      <c r="C242" s="3" t="s">
        <v>666</v>
      </c>
      <c r="D242" s="3" t="s">
        <v>667</v>
      </c>
      <c r="E242" s="3">
        <v>5.70056378161E11</v>
      </c>
      <c r="F242" s="3" t="s">
        <v>668</v>
      </c>
      <c r="G242" s="3" t="s">
        <v>581</v>
      </c>
      <c r="H242" s="3" t="s">
        <v>582</v>
      </c>
    </row>
    <row r="243" ht="15.75" hidden="1" customHeight="1" outlineLevel="1">
      <c r="A243" s="3">
        <v>186.0</v>
      </c>
      <c r="B243" s="3" t="s">
        <v>632</v>
      </c>
      <c r="C243" s="3" t="s">
        <v>669</v>
      </c>
      <c r="D243" s="3" t="s">
        <v>670</v>
      </c>
      <c r="E243" s="3">
        <v>5.70056378163E11</v>
      </c>
      <c r="F243" s="3" t="s">
        <v>671</v>
      </c>
      <c r="G243" s="3" t="s">
        <v>581</v>
      </c>
      <c r="H243" s="3" t="s">
        <v>582</v>
      </c>
    </row>
    <row r="244" ht="15.75" hidden="1" customHeight="1" outlineLevel="1">
      <c r="A244" s="3">
        <v>187.0</v>
      </c>
      <c r="B244" s="3" t="s">
        <v>672</v>
      </c>
      <c r="C244" s="3" t="s">
        <v>673</v>
      </c>
      <c r="D244" s="3" t="s">
        <v>674</v>
      </c>
      <c r="E244" s="3">
        <v>5.70056378164E11</v>
      </c>
      <c r="F244" s="3" t="s">
        <v>675</v>
      </c>
      <c r="G244" s="3" t="s">
        <v>676</v>
      </c>
      <c r="H244" s="3" t="s">
        <v>582</v>
      </c>
    </row>
    <row r="245" ht="15.75" hidden="1" customHeight="1" outlineLevel="1">
      <c r="A245" s="3">
        <v>188.0</v>
      </c>
      <c r="B245" s="3" t="s">
        <v>677</v>
      </c>
      <c r="C245" s="3" t="s">
        <v>666</v>
      </c>
      <c r="D245" s="3" t="s">
        <v>667</v>
      </c>
      <c r="E245" s="3">
        <v>5.70056378172E11</v>
      </c>
      <c r="F245" s="3" t="s">
        <v>619</v>
      </c>
      <c r="G245" s="3" t="s">
        <v>581</v>
      </c>
      <c r="H245" s="3" t="s">
        <v>582</v>
      </c>
    </row>
    <row r="246" ht="15.75" hidden="1" customHeight="1" outlineLevel="1">
      <c r="A246" s="3">
        <v>189.0</v>
      </c>
      <c r="B246" s="3" t="s">
        <v>678</v>
      </c>
      <c r="C246" s="3" t="s">
        <v>679</v>
      </c>
      <c r="D246" s="3" t="s">
        <v>680</v>
      </c>
      <c r="E246" s="3">
        <v>5.70056378173E11</v>
      </c>
      <c r="F246" s="3" t="s">
        <v>645</v>
      </c>
      <c r="G246" s="3" t="s">
        <v>608</v>
      </c>
      <c r="H246" s="3" t="s">
        <v>582</v>
      </c>
    </row>
    <row r="247" ht="15.75" hidden="1" customHeight="1" outlineLevel="1">
      <c r="A247" s="3">
        <v>190.0</v>
      </c>
      <c r="B247" s="3" t="s">
        <v>681</v>
      </c>
      <c r="C247" s="3" t="s">
        <v>682</v>
      </c>
      <c r="D247" s="3" t="s">
        <v>683</v>
      </c>
      <c r="E247" s="3">
        <v>5.70056378179E11</v>
      </c>
      <c r="F247" s="3" t="s">
        <v>684</v>
      </c>
      <c r="G247" s="3" t="s">
        <v>581</v>
      </c>
      <c r="H247" s="3" t="s">
        <v>685</v>
      </c>
    </row>
    <row r="248" ht="15.75" hidden="1" customHeight="1" outlineLevel="1">
      <c r="A248" s="3">
        <v>191.0</v>
      </c>
      <c r="B248" s="3" t="s">
        <v>686</v>
      </c>
      <c r="C248" s="3" t="s">
        <v>687</v>
      </c>
      <c r="D248" s="3" t="s">
        <v>688</v>
      </c>
      <c r="E248" s="3">
        <v>5.7005637818E11</v>
      </c>
      <c r="F248" s="3" t="s">
        <v>689</v>
      </c>
      <c r="G248" s="3" t="s">
        <v>581</v>
      </c>
      <c r="H248" s="3" t="s">
        <v>582</v>
      </c>
    </row>
    <row r="249" ht="15.75" hidden="1" customHeight="1" outlineLevel="1">
      <c r="A249" s="3">
        <v>192.0</v>
      </c>
      <c r="B249" s="3" t="s">
        <v>690</v>
      </c>
      <c r="C249" s="3" t="s">
        <v>691</v>
      </c>
      <c r="D249" s="3" t="s">
        <v>692</v>
      </c>
      <c r="E249" s="3">
        <v>5.70056378185E11</v>
      </c>
      <c r="F249" s="3" t="s">
        <v>693</v>
      </c>
      <c r="G249" s="3" t="s">
        <v>581</v>
      </c>
      <c r="H249" s="3" t="s">
        <v>582</v>
      </c>
    </row>
    <row r="250" ht="15.75" hidden="1" customHeight="1" outlineLevel="1">
      <c r="A250" s="3">
        <v>193.0</v>
      </c>
      <c r="B250" s="3" t="s">
        <v>694</v>
      </c>
      <c r="C250" s="3" t="s">
        <v>695</v>
      </c>
      <c r="D250" s="3" t="s">
        <v>696</v>
      </c>
      <c r="E250" s="3">
        <v>5.70056378187E11</v>
      </c>
      <c r="F250" s="3" t="s">
        <v>697</v>
      </c>
      <c r="G250" s="3" t="s">
        <v>581</v>
      </c>
      <c r="H250" s="3" t="s">
        <v>685</v>
      </c>
    </row>
    <row r="251" ht="15.75" hidden="1" customHeight="1" outlineLevel="1">
      <c r="A251" s="3">
        <v>194.0</v>
      </c>
      <c r="B251" s="3" t="s">
        <v>698</v>
      </c>
      <c r="C251" s="3" t="s">
        <v>679</v>
      </c>
      <c r="D251" s="3" t="s">
        <v>680</v>
      </c>
      <c r="E251" s="3">
        <v>5.7005637819E11</v>
      </c>
      <c r="F251" s="3" t="s">
        <v>699</v>
      </c>
      <c r="G251" s="3" t="s">
        <v>581</v>
      </c>
      <c r="H251" s="3" t="s">
        <v>582</v>
      </c>
    </row>
    <row r="252" ht="15.75" hidden="1" customHeight="1" outlineLevel="1">
      <c r="A252" s="3">
        <v>195.0</v>
      </c>
      <c r="B252" s="3" t="s">
        <v>700</v>
      </c>
      <c r="C252" s="3" t="s">
        <v>701</v>
      </c>
      <c r="D252" s="3" t="s">
        <v>702</v>
      </c>
      <c r="E252" s="3">
        <v>5.70056378193E11</v>
      </c>
      <c r="F252" s="3" t="s">
        <v>703</v>
      </c>
      <c r="G252" s="3" t="s">
        <v>581</v>
      </c>
      <c r="H252" s="3" t="s">
        <v>582</v>
      </c>
    </row>
    <row r="253" ht="15.75" hidden="1" customHeight="1" outlineLevel="1">
      <c r="A253" s="3">
        <v>214.0</v>
      </c>
      <c r="B253" s="3" t="s">
        <v>704</v>
      </c>
      <c r="C253" s="3" t="s">
        <v>705</v>
      </c>
      <c r="D253" s="3" t="s">
        <v>706</v>
      </c>
      <c r="E253" s="3">
        <v>5.70056378227E11</v>
      </c>
      <c r="F253" s="3" t="s">
        <v>707</v>
      </c>
      <c r="G253" s="3" t="s">
        <v>581</v>
      </c>
      <c r="H253" s="3" t="s">
        <v>582</v>
      </c>
    </row>
    <row r="254" ht="15.75" hidden="1" customHeight="1" outlineLevel="1">
      <c r="A254" s="3">
        <v>215.0</v>
      </c>
      <c r="B254" s="3" t="s">
        <v>708</v>
      </c>
      <c r="C254" s="3" t="s">
        <v>709</v>
      </c>
      <c r="D254" s="3" t="s">
        <v>710</v>
      </c>
      <c r="E254" s="3">
        <v>5.70056378229E11</v>
      </c>
      <c r="F254" s="3" t="s">
        <v>711</v>
      </c>
      <c r="G254" s="3" t="s">
        <v>581</v>
      </c>
      <c r="H254" s="3" t="s">
        <v>582</v>
      </c>
    </row>
    <row r="255" ht="15.75" hidden="1" customHeight="1" outlineLevel="1">
      <c r="A255" s="3">
        <v>216.0</v>
      </c>
      <c r="B255" s="3" t="s">
        <v>712</v>
      </c>
      <c r="C255" s="3" t="s">
        <v>713</v>
      </c>
      <c r="D255" s="3" t="s">
        <v>714</v>
      </c>
      <c r="E255" s="3">
        <v>5.7005637823E11</v>
      </c>
      <c r="F255" s="3" t="s">
        <v>715</v>
      </c>
      <c r="G255" s="3" t="s">
        <v>581</v>
      </c>
      <c r="H255" s="3" t="s">
        <v>582</v>
      </c>
    </row>
    <row r="256" ht="15.75" hidden="1" customHeight="1" outlineLevel="1">
      <c r="A256" s="3">
        <v>217.0</v>
      </c>
      <c r="B256" s="3" t="s">
        <v>716</v>
      </c>
      <c r="C256" s="3" t="s">
        <v>717</v>
      </c>
      <c r="D256" s="3" t="s">
        <v>718</v>
      </c>
      <c r="E256" s="3">
        <v>5.70056378231E11</v>
      </c>
      <c r="F256" s="3" t="s">
        <v>719</v>
      </c>
      <c r="G256" s="3" t="s">
        <v>581</v>
      </c>
      <c r="H256" s="3" t="s">
        <v>582</v>
      </c>
    </row>
    <row r="257" ht="15.75" hidden="1" customHeight="1" outlineLevel="1">
      <c r="A257" s="3">
        <v>218.0</v>
      </c>
      <c r="B257" s="3" t="s">
        <v>720</v>
      </c>
      <c r="C257" s="3" t="s">
        <v>721</v>
      </c>
      <c r="D257" s="3" t="s">
        <v>722</v>
      </c>
      <c r="E257" s="3">
        <v>5.70056378232E11</v>
      </c>
      <c r="F257" s="3" t="s">
        <v>723</v>
      </c>
      <c r="G257" s="3" t="s">
        <v>581</v>
      </c>
      <c r="H257" s="3" t="s">
        <v>582</v>
      </c>
    </row>
    <row r="258" ht="15.75" hidden="1" customHeight="1" outlineLevel="1">
      <c r="A258" s="3">
        <v>219.0</v>
      </c>
      <c r="B258" s="3" t="s">
        <v>724</v>
      </c>
      <c r="C258" s="3" t="s">
        <v>725</v>
      </c>
      <c r="D258" s="3" t="s">
        <v>726</v>
      </c>
      <c r="E258" s="3">
        <v>5.70056378233E11</v>
      </c>
      <c r="F258" s="3" t="s">
        <v>727</v>
      </c>
      <c r="G258" s="3" t="s">
        <v>581</v>
      </c>
      <c r="H258" s="3" t="s">
        <v>582</v>
      </c>
    </row>
    <row r="259" ht="15.75" hidden="1" customHeight="1" outlineLevel="1">
      <c r="A259" s="3">
        <v>220.0</v>
      </c>
      <c r="B259" s="3" t="s">
        <v>728</v>
      </c>
      <c r="C259" s="3" t="s">
        <v>729</v>
      </c>
      <c r="D259" s="3" t="s">
        <v>730</v>
      </c>
      <c r="E259" s="3">
        <v>5.70056378234E11</v>
      </c>
      <c r="F259" s="3" t="s">
        <v>731</v>
      </c>
      <c r="G259" s="3" t="s">
        <v>581</v>
      </c>
      <c r="H259" s="3" t="s">
        <v>582</v>
      </c>
    </row>
    <row r="260" ht="15.75" hidden="1" customHeight="1" outlineLevel="1">
      <c r="A260" s="3">
        <v>221.0</v>
      </c>
      <c r="B260" s="3" t="s">
        <v>732</v>
      </c>
      <c r="C260" s="3" t="s">
        <v>661</v>
      </c>
      <c r="D260" s="3" t="s">
        <v>733</v>
      </c>
      <c r="E260" s="3">
        <v>5.70056378236E11</v>
      </c>
      <c r="F260" s="3" t="s">
        <v>734</v>
      </c>
      <c r="G260" s="3" t="s">
        <v>581</v>
      </c>
      <c r="H260" s="3" t="s">
        <v>582</v>
      </c>
    </row>
    <row r="261" ht="15.75" hidden="1" customHeight="1" outlineLevel="1">
      <c r="A261" s="3">
        <v>222.0</v>
      </c>
      <c r="B261" s="3" t="s">
        <v>631</v>
      </c>
      <c r="C261" s="3" t="s">
        <v>735</v>
      </c>
      <c r="D261" s="3" t="s">
        <v>736</v>
      </c>
      <c r="E261" s="3">
        <v>5.70056378237E11</v>
      </c>
      <c r="F261" s="3" t="s">
        <v>737</v>
      </c>
      <c r="G261" s="3" t="s">
        <v>581</v>
      </c>
      <c r="H261" s="3" t="s">
        <v>582</v>
      </c>
    </row>
    <row r="262" ht="15.75" hidden="1" customHeight="1" outlineLevel="1">
      <c r="A262" s="3">
        <v>223.0</v>
      </c>
      <c r="B262" s="3" t="s">
        <v>738</v>
      </c>
      <c r="C262" s="3" t="s">
        <v>739</v>
      </c>
      <c r="D262" s="3" t="s">
        <v>740</v>
      </c>
      <c r="E262" s="3">
        <v>5.70056378239E11</v>
      </c>
      <c r="F262" s="3" t="s">
        <v>741</v>
      </c>
      <c r="G262" s="3" t="s">
        <v>581</v>
      </c>
      <c r="H262" s="3" t="s">
        <v>582</v>
      </c>
    </row>
    <row r="263" ht="15.75" hidden="1" customHeight="1" outlineLevel="1">
      <c r="A263" s="3">
        <v>224.0</v>
      </c>
      <c r="B263" s="3" t="s">
        <v>742</v>
      </c>
      <c r="C263" s="3" t="s">
        <v>743</v>
      </c>
      <c r="D263" s="3" t="s">
        <v>744</v>
      </c>
      <c r="E263" s="3">
        <v>5.7005637824E11</v>
      </c>
      <c r="F263" s="3" t="s">
        <v>745</v>
      </c>
      <c r="G263" s="3" t="s">
        <v>581</v>
      </c>
      <c r="H263" s="3" t="s">
        <v>582</v>
      </c>
    </row>
    <row r="264" ht="15.75" hidden="1" customHeight="1" outlineLevel="1">
      <c r="A264" s="3">
        <v>225.0</v>
      </c>
      <c r="B264" s="3" t="s">
        <v>746</v>
      </c>
      <c r="C264" s="3" t="s">
        <v>747</v>
      </c>
      <c r="D264" s="3" t="s">
        <v>748</v>
      </c>
      <c r="E264" s="3">
        <v>5.70056378242E11</v>
      </c>
      <c r="F264" s="3" t="s">
        <v>749</v>
      </c>
      <c r="G264" s="3" t="s">
        <v>581</v>
      </c>
      <c r="H264" s="3" t="s">
        <v>582</v>
      </c>
    </row>
    <row r="265" ht="15.75" hidden="1" customHeight="1" outlineLevel="1">
      <c r="A265" s="3">
        <v>226.0</v>
      </c>
      <c r="B265" s="3" t="s">
        <v>750</v>
      </c>
      <c r="C265" s="3" t="s">
        <v>717</v>
      </c>
      <c r="D265" s="3" t="s">
        <v>751</v>
      </c>
      <c r="E265" s="3">
        <v>5.70056378244E11</v>
      </c>
      <c r="F265" s="3" t="s">
        <v>752</v>
      </c>
      <c r="G265" s="3" t="s">
        <v>581</v>
      </c>
      <c r="H265" s="3" t="s">
        <v>582</v>
      </c>
    </row>
    <row r="266" ht="15.75" hidden="1" customHeight="1" outlineLevel="1">
      <c r="A266" s="3">
        <v>227.0</v>
      </c>
      <c r="B266" s="3" t="s">
        <v>753</v>
      </c>
      <c r="C266" s="3" t="s">
        <v>754</v>
      </c>
      <c r="D266" s="3" t="s">
        <v>755</v>
      </c>
      <c r="E266" s="3">
        <v>5.70056378245E11</v>
      </c>
      <c r="F266" s="3" t="s">
        <v>756</v>
      </c>
      <c r="G266" s="3" t="s">
        <v>581</v>
      </c>
      <c r="H266" s="3" t="s">
        <v>582</v>
      </c>
    </row>
    <row r="267" ht="15.75" hidden="1" customHeight="1" outlineLevel="1">
      <c r="A267" s="3">
        <v>228.0</v>
      </c>
      <c r="B267" s="3" t="s">
        <v>757</v>
      </c>
      <c r="C267" s="3" t="s">
        <v>758</v>
      </c>
      <c r="D267" s="3" t="s">
        <v>759</v>
      </c>
      <c r="E267" s="3">
        <v>5.70056378246E11</v>
      </c>
      <c r="F267" s="3" t="s">
        <v>760</v>
      </c>
      <c r="G267" s="3" t="s">
        <v>581</v>
      </c>
      <c r="H267" s="3" t="s">
        <v>582</v>
      </c>
    </row>
    <row r="268" ht="15.75" hidden="1" customHeight="1" outlineLevel="1">
      <c r="A268" s="3">
        <v>229.0</v>
      </c>
      <c r="B268" s="3" t="s">
        <v>761</v>
      </c>
      <c r="C268" s="3" t="s">
        <v>762</v>
      </c>
      <c r="D268" s="3" t="s">
        <v>763</v>
      </c>
      <c r="E268" s="3">
        <v>5.70056378249E11</v>
      </c>
      <c r="F268" s="3" t="s">
        <v>619</v>
      </c>
      <c r="G268" s="3" t="s">
        <v>581</v>
      </c>
      <c r="H268" s="3" t="s">
        <v>582</v>
      </c>
    </row>
    <row r="269" ht="15.75" hidden="1" customHeight="1" outlineLevel="1">
      <c r="A269" s="3">
        <v>230.0</v>
      </c>
      <c r="B269" s="3" t="s">
        <v>764</v>
      </c>
      <c r="C269" s="3" t="s">
        <v>765</v>
      </c>
      <c r="D269" s="3" t="s">
        <v>766</v>
      </c>
      <c r="E269" s="3">
        <v>5.7005637825E11</v>
      </c>
      <c r="F269" s="3" t="s">
        <v>767</v>
      </c>
      <c r="G269" s="3" t="s">
        <v>608</v>
      </c>
      <c r="H269" s="3" t="s">
        <v>582</v>
      </c>
      <c r="Q269" s="3" t="s">
        <v>582</v>
      </c>
    </row>
    <row r="270" ht="15.75" hidden="1" customHeight="1" outlineLevel="1">
      <c r="A270" s="3">
        <v>231.0</v>
      </c>
      <c r="B270" s="3" t="s">
        <v>768</v>
      </c>
      <c r="C270" s="3" t="s">
        <v>769</v>
      </c>
      <c r="D270" s="3" t="s">
        <v>770</v>
      </c>
      <c r="E270" s="3">
        <v>5.70056378251E11</v>
      </c>
      <c r="F270" s="3" t="s">
        <v>771</v>
      </c>
      <c r="G270" s="3" t="s">
        <v>581</v>
      </c>
      <c r="H270" s="3" t="s">
        <v>772</v>
      </c>
      <c r="Q270" s="3" t="s">
        <v>582</v>
      </c>
    </row>
    <row r="271" ht="15.75" hidden="1" customHeight="1" outlineLevel="1">
      <c r="A271" s="3"/>
      <c r="B271" s="3"/>
      <c r="C271" s="3"/>
      <c r="D271" s="3"/>
      <c r="E271" s="3"/>
      <c r="F271" s="3"/>
      <c r="G271" s="3"/>
      <c r="H271" s="3"/>
      <c r="Q271" s="3"/>
    </row>
    <row r="272" ht="15.75" hidden="1" customHeight="1" outlineLevel="1">
      <c r="A272" s="3"/>
      <c r="B272" s="3"/>
      <c r="C272" s="3"/>
      <c r="D272" s="3"/>
      <c r="E272" s="3"/>
      <c r="F272" s="3"/>
      <c r="G272" s="3"/>
      <c r="H272" s="3"/>
      <c r="Q272" s="3"/>
    </row>
    <row r="273" ht="15.75" hidden="1" customHeight="1" outlineLevel="1">
      <c r="A273" s="3">
        <v>160.0</v>
      </c>
      <c r="B273" s="3" t="s">
        <v>577</v>
      </c>
      <c r="C273" s="3" t="s">
        <v>578</v>
      </c>
      <c r="D273" s="3" t="s">
        <v>579</v>
      </c>
      <c r="E273" s="3">
        <v>5.70056378103E11</v>
      </c>
      <c r="F273" s="3" t="s">
        <v>580</v>
      </c>
      <c r="G273" s="3" t="s">
        <v>581</v>
      </c>
      <c r="H273" s="3" t="s">
        <v>582</v>
      </c>
      <c r="Q273" s="3" t="s">
        <v>582</v>
      </c>
    </row>
    <row r="274" ht="15.75" hidden="1" customHeight="1" outlineLevel="1">
      <c r="A274" s="3">
        <v>161.0</v>
      </c>
      <c r="B274" s="3" t="s">
        <v>583</v>
      </c>
      <c r="C274" s="3" t="s">
        <v>578</v>
      </c>
      <c r="D274" s="3" t="s">
        <v>579</v>
      </c>
      <c r="E274" s="3">
        <v>5.70056378104E11</v>
      </c>
      <c r="F274" s="3" t="s">
        <v>584</v>
      </c>
      <c r="G274" s="3" t="s">
        <v>581</v>
      </c>
      <c r="H274" s="3" t="s">
        <v>582</v>
      </c>
      <c r="Q274" s="3" t="s">
        <v>582</v>
      </c>
    </row>
    <row r="275" ht="15.75" hidden="1" customHeight="1" outlineLevel="1">
      <c r="A275" s="3">
        <v>162.0</v>
      </c>
      <c r="B275" s="3" t="s">
        <v>585</v>
      </c>
      <c r="C275" s="3" t="s">
        <v>586</v>
      </c>
      <c r="D275" s="3" t="s">
        <v>587</v>
      </c>
      <c r="E275" s="3">
        <v>5.70056378105E11</v>
      </c>
      <c r="F275" s="3" t="s">
        <v>588</v>
      </c>
      <c r="G275" s="3" t="s">
        <v>581</v>
      </c>
      <c r="H275" s="3" t="s">
        <v>582</v>
      </c>
      <c r="Q275" s="3" t="s">
        <v>582</v>
      </c>
    </row>
    <row r="276" ht="15.75" hidden="1" customHeight="1" outlineLevel="1">
      <c r="A276" s="3">
        <v>163.0</v>
      </c>
      <c r="B276" s="3" t="s">
        <v>589</v>
      </c>
      <c r="C276" s="3" t="s">
        <v>586</v>
      </c>
      <c r="D276" s="3" t="s">
        <v>587</v>
      </c>
      <c r="E276" s="3">
        <v>5.70056378107E11</v>
      </c>
      <c r="F276" s="3" t="s">
        <v>590</v>
      </c>
      <c r="G276" s="3" t="s">
        <v>581</v>
      </c>
      <c r="H276" s="3" t="s">
        <v>582</v>
      </c>
      <c r="Q276" s="3" t="s">
        <v>582</v>
      </c>
    </row>
    <row r="277" ht="15.75" hidden="1" customHeight="1" outlineLevel="1">
      <c r="A277" s="3">
        <v>164.0</v>
      </c>
      <c r="B277" s="3" t="s">
        <v>591</v>
      </c>
      <c r="C277" s="3" t="s">
        <v>592</v>
      </c>
      <c r="D277" s="3" t="s">
        <v>579</v>
      </c>
      <c r="E277" s="3">
        <v>5.7005637811E11</v>
      </c>
      <c r="F277" s="3" t="s">
        <v>593</v>
      </c>
      <c r="G277" s="3" t="s">
        <v>581</v>
      </c>
      <c r="H277" s="3" t="s">
        <v>582</v>
      </c>
    </row>
    <row r="278" ht="15.75" hidden="1" customHeight="1" outlineLevel="1">
      <c r="A278" s="3">
        <v>165.0</v>
      </c>
      <c r="B278" s="3" t="s">
        <v>594</v>
      </c>
      <c r="C278" s="3" t="s">
        <v>578</v>
      </c>
      <c r="D278" s="3" t="s">
        <v>579</v>
      </c>
      <c r="E278" s="3">
        <v>5.70056378112E11</v>
      </c>
      <c r="F278" s="3" t="s">
        <v>595</v>
      </c>
      <c r="G278" s="3" t="s">
        <v>581</v>
      </c>
      <c r="H278" s="3" t="s">
        <v>582</v>
      </c>
    </row>
    <row r="279" ht="15.75" hidden="1" customHeight="1" outlineLevel="1">
      <c r="A279" s="3">
        <v>166.0</v>
      </c>
      <c r="B279" s="3" t="s">
        <v>596</v>
      </c>
      <c r="C279" s="3" t="s">
        <v>583</v>
      </c>
      <c r="D279" s="3" t="s">
        <v>597</v>
      </c>
      <c r="E279" s="3">
        <v>5.70056378114E11</v>
      </c>
      <c r="F279" s="3" t="s">
        <v>598</v>
      </c>
      <c r="G279" s="3" t="s">
        <v>599</v>
      </c>
      <c r="H279" s="3" t="s">
        <v>582</v>
      </c>
    </row>
    <row r="280" ht="15.75" hidden="1" customHeight="1" outlineLevel="1">
      <c r="A280" s="3">
        <v>167.0</v>
      </c>
      <c r="B280" s="3" t="s">
        <v>600</v>
      </c>
      <c r="C280" s="3" t="s">
        <v>583</v>
      </c>
      <c r="D280" s="3" t="s">
        <v>597</v>
      </c>
      <c r="E280" s="3">
        <v>5.70056378115E11</v>
      </c>
      <c r="F280" s="3" t="s">
        <v>601</v>
      </c>
      <c r="G280" s="3" t="s">
        <v>581</v>
      </c>
      <c r="H280" s="3" t="s">
        <v>582</v>
      </c>
    </row>
    <row r="281" ht="15.75" hidden="1" customHeight="1" outlineLevel="1">
      <c r="A281" s="3">
        <v>168.0</v>
      </c>
      <c r="B281" s="3" t="s">
        <v>602</v>
      </c>
      <c r="C281" s="3" t="s">
        <v>578</v>
      </c>
      <c r="D281" s="3" t="s">
        <v>579</v>
      </c>
      <c r="E281" s="3">
        <v>5.70056378117E11</v>
      </c>
      <c r="F281" s="3" t="s">
        <v>603</v>
      </c>
      <c r="G281" s="3" t="s">
        <v>581</v>
      </c>
      <c r="H281" s="3" t="s">
        <v>582</v>
      </c>
    </row>
    <row r="282" ht="15.75" hidden="1" customHeight="1" outlineLevel="1">
      <c r="A282" s="3">
        <v>169.0</v>
      </c>
      <c r="B282" s="3" t="s">
        <v>604</v>
      </c>
      <c r="C282" s="3" t="s">
        <v>605</v>
      </c>
      <c r="D282" s="3" t="s">
        <v>606</v>
      </c>
      <c r="E282" s="3">
        <v>5.70056378119E11</v>
      </c>
      <c r="F282" s="3" t="s">
        <v>607</v>
      </c>
      <c r="G282" s="3" t="s">
        <v>608</v>
      </c>
      <c r="H282" s="3" t="s">
        <v>582</v>
      </c>
    </row>
    <row r="283" ht="15.75" hidden="1" customHeight="1" outlineLevel="1">
      <c r="A283" s="3">
        <v>170.0</v>
      </c>
      <c r="B283" s="3" t="s">
        <v>609</v>
      </c>
      <c r="C283" s="3" t="s">
        <v>604</v>
      </c>
      <c r="D283" s="3" t="s">
        <v>610</v>
      </c>
      <c r="E283" s="3">
        <v>5.7005637812E11</v>
      </c>
      <c r="F283" s="3" t="s">
        <v>611</v>
      </c>
      <c r="G283" s="3" t="s">
        <v>581</v>
      </c>
      <c r="H283" s="3" t="s">
        <v>582</v>
      </c>
    </row>
    <row r="284" ht="15.75" hidden="1" customHeight="1" outlineLevel="1">
      <c r="A284" s="3">
        <v>171.0</v>
      </c>
      <c r="B284" s="3" t="s">
        <v>612</v>
      </c>
      <c r="C284" s="3" t="s">
        <v>613</v>
      </c>
      <c r="D284" s="3" t="s">
        <v>614</v>
      </c>
      <c r="E284" s="3">
        <v>5.70056378128E11</v>
      </c>
      <c r="F284" s="3" t="s">
        <v>615</v>
      </c>
      <c r="G284" s="3" t="s">
        <v>581</v>
      </c>
      <c r="H284" s="3" t="s">
        <v>582</v>
      </c>
    </row>
    <row r="285" ht="15.75" hidden="1" customHeight="1" outlineLevel="1">
      <c r="A285" s="3">
        <v>172.0</v>
      </c>
      <c r="B285" s="3" t="s">
        <v>616</v>
      </c>
      <c r="C285" s="3" t="s">
        <v>617</v>
      </c>
      <c r="D285" s="3" t="s">
        <v>618</v>
      </c>
      <c r="E285" s="3">
        <v>5.70056378131E11</v>
      </c>
      <c r="F285" s="3" t="s">
        <v>619</v>
      </c>
      <c r="G285" s="3" t="s">
        <v>581</v>
      </c>
      <c r="H285" s="3" t="s">
        <v>582</v>
      </c>
    </row>
    <row r="286" ht="15.75" hidden="1" customHeight="1" outlineLevel="1">
      <c r="A286" s="3">
        <v>173.0</v>
      </c>
      <c r="B286" s="3" t="s">
        <v>620</v>
      </c>
      <c r="C286" s="3" t="s">
        <v>621</v>
      </c>
      <c r="D286" s="3" t="s">
        <v>622</v>
      </c>
      <c r="E286" s="3">
        <v>5.70056378133E11</v>
      </c>
      <c r="F286" s="3" t="s">
        <v>623</v>
      </c>
      <c r="G286" s="3" t="s">
        <v>581</v>
      </c>
      <c r="H286" s="3" t="s">
        <v>582</v>
      </c>
    </row>
    <row r="287" ht="15.75" hidden="1" customHeight="1" outlineLevel="1">
      <c r="A287" s="3">
        <v>174.0</v>
      </c>
      <c r="B287" s="3" t="s">
        <v>624</v>
      </c>
      <c r="C287" s="3" t="s">
        <v>625</v>
      </c>
      <c r="D287" s="3" t="s">
        <v>622</v>
      </c>
      <c r="E287" s="3">
        <v>5.70056378136E11</v>
      </c>
      <c r="F287" s="3" t="s">
        <v>626</v>
      </c>
      <c r="G287" s="3" t="s">
        <v>581</v>
      </c>
      <c r="H287" s="3" t="s">
        <v>582</v>
      </c>
    </row>
    <row r="288" ht="15.75" hidden="1" customHeight="1" outlineLevel="1">
      <c r="A288" s="3">
        <v>175.0</v>
      </c>
      <c r="B288" s="3" t="s">
        <v>627</v>
      </c>
      <c r="C288" s="3" t="s">
        <v>628</v>
      </c>
      <c r="D288" s="3" t="s">
        <v>629</v>
      </c>
      <c r="E288" s="3">
        <v>5.7005637814E11</v>
      </c>
      <c r="F288" s="3" t="s">
        <v>630</v>
      </c>
      <c r="G288" s="3" t="s">
        <v>581</v>
      </c>
      <c r="H288" s="3" t="s">
        <v>582</v>
      </c>
    </row>
    <row r="289" ht="15.75" hidden="1" customHeight="1" outlineLevel="1">
      <c r="A289" s="3">
        <v>176.0</v>
      </c>
      <c r="B289" s="3" t="s">
        <v>631</v>
      </c>
      <c r="C289" s="3" t="s">
        <v>632</v>
      </c>
      <c r="D289" s="3" t="s">
        <v>633</v>
      </c>
      <c r="E289" s="3">
        <v>5.70056378143E11</v>
      </c>
      <c r="F289" s="3" t="s">
        <v>634</v>
      </c>
      <c r="G289" s="3" t="s">
        <v>581</v>
      </c>
      <c r="H289" s="3" t="s">
        <v>582</v>
      </c>
    </row>
    <row r="290" ht="15.75" hidden="1" customHeight="1" outlineLevel="1">
      <c r="A290" s="3">
        <v>177.0</v>
      </c>
      <c r="B290" s="3" t="s">
        <v>635</v>
      </c>
      <c r="C290" s="3" t="s">
        <v>636</v>
      </c>
      <c r="D290" s="3" t="s">
        <v>637</v>
      </c>
      <c r="E290" s="3">
        <v>5.70056378146E11</v>
      </c>
      <c r="F290" s="3" t="s">
        <v>638</v>
      </c>
      <c r="G290" s="3" t="s">
        <v>581</v>
      </c>
      <c r="H290" s="3" t="s">
        <v>582</v>
      </c>
    </row>
    <row r="291" ht="15.75" hidden="1" customHeight="1" outlineLevel="1">
      <c r="A291" s="3">
        <v>178.0</v>
      </c>
      <c r="B291" s="3" t="s">
        <v>632</v>
      </c>
      <c r="C291" s="3" t="s">
        <v>639</v>
      </c>
      <c r="D291" s="3" t="s">
        <v>640</v>
      </c>
      <c r="E291" s="3">
        <v>5.70056378147E11</v>
      </c>
      <c r="F291" s="3" t="s">
        <v>641</v>
      </c>
      <c r="G291" s="3" t="s">
        <v>581</v>
      </c>
      <c r="H291" s="3" t="s">
        <v>582</v>
      </c>
    </row>
    <row r="292" ht="15.75" hidden="1" customHeight="1" outlineLevel="1">
      <c r="A292" s="3">
        <v>179.0</v>
      </c>
      <c r="B292" s="3" t="s">
        <v>642</v>
      </c>
      <c r="C292" s="3" t="s">
        <v>643</v>
      </c>
      <c r="D292" s="3" t="s">
        <v>644</v>
      </c>
      <c r="E292" s="3">
        <v>5.7005637815E11</v>
      </c>
      <c r="F292" s="3" t="s">
        <v>645</v>
      </c>
      <c r="G292" s="3" t="s">
        <v>581</v>
      </c>
      <c r="H292" s="3" t="s">
        <v>582</v>
      </c>
    </row>
    <row r="293" ht="15.75" hidden="1" customHeight="1" outlineLevel="1">
      <c r="A293" s="3">
        <v>180.0</v>
      </c>
      <c r="B293" s="3" t="s">
        <v>646</v>
      </c>
      <c r="C293" s="3" t="s">
        <v>647</v>
      </c>
      <c r="D293" s="3" t="s">
        <v>648</v>
      </c>
      <c r="E293" s="3">
        <v>5.70056378152E11</v>
      </c>
      <c r="F293" s="3" t="s">
        <v>649</v>
      </c>
      <c r="G293" s="3" t="s">
        <v>581</v>
      </c>
      <c r="H293" s="3" t="s">
        <v>582</v>
      </c>
    </row>
    <row r="294" ht="15.75" hidden="1" customHeight="1" outlineLevel="1">
      <c r="A294" s="3">
        <v>181.0</v>
      </c>
      <c r="B294" s="3" t="s">
        <v>650</v>
      </c>
      <c r="C294" s="3" t="s">
        <v>651</v>
      </c>
      <c r="D294" s="3" t="s">
        <v>652</v>
      </c>
      <c r="E294" s="3">
        <v>5.70056378153E11</v>
      </c>
      <c r="F294" s="3" t="s">
        <v>649</v>
      </c>
      <c r="G294" s="3" t="s">
        <v>608</v>
      </c>
      <c r="H294" s="3" t="s">
        <v>582</v>
      </c>
    </row>
    <row r="295" ht="15.75" hidden="1" customHeight="1" outlineLevel="1">
      <c r="A295" s="3">
        <v>182.0</v>
      </c>
      <c r="B295" s="3" t="s">
        <v>653</v>
      </c>
      <c r="C295" s="3" t="s">
        <v>654</v>
      </c>
      <c r="D295" s="3" t="s">
        <v>655</v>
      </c>
      <c r="E295" s="3">
        <v>5.70056378157E11</v>
      </c>
      <c r="F295" s="3" t="s">
        <v>656</v>
      </c>
      <c r="G295" s="3" t="s">
        <v>581</v>
      </c>
      <c r="H295" s="3" t="s">
        <v>582</v>
      </c>
    </row>
    <row r="296" ht="15.75" hidden="1" customHeight="1" outlineLevel="1">
      <c r="A296" s="3">
        <v>183.0</v>
      </c>
      <c r="B296" s="3" t="s">
        <v>657</v>
      </c>
      <c r="C296" s="3" t="s">
        <v>658</v>
      </c>
      <c r="D296" s="3" t="s">
        <v>659</v>
      </c>
      <c r="E296" s="3">
        <v>5.70056378159E11</v>
      </c>
      <c r="F296" s="3" t="s">
        <v>660</v>
      </c>
      <c r="G296" s="3" t="s">
        <v>581</v>
      </c>
      <c r="H296" s="3" t="s">
        <v>582</v>
      </c>
    </row>
    <row r="297" ht="15.75" hidden="1" customHeight="1" outlineLevel="1">
      <c r="A297" s="3">
        <v>184.0</v>
      </c>
      <c r="B297" s="3" t="s">
        <v>661</v>
      </c>
      <c r="C297" s="3" t="s">
        <v>662</v>
      </c>
      <c r="D297" s="3" t="s">
        <v>663</v>
      </c>
      <c r="E297" s="3">
        <v>5.7005637816E11</v>
      </c>
      <c r="F297" s="3" t="s">
        <v>664</v>
      </c>
      <c r="G297" s="3" t="s">
        <v>581</v>
      </c>
      <c r="H297" s="3" t="s">
        <v>582</v>
      </c>
    </row>
    <row r="298" ht="15.75" hidden="1" customHeight="1" outlineLevel="1">
      <c r="A298" s="3">
        <v>185.0</v>
      </c>
      <c r="B298" s="3" t="s">
        <v>665</v>
      </c>
      <c r="C298" s="3" t="s">
        <v>666</v>
      </c>
      <c r="D298" s="3" t="s">
        <v>667</v>
      </c>
      <c r="E298" s="3">
        <v>5.70056378161E11</v>
      </c>
      <c r="F298" s="3" t="s">
        <v>668</v>
      </c>
      <c r="G298" s="3" t="s">
        <v>581</v>
      </c>
      <c r="H298" s="3" t="s">
        <v>582</v>
      </c>
    </row>
    <row r="299" ht="15.75" hidden="1" customHeight="1" outlineLevel="1">
      <c r="A299" s="3">
        <v>186.0</v>
      </c>
      <c r="B299" s="3" t="s">
        <v>632</v>
      </c>
      <c r="C299" s="3" t="s">
        <v>669</v>
      </c>
      <c r="D299" s="3" t="s">
        <v>670</v>
      </c>
      <c r="E299" s="3">
        <v>5.70056378163E11</v>
      </c>
      <c r="F299" s="3" t="s">
        <v>671</v>
      </c>
      <c r="G299" s="3" t="s">
        <v>581</v>
      </c>
      <c r="H299" s="3" t="s">
        <v>582</v>
      </c>
    </row>
    <row r="300" ht="15.75" hidden="1" customHeight="1" outlineLevel="1">
      <c r="A300" s="3">
        <v>187.0</v>
      </c>
      <c r="B300" s="3" t="s">
        <v>672</v>
      </c>
      <c r="C300" s="3" t="s">
        <v>673</v>
      </c>
      <c r="D300" s="3" t="s">
        <v>674</v>
      </c>
      <c r="E300" s="3">
        <v>5.70056378164E11</v>
      </c>
      <c r="F300" s="3" t="s">
        <v>675</v>
      </c>
      <c r="G300" s="3" t="s">
        <v>676</v>
      </c>
      <c r="H300" s="3" t="s">
        <v>582</v>
      </c>
    </row>
    <row r="301" ht="15.75" hidden="1" customHeight="1" outlineLevel="1">
      <c r="A301" s="3">
        <v>188.0</v>
      </c>
      <c r="B301" s="3" t="s">
        <v>677</v>
      </c>
      <c r="C301" s="3" t="s">
        <v>666</v>
      </c>
      <c r="D301" s="3" t="s">
        <v>667</v>
      </c>
      <c r="E301" s="3">
        <v>5.70056378172E11</v>
      </c>
      <c r="F301" s="3" t="s">
        <v>619</v>
      </c>
      <c r="G301" s="3" t="s">
        <v>581</v>
      </c>
      <c r="H301" s="3" t="s">
        <v>582</v>
      </c>
    </row>
    <row r="302" ht="15.75" hidden="1" customHeight="1" outlineLevel="1">
      <c r="A302" s="3">
        <v>189.0</v>
      </c>
      <c r="B302" s="3" t="s">
        <v>678</v>
      </c>
      <c r="C302" s="3" t="s">
        <v>679</v>
      </c>
      <c r="D302" s="3" t="s">
        <v>680</v>
      </c>
      <c r="E302" s="3">
        <v>5.70056378173E11</v>
      </c>
      <c r="F302" s="3" t="s">
        <v>645</v>
      </c>
      <c r="G302" s="3" t="s">
        <v>608</v>
      </c>
      <c r="H302" s="3" t="s">
        <v>582</v>
      </c>
    </row>
    <row r="303" ht="15.75" hidden="1" customHeight="1" outlineLevel="1">
      <c r="A303" s="3">
        <v>190.0</v>
      </c>
      <c r="B303" s="3" t="s">
        <v>681</v>
      </c>
      <c r="C303" s="3" t="s">
        <v>682</v>
      </c>
      <c r="D303" s="3" t="s">
        <v>683</v>
      </c>
      <c r="E303" s="3">
        <v>5.70056378179E11</v>
      </c>
      <c r="F303" s="3" t="s">
        <v>684</v>
      </c>
      <c r="G303" s="3" t="s">
        <v>581</v>
      </c>
      <c r="H303" s="3" t="s">
        <v>685</v>
      </c>
    </row>
    <row r="304" ht="15.75" hidden="1" customHeight="1" outlineLevel="1">
      <c r="A304" s="3">
        <v>191.0</v>
      </c>
      <c r="B304" s="3" t="s">
        <v>686</v>
      </c>
      <c r="C304" s="3" t="s">
        <v>687</v>
      </c>
      <c r="D304" s="3" t="s">
        <v>688</v>
      </c>
      <c r="E304" s="3">
        <v>5.7005637818E11</v>
      </c>
      <c r="F304" s="3" t="s">
        <v>689</v>
      </c>
      <c r="G304" s="3" t="s">
        <v>581</v>
      </c>
      <c r="H304" s="3" t="s">
        <v>582</v>
      </c>
    </row>
    <row r="305" ht="15.75" hidden="1" customHeight="1" outlineLevel="1">
      <c r="A305" s="3">
        <v>192.0</v>
      </c>
      <c r="B305" s="3" t="s">
        <v>690</v>
      </c>
      <c r="C305" s="3" t="s">
        <v>691</v>
      </c>
      <c r="D305" s="3" t="s">
        <v>692</v>
      </c>
      <c r="E305" s="3">
        <v>5.70056378185E11</v>
      </c>
      <c r="F305" s="3" t="s">
        <v>693</v>
      </c>
      <c r="G305" s="3" t="s">
        <v>581</v>
      </c>
      <c r="H305" s="3" t="s">
        <v>582</v>
      </c>
    </row>
    <row r="306" ht="15.75" hidden="1" customHeight="1" outlineLevel="1">
      <c r="A306" s="3">
        <v>193.0</v>
      </c>
      <c r="B306" s="3" t="s">
        <v>694</v>
      </c>
      <c r="C306" s="3" t="s">
        <v>695</v>
      </c>
      <c r="D306" s="3" t="s">
        <v>696</v>
      </c>
      <c r="E306" s="3">
        <v>5.70056378187E11</v>
      </c>
      <c r="F306" s="3" t="s">
        <v>697</v>
      </c>
      <c r="G306" s="3" t="s">
        <v>581</v>
      </c>
      <c r="H306" s="3" t="s">
        <v>685</v>
      </c>
    </row>
    <row r="307" ht="15.75" hidden="1" customHeight="1" outlineLevel="1">
      <c r="A307" s="3">
        <v>194.0</v>
      </c>
      <c r="B307" s="3" t="s">
        <v>698</v>
      </c>
      <c r="C307" s="3" t="s">
        <v>679</v>
      </c>
      <c r="D307" s="3" t="s">
        <v>680</v>
      </c>
      <c r="E307" s="3">
        <v>5.7005637819E11</v>
      </c>
      <c r="F307" s="3" t="s">
        <v>699</v>
      </c>
      <c r="G307" s="3" t="s">
        <v>581</v>
      </c>
      <c r="H307" s="3" t="s">
        <v>582</v>
      </c>
    </row>
    <row r="308" ht="15.75" customHeight="1">
      <c r="A308" s="3">
        <v>195.0</v>
      </c>
      <c r="B308" s="3" t="s">
        <v>700</v>
      </c>
      <c r="C308" s="3" t="s">
        <v>701</v>
      </c>
      <c r="D308" s="3" t="s">
        <v>702</v>
      </c>
      <c r="E308" s="3">
        <v>5.70056378193E11</v>
      </c>
      <c r="F308" s="3" t="s">
        <v>703</v>
      </c>
      <c r="G308" s="3" t="s">
        <v>581</v>
      </c>
      <c r="H308" s="3" t="s">
        <v>582</v>
      </c>
    </row>
    <row r="309" ht="15.75" customHeight="1">
      <c r="A309" s="3">
        <v>196.0</v>
      </c>
      <c r="B309" s="3" t="s">
        <v>773</v>
      </c>
      <c r="C309" s="3" t="s">
        <v>774</v>
      </c>
      <c r="D309" s="3" t="s">
        <v>775</v>
      </c>
      <c r="E309" s="3">
        <v>5.70056378195E11</v>
      </c>
      <c r="F309" s="3" t="s">
        <v>634</v>
      </c>
      <c r="G309" s="3" t="s">
        <v>581</v>
      </c>
      <c r="H309" s="3" t="s">
        <v>582</v>
      </c>
    </row>
    <row r="310" ht="15.75" customHeight="1">
      <c r="A310" s="3">
        <v>197.0</v>
      </c>
      <c r="B310" s="3" t="s">
        <v>776</v>
      </c>
      <c r="C310" s="3" t="s">
        <v>777</v>
      </c>
      <c r="D310" s="3" t="s">
        <v>778</v>
      </c>
      <c r="E310" s="3">
        <v>5.70056378197E11</v>
      </c>
      <c r="F310" s="3" t="s">
        <v>779</v>
      </c>
      <c r="G310" s="3" t="s">
        <v>581</v>
      </c>
      <c r="H310" s="3" t="s">
        <v>582</v>
      </c>
    </row>
    <row r="311" ht="15.75" customHeight="1">
      <c r="A311" s="3">
        <v>198.0</v>
      </c>
      <c r="B311" s="3" t="s">
        <v>712</v>
      </c>
      <c r="C311" s="3" t="s">
        <v>669</v>
      </c>
      <c r="D311" s="3" t="s">
        <v>780</v>
      </c>
      <c r="E311" s="3">
        <v>5.70056378198E11</v>
      </c>
      <c r="F311" s="3" t="s">
        <v>781</v>
      </c>
      <c r="G311" s="3" t="s">
        <v>581</v>
      </c>
      <c r="H311" s="3" t="s">
        <v>582</v>
      </c>
    </row>
    <row r="312" ht="15.75" customHeight="1">
      <c r="A312" s="3">
        <v>199.0</v>
      </c>
      <c r="B312" s="3" t="s">
        <v>782</v>
      </c>
      <c r="C312" s="3" t="s">
        <v>783</v>
      </c>
      <c r="D312" s="3" t="s">
        <v>784</v>
      </c>
      <c r="E312" s="3">
        <v>5.70056378201E11</v>
      </c>
      <c r="F312" s="3" t="s">
        <v>785</v>
      </c>
      <c r="G312" s="3" t="s">
        <v>581</v>
      </c>
      <c r="H312" s="3" t="s">
        <v>582</v>
      </c>
    </row>
    <row r="313" ht="15.75" customHeight="1">
      <c r="A313" s="3">
        <v>200.0</v>
      </c>
      <c r="B313" s="3" t="s">
        <v>783</v>
      </c>
      <c r="C313" s="3" t="s">
        <v>786</v>
      </c>
      <c r="D313" s="3" t="s">
        <v>787</v>
      </c>
      <c r="E313" s="3">
        <v>5.700563782E11</v>
      </c>
      <c r="F313" s="3" t="s">
        <v>788</v>
      </c>
      <c r="G313" s="3" t="s">
        <v>608</v>
      </c>
      <c r="H313" s="3" t="s">
        <v>789</v>
      </c>
    </row>
    <row r="314" ht="15.75" customHeight="1">
      <c r="A314" s="3">
        <v>201.0</v>
      </c>
      <c r="B314" s="3" t="s">
        <v>717</v>
      </c>
      <c r="C314" s="3" t="s">
        <v>790</v>
      </c>
      <c r="D314" s="3" t="s">
        <v>787</v>
      </c>
      <c r="E314" s="3">
        <v>5.70056378208E11</v>
      </c>
      <c r="F314" s="3" t="s">
        <v>791</v>
      </c>
      <c r="G314" s="3" t="s">
        <v>581</v>
      </c>
      <c r="H314" s="3" t="s">
        <v>772</v>
      </c>
    </row>
    <row r="315" ht="15.75" customHeight="1">
      <c r="A315" s="3">
        <v>202.0</v>
      </c>
      <c r="B315" s="3" t="s">
        <v>596</v>
      </c>
      <c r="C315" s="3" t="s">
        <v>717</v>
      </c>
      <c r="D315" s="3" t="s">
        <v>792</v>
      </c>
      <c r="E315" s="3">
        <v>5.70056378209E11</v>
      </c>
      <c r="F315" s="3" t="s">
        <v>793</v>
      </c>
      <c r="G315" s="3" t="s">
        <v>581</v>
      </c>
      <c r="H315" s="3" t="s">
        <v>582</v>
      </c>
    </row>
    <row r="316" ht="15.75" customHeight="1">
      <c r="A316" s="3">
        <v>203.0</v>
      </c>
      <c r="B316" s="3" t="s">
        <v>794</v>
      </c>
      <c r="C316" s="3" t="s">
        <v>795</v>
      </c>
      <c r="D316" s="3" t="s">
        <v>796</v>
      </c>
      <c r="E316" s="3">
        <v>5.70056378211E11</v>
      </c>
      <c r="F316" s="3" t="s">
        <v>797</v>
      </c>
      <c r="G316" s="3" t="s">
        <v>581</v>
      </c>
      <c r="H316" s="3" t="s">
        <v>582</v>
      </c>
    </row>
    <row r="317" ht="15.75" customHeight="1">
      <c r="A317" s="3">
        <v>204.0</v>
      </c>
      <c r="B317" s="3" t="s">
        <v>798</v>
      </c>
      <c r="C317" s="3" t="s">
        <v>799</v>
      </c>
      <c r="D317" s="3" t="s">
        <v>800</v>
      </c>
      <c r="E317" s="3">
        <v>5.70056378212E11</v>
      </c>
      <c r="F317" s="3" t="s">
        <v>801</v>
      </c>
      <c r="G317" s="3" t="s">
        <v>581</v>
      </c>
      <c r="H317" s="3" t="s">
        <v>772</v>
      </c>
    </row>
    <row r="318" ht="15.75" customHeight="1">
      <c r="A318" s="3">
        <v>205.0</v>
      </c>
      <c r="B318" s="3" t="s">
        <v>802</v>
      </c>
      <c r="C318" s="3" t="s">
        <v>803</v>
      </c>
      <c r="D318" s="3" t="s">
        <v>804</v>
      </c>
      <c r="E318" s="3">
        <v>5.70056378215E11</v>
      </c>
      <c r="F318" s="3" t="s">
        <v>805</v>
      </c>
      <c r="G318" s="3" t="s">
        <v>581</v>
      </c>
      <c r="H318" s="3" t="s">
        <v>772</v>
      </c>
    </row>
    <row r="319" ht="15.75" customHeight="1">
      <c r="A319" s="3">
        <v>206.0</v>
      </c>
      <c r="B319" s="3" t="s">
        <v>704</v>
      </c>
      <c r="C319" s="3" t="s">
        <v>798</v>
      </c>
      <c r="D319" s="3" t="s">
        <v>806</v>
      </c>
      <c r="E319" s="3">
        <v>5.70056378218E11</v>
      </c>
      <c r="F319" s="3" t="s">
        <v>807</v>
      </c>
      <c r="G319" s="3" t="s">
        <v>581</v>
      </c>
      <c r="H319" s="3" t="s">
        <v>772</v>
      </c>
    </row>
    <row r="320" ht="15.75" customHeight="1">
      <c r="A320" s="3">
        <v>207.0</v>
      </c>
      <c r="B320" s="3" t="s">
        <v>808</v>
      </c>
      <c r="C320" s="3" t="s">
        <v>809</v>
      </c>
      <c r="D320" s="3" t="s">
        <v>810</v>
      </c>
      <c r="E320" s="3">
        <v>5.70056378219E11</v>
      </c>
      <c r="F320" s="3" t="s">
        <v>811</v>
      </c>
      <c r="G320" s="3" t="s">
        <v>581</v>
      </c>
      <c r="H320" s="3" t="s">
        <v>772</v>
      </c>
    </row>
    <row r="321" ht="15.75" customHeight="1">
      <c r="A321" s="3">
        <v>208.0</v>
      </c>
      <c r="B321" s="3" t="s">
        <v>812</v>
      </c>
      <c r="C321" s="3" t="s">
        <v>583</v>
      </c>
      <c r="D321" s="3" t="s">
        <v>813</v>
      </c>
      <c r="E321" s="3">
        <v>5.7005637822E11</v>
      </c>
      <c r="F321" s="3" t="s">
        <v>814</v>
      </c>
      <c r="G321" s="3" t="s">
        <v>581</v>
      </c>
      <c r="H321" s="3" t="s">
        <v>582</v>
      </c>
    </row>
    <row r="322" ht="15.75" customHeight="1">
      <c r="A322" s="3">
        <v>209.0</v>
      </c>
      <c r="B322" s="3" t="s">
        <v>815</v>
      </c>
      <c r="C322" s="3" t="s">
        <v>816</v>
      </c>
      <c r="D322" s="3" t="s">
        <v>817</v>
      </c>
      <c r="E322" s="3">
        <v>5.70056378222E11</v>
      </c>
      <c r="F322" s="3" t="s">
        <v>664</v>
      </c>
      <c r="G322" s="3" t="s">
        <v>581</v>
      </c>
      <c r="H322" s="3" t="s">
        <v>582</v>
      </c>
    </row>
    <row r="323" ht="15.75" customHeight="1">
      <c r="A323" s="3">
        <v>210.0</v>
      </c>
      <c r="B323" s="3" t="s">
        <v>818</v>
      </c>
      <c r="C323" s="3" t="s">
        <v>819</v>
      </c>
      <c r="D323" s="3" t="s">
        <v>820</v>
      </c>
      <c r="E323" s="3">
        <v>5.70056378223E11</v>
      </c>
      <c r="F323" s="3" t="s">
        <v>821</v>
      </c>
      <c r="G323" s="3" t="s">
        <v>581</v>
      </c>
      <c r="H323" s="3" t="s">
        <v>582</v>
      </c>
    </row>
    <row r="324" ht="15.75" customHeight="1">
      <c r="A324" s="3">
        <v>211.0</v>
      </c>
      <c r="B324" s="3" t="s">
        <v>694</v>
      </c>
      <c r="C324" s="3" t="s">
        <v>815</v>
      </c>
      <c r="D324" s="3" t="s">
        <v>820</v>
      </c>
      <c r="E324" s="3">
        <v>5.70056378224E11</v>
      </c>
      <c r="F324" s="3" t="s">
        <v>822</v>
      </c>
      <c r="G324" s="3" t="s">
        <v>823</v>
      </c>
      <c r="H324" s="3" t="s">
        <v>582</v>
      </c>
    </row>
    <row r="325" ht="15.75" customHeight="1">
      <c r="A325" s="3">
        <v>212.0</v>
      </c>
      <c r="B325" s="3" t="s">
        <v>824</v>
      </c>
      <c r="C325" s="3" t="s">
        <v>583</v>
      </c>
      <c r="D325" s="3" t="s">
        <v>813</v>
      </c>
      <c r="E325" s="3">
        <v>5.70056378225E11</v>
      </c>
      <c r="F325" s="3" t="s">
        <v>825</v>
      </c>
      <c r="G325" s="3" t="s">
        <v>581</v>
      </c>
      <c r="H325" s="3" t="s">
        <v>582</v>
      </c>
    </row>
    <row r="326" ht="15.75" customHeight="1">
      <c r="A326" s="3">
        <v>213.0</v>
      </c>
      <c r="B326" s="3" t="s">
        <v>826</v>
      </c>
      <c r="C326" s="3" t="s">
        <v>827</v>
      </c>
      <c r="D326" s="3" t="s">
        <v>828</v>
      </c>
      <c r="E326" s="3">
        <v>5.70056378226E11</v>
      </c>
      <c r="F326" s="3" t="s">
        <v>829</v>
      </c>
      <c r="G326" s="3" t="s">
        <v>581</v>
      </c>
      <c r="H326" s="3" t="s">
        <v>582</v>
      </c>
    </row>
    <row r="327" ht="15.75" customHeight="1">
      <c r="A327" s="3">
        <v>214.0</v>
      </c>
      <c r="B327" s="3" t="s">
        <v>704</v>
      </c>
      <c r="C327" s="3" t="s">
        <v>827</v>
      </c>
      <c r="D327" s="3" t="s">
        <v>706</v>
      </c>
      <c r="E327" s="3">
        <v>5.70056378227E11</v>
      </c>
      <c r="F327" s="3" t="s">
        <v>707</v>
      </c>
      <c r="G327" s="3" t="s">
        <v>581</v>
      </c>
      <c r="H327" s="3" t="s">
        <v>582</v>
      </c>
    </row>
    <row r="328" ht="15.75" customHeight="1">
      <c r="A328" s="3">
        <v>215.0</v>
      </c>
      <c r="B328" s="3" t="s">
        <v>708</v>
      </c>
      <c r="C328" s="3" t="s">
        <v>709</v>
      </c>
      <c r="D328" s="3" t="s">
        <v>710</v>
      </c>
      <c r="E328" s="3">
        <v>5.70056378229E11</v>
      </c>
      <c r="F328" s="3" t="s">
        <v>711</v>
      </c>
      <c r="G328" s="3" t="s">
        <v>581</v>
      </c>
      <c r="H328" s="3" t="s">
        <v>582</v>
      </c>
    </row>
    <row r="329" ht="15.75" customHeight="1">
      <c r="A329" s="3">
        <v>216.0</v>
      </c>
      <c r="B329" s="3" t="s">
        <v>712</v>
      </c>
      <c r="C329" s="3" t="s">
        <v>713</v>
      </c>
      <c r="D329" s="3" t="s">
        <v>714</v>
      </c>
      <c r="E329" s="3">
        <v>5.7005637823E11</v>
      </c>
      <c r="F329" s="3" t="s">
        <v>715</v>
      </c>
      <c r="G329" s="3" t="s">
        <v>581</v>
      </c>
      <c r="H329" s="3" t="s">
        <v>582</v>
      </c>
    </row>
    <row r="330" ht="15.75" customHeight="1">
      <c r="A330" s="3">
        <v>217.0</v>
      </c>
      <c r="B330" s="3" t="s">
        <v>716</v>
      </c>
      <c r="C330" s="3" t="s">
        <v>717</v>
      </c>
      <c r="D330" s="3" t="s">
        <v>718</v>
      </c>
      <c r="E330" s="3">
        <v>5.70056378231E11</v>
      </c>
      <c r="F330" s="3" t="s">
        <v>719</v>
      </c>
      <c r="G330" s="3" t="s">
        <v>581</v>
      </c>
      <c r="H330" s="3" t="s">
        <v>582</v>
      </c>
    </row>
    <row r="331" ht="15.75" customHeight="1">
      <c r="A331" s="3">
        <v>218.0</v>
      </c>
      <c r="B331" s="3" t="s">
        <v>720</v>
      </c>
      <c r="C331" s="3" t="s">
        <v>721</v>
      </c>
      <c r="D331" s="3" t="s">
        <v>722</v>
      </c>
      <c r="E331" s="3">
        <v>5.70056378232E11</v>
      </c>
      <c r="F331" s="3" t="s">
        <v>723</v>
      </c>
      <c r="G331" s="3" t="s">
        <v>581</v>
      </c>
      <c r="H331" s="3" t="s">
        <v>582</v>
      </c>
    </row>
    <row r="332" ht="15.75" customHeight="1">
      <c r="A332" s="3">
        <v>219.0</v>
      </c>
      <c r="B332" s="3" t="s">
        <v>724</v>
      </c>
      <c r="C332" s="3" t="s">
        <v>725</v>
      </c>
      <c r="D332" s="3" t="s">
        <v>726</v>
      </c>
      <c r="E332" s="3">
        <v>5.70056378233E11</v>
      </c>
      <c r="F332" s="3" t="s">
        <v>727</v>
      </c>
      <c r="G332" s="3" t="s">
        <v>581</v>
      </c>
      <c r="H332" s="3" t="s">
        <v>582</v>
      </c>
    </row>
    <row r="333" ht="15.75" customHeight="1">
      <c r="A333" s="3">
        <v>220.0</v>
      </c>
      <c r="B333" s="3" t="s">
        <v>728</v>
      </c>
      <c r="C333" s="3" t="s">
        <v>729</v>
      </c>
      <c r="D333" s="3" t="s">
        <v>730</v>
      </c>
      <c r="E333" s="3">
        <v>5.70056378234E11</v>
      </c>
      <c r="F333" s="3" t="s">
        <v>731</v>
      </c>
      <c r="G333" s="3" t="s">
        <v>581</v>
      </c>
      <c r="H333" s="3" t="s">
        <v>582</v>
      </c>
    </row>
    <row r="334" ht="15.75" customHeight="1">
      <c r="A334" s="3">
        <v>221.0</v>
      </c>
      <c r="B334" s="3" t="s">
        <v>732</v>
      </c>
      <c r="C334" s="3" t="s">
        <v>661</v>
      </c>
      <c r="D334" s="3" t="s">
        <v>733</v>
      </c>
      <c r="E334" s="3">
        <v>5.70056378236E11</v>
      </c>
      <c r="F334" s="3" t="s">
        <v>734</v>
      </c>
      <c r="G334" s="3" t="s">
        <v>581</v>
      </c>
      <c r="H334" s="3" t="s">
        <v>582</v>
      </c>
    </row>
    <row r="335" ht="15.75" customHeight="1">
      <c r="A335" s="3">
        <v>222.0</v>
      </c>
      <c r="B335" s="3" t="s">
        <v>631</v>
      </c>
      <c r="C335" s="3" t="s">
        <v>735</v>
      </c>
      <c r="D335" s="3" t="s">
        <v>736</v>
      </c>
      <c r="E335" s="3">
        <v>5.70056378237E11</v>
      </c>
      <c r="F335" s="3" t="s">
        <v>737</v>
      </c>
      <c r="G335" s="3" t="s">
        <v>581</v>
      </c>
      <c r="H335" s="3" t="s">
        <v>582</v>
      </c>
    </row>
    <row r="336" ht="15.75" customHeight="1">
      <c r="A336" s="3">
        <v>223.0</v>
      </c>
      <c r="B336" s="3" t="s">
        <v>738</v>
      </c>
      <c r="C336" s="3" t="s">
        <v>739</v>
      </c>
      <c r="D336" s="3" t="s">
        <v>740</v>
      </c>
      <c r="E336" s="3">
        <v>5.70056378239E11</v>
      </c>
      <c r="F336" s="3" t="s">
        <v>741</v>
      </c>
      <c r="G336" s="3" t="s">
        <v>581</v>
      </c>
      <c r="H336" s="3" t="s">
        <v>582</v>
      </c>
    </row>
    <row r="337" ht="15.75" customHeight="1">
      <c r="A337" s="3">
        <v>224.0</v>
      </c>
      <c r="B337" s="3" t="s">
        <v>742</v>
      </c>
      <c r="C337" s="3" t="s">
        <v>743</v>
      </c>
      <c r="D337" s="3" t="s">
        <v>744</v>
      </c>
      <c r="E337" s="3">
        <v>5.7005637824E11</v>
      </c>
      <c r="F337" s="3" t="s">
        <v>745</v>
      </c>
      <c r="G337" s="3" t="s">
        <v>581</v>
      </c>
      <c r="H337" s="3" t="s">
        <v>582</v>
      </c>
    </row>
    <row r="338" ht="15.75" customHeight="1">
      <c r="A338" s="3">
        <v>225.0</v>
      </c>
      <c r="B338" s="3" t="s">
        <v>746</v>
      </c>
      <c r="C338" s="3" t="s">
        <v>747</v>
      </c>
      <c r="D338" s="3" t="s">
        <v>748</v>
      </c>
      <c r="E338" s="3">
        <v>5.70056378242E11</v>
      </c>
      <c r="F338" s="3" t="s">
        <v>749</v>
      </c>
      <c r="G338" s="3" t="s">
        <v>581</v>
      </c>
      <c r="H338" s="3" t="s">
        <v>582</v>
      </c>
    </row>
    <row r="339" ht="15.75" customHeight="1">
      <c r="A339" s="3">
        <v>226.0</v>
      </c>
      <c r="B339" s="3" t="s">
        <v>750</v>
      </c>
      <c r="C339" s="3" t="s">
        <v>717</v>
      </c>
      <c r="D339" s="3" t="s">
        <v>751</v>
      </c>
      <c r="E339" s="3">
        <v>5.70056378244E11</v>
      </c>
      <c r="F339" s="3" t="s">
        <v>752</v>
      </c>
      <c r="G339" s="3" t="s">
        <v>581</v>
      </c>
      <c r="H339" s="3" t="s">
        <v>582</v>
      </c>
    </row>
    <row r="340" ht="15.75" customHeight="1">
      <c r="A340" s="3">
        <v>227.0</v>
      </c>
      <c r="B340" s="3" t="s">
        <v>753</v>
      </c>
      <c r="C340" s="3" t="s">
        <v>754</v>
      </c>
      <c r="D340" s="3" t="s">
        <v>755</v>
      </c>
      <c r="E340" s="3">
        <v>5.70056378245E11</v>
      </c>
      <c r="F340" s="3" t="s">
        <v>756</v>
      </c>
      <c r="G340" s="3" t="s">
        <v>581</v>
      </c>
      <c r="H340" s="3" t="s">
        <v>582</v>
      </c>
    </row>
    <row r="341" ht="15.75" customHeight="1">
      <c r="A341" s="3">
        <v>228.0</v>
      </c>
      <c r="B341" s="3" t="s">
        <v>757</v>
      </c>
      <c r="C341" s="3" t="s">
        <v>758</v>
      </c>
      <c r="D341" s="3" t="s">
        <v>759</v>
      </c>
      <c r="E341" s="3">
        <v>5.70056378246E11</v>
      </c>
      <c r="F341" s="3" t="s">
        <v>760</v>
      </c>
      <c r="G341" s="3" t="s">
        <v>581</v>
      </c>
      <c r="H341" s="3" t="s">
        <v>582</v>
      </c>
    </row>
    <row r="342" ht="15.75" customHeight="1">
      <c r="A342" s="3">
        <v>229.0</v>
      </c>
      <c r="B342" s="3" t="s">
        <v>761</v>
      </c>
      <c r="C342" s="3" t="s">
        <v>762</v>
      </c>
      <c r="D342" s="3" t="s">
        <v>763</v>
      </c>
      <c r="E342" s="3">
        <v>5.70056378249E11</v>
      </c>
      <c r="F342" s="3" t="s">
        <v>619</v>
      </c>
      <c r="G342" s="3" t="s">
        <v>581</v>
      </c>
      <c r="H342" s="3" t="s">
        <v>582</v>
      </c>
    </row>
    <row r="343" ht="15.75" customHeight="1">
      <c r="A343" s="3">
        <v>230.0</v>
      </c>
      <c r="B343" s="3" t="s">
        <v>764</v>
      </c>
      <c r="C343" s="3" t="s">
        <v>765</v>
      </c>
      <c r="D343" s="3" t="s">
        <v>766</v>
      </c>
      <c r="E343" s="3">
        <v>5.7005637825E11</v>
      </c>
      <c r="F343" s="3" t="s">
        <v>767</v>
      </c>
      <c r="G343" s="3" t="s">
        <v>608</v>
      </c>
      <c r="H343" s="3" t="s">
        <v>582</v>
      </c>
    </row>
    <row r="344" ht="15.75" customHeight="1">
      <c r="A344" s="3">
        <v>231.0</v>
      </c>
      <c r="B344" s="3" t="s">
        <v>768</v>
      </c>
      <c r="C344" s="3" t="s">
        <v>769</v>
      </c>
      <c r="D344" s="3" t="s">
        <v>770</v>
      </c>
      <c r="E344" s="3">
        <v>5.70056378251E11</v>
      </c>
      <c r="F344" s="3" t="s">
        <v>771</v>
      </c>
      <c r="G344" s="3" t="s">
        <v>581</v>
      </c>
      <c r="H344" s="3" t="s">
        <v>772</v>
      </c>
    </row>
    <row r="345" ht="15.75" customHeight="1">
      <c r="A345" s="3">
        <v>232.0</v>
      </c>
      <c r="B345" s="3" t="s">
        <v>830</v>
      </c>
      <c r="C345" s="3" t="s">
        <v>831</v>
      </c>
      <c r="D345" s="3" t="s">
        <v>832</v>
      </c>
      <c r="E345" s="3">
        <v>5.70056378255E11</v>
      </c>
      <c r="F345" s="3" t="s">
        <v>833</v>
      </c>
      <c r="G345" s="3" t="s">
        <v>581</v>
      </c>
      <c r="H345" s="3" t="s">
        <v>582</v>
      </c>
    </row>
    <row r="346" ht="15.75" customHeight="1">
      <c r="A346" s="3">
        <v>233.0</v>
      </c>
      <c r="B346" s="3" t="s">
        <v>834</v>
      </c>
      <c r="C346" s="3" t="s">
        <v>835</v>
      </c>
      <c r="D346" s="3" t="s">
        <v>836</v>
      </c>
      <c r="E346" s="3">
        <v>5.70056378257E11</v>
      </c>
      <c r="F346" s="3" t="s">
        <v>837</v>
      </c>
      <c r="G346" s="3" t="s">
        <v>581</v>
      </c>
      <c r="H346" s="3" t="s">
        <v>582</v>
      </c>
    </row>
    <row r="347" ht="15.75" customHeight="1">
      <c r="A347" s="3">
        <v>234.0</v>
      </c>
      <c r="B347" s="3" t="s">
        <v>838</v>
      </c>
      <c r="C347" s="3" t="s">
        <v>839</v>
      </c>
      <c r="D347" s="3" t="s">
        <v>840</v>
      </c>
      <c r="E347" s="3">
        <v>5.70056378258E11</v>
      </c>
      <c r="F347" s="3" t="s">
        <v>841</v>
      </c>
      <c r="G347" s="3" t="s">
        <v>581</v>
      </c>
      <c r="H347" s="3" t="s">
        <v>582</v>
      </c>
    </row>
    <row r="348" ht="15.75" customHeight="1">
      <c r="A348" s="3">
        <v>235.0</v>
      </c>
      <c r="B348" s="3" t="s">
        <v>842</v>
      </c>
      <c r="C348" s="3" t="s">
        <v>843</v>
      </c>
      <c r="D348" s="3" t="s">
        <v>844</v>
      </c>
      <c r="E348" s="3">
        <v>5.70056378261E11</v>
      </c>
      <c r="F348" s="3" t="s">
        <v>845</v>
      </c>
      <c r="G348" s="3" t="s">
        <v>581</v>
      </c>
      <c r="H348" s="3" t="s">
        <v>772</v>
      </c>
    </row>
    <row r="349" ht="15.75" customHeight="1">
      <c r="A349" s="3">
        <v>236.0</v>
      </c>
      <c r="B349" s="3" t="s">
        <v>846</v>
      </c>
      <c r="C349" s="3" t="s">
        <v>847</v>
      </c>
      <c r="D349" s="3" t="s">
        <v>848</v>
      </c>
      <c r="E349" s="3">
        <v>5.70056378262E11</v>
      </c>
      <c r="F349" s="3" t="s">
        <v>849</v>
      </c>
      <c r="G349" s="3" t="s">
        <v>581</v>
      </c>
      <c r="H349" s="3" t="s">
        <v>772</v>
      </c>
    </row>
    <row r="350" ht="15.75" customHeight="1">
      <c r="A350" s="3">
        <v>237.0</v>
      </c>
      <c r="B350" s="3" t="s">
        <v>850</v>
      </c>
      <c r="C350" s="3" t="s">
        <v>851</v>
      </c>
      <c r="D350" s="3" t="s">
        <v>852</v>
      </c>
      <c r="E350" s="3">
        <v>5.70056378263E11</v>
      </c>
      <c r="F350" s="3" t="s">
        <v>853</v>
      </c>
      <c r="G350" s="3" t="s">
        <v>581</v>
      </c>
      <c r="H350" s="3" t="s">
        <v>582</v>
      </c>
    </row>
    <row r="351" ht="15.75" customHeight="1">
      <c r="A351" s="3">
        <v>238.0</v>
      </c>
      <c r="B351" s="3" t="s">
        <v>854</v>
      </c>
      <c r="C351" s="3" t="s">
        <v>843</v>
      </c>
      <c r="D351" s="3" t="s">
        <v>855</v>
      </c>
      <c r="E351" s="3">
        <v>5.70056378264E11</v>
      </c>
      <c r="F351" s="3" t="s">
        <v>856</v>
      </c>
      <c r="G351" s="3" t="s">
        <v>581</v>
      </c>
      <c r="H351" s="3" t="s">
        <v>582</v>
      </c>
    </row>
    <row r="352" ht="15.75" customHeight="1">
      <c r="A352" s="3">
        <v>239.0</v>
      </c>
      <c r="B352" s="3" t="s">
        <v>857</v>
      </c>
      <c r="C352" s="3" t="s">
        <v>858</v>
      </c>
      <c r="D352" s="3" t="s">
        <v>859</v>
      </c>
      <c r="E352" s="3">
        <v>5.70056378269E11</v>
      </c>
      <c r="F352" s="3" t="s">
        <v>860</v>
      </c>
      <c r="G352" s="3" t="s">
        <v>581</v>
      </c>
      <c r="H352" s="3" t="s">
        <v>861</v>
      </c>
    </row>
    <row r="353" ht="15.75" customHeight="1">
      <c r="A353" s="3">
        <v>240.0</v>
      </c>
      <c r="B353" s="3" t="s">
        <v>862</v>
      </c>
      <c r="C353" s="3" t="s">
        <v>863</v>
      </c>
      <c r="D353" s="3" t="s">
        <v>864</v>
      </c>
      <c r="E353" s="3">
        <v>5.7005637827E11</v>
      </c>
      <c r="F353" s="3" t="s">
        <v>865</v>
      </c>
      <c r="G353" s="3" t="s">
        <v>581</v>
      </c>
      <c r="H353" s="3" t="s">
        <v>772</v>
      </c>
    </row>
    <row r="354" ht="15.75" customHeight="1">
      <c r="A354" s="3">
        <v>241.0</v>
      </c>
      <c r="B354" s="3" t="s">
        <v>866</v>
      </c>
      <c r="C354" s="3" t="s">
        <v>867</v>
      </c>
      <c r="D354" s="3" t="s">
        <v>722</v>
      </c>
      <c r="E354" s="3">
        <v>5.70056378273E11</v>
      </c>
      <c r="F354" s="3" t="s">
        <v>868</v>
      </c>
      <c r="G354" s="3" t="s">
        <v>581</v>
      </c>
      <c r="H354" s="3" t="s">
        <v>582</v>
      </c>
    </row>
    <row r="355" ht="15.75" customHeight="1">
      <c r="A355" s="3">
        <v>242.0</v>
      </c>
      <c r="B355" s="3" t="s">
        <v>869</v>
      </c>
      <c r="C355" s="3" t="s">
        <v>870</v>
      </c>
      <c r="D355" s="3" t="s">
        <v>871</v>
      </c>
      <c r="E355" s="3">
        <v>5.70056378274E11</v>
      </c>
      <c r="F355" s="3" t="s">
        <v>872</v>
      </c>
      <c r="G355" s="3" t="s">
        <v>581</v>
      </c>
      <c r="H355" s="3" t="s">
        <v>861</v>
      </c>
    </row>
    <row r="356" ht="15.75" customHeight="1">
      <c r="A356" s="3">
        <v>243.0</v>
      </c>
      <c r="B356" s="3" t="s">
        <v>873</v>
      </c>
      <c r="C356" s="3" t="s">
        <v>874</v>
      </c>
      <c r="D356" s="3" t="s">
        <v>875</v>
      </c>
      <c r="E356" s="3">
        <v>5.70056378275E11</v>
      </c>
      <c r="F356" s="3" t="s">
        <v>876</v>
      </c>
      <c r="G356" s="3" t="s">
        <v>581</v>
      </c>
      <c r="H356" s="3" t="s">
        <v>772</v>
      </c>
    </row>
    <row r="357" ht="15.75" customHeight="1">
      <c r="A357" s="3">
        <v>244.0</v>
      </c>
      <c r="B357" s="3" t="s">
        <v>877</v>
      </c>
      <c r="C357" s="3" t="s">
        <v>878</v>
      </c>
      <c r="D357" s="3" t="s">
        <v>879</v>
      </c>
      <c r="E357" s="3">
        <v>5.70056378277E11</v>
      </c>
      <c r="F357" s="3" t="s">
        <v>880</v>
      </c>
      <c r="G357" s="3" t="s">
        <v>581</v>
      </c>
      <c r="H357" s="3" t="s">
        <v>861</v>
      </c>
    </row>
    <row r="358" ht="15.75" customHeight="1">
      <c r="A358" s="3">
        <v>245.0</v>
      </c>
      <c r="B358" s="3" t="s">
        <v>881</v>
      </c>
      <c r="C358" s="3" t="s">
        <v>882</v>
      </c>
      <c r="D358" s="3" t="s">
        <v>883</v>
      </c>
      <c r="E358" s="3">
        <v>5.70056378278E11</v>
      </c>
      <c r="F358" s="3" t="s">
        <v>884</v>
      </c>
      <c r="G358" s="3" t="s">
        <v>581</v>
      </c>
      <c r="H358" s="3" t="s">
        <v>861</v>
      </c>
    </row>
    <row r="359" ht="15.75" customHeight="1">
      <c r="A359" s="3">
        <v>246.0</v>
      </c>
      <c r="B359" s="3" t="s">
        <v>885</v>
      </c>
      <c r="C359" s="3" t="s">
        <v>886</v>
      </c>
      <c r="D359" s="3" t="s">
        <v>887</v>
      </c>
      <c r="E359" s="3">
        <v>5.70056378279E11</v>
      </c>
      <c r="F359" s="3" t="s">
        <v>888</v>
      </c>
      <c r="G359" s="3" t="s">
        <v>581</v>
      </c>
      <c r="H359" s="3" t="s">
        <v>582</v>
      </c>
    </row>
    <row r="360" ht="15.75" customHeight="1">
      <c r="A360" s="3">
        <v>247.0</v>
      </c>
      <c r="B360" s="3" t="s">
        <v>889</v>
      </c>
      <c r="C360" s="3" t="s">
        <v>799</v>
      </c>
      <c r="D360" s="3" t="s">
        <v>871</v>
      </c>
      <c r="E360" s="3">
        <v>5.70056378281E11</v>
      </c>
      <c r="F360" s="3" t="s">
        <v>890</v>
      </c>
      <c r="G360" s="3" t="s">
        <v>581</v>
      </c>
      <c r="H360" s="3" t="s">
        <v>861</v>
      </c>
    </row>
    <row r="361" ht="15.75" customHeight="1">
      <c r="A361" s="3">
        <v>248.0</v>
      </c>
      <c r="B361" s="3" t="s">
        <v>891</v>
      </c>
      <c r="C361" s="3" t="s">
        <v>892</v>
      </c>
      <c r="D361" s="3" t="s">
        <v>893</v>
      </c>
      <c r="E361" s="3">
        <v>5.70056378282E11</v>
      </c>
      <c r="F361" s="3" t="s">
        <v>894</v>
      </c>
      <c r="G361" s="3" t="s">
        <v>581</v>
      </c>
      <c r="H361" s="3" t="s">
        <v>772</v>
      </c>
    </row>
    <row r="362" ht="15.75" customHeight="1">
      <c r="A362" s="3">
        <v>249.0</v>
      </c>
      <c r="B362" s="3" t="s">
        <v>895</v>
      </c>
      <c r="C362" s="3" t="s">
        <v>896</v>
      </c>
      <c r="D362" s="3" t="s">
        <v>897</v>
      </c>
      <c r="E362" s="3">
        <v>5.70056378284E11</v>
      </c>
      <c r="F362" s="3" t="s">
        <v>898</v>
      </c>
      <c r="G362" s="3" t="s">
        <v>581</v>
      </c>
      <c r="H362" s="3" t="s">
        <v>582</v>
      </c>
    </row>
    <row r="363" ht="15.75" customHeight="1">
      <c r="A363" s="3">
        <v>250.0</v>
      </c>
      <c r="B363" s="3" t="s">
        <v>899</v>
      </c>
      <c r="C363" s="3" t="s">
        <v>900</v>
      </c>
      <c r="D363" s="3" t="s">
        <v>901</v>
      </c>
      <c r="E363" s="3">
        <v>5.70056378286E11</v>
      </c>
      <c r="F363" s="3" t="s">
        <v>902</v>
      </c>
      <c r="G363" s="3" t="s">
        <v>581</v>
      </c>
      <c r="H363" s="3" t="s">
        <v>582</v>
      </c>
    </row>
    <row r="364" ht="15.75" customHeight="1">
      <c r="A364" s="3">
        <v>251.0</v>
      </c>
      <c r="B364" s="3" t="s">
        <v>877</v>
      </c>
      <c r="C364" s="3" t="s">
        <v>873</v>
      </c>
      <c r="D364" s="3" t="s">
        <v>903</v>
      </c>
      <c r="E364" s="3">
        <v>5.70056378287E11</v>
      </c>
      <c r="F364" s="3" t="s">
        <v>904</v>
      </c>
      <c r="G364" s="3" t="s">
        <v>581</v>
      </c>
      <c r="H364" s="3" t="s">
        <v>772</v>
      </c>
    </row>
    <row r="365" ht="15.75" customHeight="1">
      <c r="A365" s="3">
        <v>252.0</v>
      </c>
      <c r="B365" s="3" t="s">
        <v>905</v>
      </c>
      <c r="C365" s="3" t="s">
        <v>906</v>
      </c>
      <c r="D365" s="3" t="s">
        <v>907</v>
      </c>
      <c r="E365" s="3">
        <v>5.70056378291E11</v>
      </c>
      <c r="F365" s="3" t="s">
        <v>908</v>
      </c>
      <c r="G365" s="3" t="s">
        <v>581</v>
      </c>
      <c r="H365" s="3" t="s">
        <v>582</v>
      </c>
    </row>
    <row r="366" ht="15.75" customHeight="1">
      <c r="A366" s="3">
        <v>253.0</v>
      </c>
      <c r="B366" s="3" t="s">
        <v>909</v>
      </c>
      <c r="C366" s="3" t="s">
        <v>910</v>
      </c>
      <c r="D366" s="3" t="s">
        <v>911</v>
      </c>
      <c r="E366" s="3">
        <v>5.70056378293E11</v>
      </c>
      <c r="F366" s="3" t="s">
        <v>912</v>
      </c>
      <c r="G366" s="3" t="s">
        <v>581</v>
      </c>
      <c r="H366" s="3" t="s">
        <v>582</v>
      </c>
    </row>
    <row r="367" ht="15.75" customHeight="1">
      <c r="A367" s="3">
        <v>254.0</v>
      </c>
      <c r="B367" s="3" t="s">
        <v>913</v>
      </c>
      <c r="C367" s="3" t="s">
        <v>914</v>
      </c>
      <c r="D367" s="3" t="s">
        <v>915</v>
      </c>
      <c r="E367" s="3">
        <v>5.70056378294E11</v>
      </c>
      <c r="F367" s="3" t="s">
        <v>916</v>
      </c>
      <c r="G367" s="3" t="s">
        <v>581</v>
      </c>
      <c r="H367" s="3" t="s">
        <v>772</v>
      </c>
    </row>
    <row r="368" ht="15.75" customHeight="1">
      <c r="A368" s="3">
        <v>255.0</v>
      </c>
      <c r="B368" s="3" t="s">
        <v>917</v>
      </c>
      <c r="C368" s="3" t="s">
        <v>918</v>
      </c>
      <c r="D368" s="3" t="s">
        <v>919</v>
      </c>
      <c r="E368" s="3">
        <v>5.70056378298E11</v>
      </c>
      <c r="F368" s="3" t="s">
        <v>920</v>
      </c>
      <c r="G368" s="3" t="s">
        <v>581</v>
      </c>
      <c r="H368" s="3" t="s">
        <v>789</v>
      </c>
    </row>
    <row r="369" ht="15.75" customHeight="1">
      <c r="A369" s="3">
        <v>256.0</v>
      </c>
      <c r="B369" s="3" t="s">
        <v>921</v>
      </c>
      <c r="C369" s="3" t="s">
        <v>922</v>
      </c>
      <c r="D369" s="3" t="s">
        <v>923</v>
      </c>
      <c r="E369" s="3">
        <v>5.70056378303E11</v>
      </c>
      <c r="F369" s="3" t="s">
        <v>924</v>
      </c>
      <c r="G369" s="3" t="s">
        <v>925</v>
      </c>
      <c r="H369" s="3" t="s">
        <v>582</v>
      </c>
    </row>
    <row r="370" ht="15.75" customHeight="1">
      <c r="A370" s="3">
        <v>257.0</v>
      </c>
      <c r="B370" s="3" t="s">
        <v>926</v>
      </c>
      <c r="C370" s="3" t="s">
        <v>922</v>
      </c>
      <c r="D370" s="3" t="s">
        <v>927</v>
      </c>
      <c r="E370" s="3">
        <v>5.70056378305E11</v>
      </c>
      <c r="F370" s="3" t="s">
        <v>928</v>
      </c>
      <c r="G370" s="3" t="s">
        <v>925</v>
      </c>
      <c r="H370" s="3" t="s">
        <v>582</v>
      </c>
    </row>
    <row r="371" ht="15.75" customHeight="1">
      <c r="A371" s="3">
        <v>258.0</v>
      </c>
      <c r="B371" s="3" t="s">
        <v>929</v>
      </c>
      <c r="C371" s="3" t="s">
        <v>930</v>
      </c>
      <c r="D371" s="3" t="s">
        <v>931</v>
      </c>
      <c r="E371" s="3">
        <v>5.70056378307E11</v>
      </c>
      <c r="F371" s="3" t="s">
        <v>932</v>
      </c>
      <c r="G371" s="3" t="s">
        <v>925</v>
      </c>
      <c r="H371" s="3" t="s">
        <v>582</v>
      </c>
    </row>
    <row r="372" ht="15.75" customHeight="1">
      <c r="A372" s="3">
        <v>259.0</v>
      </c>
      <c r="B372" s="3" t="s">
        <v>933</v>
      </c>
      <c r="C372" s="3" t="s">
        <v>934</v>
      </c>
      <c r="D372" s="3" t="s">
        <v>935</v>
      </c>
      <c r="E372" s="3">
        <v>5.7005637831E11</v>
      </c>
      <c r="F372" s="3" t="s">
        <v>936</v>
      </c>
      <c r="G372" s="3" t="s">
        <v>925</v>
      </c>
      <c r="H372" s="3" t="s">
        <v>582</v>
      </c>
    </row>
    <row r="373" ht="15.75" customHeight="1">
      <c r="A373" s="3">
        <v>260.0</v>
      </c>
      <c r="B373" s="3" t="s">
        <v>937</v>
      </c>
      <c r="C373" s="3" t="s">
        <v>938</v>
      </c>
      <c r="D373" s="3" t="s">
        <v>939</v>
      </c>
      <c r="E373" s="3">
        <v>5.70056378312E11</v>
      </c>
      <c r="F373" s="3" t="s">
        <v>940</v>
      </c>
      <c r="G373" s="3" t="s">
        <v>925</v>
      </c>
      <c r="H373" s="3" t="s">
        <v>582</v>
      </c>
    </row>
    <row r="374" ht="15.75" customHeight="1">
      <c r="A374" s="3">
        <v>261.0</v>
      </c>
      <c r="B374" s="3" t="s">
        <v>941</v>
      </c>
      <c r="C374" s="3" t="s">
        <v>942</v>
      </c>
      <c r="D374" s="3" t="s">
        <v>943</v>
      </c>
      <c r="E374" s="3">
        <v>5.70056378314E11</v>
      </c>
      <c r="F374" s="3" t="s">
        <v>944</v>
      </c>
      <c r="G374" s="3" t="s">
        <v>925</v>
      </c>
      <c r="H374" s="3" t="s">
        <v>582</v>
      </c>
    </row>
    <row r="375" ht="15.75" customHeight="1">
      <c r="A375" s="3">
        <v>262.0</v>
      </c>
      <c r="B375" s="3" t="s">
        <v>945</v>
      </c>
      <c r="C375" s="3" t="s">
        <v>946</v>
      </c>
      <c r="D375" s="3" t="s">
        <v>943</v>
      </c>
      <c r="E375" s="3">
        <v>5.70056378317E11</v>
      </c>
      <c r="F375" s="3" t="s">
        <v>947</v>
      </c>
      <c r="G375" s="3" t="s">
        <v>581</v>
      </c>
      <c r="H375" s="3" t="s">
        <v>582</v>
      </c>
    </row>
    <row r="376" ht="15.75" customHeight="1">
      <c r="A376" s="3">
        <v>263.0</v>
      </c>
      <c r="B376" s="3" t="s">
        <v>948</v>
      </c>
      <c r="C376" s="3" t="s">
        <v>949</v>
      </c>
      <c r="D376" s="3" t="s">
        <v>950</v>
      </c>
      <c r="E376" s="3">
        <v>5.70056378319E11</v>
      </c>
      <c r="F376" s="3" t="s">
        <v>951</v>
      </c>
      <c r="G376" s="3" t="s">
        <v>952</v>
      </c>
      <c r="H376" s="3" t="s">
        <v>582</v>
      </c>
    </row>
    <row r="377" ht="15.75" customHeight="1">
      <c r="A377" s="3">
        <v>264.0</v>
      </c>
      <c r="B377" s="3" t="s">
        <v>953</v>
      </c>
      <c r="C377" s="3" t="s">
        <v>954</v>
      </c>
      <c r="D377" s="3" t="s">
        <v>955</v>
      </c>
      <c r="E377" s="3">
        <v>5.70056378321E11</v>
      </c>
      <c r="F377" s="3" t="s">
        <v>956</v>
      </c>
      <c r="G377" s="3" t="s">
        <v>581</v>
      </c>
      <c r="H377" s="3" t="s">
        <v>582</v>
      </c>
    </row>
    <row r="378" ht="15.75" customHeight="1">
      <c r="A378" s="3">
        <v>265.0</v>
      </c>
      <c r="B378" s="3" t="s">
        <v>957</v>
      </c>
      <c r="C378" s="3" t="s">
        <v>958</v>
      </c>
      <c r="D378" s="3" t="s">
        <v>844</v>
      </c>
      <c r="E378" s="3">
        <v>5.70056378323E11</v>
      </c>
      <c r="F378" s="3" t="s">
        <v>959</v>
      </c>
      <c r="G378" s="3" t="s">
        <v>925</v>
      </c>
      <c r="H378" s="3" t="s">
        <v>582</v>
      </c>
    </row>
    <row r="379" ht="15.75" customHeight="1">
      <c r="A379" s="3">
        <v>266.0</v>
      </c>
      <c r="B379" s="3" t="s">
        <v>960</v>
      </c>
      <c r="C379" s="3" t="s">
        <v>961</v>
      </c>
      <c r="D379" s="3" t="s">
        <v>962</v>
      </c>
      <c r="E379" s="3">
        <v>5.70056378324E11</v>
      </c>
      <c r="F379" s="3" t="s">
        <v>963</v>
      </c>
      <c r="G379" s="3" t="s">
        <v>581</v>
      </c>
      <c r="H379" s="3" t="s">
        <v>582</v>
      </c>
    </row>
    <row r="380" ht="15.75" customHeight="1">
      <c r="A380" s="3">
        <v>267.0</v>
      </c>
      <c r="B380" s="3" t="s">
        <v>964</v>
      </c>
      <c r="C380" s="3" t="s">
        <v>965</v>
      </c>
      <c r="D380" s="3" t="s">
        <v>966</v>
      </c>
      <c r="E380" s="3">
        <v>5.70056378326E11</v>
      </c>
      <c r="F380" s="3" t="s">
        <v>967</v>
      </c>
      <c r="G380" s="3" t="s">
        <v>581</v>
      </c>
      <c r="H380" s="3" t="s">
        <v>582</v>
      </c>
    </row>
    <row r="381" ht="15.75" customHeight="1">
      <c r="A381" s="3">
        <v>268.0</v>
      </c>
      <c r="B381" s="3" t="s">
        <v>968</v>
      </c>
      <c r="C381" s="3" t="s">
        <v>964</v>
      </c>
      <c r="D381" s="3" t="s">
        <v>969</v>
      </c>
      <c r="E381" s="3">
        <v>5.70056378328E11</v>
      </c>
      <c r="F381" s="3" t="s">
        <v>970</v>
      </c>
      <c r="G381" s="3" t="s">
        <v>581</v>
      </c>
      <c r="H381" s="3" t="s">
        <v>582</v>
      </c>
    </row>
    <row r="382" ht="15.75" customHeight="1">
      <c r="A382" s="3">
        <v>269.0</v>
      </c>
      <c r="B382" s="3" t="s">
        <v>971</v>
      </c>
      <c r="C382" s="3" t="s">
        <v>972</v>
      </c>
      <c r="D382" s="3" t="s">
        <v>973</v>
      </c>
      <c r="E382" s="3">
        <v>5.70056378329E11</v>
      </c>
      <c r="F382" s="3" t="s">
        <v>974</v>
      </c>
      <c r="G382" s="3" t="s">
        <v>581</v>
      </c>
      <c r="H382" s="3" t="s">
        <v>582</v>
      </c>
    </row>
    <row r="383" ht="15.75" customHeight="1">
      <c r="A383" s="3">
        <v>270.0</v>
      </c>
      <c r="B383" s="3" t="s">
        <v>975</v>
      </c>
      <c r="C383" s="3" t="s">
        <v>976</v>
      </c>
      <c r="D383" s="3" t="s">
        <v>977</v>
      </c>
      <c r="E383" s="3">
        <v>5.70056378331E11</v>
      </c>
      <c r="F383" s="3" t="s">
        <v>978</v>
      </c>
      <c r="G383" s="3" t="s">
        <v>581</v>
      </c>
      <c r="H383" s="3" t="s">
        <v>582</v>
      </c>
    </row>
    <row r="384" ht="15.75" customHeight="1">
      <c r="A384" s="3">
        <v>271.0</v>
      </c>
      <c r="B384" s="3" t="s">
        <v>979</v>
      </c>
      <c r="C384" s="3" t="s">
        <v>980</v>
      </c>
      <c r="D384" s="3" t="s">
        <v>981</v>
      </c>
      <c r="E384" s="3">
        <v>5.70056378336E11</v>
      </c>
      <c r="F384" s="3" t="s">
        <v>936</v>
      </c>
      <c r="G384" s="3" t="s">
        <v>581</v>
      </c>
      <c r="H384" s="3" t="s">
        <v>582</v>
      </c>
    </row>
    <row r="385" ht="15.75" customHeight="1">
      <c r="A385" s="3">
        <v>272.0</v>
      </c>
      <c r="B385" s="3" t="s">
        <v>982</v>
      </c>
      <c r="C385" s="3" t="s">
        <v>983</v>
      </c>
      <c r="D385" s="3" t="s">
        <v>984</v>
      </c>
      <c r="E385" s="3">
        <v>5.70056378339E11</v>
      </c>
      <c r="F385" s="3" t="s">
        <v>985</v>
      </c>
      <c r="G385" s="3" t="s">
        <v>599</v>
      </c>
      <c r="H385" s="3" t="s">
        <v>582</v>
      </c>
    </row>
    <row r="386" ht="15.75" customHeight="1">
      <c r="A386" s="3">
        <v>273.0</v>
      </c>
      <c r="B386" s="3" t="s">
        <v>986</v>
      </c>
      <c r="C386" s="3" t="s">
        <v>987</v>
      </c>
      <c r="D386" s="3" t="s">
        <v>988</v>
      </c>
      <c r="E386" s="3">
        <v>5.7005637834E11</v>
      </c>
      <c r="F386" s="3" t="s">
        <v>989</v>
      </c>
      <c r="G386" s="3" t="s">
        <v>676</v>
      </c>
      <c r="H386" s="3" t="s">
        <v>582</v>
      </c>
    </row>
    <row r="387" ht="15.75" customHeight="1">
      <c r="A387" s="3">
        <v>274.0</v>
      </c>
      <c r="B387" s="3" t="s">
        <v>990</v>
      </c>
      <c r="C387" s="3" t="s">
        <v>991</v>
      </c>
      <c r="D387" s="3" t="s">
        <v>992</v>
      </c>
      <c r="E387" s="3">
        <v>5.7005637835E11</v>
      </c>
      <c r="F387" s="3" t="s">
        <v>993</v>
      </c>
      <c r="G387" s="3" t="s">
        <v>581</v>
      </c>
      <c r="H387" s="3" t="s">
        <v>582</v>
      </c>
    </row>
    <row r="388" ht="15.75" customHeight="1">
      <c r="A388" s="3">
        <v>275.0</v>
      </c>
      <c r="B388" s="3" t="s">
        <v>994</v>
      </c>
      <c r="C388" s="3" t="s">
        <v>995</v>
      </c>
      <c r="D388" s="3" t="s">
        <v>996</v>
      </c>
      <c r="E388" s="3">
        <v>5.70056378356E11</v>
      </c>
      <c r="F388" s="3" t="s">
        <v>997</v>
      </c>
      <c r="G388" s="3" t="s">
        <v>581</v>
      </c>
      <c r="H388" s="3" t="s">
        <v>582</v>
      </c>
    </row>
    <row r="389" ht="15.75" customHeight="1">
      <c r="A389" s="3">
        <v>276.0</v>
      </c>
      <c r="B389" s="3" t="s">
        <v>998</v>
      </c>
      <c r="C389" s="3" t="s">
        <v>999</v>
      </c>
      <c r="D389" s="3" t="s">
        <v>996</v>
      </c>
      <c r="E389" s="3">
        <v>5.70056378355E11</v>
      </c>
      <c r="F389" s="3" t="s">
        <v>1000</v>
      </c>
      <c r="G389" s="3" t="s">
        <v>581</v>
      </c>
      <c r="H389" s="3" t="s">
        <v>582</v>
      </c>
    </row>
    <row r="390" ht="15.75" customHeight="1">
      <c r="A390" s="3">
        <v>277.0</v>
      </c>
      <c r="B390" s="3" t="s">
        <v>1001</v>
      </c>
      <c r="C390" s="3" t="s">
        <v>1002</v>
      </c>
      <c r="D390" s="3" t="s">
        <v>1003</v>
      </c>
      <c r="E390" s="3">
        <v>5.70056378378E11</v>
      </c>
      <c r="F390" s="3" t="s">
        <v>1004</v>
      </c>
      <c r="G390" s="3" t="s">
        <v>581</v>
      </c>
      <c r="H390" s="3" t="s">
        <v>582</v>
      </c>
    </row>
    <row r="391" ht="15.75" customHeight="1">
      <c r="A391" s="3">
        <v>278.0</v>
      </c>
      <c r="B391" s="3" t="s">
        <v>960</v>
      </c>
      <c r="C391" s="3" t="s">
        <v>1005</v>
      </c>
      <c r="D391" s="3" t="s">
        <v>629</v>
      </c>
      <c r="E391" s="3">
        <v>5.70056378392E11</v>
      </c>
      <c r="F391" s="3" t="s">
        <v>1006</v>
      </c>
      <c r="G391" s="3" t="s">
        <v>581</v>
      </c>
      <c r="H391" s="3" t="s">
        <v>582</v>
      </c>
    </row>
    <row r="392" ht="15.75" customHeight="1">
      <c r="A392" s="3">
        <v>279.0</v>
      </c>
      <c r="B392" s="3" t="s">
        <v>1007</v>
      </c>
      <c r="C392" s="3" t="s">
        <v>1008</v>
      </c>
      <c r="D392" s="3" t="s">
        <v>1009</v>
      </c>
      <c r="E392" s="3">
        <v>5.70056378394E11</v>
      </c>
      <c r="F392" s="3" t="s">
        <v>1010</v>
      </c>
      <c r="G392" s="3" t="s">
        <v>581</v>
      </c>
      <c r="H392" s="3" t="s">
        <v>582</v>
      </c>
    </row>
    <row r="393" ht="15.75" customHeight="1">
      <c r="A393" s="3">
        <v>280.0</v>
      </c>
      <c r="B393" s="3" t="s">
        <v>1011</v>
      </c>
      <c r="C393" s="3" t="s">
        <v>1012</v>
      </c>
      <c r="D393" s="3" t="s">
        <v>1013</v>
      </c>
      <c r="E393" s="3">
        <v>5.70056378401E11</v>
      </c>
      <c r="F393" s="3" t="s">
        <v>1014</v>
      </c>
      <c r="G393" s="3" t="s">
        <v>581</v>
      </c>
      <c r="H393" s="3" t="s">
        <v>582</v>
      </c>
    </row>
    <row r="394" ht="15.75" customHeight="1">
      <c r="A394" s="3">
        <v>281.0</v>
      </c>
      <c r="B394" s="3" t="s">
        <v>1015</v>
      </c>
      <c r="C394" s="3" t="s">
        <v>1016</v>
      </c>
      <c r="D394" s="3" t="s">
        <v>1017</v>
      </c>
      <c r="E394" s="3">
        <v>5.70056378402E11</v>
      </c>
      <c r="F394" s="3" t="s">
        <v>1018</v>
      </c>
      <c r="G394" s="3" t="s">
        <v>581</v>
      </c>
      <c r="H394" s="3" t="s">
        <v>582</v>
      </c>
    </row>
    <row r="395" ht="15.75" customHeight="1">
      <c r="A395" s="3">
        <v>282.0</v>
      </c>
      <c r="B395" s="3" t="s">
        <v>1019</v>
      </c>
      <c r="C395" s="3" t="s">
        <v>1020</v>
      </c>
      <c r="D395" s="3" t="s">
        <v>1021</v>
      </c>
      <c r="E395" s="3">
        <v>5.70056378403E11</v>
      </c>
      <c r="F395" s="3" t="s">
        <v>1022</v>
      </c>
      <c r="G395" s="3" t="s">
        <v>581</v>
      </c>
      <c r="H395" s="3" t="s">
        <v>582</v>
      </c>
    </row>
    <row r="396" ht="15.75" customHeight="1">
      <c r="A396" s="3">
        <v>283.0</v>
      </c>
      <c r="B396" s="3" t="s">
        <v>1023</v>
      </c>
      <c r="C396" s="3" t="s">
        <v>1024</v>
      </c>
      <c r="D396" s="3" t="s">
        <v>1025</v>
      </c>
      <c r="E396" s="3">
        <v>5.70056378406E11</v>
      </c>
      <c r="F396" s="3" t="s">
        <v>1000</v>
      </c>
      <c r="G396" s="3" t="s">
        <v>676</v>
      </c>
      <c r="H396" s="3" t="s">
        <v>582</v>
      </c>
    </row>
    <row r="397" ht="15.75" customHeight="1">
      <c r="A397" s="3">
        <v>284.0</v>
      </c>
      <c r="B397" s="3" t="s">
        <v>1026</v>
      </c>
      <c r="C397" s="3" t="s">
        <v>1016</v>
      </c>
      <c r="D397" s="3" t="s">
        <v>1017</v>
      </c>
      <c r="E397" s="3">
        <v>5.70056378408E11</v>
      </c>
      <c r="F397" s="3" t="s">
        <v>1027</v>
      </c>
      <c r="G397" s="3" t="s">
        <v>581</v>
      </c>
      <c r="H397" s="3" t="s">
        <v>582</v>
      </c>
    </row>
    <row r="398" ht="15.75" customHeight="1">
      <c r="A398" s="3">
        <v>285.0</v>
      </c>
      <c r="B398" s="3" t="s">
        <v>1028</v>
      </c>
      <c r="C398" s="3" t="s">
        <v>1016</v>
      </c>
      <c r="D398" s="3" t="s">
        <v>981</v>
      </c>
      <c r="E398" s="3">
        <v>5.70056378409E11</v>
      </c>
      <c r="F398" s="3" t="s">
        <v>1029</v>
      </c>
      <c r="G398" s="3" t="s">
        <v>581</v>
      </c>
      <c r="H398" s="3" t="s">
        <v>582</v>
      </c>
    </row>
    <row r="399" ht="15.75" customHeight="1">
      <c r="A399" s="3">
        <v>286.0</v>
      </c>
      <c r="B399" s="3" t="s">
        <v>1030</v>
      </c>
      <c r="C399" s="3" t="s">
        <v>999</v>
      </c>
      <c r="D399" s="3" t="s">
        <v>1031</v>
      </c>
      <c r="E399" s="3">
        <v>5.7005637841E11</v>
      </c>
      <c r="F399" s="3" t="s">
        <v>1032</v>
      </c>
      <c r="G399" s="3" t="s">
        <v>581</v>
      </c>
      <c r="H399" s="3" t="s">
        <v>582</v>
      </c>
    </row>
    <row r="400" ht="15.75" customHeight="1">
      <c r="A400" s="3">
        <v>287.0</v>
      </c>
      <c r="B400" s="3" t="s">
        <v>1033</v>
      </c>
      <c r="C400" s="3" t="s">
        <v>1034</v>
      </c>
      <c r="D400" s="3" t="s">
        <v>1035</v>
      </c>
      <c r="E400" s="3">
        <v>5.70056378411E11</v>
      </c>
      <c r="F400" s="3" t="s">
        <v>1036</v>
      </c>
      <c r="G400" s="3" t="s">
        <v>676</v>
      </c>
      <c r="H400" s="3" t="s">
        <v>582</v>
      </c>
    </row>
    <row r="401" ht="15.75" customHeight="1">
      <c r="A401" s="3">
        <v>288.0</v>
      </c>
      <c r="B401" s="3" t="s">
        <v>1037</v>
      </c>
      <c r="C401" s="3" t="s">
        <v>999</v>
      </c>
      <c r="D401" s="3" t="s">
        <v>1038</v>
      </c>
      <c r="E401" s="3">
        <v>5.70056378413E11</v>
      </c>
      <c r="F401" s="3" t="s">
        <v>1039</v>
      </c>
      <c r="G401" s="3" t="s">
        <v>676</v>
      </c>
      <c r="H401" s="3" t="s">
        <v>582</v>
      </c>
    </row>
    <row r="402" ht="15.75" customHeight="1">
      <c r="A402" s="3">
        <v>289.0</v>
      </c>
      <c r="B402" s="3" t="s">
        <v>1040</v>
      </c>
      <c r="C402" s="3" t="s">
        <v>1041</v>
      </c>
      <c r="D402" s="3" t="s">
        <v>1042</v>
      </c>
      <c r="E402" s="3">
        <v>5.70056378415E11</v>
      </c>
      <c r="F402" s="3" t="s">
        <v>1043</v>
      </c>
      <c r="G402" s="3" t="s">
        <v>581</v>
      </c>
      <c r="H402" s="3" t="s">
        <v>582</v>
      </c>
    </row>
    <row r="403" ht="15.75" customHeight="1">
      <c r="A403" s="3">
        <v>290.0</v>
      </c>
      <c r="B403" s="3" t="s">
        <v>1044</v>
      </c>
      <c r="C403" s="3" t="s">
        <v>1045</v>
      </c>
      <c r="D403" s="3" t="s">
        <v>1046</v>
      </c>
      <c r="E403" s="3">
        <v>5.70056378416E11</v>
      </c>
      <c r="F403" s="3" t="s">
        <v>1047</v>
      </c>
      <c r="G403" s="3" t="s">
        <v>676</v>
      </c>
      <c r="H403" s="3" t="s">
        <v>582</v>
      </c>
    </row>
    <row r="404" ht="15.75" customHeight="1">
      <c r="A404" s="3">
        <v>291.0</v>
      </c>
      <c r="B404" s="3" t="s">
        <v>1048</v>
      </c>
      <c r="C404" s="3" t="s">
        <v>1049</v>
      </c>
      <c r="D404" s="3" t="s">
        <v>1046</v>
      </c>
      <c r="E404" s="3">
        <v>5.70056378417E11</v>
      </c>
      <c r="F404" s="3" t="s">
        <v>689</v>
      </c>
      <c r="G404" s="3" t="s">
        <v>676</v>
      </c>
      <c r="H404" s="3" t="s">
        <v>582</v>
      </c>
    </row>
    <row r="405" ht="15.75" customHeight="1">
      <c r="A405" s="3">
        <v>292.0</v>
      </c>
      <c r="B405" s="3" t="s">
        <v>1050</v>
      </c>
      <c r="C405" s="3" t="s">
        <v>1051</v>
      </c>
      <c r="D405" s="3" t="s">
        <v>1052</v>
      </c>
      <c r="E405" s="3">
        <v>5.70056378418E11</v>
      </c>
      <c r="F405" s="3" t="s">
        <v>1053</v>
      </c>
      <c r="G405" s="3" t="s">
        <v>676</v>
      </c>
      <c r="H405" s="3" t="s">
        <v>582</v>
      </c>
    </row>
    <row r="406" ht="15.75" customHeight="1">
      <c r="A406" s="3">
        <v>293.0</v>
      </c>
      <c r="B406" s="3" t="s">
        <v>1054</v>
      </c>
      <c r="C406" s="3" t="s">
        <v>1051</v>
      </c>
      <c r="D406" s="3" t="s">
        <v>1055</v>
      </c>
      <c r="E406" s="3">
        <v>5.70056378419E11</v>
      </c>
      <c r="F406" s="3" t="s">
        <v>689</v>
      </c>
      <c r="G406" s="3" t="s">
        <v>676</v>
      </c>
      <c r="H406" s="3" t="s">
        <v>582</v>
      </c>
    </row>
    <row r="407" ht="15.75" customHeight="1">
      <c r="A407" s="3">
        <v>294.0</v>
      </c>
      <c r="B407" s="3" t="s">
        <v>1056</v>
      </c>
      <c r="C407" s="3" t="s">
        <v>1057</v>
      </c>
      <c r="D407" s="3" t="s">
        <v>1058</v>
      </c>
      <c r="E407" s="3">
        <v>5.70056378425E11</v>
      </c>
      <c r="F407" s="3" t="s">
        <v>1059</v>
      </c>
      <c r="G407" s="3" t="s">
        <v>581</v>
      </c>
      <c r="H407" s="3" t="s">
        <v>582</v>
      </c>
    </row>
    <row r="408" ht="15.75" customHeight="1">
      <c r="A408" s="3">
        <v>295.0</v>
      </c>
      <c r="B408" s="3" t="s">
        <v>1060</v>
      </c>
      <c r="C408" s="3" t="s">
        <v>1061</v>
      </c>
      <c r="D408" s="3" t="s">
        <v>1062</v>
      </c>
      <c r="E408" s="3">
        <v>5.70056378433E11</v>
      </c>
      <c r="F408" s="3" t="s">
        <v>1029</v>
      </c>
      <c r="G408" s="3" t="s">
        <v>676</v>
      </c>
      <c r="H408" s="3" t="s">
        <v>582</v>
      </c>
    </row>
    <row r="409" ht="15.75" customHeight="1">
      <c r="A409" s="3">
        <v>296.0</v>
      </c>
      <c r="B409" s="3" t="s">
        <v>1056</v>
      </c>
      <c r="C409" s="3" t="s">
        <v>1034</v>
      </c>
      <c r="D409" s="3" t="s">
        <v>1035</v>
      </c>
      <c r="E409" s="3">
        <v>5.70056378438E11</v>
      </c>
      <c r="F409" s="3" t="s">
        <v>1027</v>
      </c>
      <c r="G409" s="3" t="s">
        <v>581</v>
      </c>
      <c r="H409" s="3" t="s">
        <v>582</v>
      </c>
    </row>
    <row r="410" ht="15.75" customHeight="1">
      <c r="A410" s="3">
        <v>297.0</v>
      </c>
      <c r="B410" s="3" t="s">
        <v>1063</v>
      </c>
      <c r="C410" s="3" t="s">
        <v>1064</v>
      </c>
      <c r="D410" s="3" t="s">
        <v>1065</v>
      </c>
      <c r="E410" s="3">
        <v>5.70056378444E11</v>
      </c>
      <c r="F410" s="3" t="s">
        <v>1066</v>
      </c>
      <c r="G410" s="3" t="s">
        <v>581</v>
      </c>
      <c r="H410" s="3" t="s">
        <v>582</v>
      </c>
    </row>
    <row r="411" ht="15.75" customHeight="1">
      <c r="A411" s="3">
        <v>298.0</v>
      </c>
      <c r="B411" s="3" t="s">
        <v>1067</v>
      </c>
      <c r="C411" s="3" t="s">
        <v>1068</v>
      </c>
      <c r="D411" s="3" t="s">
        <v>1031</v>
      </c>
      <c r="E411" s="3">
        <v>5.70056378451E11</v>
      </c>
      <c r="F411" s="3" t="s">
        <v>1069</v>
      </c>
      <c r="G411" s="3" t="s">
        <v>925</v>
      </c>
      <c r="H411" s="3" t="s">
        <v>582</v>
      </c>
    </row>
    <row r="412" ht="15.75" customHeight="1">
      <c r="A412" s="3">
        <v>299.0</v>
      </c>
      <c r="B412" s="3" t="s">
        <v>1070</v>
      </c>
      <c r="C412" s="3" t="s">
        <v>1071</v>
      </c>
      <c r="D412" s="3" t="s">
        <v>1072</v>
      </c>
      <c r="E412" s="3">
        <v>5.70056378452E11</v>
      </c>
      <c r="F412" s="3" t="s">
        <v>1073</v>
      </c>
      <c r="G412" s="3" t="s">
        <v>581</v>
      </c>
      <c r="H412" s="3" t="s">
        <v>582</v>
      </c>
    </row>
    <row r="413" ht="15.75" customHeight="1">
      <c r="A413" s="3">
        <v>300.0</v>
      </c>
      <c r="B413" s="3" t="s">
        <v>1074</v>
      </c>
      <c r="C413" s="3" t="s">
        <v>1075</v>
      </c>
      <c r="D413" s="3" t="s">
        <v>1076</v>
      </c>
      <c r="E413" s="3">
        <v>5.70056378454E11</v>
      </c>
      <c r="F413" s="3" t="s">
        <v>1077</v>
      </c>
      <c r="G413" s="3" t="s">
        <v>581</v>
      </c>
      <c r="H413" s="3" t="s">
        <v>582</v>
      </c>
    </row>
    <row r="414" ht="15.75" customHeight="1">
      <c r="A414" s="3">
        <v>301.0</v>
      </c>
      <c r="B414" s="3" t="s">
        <v>1078</v>
      </c>
      <c r="C414" s="3" t="s">
        <v>1079</v>
      </c>
      <c r="D414" s="3" t="s">
        <v>1080</v>
      </c>
      <c r="E414" s="3">
        <v>5.70056378455E11</v>
      </c>
      <c r="F414" s="3" t="s">
        <v>1081</v>
      </c>
      <c r="G414" s="3" t="s">
        <v>925</v>
      </c>
      <c r="H414" s="3" t="s">
        <v>582</v>
      </c>
    </row>
    <row r="415" ht="15.75" customHeight="1">
      <c r="A415" s="3">
        <v>302.0</v>
      </c>
      <c r="B415" s="3" t="s">
        <v>1082</v>
      </c>
      <c r="C415" s="3" t="s">
        <v>1083</v>
      </c>
      <c r="D415" s="3" t="s">
        <v>1084</v>
      </c>
      <c r="E415" s="3">
        <v>5.70056378456E11</v>
      </c>
      <c r="F415" s="3" t="s">
        <v>1085</v>
      </c>
      <c r="G415" s="3" t="s">
        <v>925</v>
      </c>
      <c r="H415" s="3" t="s">
        <v>582</v>
      </c>
    </row>
    <row r="416" ht="15.75" customHeight="1">
      <c r="A416" s="3">
        <v>303.0</v>
      </c>
      <c r="B416" s="3" t="s">
        <v>1086</v>
      </c>
      <c r="C416" s="3" t="s">
        <v>1087</v>
      </c>
      <c r="D416" s="3" t="s">
        <v>1088</v>
      </c>
      <c r="E416" s="3">
        <v>5.70056378457E11</v>
      </c>
      <c r="F416" s="3" t="s">
        <v>1089</v>
      </c>
      <c r="G416" s="3" t="s">
        <v>581</v>
      </c>
      <c r="H416" s="3" t="s">
        <v>582</v>
      </c>
    </row>
    <row r="417" ht="15.75" customHeight="1">
      <c r="A417" s="3">
        <v>304.0</v>
      </c>
      <c r="B417" s="3" t="s">
        <v>1090</v>
      </c>
      <c r="C417" s="3" t="s">
        <v>1091</v>
      </c>
      <c r="D417" s="3" t="s">
        <v>1092</v>
      </c>
      <c r="E417" s="3">
        <v>5.70056378458E11</v>
      </c>
      <c r="F417" s="3" t="s">
        <v>1093</v>
      </c>
      <c r="G417" s="3" t="s">
        <v>581</v>
      </c>
      <c r="H417" s="3" t="s">
        <v>582</v>
      </c>
    </row>
    <row r="418" ht="15.75" customHeight="1">
      <c r="A418" s="3">
        <v>305.0</v>
      </c>
      <c r="B418" s="3" t="s">
        <v>1094</v>
      </c>
      <c r="C418" s="3" t="s">
        <v>1095</v>
      </c>
      <c r="D418" s="3" t="s">
        <v>1096</v>
      </c>
      <c r="E418" s="3">
        <v>5.70056378461E11</v>
      </c>
      <c r="F418" s="3" t="s">
        <v>1097</v>
      </c>
      <c r="G418" s="3" t="s">
        <v>581</v>
      </c>
      <c r="H418" s="3" t="s">
        <v>582</v>
      </c>
    </row>
    <row r="419" ht="15.75" customHeight="1">
      <c r="A419" s="3">
        <v>306.0</v>
      </c>
      <c r="B419" s="3" t="s">
        <v>1098</v>
      </c>
      <c r="C419" s="3" t="s">
        <v>1095</v>
      </c>
      <c r="D419" s="3" t="s">
        <v>1099</v>
      </c>
      <c r="E419" s="3">
        <v>5.70056378462E11</v>
      </c>
      <c r="F419" s="3" t="s">
        <v>1100</v>
      </c>
      <c r="G419" s="3" t="s">
        <v>581</v>
      </c>
      <c r="H419" s="3" t="s">
        <v>582</v>
      </c>
    </row>
    <row r="420" ht="15.75" customHeight="1">
      <c r="A420" s="3">
        <v>307.0</v>
      </c>
      <c r="B420" s="3" t="s">
        <v>1101</v>
      </c>
      <c r="C420" s="3" t="s">
        <v>1102</v>
      </c>
      <c r="D420" s="3" t="s">
        <v>1103</v>
      </c>
      <c r="E420" s="3">
        <v>5.70056378463E11</v>
      </c>
      <c r="F420" s="3" t="s">
        <v>1104</v>
      </c>
      <c r="G420" s="3" t="s">
        <v>581</v>
      </c>
      <c r="H420" s="3" t="s">
        <v>582</v>
      </c>
    </row>
    <row r="421" ht="15.75" customHeight="1">
      <c r="A421" s="3">
        <v>309.0</v>
      </c>
      <c r="B421" s="3" t="s">
        <v>1105</v>
      </c>
      <c r="C421" s="3" t="s">
        <v>1106</v>
      </c>
      <c r="D421" s="3" t="s">
        <v>1031</v>
      </c>
      <c r="E421" s="3">
        <v>5.70056378469E11</v>
      </c>
      <c r="F421" s="3" t="s">
        <v>1107</v>
      </c>
      <c r="G421" s="3" t="s">
        <v>581</v>
      </c>
      <c r="H421" s="3" t="s">
        <v>582</v>
      </c>
    </row>
    <row r="422" ht="15.75" customHeight="1">
      <c r="A422" s="3">
        <v>310.0</v>
      </c>
      <c r="B422" s="3" t="s">
        <v>1064</v>
      </c>
      <c r="C422" s="3" t="s">
        <v>1108</v>
      </c>
      <c r="D422" s="3" t="s">
        <v>1109</v>
      </c>
      <c r="E422" s="3">
        <v>5.70056378472E11</v>
      </c>
      <c r="F422" s="3" t="s">
        <v>1110</v>
      </c>
      <c r="G422" s="3" t="s">
        <v>581</v>
      </c>
      <c r="H422" s="3" t="s">
        <v>582</v>
      </c>
    </row>
    <row r="423" ht="15.75" customHeight="1">
      <c r="A423" s="3">
        <v>311.0</v>
      </c>
      <c r="B423" s="3" t="s">
        <v>1111</v>
      </c>
      <c r="C423" s="3" t="s">
        <v>1112</v>
      </c>
      <c r="D423" s="3" t="s">
        <v>1113</v>
      </c>
      <c r="E423" s="3">
        <v>5.70056378473E11</v>
      </c>
      <c r="F423" s="3" t="s">
        <v>978</v>
      </c>
      <c r="G423" s="3" t="s">
        <v>581</v>
      </c>
      <c r="H423" s="3" t="s">
        <v>582</v>
      </c>
    </row>
    <row r="424" ht="15.75" customHeight="1">
      <c r="A424" s="3">
        <v>312.0</v>
      </c>
      <c r="B424" s="3" t="s">
        <v>1114</v>
      </c>
      <c r="C424" s="3" t="s">
        <v>1115</v>
      </c>
      <c r="D424" s="3" t="s">
        <v>1116</v>
      </c>
      <c r="E424" s="3">
        <v>5.70056378474E11</v>
      </c>
      <c r="F424" s="3" t="s">
        <v>1117</v>
      </c>
      <c r="G424" s="3" t="s">
        <v>608</v>
      </c>
      <c r="H424" s="3" t="s">
        <v>582</v>
      </c>
    </row>
    <row r="425" ht="15.75" customHeight="1">
      <c r="A425" s="3">
        <v>313.0</v>
      </c>
      <c r="B425" s="3" t="s">
        <v>1118</v>
      </c>
      <c r="C425" s="3" t="s">
        <v>1119</v>
      </c>
      <c r="D425" s="3" t="s">
        <v>1103</v>
      </c>
      <c r="E425" s="3">
        <v>5.70056378477E11</v>
      </c>
      <c r="F425" s="3" t="s">
        <v>1120</v>
      </c>
      <c r="G425" s="3" t="s">
        <v>581</v>
      </c>
      <c r="H425" s="3" t="s">
        <v>582</v>
      </c>
    </row>
    <row r="426" ht="15.75" customHeight="1">
      <c r="A426" s="3">
        <v>314.0</v>
      </c>
      <c r="B426" s="3" t="s">
        <v>1121</v>
      </c>
      <c r="C426" s="3" t="s">
        <v>1108</v>
      </c>
      <c r="D426" s="3" t="s">
        <v>1122</v>
      </c>
      <c r="E426" s="3">
        <v>5.70056378478E11</v>
      </c>
      <c r="F426" s="3" t="s">
        <v>1123</v>
      </c>
      <c r="G426" s="3" t="s">
        <v>581</v>
      </c>
      <c r="H426" s="3" t="s">
        <v>582</v>
      </c>
    </row>
    <row r="427" ht="15.75" customHeight="1">
      <c r="A427" s="3">
        <v>315.0</v>
      </c>
      <c r="B427" s="3" t="s">
        <v>1124</v>
      </c>
      <c r="C427" s="3" t="s">
        <v>1125</v>
      </c>
      <c r="D427" s="3" t="s">
        <v>1126</v>
      </c>
      <c r="E427" s="3">
        <v>5.7005637848E11</v>
      </c>
      <c r="F427" s="3" t="s">
        <v>1039</v>
      </c>
      <c r="G427" s="3" t="s">
        <v>581</v>
      </c>
      <c r="H427" s="3" t="s">
        <v>582</v>
      </c>
    </row>
    <row r="428" ht="15.75" customHeight="1">
      <c r="A428" s="3">
        <v>316.0</v>
      </c>
      <c r="B428" s="3" t="s">
        <v>1127</v>
      </c>
      <c r="C428" s="3" t="s">
        <v>1128</v>
      </c>
      <c r="D428" s="3" t="s">
        <v>1109</v>
      </c>
      <c r="E428" s="3">
        <v>5.70056378481E11</v>
      </c>
      <c r="F428" s="3" t="s">
        <v>1129</v>
      </c>
      <c r="G428" s="3" t="s">
        <v>581</v>
      </c>
      <c r="H428" s="3" t="s">
        <v>582</v>
      </c>
    </row>
    <row r="429" ht="15.75" customHeight="1">
      <c r="A429" s="3">
        <v>317.0</v>
      </c>
      <c r="B429" s="3" t="s">
        <v>1130</v>
      </c>
      <c r="C429" s="3" t="s">
        <v>1131</v>
      </c>
      <c r="D429" s="3" t="s">
        <v>1088</v>
      </c>
      <c r="E429" s="3">
        <v>5.70056378482E11</v>
      </c>
      <c r="F429" s="3" t="s">
        <v>1132</v>
      </c>
      <c r="G429" s="3" t="s">
        <v>581</v>
      </c>
      <c r="H429" s="3" t="s">
        <v>582</v>
      </c>
    </row>
    <row r="430" ht="15.75" customHeight="1">
      <c r="A430" s="3">
        <v>318.0</v>
      </c>
      <c r="B430" s="3" t="s">
        <v>1127</v>
      </c>
      <c r="C430" s="3" t="s">
        <v>1133</v>
      </c>
      <c r="D430" s="3" t="s">
        <v>1134</v>
      </c>
      <c r="E430" s="3">
        <v>5.70056378486E11</v>
      </c>
      <c r="F430" s="3" t="s">
        <v>1135</v>
      </c>
      <c r="G430" s="3" t="s">
        <v>581</v>
      </c>
      <c r="H430" s="3" t="s">
        <v>582</v>
      </c>
    </row>
    <row r="431" ht="15.75" customHeight="1">
      <c r="A431" s="3">
        <v>319.0</v>
      </c>
      <c r="B431" s="3" t="s">
        <v>1136</v>
      </c>
      <c r="C431" s="3" t="s">
        <v>961</v>
      </c>
      <c r="D431" s="3" t="s">
        <v>1137</v>
      </c>
      <c r="E431" s="3">
        <v>5.70056378487E11</v>
      </c>
      <c r="F431" s="3" t="s">
        <v>1138</v>
      </c>
      <c r="G431" s="3" t="s">
        <v>581</v>
      </c>
      <c r="H431" s="3" t="s">
        <v>582</v>
      </c>
    </row>
    <row r="432" ht="15.75" customHeight="1">
      <c r="A432" s="3">
        <v>320.0</v>
      </c>
      <c r="B432" s="3" t="s">
        <v>1139</v>
      </c>
      <c r="C432" s="3" t="s">
        <v>1140</v>
      </c>
      <c r="D432" s="3" t="s">
        <v>1141</v>
      </c>
      <c r="E432" s="3">
        <v>5.70056378488E11</v>
      </c>
      <c r="F432" s="3" t="s">
        <v>1142</v>
      </c>
      <c r="G432" s="3" t="s">
        <v>581</v>
      </c>
      <c r="H432" s="3" t="s">
        <v>582</v>
      </c>
    </row>
    <row r="433" ht="15.75" customHeight="1">
      <c r="A433" s="3">
        <v>321.0</v>
      </c>
      <c r="B433" s="3" t="s">
        <v>1143</v>
      </c>
      <c r="C433" s="3" t="s">
        <v>961</v>
      </c>
      <c r="D433" s="3" t="s">
        <v>1137</v>
      </c>
      <c r="E433" s="3">
        <v>5.70056378489E11</v>
      </c>
      <c r="F433" s="3" t="s">
        <v>1144</v>
      </c>
      <c r="G433" s="3" t="s">
        <v>581</v>
      </c>
      <c r="H433" s="3" t="s">
        <v>582</v>
      </c>
    </row>
    <row r="434" ht="15.75" customHeight="1">
      <c r="A434" s="3">
        <v>322.0</v>
      </c>
      <c r="B434" s="3" t="s">
        <v>1145</v>
      </c>
      <c r="C434" s="3" t="s">
        <v>1146</v>
      </c>
      <c r="D434" s="3" t="s">
        <v>1147</v>
      </c>
      <c r="E434" s="3">
        <v>5.7005637849E11</v>
      </c>
      <c r="F434" s="3" t="s">
        <v>1148</v>
      </c>
      <c r="G434" s="3" t="s">
        <v>581</v>
      </c>
      <c r="H434" s="3" t="s">
        <v>582</v>
      </c>
    </row>
    <row r="435" ht="15.75" customHeight="1">
      <c r="A435" s="3">
        <v>323.0</v>
      </c>
      <c r="B435" s="3" t="s">
        <v>1149</v>
      </c>
      <c r="C435" s="3" t="s">
        <v>1150</v>
      </c>
      <c r="D435" s="3" t="s">
        <v>1151</v>
      </c>
      <c r="E435" s="3">
        <v>5.70056378494E11</v>
      </c>
      <c r="F435" s="3" t="s">
        <v>1152</v>
      </c>
      <c r="G435" s="3" t="s">
        <v>581</v>
      </c>
      <c r="H435" s="3" t="s">
        <v>582</v>
      </c>
    </row>
    <row r="436" ht="15.75" customHeight="1">
      <c r="A436" s="3">
        <v>324.0</v>
      </c>
      <c r="B436" s="3" t="s">
        <v>1153</v>
      </c>
      <c r="C436" s="3" t="s">
        <v>1154</v>
      </c>
      <c r="D436" s="3" t="s">
        <v>1155</v>
      </c>
      <c r="E436" s="3">
        <v>5.70056378499E11</v>
      </c>
      <c r="F436" s="3" t="s">
        <v>1156</v>
      </c>
      <c r="G436" s="3" t="s">
        <v>581</v>
      </c>
      <c r="H436" s="3" t="s">
        <v>582</v>
      </c>
    </row>
    <row r="437" ht="15.75" customHeight="1">
      <c r="A437" s="3">
        <v>325.0</v>
      </c>
      <c r="B437" s="3" t="s">
        <v>1157</v>
      </c>
      <c r="C437" s="3" t="s">
        <v>1158</v>
      </c>
      <c r="D437" s="3" t="s">
        <v>1159</v>
      </c>
      <c r="E437" s="3">
        <v>5.700563785E11</v>
      </c>
      <c r="F437" s="3" t="s">
        <v>1160</v>
      </c>
      <c r="G437" s="3" t="s">
        <v>581</v>
      </c>
      <c r="H437" s="3" t="s">
        <v>582</v>
      </c>
    </row>
    <row r="438" ht="15.75" customHeight="1">
      <c r="A438" s="3">
        <v>326.0</v>
      </c>
      <c r="B438" s="3" t="s">
        <v>1161</v>
      </c>
      <c r="C438" s="3" t="s">
        <v>1162</v>
      </c>
      <c r="D438" s="3" t="s">
        <v>1163</v>
      </c>
      <c r="E438" s="3">
        <v>5.70056378502E11</v>
      </c>
      <c r="F438" s="3" t="s">
        <v>1164</v>
      </c>
      <c r="G438" s="3" t="s">
        <v>676</v>
      </c>
      <c r="H438" s="3" t="s">
        <v>582</v>
      </c>
    </row>
    <row r="439" ht="15.75" customHeight="1">
      <c r="A439" s="3">
        <v>327.0</v>
      </c>
      <c r="B439" s="3" t="s">
        <v>1165</v>
      </c>
      <c r="C439" s="3" t="s">
        <v>1074</v>
      </c>
      <c r="D439" s="3" t="s">
        <v>1166</v>
      </c>
      <c r="E439" s="3">
        <v>5.70056378504E11</v>
      </c>
      <c r="F439" s="3" t="s">
        <v>1167</v>
      </c>
      <c r="G439" s="3" t="s">
        <v>925</v>
      </c>
      <c r="H439" s="3" t="s">
        <v>582</v>
      </c>
    </row>
    <row r="440" ht="15.75" customHeight="1">
      <c r="A440" s="3">
        <v>328.0</v>
      </c>
      <c r="B440" s="3" t="s">
        <v>1168</v>
      </c>
      <c r="C440" s="3" t="s">
        <v>1169</v>
      </c>
      <c r="D440" s="3" t="s">
        <v>1170</v>
      </c>
      <c r="E440" s="3">
        <v>5.70056378506E11</v>
      </c>
      <c r="F440" s="3" t="s">
        <v>1171</v>
      </c>
      <c r="G440" s="3" t="s">
        <v>676</v>
      </c>
      <c r="H440" s="3" t="s">
        <v>582</v>
      </c>
    </row>
    <row r="441" ht="15.75" customHeight="1">
      <c r="A441" s="3">
        <v>329.0</v>
      </c>
      <c r="B441" s="3" t="s">
        <v>1063</v>
      </c>
      <c r="C441" s="3" t="s">
        <v>1045</v>
      </c>
      <c r="D441" s="3" t="s">
        <v>1172</v>
      </c>
      <c r="E441" s="3">
        <v>5.70056378507E11</v>
      </c>
      <c r="F441" s="3" t="s">
        <v>1173</v>
      </c>
      <c r="G441" s="3" t="s">
        <v>581</v>
      </c>
      <c r="H441" s="3" t="s">
        <v>582</v>
      </c>
    </row>
    <row r="442" ht="15.75" customHeight="1">
      <c r="A442" s="3">
        <v>330.0</v>
      </c>
      <c r="B442" s="3" t="s">
        <v>1174</v>
      </c>
      <c r="C442" s="3" t="s">
        <v>1175</v>
      </c>
      <c r="D442" s="3" t="s">
        <v>1176</v>
      </c>
      <c r="E442" s="3">
        <v>5.70056378508E11</v>
      </c>
      <c r="F442" s="3" t="s">
        <v>1177</v>
      </c>
      <c r="G442" s="3" t="s">
        <v>599</v>
      </c>
      <c r="H442" s="3" t="s">
        <v>582</v>
      </c>
    </row>
    <row r="443" ht="15.75" customHeight="1">
      <c r="A443" s="3">
        <v>331.0</v>
      </c>
      <c r="B443" s="3" t="s">
        <v>1178</v>
      </c>
      <c r="C443" s="3" t="s">
        <v>1179</v>
      </c>
      <c r="D443" s="3" t="s">
        <v>1180</v>
      </c>
      <c r="E443" s="3">
        <v>5.70056378509E11</v>
      </c>
      <c r="F443" s="3" t="s">
        <v>1181</v>
      </c>
      <c r="G443" s="3" t="s">
        <v>599</v>
      </c>
      <c r="H443" s="3" t="s">
        <v>582</v>
      </c>
    </row>
    <row r="444" ht="15.75" customHeight="1">
      <c r="A444" s="3">
        <v>332.0</v>
      </c>
      <c r="B444" s="3" t="s">
        <v>1182</v>
      </c>
      <c r="C444" s="3" t="s">
        <v>1183</v>
      </c>
      <c r="D444" s="3" t="s">
        <v>1184</v>
      </c>
      <c r="E444" s="3">
        <v>5.7005637851E11</v>
      </c>
      <c r="F444" s="3" t="s">
        <v>1185</v>
      </c>
      <c r="G444" s="3" t="s">
        <v>581</v>
      </c>
      <c r="H444" s="3" t="s">
        <v>582</v>
      </c>
    </row>
    <row r="445" ht="15.75" customHeight="1">
      <c r="A445" s="3">
        <v>333.0</v>
      </c>
      <c r="B445" s="3" t="s">
        <v>1186</v>
      </c>
      <c r="C445" s="3" t="s">
        <v>1187</v>
      </c>
      <c r="D445" s="3" t="s">
        <v>1188</v>
      </c>
      <c r="E445" s="3">
        <v>5.70056378514E11</v>
      </c>
      <c r="F445" s="3" t="s">
        <v>1189</v>
      </c>
      <c r="G445" s="3" t="s">
        <v>581</v>
      </c>
      <c r="H445" s="3" t="s">
        <v>582</v>
      </c>
    </row>
    <row r="446" ht="15.75" customHeight="1">
      <c r="A446" s="3">
        <v>334.0</v>
      </c>
      <c r="B446" s="3" t="s">
        <v>1190</v>
      </c>
      <c r="C446" s="3" t="str">
        <f>C445</f>
        <v>মোকতার </v>
      </c>
      <c r="D446" s="3" t="s">
        <v>1191</v>
      </c>
      <c r="E446" s="3">
        <v>5.70056378516E11</v>
      </c>
      <c r="F446" s="3" t="s">
        <v>1192</v>
      </c>
      <c r="G446" s="3" t="s">
        <v>581</v>
      </c>
      <c r="H446" s="3" t="s">
        <v>582</v>
      </c>
    </row>
    <row r="447" ht="15.75" customHeight="1">
      <c r="A447" s="3">
        <v>335.0</v>
      </c>
      <c r="B447" s="3" t="s">
        <v>1045</v>
      </c>
      <c r="C447" s="3" t="s">
        <v>669</v>
      </c>
      <c r="D447" s="3" t="s">
        <v>1046</v>
      </c>
      <c r="E447" s="3">
        <v>5.70056378517E11</v>
      </c>
      <c r="F447" s="3" t="s">
        <v>1193</v>
      </c>
      <c r="G447" s="3" t="s">
        <v>925</v>
      </c>
      <c r="H447" s="3" t="s">
        <v>582</v>
      </c>
    </row>
    <row r="448" ht="15.75" customHeight="1">
      <c r="A448" s="3">
        <v>336.0</v>
      </c>
      <c r="B448" s="3" t="s">
        <v>1194</v>
      </c>
      <c r="C448" s="3" t="s">
        <v>1195</v>
      </c>
      <c r="D448" s="3" t="s">
        <v>1196</v>
      </c>
      <c r="E448" s="3">
        <v>5.70056378522E11</v>
      </c>
      <c r="F448" s="3" t="s">
        <v>1197</v>
      </c>
      <c r="G448" s="3" t="s">
        <v>925</v>
      </c>
      <c r="H448" s="3" t="s">
        <v>582</v>
      </c>
    </row>
    <row r="449" ht="15.75" customHeight="1">
      <c r="A449" s="3">
        <v>337.0</v>
      </c>
      <c r="B449" s="3" t="s">
        <v>1198</v>
      </c>
      <c r="C449" s="3" t="s">
        <v>1199</v>
      </c>
      <c r="D449" s="3" t="s">
        <v>1200</v>
      </c>
      <c r="E449" s="3">
        <v>5.70056378527E11</v>
      </c>
      <c r="F449" s="3" t="s">
        <v>1173</v>
      </c>
      <c r="G449" s="3" t="s">
        <v>925</v>
      </c>
      <c r="H449" s="3" t="s">
        <v>582</v>
      </c>
    </row>
    <row r="450" ht="15.75" customHeight="1">
      <c r="A450" s="3">
        <v>338.0</v>
      </c>
      <c r="B450" s="3" t="s">
        <v>1201</v>
      </c>
      <c r="C450" s="3" t="s">
        <v>1202</v>
      </c>
      <c r="D450" s="3" t="s">
        <v>1203</v>
      </c>
      <c r="E450" s="3">
        <v>5.70056378528E11</v>
      </c>
      <c r="F450" s="3" t="s">
        <v>856</v>
      </c>
      <c r="G450" s="3" t="s">
        <v>676</v>
      </c>
      <c r="H450" s="3" t="s">
        <v>582</v>
      </c>
    </row>
    <row r="451" ht="15.75" customHeight="1">
      <c r="A451" s="3">
        <v>339.0</v>
      </c>
      <c r="B451" s="3" t="s">
        <v>1204</v>
      </c>
      <c r="C451" s="3" t="s">
        <v>1205</v>
      </c>
      <c r="D451" s="3" t="s">
        <v>1206</v>
      </c>
      <c r="E451" s="3">
        <v>5.70056378529E11</v>
      </c>
      <c r="F451" s="3" t="s">
        <v>1167</v>
      </c>
      <c r="G451" s="3" t="s">
        <v>676</v>
      </c>
      <c r="H451" s="3" t="s">
        <v>582</v>
      </c>
    </row>
    <row r="452" ht="15.75" customHeight="1">
      <c r="A452" s="3">
        <v>340.0</v>
      </c>
      <c r="B452" s="3" t="s">
        <v>1207</v>
      </c>
      <c r="C452" s="3" t="s">
        <v>1208</v>
      </c>
      <c r="D452" s="3" t="s">
        <v>1209</v>
      </c>
      <c r="E452" s="3">
        <v>5.7005637854E11</v>
      </c>
      <c r="F452" s="3" t="s">
        <v>1210</v>
      </c>
      <c r="G452" s="3" t="s">
        <v>581</v>
      </c>
      <c r="H452" s="3" t="s">
        <v>582</v>
      </c>
    </row>
    <row r="453" ht="15.75" customHeight="1">
      <c r="A453" s="3">
        <v>341.0</v>
      </c>
      <c r="B453" s="3" t="s">
        <v>1211</v>
      </c>
      <c r="C453" s="3" t="s">
        <v>1212</v>
      </c>
      <c r="D453" s="3" t="s">
        <v>1213</v>
      </c>
      <c r="E453" s="3">
        <v>5.70056378543E11</v>
      </c>
      <c r="F453" s="3" t="s">
        <v>1214</v>
      </c>
      <c r="G453" s="3" t="s">
        <v>581</v>
      </c>
      <c r="H453" s="3" t="s">
        <v>582</v>
      </c>
    </row>
    <row r="454" ht="15.75" customHeight="1">
      <c r="A454" s="3">
        <v>342.0</v>
      </c>
      <c r="B454" s="3" t="s">
        <v>1215</v>
      </c>
      <c r="C454" s="3" t="s">
        <v>1216</v>
      </c>
      <c r="D454" s="3" t="s">
        <v>1217</v>
      </c>
      <c r="E454" s="3">
        <v>5.70056378545E11</v>
      </c>
      <c r="F454" s="3" t="s">
        <v>1218</v>
      </c>
      <c r="G454" s="3" t="s">
        <v>581</v>
      </c>
      <c r="H454" s="3" t="s">
        <v>582</v>
      </c>
    </row>
    <row r="455" ht="15.75" customHeight="1">
      <c r="A455" s="3">
        <v>343.0</v>
      </c>
      <c r="B455" s="3" t="s">
        <v>1219</v>
      </c>
      <c r="C455" s="3" t="s">
        <v>1220</v>
      </c>
      <c r="D455" s="3" t="s">
        <v>1221</v>
      </c>
      <c r="E455" s="3">
        <v>5.70056378551E11</v>
      </c>
      <c r="F455" s="3" t="s">
        <v>1222</v>
      </c>
      <c r="G455" s="3" t="s">
        <v>581</v>
      </c>
      <c r="H455" s="3" t="s">
        <v>582</v>
      </c>
    </row>
    <row r="456" ht="15.75" customHeight="1">
      <c r="A456" s="3">
        <v>344.0</v>
      </c>
      <c r="B456" s="3" t="s">
        <v>1223</v>
      </c>
      <c r="C456" s="3" t="s">
        <v>1219</v>
      </c>
      <c r="D456" s="3" t="s">
        <v>1224</v>
      </c>
      <c r="E456" s="3">
        <v>5.70056378555E11</v>
      </c>
      <c r="F456" s="3" t="s">
        <v>1047</v>
      </c>
      <c r="G456" s="3" t="s">
        <v>581</v>
      </c>
      <c r="H456" s="3" t="s">
        <v>582</v>
      </c>
    </row>
    <row r="457" ht="15.75" customHeight="1">
      <c r="A457" s="3">
        <v>345.0</v>
      </c>
      <c r="B457" s="3" t="s">
        <v>1225</v>
      </c>
      <c r="C457" s="3" t="s">
        <v>1226</v>
      </c>
      <c r="D457" s="3" t="s">
        <v>1227</v>
      </c>
      <c r="E457" s="3">
        <v>5.70056378557E11</v>
      </c>
      <c r="F457" s="3" t="s">
        <v>1228</v>
      </c>
      <c r="G457" s="3" t="s">
        <v>581</v>
      </c>
      <c r="H457" s="3" t="s">
        <v>582</v>
      </c>
    </row>
    <row r="458" ht="15.75" customHeight="1">
      <c r="A458" s="3">
        <v>346.0</v>
      </c>
      <c r="B458" s="3" t="s">
        <v>990</v>
      </c>
      <c r="C458" s="3" t="s">
        <v>1229</v>
      </c>
      <c r="D458" s="3" t="s">
        <v>1230</v>
      </c>
      <c r="E458" s="3">
        <v>5.70056378558E11</v>
      </c>
      <c r="F458" s="3" t="s">
        <v>1231</v>
      </c>
      <c r="G458" s="3" t="s">
        <v>581</v>
      </c>
      <c r="H458" s="3" t="s">
        <v>582</v>
      </c>
    </row>
    <row r="459" ht="15.75" customHeight="1">
      <c r="A459" s="3">
        <v>347.0</v>
      </c>
      <c r="B459" s="3" t="s">
        <v>1232</v>
      </c>
      <c r="C459" s="3" t="s">
        <v>1233</v>
      </c>
      <c r="D459" s="3" t="s">
        <v>1234</v>
      </c>
      <c r="E459" s="3">
        <v>5.70056378559E11</v>
      </c>
      <c r="F459" s="3" t="s">
        <v>1235</v>
      </c>
      <c r="G459" s="3" t="s">
        <v>581</v>
      </c>
      <c r="H459" s="3" t="s">
        <v>582</v>
      </c>
    </row>
    <row r="460" ht="15.75" customHeight="1">
      <c r="A460" s="3">
        <v>348.0</v>
      </c>
      <c r="B460" s="3" t="s">
        <v>1236</v>
      </c>
      <c r="C460" s="3" t="s">
        <v>1237</v>
      </c>
      <c r="D460" s="3" t="s">
        <v>1084</v>
      </c>
      <c r="E460" s="3">
        <v>5.7005637856E11</v>
      </c>
      <c r="F460" s="3" t="s">
        <v>936</v>
      </c>
      <c r="G460" s="3" t="s">
        <v>581</v>
      </c>
      <c r="H460" s="3" t="s">
        <v>582</v>
      </c>
    </row>
    <row r="461" ht="15.75" customHeight="1">
      <c r="A461" s="3">
        <v>349.0</v>
      </c>
      <c r="B461" s="3" t="s">
        <v>1238</v>
      </c>
      <c r="C461" s="3" t="s">
        <v>1083</v>
      </c>
      <c r="D461" s="3" t="s">
        <v>1084</v>
      </c>
      <c r="E461" s="3">
        <v>5.70056378561E11</v>
      </c>
      <c r="F461" s="3" t="s">
        <v>1239</v>
      </c>
      <c r="G461" s="3" t="s">
        <v>581</v>
      </c>
      <c r="H461" s="3" t="s">
        <v>582</v>
      </c>
    </row>
    <row r="462" ht="15.75" customHeight="1">
      <c r="A462" s="3">
        <v>350.0</v>
      </c>
      <c r="B462" s="3" t="s">
        <v>1240</v>
      </c>
      <c r="C462" s="3" t="s">
        <v>1241</v>
      </c>
      <c r="D462" s="3" t="s">
        <v>1242</v>
      </c>
      <c r="E462" s="3">
        <v>5.70056378562E11</v>
      </c>
      <c r="F462" s="3" t="s">
        <v>1243</v>
      </c>
      <c r="G462" s="3" t="s">
        <v>676</v>
      </c>
      <c r="H462" s="3" t="s">
        <v>582</v>
      </c>
    </row>
    <row r="463" ht="15.75" customHeight="1">
      <c r="A463" s="3">
        <v>351.0</v>
      </c>
      <c r="B463" s="3" t="s">
        <v>1244</v>
      </c>
      <c r="C463" s="3" t="s">
        <v>1245</v>
      </c>
      <c r="D463" s="3" t="s">
        <v>1246</v>
      </c>
      <c r="E463" s="3">
        <v>5.70056378563E11</v>
      </c>
      <c r="F463" s="3" t="s">
        <v>1247</v>
      </c>
      <c r="G463" s="3" t="s">
        <v>581</v>
      </c>
      <c r="H463" s="3" t="s">
        <v>582</v>
      </c>
    </row>
    <row r="464" ht="15.75" customHeight="1">
      <c r="A464" s="3">
        <v>352.0</v>
      </c>
      <c r="B464" s="3" t="s">
        <v>1067</v>
      </c>
      <c r="C464" s="3" t="s">
        <v>1078</v>
      </c>
      <c r="D464" s="3" t="s">
        <v>1248</v>
      </c>
      <c r="E464" s="3">
        <v>5.70056378564E11</v>
      </c>
      <c r="F464" s="3" t="s">
        <v>1249</v>
      </c>
      <c r="G464" s="3" t="s">
        <v>676</v>
      </c>
      <c r="H464" s="3" t="s">
        <v>582</v>
      </c>
    </row>
    <row r="465" ht="15.75" customHeight="1">
      <c r="A465" s="3">
        <v>353.0</v>
      </c>
      <c r="B465" s="3" t="s">
        <v>1250</v>
      </c>
      <c r="C465" s="3" t="s">
        <v>1251</v>
      </c>
      <c r="D465" s="3" t="s">
        <v>1252</v>
      </c>
      <c r="E465" s="3">
        <v>5.70056378565E11</v>
      </c>
      <c r="F465" s="3" t="s">
        <v>1253</v>
      </c>
      <c r="G465" s="3" t="s">
        <v>581</v>
      </c>
      <c r="H465" s="3" t="s">
        <v>582</v>
      </c>
    </row>
    <row r="466" ht="15.75" customHeight="1">
      <c r="A466" s="3">
        <v>354.0</v>
      </c>
      <c r="B466" s="3" t="s">
        <v>1254</v>
      </c>
      <c r="C466" s="3" t="s">
        <v>1255</v>
      </c>
      <c r="D466" s="3" t="s">
        <v>1256</v>
      </c>
      <c r="E466" s="3">
        <v>5.70056378566E11</v>
      </c>
      <c r="F466" s="3" t="s">
        <v>1257</v>
      </c>
      <c r="G466" s="3" t="s">
        <v>925</v>
      </c>
      <c r="H466" s="3" t="s">
        <v>582</v>
      </c>
    </row>
    <row r="467" ht="15.75" customHeight="1">
      <c r="A467" s="3">
        <v>355.0</v>
      </c>
      <c r="B467" s="3" t="s">
        <v>1258</v>
      </c>
      <c r="C467" s="3" t="s">
        <v>1259</v>
      </c>
      <c r="D467" s="3" t="s">
        <v>1260</v>
      </c>
      <c r="E467" s="3">
        <v>5.70056378567E11</v>
      </c>
      <c r="F467" s="3" t="s">
        <v>1261</v>
      </c>
      <c r="G467" s="3" t="s">
        <v>581</v>
      </c>
      <c r="H467" s="3" t="s">
        <v>582</v>
      </c>
    </row>
    <row r="468" ht="15.75" customHeight="1">
      <c r="A468" s="3">
        <v>356.0</v>
      </c>
      <c r="B468" s="3" t="s">
        <v>1175</v>
      </c>
      <c r="C468" s="3" t="s">
        <v>1262</v>
      </c>
      <c r="D468" s="3" t="s">
        <v>1116</v>
      </c>
      <c r="E468" s="3">
        <v>5.70056378568E11</v>
      </c>
      <c r="F468" s="3" t="s">
        <v>1263</v>
      </c>
      <c r="G468" s="3" t="s">
        <v>581</v>
      </c>
      <c r="H468" s="3" t="s">
        <v>582</v>
      </c>
    </row>
    <row r="469" ht="15.75" customHeight="1">
      <c r="A469" s="3">
        <v>357.0</v>
      </c>
      <c r="B469" s="3" t="s">
        <v>1264</v>
      </c>
      <c r="C469" s="3" t="s">
        <v>1265</v>
      </c>
      <c r="D469" s="3" t="s">
        <v>1266</v>
      </c>
      <c r="E469" s="3">
        <v>5.70056378569E11</v>
      </c>
      <c r="F469" s="3" t="s">
        <v>1267</v>
      </c>
      <c r="G469" s="3" t="s">
        <v>581</v>
      </c>
      <c r="H469" s="3" t="s">
        <v>582</v>
      </c>
    </row>
    <row r="470" ht="15.75" customHeight="1">
      <c r="A470" s="3">
        <v>358.0</v>
      </c>
      <c r="B470" s="3" t="s">
        <v>1268</v>
      </c>
      <c r="C470" s="3" t="s">
        <v>1269</v>
      </c>
      <c r="D470" s="3" t="s">
        <v>1270</v>
      </c>
      <c r="E470" s="3">
        <v>5.7005637857E11</v>
      </c>
      <c r="F470" s="3" t="s">
        <v>1271</v>
      </c>
      <c r="G470" s="3" t="s">
        <v>581</v>
      </c>
      <c r="H470" s="3" t="s">
        <v>1272</v>
      </c>
    </row>
    <row r="471" ht="15.75" customHeight="1">
      <c r="A471" s="3">
        <v>359.0</v>
      </c>
      <c r="B471" s="3" t="s">
        <v>1273</v>
      </c>
      <c r="C471" s="3" t="s">
        <v>1274</v>
      </c>
      <c r="D471" s="3" t="s">
        <v>1275</v>
      </c>
      <c r="E471" s="3">
        <v>5.70056378572E11</v>
      </c>
      <c r="F471" s="3" t="s">
        <v>1276</v>
      </c>
      <c r="G471" s="3" t="s">
        <v>581</v>
      </c>
      <c r="H471" s="3" t="s">
        <v>1272</v>
      </c>
    </row>
    <row r="472" ht="15.75" customHeight="1">
      <c r="A472" s="3">
        <v>360.0</v>
      </c>
      <c r="B472" s="3" t="s">
        <v>930</v>
      </c>
      <c r="C472" s="3" t="s">
        <v>1277</v>
      </c>
      <c r="D472" s="3" t="s">
        <v>1278</v>
      </c>
      <c r="E472" s="3">
        <v>5.70056378573E11</v>
      </c>
      <c r="F472" s="3" t="s">
        <v>1279</v>
      </c>
      <c r="G472" s="3" t="s">
        <v>581</v>
      </c>
      <c r="H472" s="3" t="s">
        <v>1272</v>
      </c>
    </row>
    <row r="473" ht="15.75" customHeight="1">
      <c r="A473" s="3">
        <v>361.0</v>
      </c>
      <c r="B473" s="3" t="s">
        <v>1280</v>
      </c>
      <c r="C473" s="3" t="s">
        <v>1140</v>
      </c>
      <c r="D473" s="3" t="s">
        <v>1281</v>
      </c>
      <c r="E473" s="3">
        <v>5.70056378574E11</v>
      </c>
      <c r="F473" s="3" t="s">
        <v>940</v>
      </c>
      <c r="G473" s="3" t="s">
        <v>581</v>
      </c>
      <c r="H473" s="3" t="s">
        <v>1272</v>
      </c>
    </row>
    <row r="474" ht="15.75" customHeight="1">
      <c r="A474" s="3">
        <v>362.0</v>
      </c>
      <c r="B474" s="3" t="s">
        <v>1282</v>
      </c>
      <c r="C474" s="3" t="s">
        <v>1283</v>
      </c>
      <c r="D474" s="3" t="s">
        <v>1275</v>
      </c>
      <c r="E474" s="3">
        <v>5.70056378577E11</v>
      </c>
      <c r="F474" s="3" t="s">
        <v>1284</v>
      </c>
      <c r="G474" s="3" t="s">
        <v>581</v>
      </c>
      <c r="H474" s="3" t="s">
        <v>1272</v>
      </c>
    </row>
    <row r="475" ht="15.75" customHeight="1">
      <c r="A475" s="3">
        <v>363.0</v>
      </c>
      <c r="B475" s="3" t="s">
        <v>1285</v>
      </c>
      <c r="C475" s="3" t="s">
        <v>1286</v>
      </c>
      <c r="D475" s="3" t="s">
        <v>1287</v>
      </c>
      <c r="E475" s="3">
        <v>5.70056378578E11</v>
      </c>
      <c r="F475" s="3" t="s">
        <v>1288</v>
      </c>
      <c r="G475" s="3" t="s">
        <v>581</v>
      </c>
      <c r="H475" s="3" t="s">
        <v>1272</v>
      </c>
    </row>
    <row r="476" ht="15.75" customHeight="1">
      <c r="A476" s="3">
        <v>364.0</v>
      </c>
      <c r="B476" s="3" t="s">
        <v>1289</v>
      </c>
      <c r="C476" s="3" t="s">
        <v>1290</v>
      </c>
      <c r="D476" s="3" t="s">
        <v>1291</v>
      </c>
      <c r="E476" s="3">
        <v>5.70056378579E11</v>
      </c>
      <c r="F476" s="3" t="s">
        <v>1292</v>
      </c>
      <c r="G476" s="3" t="s">
        <v>581</v>
      </c>
      <c r="H476" s="3" t="s">
        <v>1272</v>
      </c>
    </row>
    <row r="477" ht="15.75" customHeight="1">
      <c r="A477" s="3">
        <v>365.0</v>
      </c>
      <c r="B477" s="3" t="s">
        <v>1293</v>
      </c>
      <c r="C477" s="3" t="s">
        <v>1294</v>
      </c>
      <c r="D477" s="3" t="s">
        <v>1295</v>
      </c>
      <c r="E477" s="3">
        <v>5.70056378581E11</v>
      </c>
      <c r="F477" s="3" t="s">
        <v>1296</v>
      </c>
      <c r="G477" s="3" t="s">
        <v>581</v>
      </c>
      <c r="H477" s="3" t="s">
        <v>1272</v>
      </c>
    </row>
    <row r="478" ht="15.75" customHeight="1">
      <c r="A478" s="3">
        <v>366.0</v>
      </c>
      <c r="B478" s="3" t="s">
        <v>1297</v>
      </c>
      <c r="C478" s="3" t="s">
        <v>995</v>
      </c>
      <c r="D478" s="3" t="s">
        <v>996</v>
      </c>
      <c r="E478" s="3">
        <v>5.70056378583E11</v>
      </c>
      <c r="F478" s="3" t="s">
        <v>1298</v>
      </c>
      <c r="G478" s="3" t="s">
        <v>581</v>
      </c>
      <c r="H478" s="3" t="s">
        <v>1272</v>
      </c>
    </row>
    <row r="479" ht="15.75" customHeight="1">
      <c r="A479" s="3">
        <v>367.0</v>
      </c>
      <c r="B479" s="3" t="s">
        <v>1299</v>
      </c>
      <c r="C479" s="3" t="s">
        <v>1300</v>
      </c>
      <c r="D479" s="3" t="s">
        <v>1301</v>
      </c>
      <c r="E479" s="3">
        <v>5.70056378584E11</v>
      </c>
      <c r="F479" s="3" t="s">
        <v>1302</v>
      </c>
      <c r="G479" s="3" t="s">
        <v>581</v>
      </c>
      <c r="H479" s="3" t="s">
        <v>1272</v>
      </c>
    </row>
    <row r="480" ht="15.75" customHeight="1">
      <c r="A480" s="3">
        <v>368.0</v>
      </c>
      <c r="B480" s="3" t="s">
        <v>1303</v>
      </c>
      <c r="C480" s="3" t="s">
        <v>999</v>
      </c>
      <c r="D480" s="3" t="s">
        <v>1304</v>
      </c>
      <c r="E480" s="3">
        <v>5.70056378585E11</v>
      </c>
      <c r="F480" s="3" t="s">
        <v>1305</v>
      </c>
      <c r="G480" s="3" t="s">
        <v>581</v>
      </c>
      <c r="H480" s="3" t="s">
        <v>1272</v>
      </c>
    </row>
    <row r="481" ht="15.75" customHeight="1">
      <c r="A481" s="3">
        <v>369.0</v>
      </c>
      <c r="B481" s="3" t="s">
        <v>1306</v>
      </c>
      <c r="C481" s="3" t="s">
        <v>1307</v>
      </c>
      <c r="D481" s="3" t="s">
        <v>1308</v>
      </c>
      <c r="E481" s="3">
        <v>5.70056378586E11</v>
      </c>
      <c r="F481" s="3" t="s">
        <v>1309</v>
      </c>
      <c r="G481" s="3" t="s">
        <v>581</v>
      </c>
      <c r="H481" s="3" t="s">
        <v>1272</v>
      </c>
    </row>
    <row r="482" ht="15.75" customHeight="1">
      <c r="A482" s="3">
        <v>370.0</v>
      </c>
      <c r="B482" s="3" t="s">
        <v>1310</v>
      </c>
      <c r="C482" s="3" t="s">
        <v>1102</v>
      </c>
      <c r="D482" s="3" t="s">
        <v>1021</v>
      </c>
      <c r="E482" s="3">
        <v>5.70056378587E11</v>
      </c>
      <c r="F482" s="3" t="s">
        <v>1311</v>
      </c>
      <c r="G482" s="3" t="s">
        <v>925</v>
      </c>
      <c r="H482" s="3" t="s">
        <v>1272</v>
      </c>
    </row>
    <row r="483" ht="15.75" customHeight="1">
      <c r="A483" s="3">
        <v>371.0</v>
      </c>
      <c r="B483" s="3" t="s">
        <v>1312</v>
      </c>
      <c r="C483" s="3" t="s">
        <v>991</v>
      </c>
      <c r="D483" s="3" t="s">
        <v>992</v>
      </c>
      <c r="E483" s="3">
        <v>5.70056378588E11</v>
      </c>
      <c r="F483" s="3" t="s">
        <v>1313</v>
      </c>
      <c r="G483" s="3" t="s">
        <v>581</v>
      </c>
      <c r="H483" s="3" t="s">
        <v>1272</v>
      </c>
    </row>
    <row r="484" ht="15.75" customHeight="1">
      <c r="A484" s="3">
        <v>372.0</v>
      </c>
      <c r="B484" s="3" t="s">
        <v>1314</v>
      </c>
      <c r="C484" s="3" t="s">
        <v>1286</v>
      </c>
      <c r="D484" s="3" t="s">
        <v>1287</v>
      </c>
      <c r="E484" s="3">
        <v>5.70056378592E11</v>
      </c>
      <c r="F484" s="3" t="s">
        <v>1315</v>
      </c>
      <c r="G484" s="3" t="s">
        <v>581</v>
      </c>
      <c r="H484" s="3" t="s">
        <v>1272</v>
      </c>
    </row>
    <row r="485" ht="15.75" customHeight="1">
      <c r="A485" s="3">
        <v>373.0</v>
      </c>
      <c r="B485" s="3" t="s">
        <v>1316</v>
      </c>
      <c r="C485" s="3" t="s">
        <v>1317</v>
      </c>
      <c r="D485" s="3" t="s">
        <v>1318</v>
      </c>
      <c r="E485" s="3">
        <v>5.70056378594E11</v>
      </c>
      <c r="F485" s="3" t="s">
        <v>1319</v>
      </c>
      <c r="G485" s="3" t="s">
        <v>581</v>
      </c>
      <c r="H485" s="3" t="s">
        <v>1272</v>
      </c>
    </row>
    <row r="486" ht="15.75" customHeight="1">
      <c r="A486" s="3">
        <v>374.0</v>
      </c>
      <c r="B486" s="3" t="s">
        <v>1320</v>
      </c>
      <c r="C486" s="3" t="s">
        <v>1321</v>
      </c>
      <c r="D486" s="3" t="s">
        <v>1322</v>
      </c>
      <c r="E486" s="3">
        <v>5.70056378595E11</v>
      </c>
      <c r="F486" s="3" t="s">
        <v>1323</v>
      </c>
      <c r="G486" s="3" t="s">
        <v>581</v>
      </c>
      <c r="H486" s="3" t="s">
        <v>1272</v>
      </c>
    </row>
    <row r="487" ht="15.75" customHeight="1">
      <c r="A487" s="3">
        <v>375.0</v>
      </c>
      <c r="B487" s="3" t="s">
        <v>1324</v>
      </c>
      <c r="C487" s="3" t="s">
        <v>1325</v>
      </c>
      <c r="D487" s="3" t="s">
        <v>1326</v>
      </c>
      <c r="E487" s="3">
        <v>5.70056378597E11</v>
      </c>
      <c r="F487" s="3" t="s">
        <v>1327</v>
      </c>
      <c r="G487" s="3" t="s">
        <v>581</v>
      </c>
      <c r="H487" s="3" t="s">
        <v>1272</v>
      </c>
    </row>
    <row r="488" ht="15.75" customHeight="1"/>
    <row r="489" ht="15.75" customHeight="1">
      <c r="A489" s="3">
        <v>376.0</v>
      </c>
      <c r="B489" s="3" t="s">
        <v>1328</v>
      </c>
      <c r="C489" s="3" t="s">
        <v>1321</v>
      </c>
      <c r="D489" s="3" t="s">
        <v>844</v>
      </c>
      <c r="E489" s="3">
        <v>5.70056378598E11</v>
      </c>
      <c r="F489" s="3" t="s">
        <v>1329</v>
      </c>
      <c r="G489" s="3" t="s">
        <v>581</v>
      </c>
      <c r="H489" s="3" t="s">
        <v>1272</v>
      </c>
    </row>
    <row r="490" ht="15.75" customHeight="1">
      <c r="A490" s="3">
        <v>377.0</v>
      </c>
      <c r="B490" s="3" t="s">
        <v>877</v>
      </c>
      <c r="C490" s="3" t="s">
        <v>1330</v>
      </c>
      <c r="D490" s="3" t="s">
        <v>1331</v>
      </c>
      <c r="E490" s="3">
        <v>5.70056378599E11</v>
      </c>
      <c r="F490" s="3" t="s">
        <v>1332</v>
      </c>
      <c r="G490" s="3" t="s">
        <v>581</v>
      </c>
      <c r="H490" s="3" t="s">
        <v>1272</v>
      </c>
    </row>
    <row r="491" ht="15.75" customHeight="1">
      <c r="A491" s="3">
        <v>378.0</v>
      </c>
      <c r="B491" s="3" t="s">
        <v>1333</v>
      </c>
      <c r="C491" s="3" t="s">
        <v>1334</v>
      </c>
      <c r="D491" s="3" t="s">
        <v>915</v>
      </c>
      <c r="E491" s="3">
        <v>5.700563786E11</v>
      </c>
      <c r="F491" s="3" t="s">
        <v>1335</v>
      </c>
      <c r="G491" s="3" t="s">
        <v>581</v>
      </c>
      <c r="H491" s="3" t="s">
        <v>1272</v>
      </c>
    </row>
    <row r="492" ht="15.75" customHeight="1">
      <c r="A492" s="3">
        <v>379.0</v>
      </c>
      <c r="B492" s="3" t="s">
        <v>1336</v>
      </c>
      <c r="C492" s="3" t="s">
        <v>1337</v>
      </c>
      <c r="D492" s="3" t="s">
        <v>1338</v>
      </c>
      <c r="E492" s="3">
        <v>5.70056378601E11</v>
      </c>
      <c r="F492" s="3" t="s">
        <v>1339</v>
      </c>
      <c r="G492" s="3" t="s">
        <v>608</v>
      </c>
      <c r="H492" s="3" t="s">
        <v>1340</v>
      </c>
    </row>
    <row r="493" ht="15.75" customHeight="1">
      <c r="A493" s="3">
        <v>380.0</v>
      </c>
      <c r="B493" s="3" t="s">
        <v>1341</v>
      </c>
      <c r="C493" s="3" t="s">
        <v>1342</v>
      </c>
      <c r="D493" s="3" t="s">
        <v>1343</v>
      </c>
      <c r="E493" s="3">
        <v>5.70056378604E11</v>
      </c>
      <c r="F493" s="3" t="s">
        <v>1344</v>
      </c>
      <c r="G493" s="3" t="s">
        <v>676</v>
      </c>
      <c r="H493" s="3" t="s">
        <v>1340</v>
      </c>
    </row>
    <row r="494" ht="15.75" customHeight="1">
      <c r="A494" s="3">
        <v>381.0</v>
      </c>
      <c r="B494" s="3" t="s">
        <v>1345</v>
      </c>
      <c r="C494" s="3" t="s">
        <v>1346</v>
      </c>
      <c r="D494" s="3" t="s">
        <v>1347</v>
      </c>
      <c r="E494" s="3">
        <v>5.70056378605E11</v>
      </c>
      <c r="F494" s="3" t="s">
        <v>1348</v>
      </c>
      <c r="G494" s="3" t="s">
        <v>581</v>
      </c>
      <c r="H494" s="3" t="s">
        <v>1272</v>
      </c>
    </row>
    <row r="495" ht="15.75" customHeight="1">
      <c r="A495" s="3">
        <v>382.0</v>
      </c>
      <c r="B495" s="3" t="s">
        <v>1349</v>
      </c>
      <c r="C495" s="3" t="s">
        <v>1350</v>
      </c>
      <c r="D495" s="3" t="s">
        <v>1351</v>
      </c>
      <c r="E495" s="3">
        <v>5.70056378606E11</v>
      </c>
      <c r="F495" s="3" t="s">
        <v>1352</v>
      </c>
      <c r="G495" s="3" t="s">
        <v>608</v>
      </c>
      <c r="H495" s="3" t="s">
        <v>1353</v>
      </c>
    </row>
    <row r="496" ht="15.75" customHeight="1">
      <c r="A496" s="3">
        <v>383.0</v>
      </c>
      <c r="B496" s="3" t="s">
        <v>1354</v>
      </c>
      <c r="C496" s="3" t="s">
        <v>1355</v>
      </c>
      <c r="D496" s="3" t="s">
        <v>1356</v>
      </c>
      <c r="E496" s="3">
        <v>5.7005637861E11</v>
      </c>
      <c r="F496" s="3" t="s">
        <v>1357</v>
      </c>
      <c r="G496" s="3" t="s">
        <v>608</v>
      </c>
      <c r="H496" s="3" t="s">
        <v>1340</v>
      </c>
    </row>
    <row r="497" ht="15.75" customHeight="1">
      <c r="A497" s="3">
        <v>384.0</v>
      </c>
      <c r="B497" s="3" t="s">
        <v>1358</v>
      </c>
      <c r="C497" s="3" t="s">
        <v>1359</v>
      </c>
      <c r="D497" s="3" t="s">
        <v>1360</v>
      </c>
      <c r="E497" s="3">
        <v>5.70056378611E11</v>
      </c>
      <c r="F497" s="3" t="s">
        <v>1361</v>
      </c>
      <c r="G497" s="3" t="s">
        <v>581</v>
      </c>
      <c r="H497" s="3" t="s">
        <v>1340</v>
      </c>
    </row>
    <row r="498" ht="15.75" customHeight="1">
      <c r="A498" s="3">
        <v>385.0</v>
      </c>
      <c r="B498" s="3" t="s">
        <v>1362</v>
      </c>
      <c r="C498" s="3" t="s">
        <v>1363</v>
      </c>
      <c r="D498" s="3" t="s">
        <v>1364</v>
      </c>
      <c r="E498" s="3">
        <v>5.70056378612E11</v>
      </c>
      <c r="F498" s="3" t="s">
        <v>1365</v>
      </c>
      <c r="G498" s="3" t="s">
        <v>581</v>
      </c>
      <c r="H498" s="3" t="s">
        <v>1340</v>
      </c>
    </row>
    <row r="499" ht="15.75" customHeight="1">
      <c r="A499" s="3">
        <v>386.0</v>
      </c>
      <c r="B499" s="3" t="s">
        <v>1366</v>
      </c>
      <c r="C499" s="3" t="s">
        <v>1367</v>
      </c>
      <c r="D499" s="3" t="s">
        <v>1368</v>
      </c>
      <c r="E499" s="3">
        <v>5.70056378613E11</v>
      </c>
      <c r="F499" s="3" t="s">
        <v>1369</v>
      </c>
      <c r="G499" s="3" t="s">
        <v>581</v>
      </c>
      <c r="H499" s="3" t="s">
        <v>1272</v>
      </c>
    </row>
    <row r="500" ht="15.75" customHeight="1">
      <c r="A500" s="3">
        <v>387.0</v>
      </c>
      <c r="B500" s="3" t="s">
        <v>1370</v>
      </c>
      <c r="C500" s="3" t="s">
        <v>1371</v>
      </c>
      <c r="D500" s="3" t="s">
        <v>1372</v>
      </c>
      <c r="E500" s="3">
        <v>5.7005637862E11</v>
      </c>
      <c r="F500" s="3" t="s">
        <v>1373</v>
      </c>
      <c r="G500" s="3" t="s">
        <v>581</v>
      </c>
      <c r="H500" s="3" t="s">
        <v>1272</v>
      </c>
    </row>
    <row r="501" ht="15.75" customHeight="1">
      <c r="A501" s="3">
        <v>388.0</v>
      </c>
      <c r="B501" s="3" t="s">
        <v>1349</v>
      </c>
      <c r="C501" s="3" t="s">
        <v>1374</v>
      </c>
      <c r="D501" s="3" t="s">
        <v>1375</v>
      </c>
      <c r="E501" s="3">
        <v>5.70056378621E11</v>
      </c>
      <c r="F501" s="3" t="s">
        <v>1376</v>
      </c>
      <c r="G501" s="3" t="s">
        <v>581</v>
      </c>
      <c r="H501" s="3" t="s">
        <v>1340</v>
      </c>
    </row>
    <row r="502" ht="15.75" customHeight="1">
      <c r="A502" s="3">
        <v>389.0</v>
      </c>
      <c r="B502" s="3" t="s">
        <v>1377</v>
      </c>
      <c r="C502" s="3" t="s">
        <v>1378</v>
      </c>
      <c r="D502" s="3" t="s">
        <v>1379</v>
      </c>
      <c r="E502" s="3">
        <v>5.70056378623E11</v>
      </c>
      <c r="F502" s="3" t="s">
        <v>1380</v>
      </c>
      <c r="G502" s="3" t="s">
        <v>581</v>
      </c>
      <c r="H502" s="3" t="s">
        <v>1272</v>
      </c>
    </row>
    <row r="503" ht="15.75" customHeight="1">
      <c r="A503" s="3">
        <v>390.0</v>
      </c>
      <c r="B503" s="3" t="s">
        <v>1381</v>
      </c>
      <c r="C503" s="3" t="s">
        <v>886</v>
      </c>
      <c r="D503" s="3" t="s">
        <v>1382</v>
      </c>
      <c r="E503" s="3">
        <v>5.70056378625E11</v>
      </c>
      <c r="F503" s="3" t="s">
        <v>1383</v>
      </c>
      <c r="G503" s="3" t="s">
        <v>1384</v>
      </c>
      <c r="H503" s="3" t="s">
        <v>1272</v>
      </c>
    </row>
    <row r="504" ht="15.75" customHeight="1">
      <c r="A504" s="3">
        <v>391.0</v>
      </c>
      <c r="B504" s="3" t="s">
        <v>1385</v>
      </c>
      <c r="C504" s="3" t="s">
        <v>1378</v>
      </c>
      <c r="D504" s="3" t="s">
        <v>1386</v>
      </c>
      <c r="E504" s="3">
        <v>5.70056378626E11</v>
      </c>
      <c r="F504" s="3" t="s">
        <v>1387</v>
      </c>
      <c r="G504" s="3" t="s">
        <v>581</v>
      </c>
      <c r="H504" s="3" t="s">
        <v>1272</v>
      </c>
    </row>
    <row r="505" ht="15.75" customHeight="1">
      <c r="A505" s="3">
        <v>392.0</v>
      </c>
      <c r="B505" s="3" t="s">
        <v>877</v>
      </c>
      <c r="C505" s="3" t="s">
        <v>1342</v>
      </c>
      <c r="D505" s="3" t="s">
        <v>923</v>
      </c>
      <c r="E505" s="3">
        <v>5.70056378632E11</v>
      </c>
      <c r="F505" s="3" t="s">
        <v>1388</v>
      </c>
      <c r="G505" s="3" t="s">
        <v>581</v>
      </c>
      <c r="H505" s="3" t="s">
        <v>1340</v>
      </c>
    </row>
    <row r="506" ht="15.75" customHeight="1">
      <c r="A506" s="3">
        <v>393.0</v>
      </c>
      <c r="B506" s="3" t="s">
        <v>1389</v>
      </c>
      <c r="C506" s="3" t="s">
        <v>1342</v>
      </c>
      <c r="D506" s="3" t="s">
        <v>1390</v>
      </c>
      <c r="E506" s="3">
        <v>5.70056378633E11</v>
      </c>
      <c r="F506" s="3" t="s">
        <v>1391</v>
      </c>
      <c r="G506" s="3" t="s">
        <v>581</v>
      </c>
      <c r="H506" s="3" t="s">
        <v>1340</v>
      </c>
    </row>
    <row r="507" ht="15.75" customHeight="1">
      <c r="A507" s="3">
        <v>394.0</v>
      </c>
      <c r="B507" s="3" t="s">
        <v>1392</v>
      </c>
      <c r="C507" s="3" t="s">
        <v>1393</v>
      </c>
      <c r="D507" s="3" t="s">
        <v>1394</v>
      </c>
      <c r="E507" s="3">
        <v>5.70056378634E11</v>
      </c>
      <c r="F507" s="3" t="s">
        <v>1395</v>
      </c>
      <c r="G507" s="3" t="s">
        <v>608</v>
      </c>
      <c r="H507" s="3" t="s">
        <v>1340</v>
      </c>
    </row>
    <row r="508" ht="15.75" customHeight="1">
      <c r="A508" s="3">
        <v>395.0</v>
      </c>
      <c r="B508" s="3" t="s">
        <v>1396</v>
      </c>
      <c r="C508" s="3" t="s">
        <v>1342</v>
      </c>
      <c r="D508" s="3" t="s">
        <v>923</v>
      </c>
      <c r="E508" s="3">
        <v>5.70056378635E11</v>
      </c>
      <c r="F508" s="3" t="s">
        <v>619</v>
      </c>
      <c r="G508" s="3" t="s">
        <v>608</v>
      </c>
      <c r="H508" s="3" t="s">
        <v>1272</v>
      </c>
    </row>
    <row r="509" ht="15.75" customHeight="1">
      <c r="A509" s="3">
        <v>396.0</v>
      </c>
      <c r="B509" s="3" t="s">
        <v>1397</v>
      </c>
      <c r="C509" s="3" t="s">
        <v>1342</v>
      </c>
      <c r="D509" s="3" t="s">
        <v>1390</v>
      </c>
      <c r="E509" s="3">
        <v>5.70056378639E11</v>
      </c>
      <c r="F509" s="3" t="s">
        <v>1398</v>
      </c>
      <c r="G509" s="3" t="s">
        <v>581</v>
      </c>
      <c r="H509" s="3" t="s">
        <v>1272</v>
      </c>
    </row>
    <row r="510" ht="15.75" customHeight="1">
      <c r="A510" s="3">
        <v>397.0</v>
      </c>
      <c r="B510" s="3" t="s">
        <v>1359</v>
      </c>
      <c r="C510" s="3" t="s">
        <v>1399</v>
      </c>
      <c r="D510" s="3" t="s">
        <v>1400</v>
      </c>
      <c r="E510" s="3">
        <v>5.70056378642E11</v>
      </c>
      <c r="F510" s="3" t="s">
        <v>1401</v>
      </c>
      <c r="G510" s="3" t="s">
        <v>581</v>
      </c>
      <c r="H510" s="3" t="s">
        <v>1340</v>
      </c>
    </row>
    <row r="511" ht="15.75" customHeight="1">
      <c r="A511" s="3">
        <v>398.0</v>
      </c>
      <c r="B511" s="3" t="s">
        <v>1402</v>
      </c>
      <c r="C511" s="3" t="s">
        <v>1403</v>
      </c>
      <c r="D511" s="3" t="s">
        <v>1404</v>
      </c>
      <c r="E511" s="3">
        <v>5.70056378645E11</v>
      </c>
      <c r="F511" s="3" t="s">
        <v>1405</v>
      </c>
      <c r="G511" s="3" t="s">
        <v>581</v>
      </c>
      <c r="H511" s="3" t="s">
        <v>1272</v>
      </c>
    </row>
    <row r="512" ht="15.75" customHeight="1">
      <c r="A512" s="3">
        <v>399.0</v>
      </c>
      <c r="B512" s="3" t="s">
        <v>1406</v>
      </c>
      <c r="C512" s="3" t="s">
        <v>1407</v>
      </c>
      <c r="D512" s="3" t="s">
        <v>1408</v>
      </c>
      <c r="E512" s="3">
        <v>5.7005637866E11</v>
      </c>
      <c r="F512" s="3" t="s">
        <v>1409</v>
      </c>
      <c r="G512" s="3" t="s">
        <v>581</v>
      </c>
      <c r="H512" s="3" t="s">
        <v>1272</v>
      </c>
    </row>
    <row r="513" ht="15.75" customHeight="1">
      <c r="A513" s="3">
        <v>400.0</v>
      </c>
      <c r="B513" s="3" t="s">
        <v>1410</v>
      </c>
      <c r="C513" s="3" t="s">
        <v>1411</v>
      </c>
      <c r="D513" s="3" t="s">
        <v>1412</v>
      </c>
      <c r="E513" s="3">
        <v>5.70056378662E11</v>
      </c>
      <c r="F513" s="3" t="s">
        <v>1413</v>
      </c>
      <c r="G513" s="3" t="s">
        <v>581</v>
      </c>
      <c r="H513" s="3" t="s">
        <v>1340</v>
      </c>
    </row>
    <row r="514" ht="15.75" customHeight="1">
      <c r="A514" s="3">
        <v>401.0</v>
      </c>
      <c r="B514" s="3" t="s">
        <v>1414</v>
      </c>
      <c r="C514" s="3" t="s">
        <v>1415</v>
      </c>
      <c r="D514" s="3" t="s">
        <v>1375</v>
      </c>
      <c r="E514" s="3">
        <v>5.70056378668E11</v>
      </c>
      <c r="F514" s="3" t="s">
        <v>1416</v>
      </c>
      <c r="G514" s="3" t="s">
        <v>581</v>
      </c>
      <c r="H514" s="3" t="s">
        <v>1340</v>
      </c>
    </row>
    <row r="515" ht="15.75" customHeight="1">
      <c r="A515" s="3">
        <v>402.0</v>
      </c>
      <c r="B515" s="3" t="s">
        <v>1417</v>
      </c>
      <c r="C515" s="3" t="s">
        <v>1418</v>
      </c>
      <c r="D515" s="3" t="s">
        <v>1419</v>
      </c>
      <c r="E515" s="3">
        <v>5.70056378673E11</v>
      </c>
      <c r="F515" s="3" t="s">
        <v>1420</v>
      </c>
      <c r="G515" s="3" t="s">
        <v>608</v>
      </c>
      <c r="H515" s="3" t="s">
        <v>1272</v>
      </c>
    </row>
    <row r="516" ht="15.75" customHeight="1">
      <c r="A516" s="3">
        <v>403.0</v>
      </c>
      <c r="B516" s="3" t="s">
        <v>1421</v>
      </c>
      <c r="C516" s="3" t="s">
        <v>1422</v>
      </c>
      <c r="D516" s="3" t="s">
        <v>1423</v>
      </c>
      <c r="E516" s="3">
        <v>5.70056378678E11</v>
      </c>
      <c r="F516" s="3" t="s">
        <v>1424</v>
      </c>
      <c r="G516" s="3" t="s">
        <v>581</v>
      </c>
      <c r="H516" s="3" t="s">
        <v>1340</v>
      </c>
    </row>
    <row r="517" ht="15.75" customHeight="1">
      <c r="A517" s="3">
        <v>404.0</v>
      </c>
      <c r="B517" s="3" t="s">
        <v>1425</v>
      </c>
      <c r="C517" s="3" t="s">
        <v>1426</v>
      </c>
      <c r="D517" s="3" t="s">
        <v>1427</v>
      </c>
      <c r="E517" s="3">
        <v>5.70056378681E11</v>
      </c>
      <c r="F517" s="3" t="s">
        <v>1428</v>
      </c>
      <c r="G517" s="3" t="s">
        <v>581</v>
      </c>
      <c r="H517" s="3" t="s">
        <v>1340</v>
      </c>
    </row>
    <row r="518" ht="15.75" customHeight="1">
      <c r="A518" s="3">
        <v>405.0</v>
      </c>
      <c r="B518" s="3" t="s">
        <v>1429</v>
      </c>
      <c r="C518" s="3" t="s">
        <v>1430</v>
      </c>
      <c r="D518" s="3" t="s">
        <v>1431</v>
      </c>
      <c r="E518" s="3">
        <v>5.70056378682E11</v>
      </c>
      <c r="F518" s="3" t="s">
        <v>1432</v>
      </c>
      <c r="G518" s="3" t="s">
        <v>581</v>
      </c>
      <c r="H518" s="3" t="s">
        <v>1340</v>
      </c>
    </row>
    <row r="519" ht="15.75" customHeight="1">
      <c r="A519" s="3">
        <v>406.0</v>
      </c>
      <c r="B519" s="3" t="s">
        <v>1433</v>
      </c>
      <c r="C519" s="3" t="s">
        <v>1434</v>
      </c>
      <c r="D519" s="3" t="s">
        <v>1435</v>
      </c>
      <c r="E519" s="3">
        <v>5.70056378683E11</v>
      </c>
      <c r="F519" s="3" t="s">
        <v>1436</v>
      </c>
      <c r="G519" s="3" t="s">
        <v>608</v>
      </c>
      <c r="H519" s="3" t="s">
        <v>1340</v>
      </c>
    </row>
    <row r="520" ht="15.75" customHeight="1">
      <c r="A520" s="3">
        <v>407.0</v>
      </c>
      <c r="B520" s="3" t="s">
        <v>1280</v>
      </c>
      <c r="C520" s="3" t="s">
        <v>1437</v>
      </c>
      <c r="D520" s="3" t="s">
        <v>1438</v>
      </c>
      <c r="E520" s="3">
        <v>5.70056378684E11</v>
      </c>
      <c r="F520" s="3" t="s">
        <v>1439</v>
      </c>
      <c r="G520" s="3" t="s">
        <v>581</v>
      </c>
      <c r="H520" s="3" t="s">
        <v>1272</v>
      </c>
    </row>
    <row r="521" ht="15.75" customHeight="1">
      <c r="A521" s="3">
        <v>408.0</v>
      </c>
      <c r="B521" s="3" t="s">
        <v>1334</v>
      </c>
      <c r="C521" s="3" t="s">
        <v>1440</v>
      </c>
      <c r="D521" s="3" t="s">
        <v>1441</v>
      </c>
      <c r="E521" s="3">
        <v>5.70056378686E11</v>
      </c>
      <c r="F521" s="3" t="s">
        <v>1442</v>
      </c>
      <c r="G521" s="3" t="s">
        <v>581</v>
      </c>
      <c r="H521" s="3" t="s">
        <v>1340</v>
      </c>
    </row>
    <row r="522" ht="15.75" customHeight="1">
      <c r="A522" s="3">
        <v>409.0</v>
      </c>
      <c r="B522" s="3" t="s">
        <v>1443</v>
      </c>
      <c r="C522" s="3" t="s">
        <v>1444</v>
      </c>
      <c r="D522" s="3" t="s">
        <v>1445</v>
      </c>
      <c r="E522" s="3">
        <v>5.70056378687E11</v>
      </c>
      <c r="F522" s="3" t="s">
        <v>1446</v>
      </c>
      <c r="G522" s="3" t="s">
        <v>581</v>
      </c>
      <c r="H522" s="3" t="s">
        <v>1272</v>
      </c>
    </row>
    <row r="523" ht="15.75" customHeight="1">
      <c r="A523" s="3">
        <v>410.0</v>
      </c>
      <c r="B523" s="3" t="s">
        <v>1447</v>
      </c>
      <c r="C523" s="3" t="s">
        <v>1448</v>
      </c>
      <c r="D523" s="3" t="s">
        <v>1449</v>
      </c>
      <c r="E523" s="3">
        <v>5.70056378688E11</v>
      </c>
      <c r="F523" s="3" t="s">
        <v>1450</v>
      </c>
      <c r="G523" s="3" t="s">
        <v>581</v>
      </c>
      <c r="H523" s="3" t="s">
        <v>1340</v>
      </c>
    </row>
    <row r="524" ht="15.75" customHeight="1">
      <c r="A524" s="3">
        <v>411.0</v>
      </c>
      <c r="B524" s="3" t="s">
        <v>1451</v>
      </c>
      <c r="C524" s="3" t="s">
        <v>1452</v>
      </c>
      <c r="D524" s="3" t="s">
        <v>1453</v>
      </c>
      <c r="E524" s="3">
        <v>5.70056378692E11</v>
      </c>
      <c r="F524" s="3" t="s">
        <v>1454</v>
      </c>
      <c r="G524" s="3" t="s">
        <v>581</v>
      </c>
      <c r="H524" s="3" t="s">
        <v>1272</v>
      </c>
    </row>
    <row r="525" ht="15.75" customHeight="1">
      <c r="A525" s="3">
        <v>412.0</v>
      </c>
      <c r="B525" s="3" t="s">
        <v>1455</v>
      </c>
      <c r="C525" s="3" t="s">
        <v>1456</v>
      </c>
      <c r="D525" s="3" t="s">
        <v>1457</v>
      </c>
      <c r="E525" s="3">
        <v>5.70056378693E11</v>
      </c>
      <c r="F525" s="3" t="s">
        <v>1458</v>
      </c>
      <c r="G525" s="3" t="s">
        <v>581</v>
      </c>
      <c r="H525" s="3" t="s">
        <v>1340</v>
      </c>
    </row>
    <row r="526" ht="15.75" customHeight="1">
      <c r="A526" s="3">
        <v>413.0</v>
      </c>
      <c r="B526" s="3" t="s">
        <v>886</v>
      </c>
      <c r="C526" s="3" t="s">
        <v>1459</v>
      </c>
      <c r="D526" s="3" t="s">
        <v>1460</v>
      </c>
      <c r="E526" s="3">
        <v>5.70056378694E11</v>
      </c>
      <c r="F526" s="3" t="s">
        <v>1461</v>
      </c>
      <c r="G526" s="3" t="s">
        <v>581</v>
      </c>
      <c r="H526" s="3" t="s">
        <v>1272</v>
      </c>
    </row>
    <row r="527" ht="15.75" customHeight="1">
      <c r="A527" s="3">
        <v>414.0</v>
      </c>
      <c r="B527" s="3" t="s">
        <v>1462</v>
      </c>
      <c r="C527" s="3" t="s">
        <v>1463</v>
      </c>
      <c r="D527" s="3" t="s">
        <v>1368</v>
      </c>
      <c r="E527" s="3">
        <v>5.70056378695E11</v>
      </c>
      <c r="F527" s="3" t="s">
        <v>1464</v>
      </c>
      <c r="G527" s="3" t="s">
        <v>581</v>
      </c>
      <c r="H527" s="3" t="s">
        <v>1272</v>
      </c>
    </row>
    <row r="528" ht="15.75" customHeight="1">
      <c r="A528" s="3">
        <v>415.0</v>
      </c>
      <c r="B528" s="3" t="s">
        <v>1465</v>
      </c>
      <c r="C528" s="3" t="s">
        <v>647</v>
      </c>
      <c r="D528" s="3" t="s">
        <v>1466</v>
      </c>
      <c r="E528" s="3">
        <v>5.70056378696E11</v>
      </c>
      <c r="F528" s="3" t="s">
        <v>1467</v>
      </c>
      <c r="G528" s="3" t="s">
        <v>581</v>
      </c>
      <c r="H528" s="3" t="s">
        <v>1340</v>
      </c>
    </row>
    <row r="529" ht="15.75" customHeight="1">
      <c r="A529" s="3">
        <v>416.0</v>
      </c>
      <c r="B529" s="3" t="s">
        <v>1468</v>
      </c>
      <c r="C529" s="3" t="s">
        <v>1443</v>
      </c>
      <c r="D529" s="3" t="s">
        <v>1469</v>
      </c>
      <c r="E529" s="3">
        <v>5.70056378698E11</v>
      </c>
      <c r="F529" s="3" t="s">
        <v>1470</v>
      </c>
      <c r="G529" s="3" t="s">
        <v>581</v>
      </c>
      <c r="H529" s="3" t="s">
        <v>1340</v>
      </c>
    </row>
    <row r="530" ht="15.75" customHeight="1">
      <c r="A530" s="3">
        <v>417.0</v>
      </c>
      <c r="B530" s="3" t="s">
        <v>1471</v>
      </c>
      <c r="C530" s="3" t="s">
        <v>1440</v>
      </c>
      <c r="D530" s="3" t="s">
        <v>1441</v>
      </c>
      <c r="E530" s="3">
        <v>5.70056378699E11</v>
      </c>
      <c r="F530" s="3" t="s">
        <v>1472</v>
      </c>
      <c r="G530" s="3" t="s">
        <v>581</v>
      </c>
      <c r="H530" s="3" t="s">
        <v>1340</v>
      </c>
    </row>
    <row r="531" ht="15.75" customHeight="1">
      <c r="A531" s="3">
        <v>418.0</v>
      </c>
      <c r="B531" s="3" t="s">
        <v>1473</v>
      </c>
      <c r="C531" s="3" t="s">
        <v>1474</v>
      </c>
      <c r="D531" s="3" t="s">
        <v>1475</v>
      </c>
      <c r="E531" s="3">
        <v>5.700563787E11</v>
      </c>
      <c r="F531" s="3" t="s">
        <v>1476</v>
      </c>
      <c r="G531" s="3" t="s">
        <v>581</v>
      </c>
      <c r="H531" s="3" t="s">
        <v>1340</v>
      </c>
    </row>
    <row r="532" ht="15.75" customHeight="1">
      <c r="A532" s="3">
        <v>419.0</v>
      </c>
      <c r="B532" s="3" t="s">
        <v>1477</v>
      </c>
      <c r="C532" s="3" t="s">
        <v>1415</v>
      </c>
      <c r="D532" s="3" t="s">
        <v>1375</v>
      </c>
      <c r="E532" s="3">
        <v>5.70056378701E11</v>
      </c>
      <c r="F532" s="3" t="s">
        <v>1478</v>
      </c>
      <c r="G532" s="3" t="s">
        <v>581</v>
      </c>
      <c r="H532" s="3" t="s">
        <v>1340</v>
      </c>
    </row>
    <row r="533" ht="15.75" customHeight="1">
      <c r="A533" s="3">
        <v>420.0</v>
      </c>
      <c r="B533" s="3" t="s">
        <v>1479</v>
      </c>
      <c r="C533" s="3" t="s">
        <v>1480</v>
      </c>
      <c r="D533" s="3" t="s">
        <v>1481</v>
      </c>
      <c r="E533" s="3">
        <v>5.70056378702E11</v>
      </c>
      <c r="F533" s="3" t="s">
        <v>1482</v>
      </c>
      <c r="G533" s="3" t="s">
        <v>581</v>
      </c>
      <c r="H533" s="3" t="s">
        <v>1340</v>
      </c>
    </row>
    <row r="534" ht="15.75" customHeight="1">
      <c r="A534" s="3">
        <v>421.0</v>
      </c>
      <c r="B534" s="3" t="s">
        <v>1483</v>
      </c>
      <c r="C534" s="3" t="s">
        <v>1484</v>
      </c>
      <c r="D534" s="3" t="s">
        <v>1485</v>
      </c>
      <c r="E534" s="3">
        <v>5.70056378703E11</v>
      </c>
      <c r="F534" s="3" t="s">
        <v>1486</v>
      </c>
      <c r="G534" s="3" t="s">
        <v>581</v>
      </c>
      <c r="H534" s="3" t="s">
        <v>1340</v>
      </c>
    </row>
    <row r="535" ht="15.75" customHeight="1">
      <c r="A535" s="3">
        <v>422.0</v>
      </c>
      <c r="B535" s="3" t="s">
        <v>1487</v>
      </c>
      <c r="C535" s="3" t="s">
        <v>886</v>
      </c>
      <c r="D535" s="3" t="s">
        <v>1488</v>
      </c>
      <c r="E535" s="3">
        <v>5.70056378704E11</v>
      </c>
      <c r="F535" s="3" t="s">
        <v>1489</v>
      </c>
      <c r="G535" s="3" t="s">
        <v>581</v>
      </c>
      <c r="H535" s="3" t="s">
        <v>1340</v>
      </c>
    </row>
    <row r="536" ht="15.75" customHeight="1">
      <c r="A536" s="3">
        <v>423.0</v>
      </c>
      <c r="B536" s="3" t="s">
        <v>1490</v>
      </c>
      <c r="C536" s="3" t="s">
        <v>1491</v>
      </c>
      <c r="D536" s="3" t="s">
        <v>1368</v>
      </c>
      <c r="E536" s="3">
        <v>5.70056378706E11</v>
      </c>
      <c r="F536" s="3" t="s">
        <v>1388</v>
      </c>
      <c r="G536" s="3" t="s">
        <v>581</v>
      </c>
      <c r="H536" s="3" t="s">
        <v>1272</v>
      </c>
    </row>
    <row r="537" ht="15.75" customHeight="1">
      <c r="A537" s="3">
        <v>424.0</v>
      </c>
      <c r="B537" s="3" t="s">
        <v>1492</v>
      </c>
      <c r="C537" s="3" t="s">
        <v>1493</v>
      </c>
      <c r="D537" s="3" t="s">
        <v>1494</v>
      </c>
      <c r="E537" s="3">
        <v>5.70056378707E11</v>
      </c>
      <c r="F537" s="3" t="s">
        <v>1495</v>
      </c>
      <c r="G537" s="3" t="s">
        <v>581</v>
      </c>
      <c r="H537" s="3" t="s">
        <v>1272</v>
      </c>
    </row>
    <row r="538" ht="15.75" customHeight="1">
      <c r="A538" s="3">
        <v>425.0</v>
      </c>
      <c r="B538" s="3" t="s">
        <v>1496</v>
      </c>
      <c r="C538" s="3" t="s">
        <v>1497</v>
      </c>
      <c r="D538" s="3" t="s">
        <v>1498</v>
      </c>
      <c r="E538" s="3">
        <v>5.70056378708E11</v>
      </c>
      <c r="F538" s="3" t="s">
        <v>1499</v>
      </c>
      <c r="G538" s="3" t="s">
        <v>581</v>
      </c>
      <c r="H538" s="3" t="s">
        <v>1500</v>
      </c>
    </row>
    <row r="539" ht="15.75" customHeight="1">
      <c r="A539" s="3">
        <v>426.0</v>
      </c>
      <c r="B539" s="3" t="s">
        <v>1501</v>
      </c>
      <c r="C539" s="3" t="s">
        <v>1502</v>
      </c>
      <c r="D539" s="3" t="s">
        <v>1503</v>
      </c>
      <c r="E539" s="3">
        <v>5.70056378709E11</v>
      </c>
      <c r="F539" s="3" t="s">
        <v>1504</v>
      </c>
      <c r="G539" s="3" t="s">
        <v>581</v>
      </c>
      <c r="H539" s="3" t="s">
        <v>1505</v>
      </c>
    </row>
    <row r="540" ht="15.75" customHeight="1">
      <c r="A540" s="3">
        <v>427.0</v>
      </c>
      <c r="B540" s="3" t="s">
        <v>1473</v>
      </c>
      <c r="C540" s="3" t="s">
        <v>1506</v>
      </c>
      <c r="D540" s="3" t="s">
        <v>1507</v>
      </c>
      <c r="E540" s="3">
        <v>5.70056378712E11</v>
      </c>
      <c r="F540" s="3" t="s">
        <v>1508</v>
      </c>
      <c r="G540" s="3" t="s">
        <v>581</v>
      </c>
      <c r="H540" s="3" t="s">
        <v>1272</v>
      </c>
    </row>
    <row r="541" ht="15.75" customHeight="1">
      <c r="A541" s="3">
        <v>428.0</v>
      </c>
      <c r="B541" s="3" t="s">
        <v>1509</v>
      </c>
      <c r="C541" s="3" t="s">
        <v>1510</v>
      </c>
      <c r="D541" s="3" t="s">
        <v>1511</v>
      </c>
      <c r="E541" s="3">
        <v>5.70056378721E11</v>
      </c>
      <c r="F541" s="3" t="s">
        <v>1512</v>
      </c>
      <c r="G541" s="3" t="s">
        <v>581</v>
      </c>
      <c r="H541" s="3" t="s">
        <v>1505</v>
      </c>
    </row>
    <row r="542" ht="15.75" customHeight="1">
      <c r="A542" s="3">
        <v>429.0</v>
      </c>
      <c r="B542" s="3" t="s">
        <v>1513</v>
      </c>
      <c r="C542" s="3" t="s">
        <v>1514</v>
      </c>
      <c r="D542" s="3" t="s">
        <v>1514</v>
      </c>
      <c r="E542" s="3" t="s">
        <v>1514</v>
      </c>
      <c r="F542" s="3" t="s">
        <v>1514</v>
      </c>
      <c r="G542" s="3" t="s">
        <v>1514</v>
      </c>
      <c r="H542" s="3" t="s">
        <v>1514</v>
      </c>
    </row>
    <row r="543" ht="15.75" customHeight="1">
      <c r="A543" s="3">
        <v>430.0</v>
      </c>
      <c r="B543" s="3" t="s">
        <v>1515</v>
      </c>
      <c r="C543" s="3" t="s">
        <v>1516</v>
      </c>
      <c r="D543" s="3" t="s">
        <v>1517</v>
      </c>
      <c r="E543" s="3">
        <v>5.70056378725E11</v>
      </c>
      <c r="F543" s="3" t="s">
        <v>1518</v>
      </c>
      <c r="G543" s="3" t="s">
        <v>581</v>
      </c>
      <c r="H543" s="3" t="s">
        <v>1500</v>
      </c>
    </row>
    <row r="544" ht="15.75" customHeight="1">
      <c r="A544" s="3">
        <v>431.0</v>
      </c>
      <c r="B544" s="3" t="s">
        <v>1519</v>
      </c>
      <c r="C544" s="3" t="s">
        <v>1520</v>
      </c>
      <c r="D544" s="3" t="s">
        <v>1521</v>
      </c>
      <c r="E544" s="3">
        <v>5.70056378729E11</v>
      </c>
      <c r="F544" s="3" t="s">
        <v>1522</v>
      </c>
      <c r="G544" s="3" t="s">
        <v>581</v>
      </c>
      <c r="H544" s="3" t="s">
        <v>1505</v>
      </c>
    </row>
    <row r="545" ht="15.75" customHeight="1">
      <c r="A545" s="3">
        <v>432.0</v>
      </c>
      <c r="B545" s="3" t="s">
        <v>1523</v>
      </c>
      <c r="C545" s="3" t="s">
        <v>1524</v>
      </c>
      <c r="D545" s="3" t="s">
        <v>1525</v>
      </c>
      <c r="E545" s="3">
        <v>5.70056378732E11</v>
      </c>
      <c r="F545" s="3" t="s">
        <v>1526</v>
      </c>
      <c r="G545" s="3" t="s">
        <v>581</v>
      </c>
      <c r="H545" s="3" t="s">
        <v>1340</v>
      </c>
    </row>
    <row r="546" ht="15.75" customHeight="1">
      <c r="A546" s="3">
        <v>433.0</v>
      </c>
      <c r="B546" s="3" t="s">
        <v>1527</v>
      </c>
      <c r="C546" s="3" t="s">
        <v>1528</v>
      </c>
      <c r="D546" s="3" t="s">
        <v>1529</v>
      </c>
      <c r="E546" s="3">
        <v>5.70056378735E11</v>
      </c>
      <c r="F546" s="3" t="s">
        <v>1530</v>
      </c>
      <c r="G546" s="3" t="s">
        <v>581</v>
      </c>
      <c r="H546" s="3" t="s">
        <v>1340</v>
      </c>
    </row>
    <row r="547" ht="15.75" customHeight="1">
      <c r="A547" s="3">
        <v>434.0</v>
      </c>
      <c r="B547" s="3" t="s">
        <v>1531</v>
      </c>
      <c r="C547" s="3" t="s">
        <v>1532</v>
      </c>
      <c r="D547" s="3" t="s">
        <v>1533</v>
      </c>
      <c r="E547" s="3">
        <v>5.70056378738E11</v>
      </c>
      <c r="F547" s="3" t="s">
        <v>1534</v>
      </c>
      <c r="G547" s="3" t="s">
        <v>581</v>
      </c>
      <c r="H547" s="3" t="s">
        <v>1340</v>
      </c>
    </row>
    <row r="548" ht="15.75" customHeight="1">
      <c r="A548" s="3">
        <v>435.0</v>
      </c>
      <c r="B548" s="3" t="s">
        <v>1535</v>
      </c>
      <c r="C548" s="3" t="s">
        <v>1407</v>
      </c>
      <c r="D548" s="3" t="s">
        <v>1536</v>
      </c>
      <c r="E548" s="3">
        <v>5.70056378739E11</v>
      </c>
      <c r="F548" s="3" t="s">
        <v>1537</v>
      </c>
      <c r="G548" s="3" t="s">
        <v>581</v>
      </c>
      <c r="H548" s="3" t="s">
        <v>1272</v>
      </c>
    </row>
    <row r="549" ht="15.75" customHeight="1">
      <c r="A549" s="3">
        <v>436.0</v>
      </c>
      <c r="B549" s="3" t="s">
        <v>1538</v>
      </c>
      <c r="C549" s="3" t="s">
        <v>1474</v>
      </c>
      <c r="D549" s="3" t="s">
        <v>1475</v>
      </c>
      <c r="E549" s="3">
        <v>5.70056378744E11</v>
      </c>
      <c r="F549" s="3" t="s">
        <v>1539</v>
      </c>
      <c r="G549" s="3" t="s">
        <v>581</v>
      </c>
      <c r="H549" s="3" t="s">
        <v>1340</v>
      </c>
    </row>
    <row r="550" ht="15.75" customHeight="1">
      <c r="A550" s="3">
        <v>437.0</v>
      </c>
      <c r="B550" s="3" t="s">
        <v>1513</v>
      </c>
      <c r="C550" s="3" t="s">
        <v>1514</v>
      </c>
      <c r="D550" s="3" t="s">
        <v>1514</v>
      </c>
      <c r="E550" s="3" t="s">
        <v>1514</v>
      </c>
      <c r="F550" s="3" t="s">
        <v>1514</v>
      </c>
      <c r="G550" s="3" t="s">
        <v>1514</v>
      </c>
      <c r="H550" s="3" t="s">
        <v>1514</v>
      </c>
    </row>
    <row r="551" ht="15.75" customHeight="1">
      <c r="A551" s="3">
        <v>438.0</v>
      </c>
      <c r="B551" s="3" t="s">
        <v>1540</v>
      </c>
      <c r="C551" s="3" t="s">
        <v>1541</v>
      </c>
      <c r="D551" s="3" t="s">
        <v>1542</v>
      </c>
      <c r="E551" s="3">
        <v>5.70056378748E11</v>
      </c>
      <c r="F551" s="3" t="s">
        <v>1543</v>
      </c>
      <c r="G551" s="3" t="s">
        <v>581</v>
      </c>
      <c r="H551" s="3" t="s">
        <v>1272</v>
      </c>
    </row>
    <row r="552" ht="15.75" customHeight="1">
      <c r="A552" s="3">
        <v>439.0</v>
      </c>
      <c r="B552" s="3" t="s">
        <v>1544</v>
      </c>
      <c r="C552" s="3" t="s">
        <v>1440</v>
      </c>
      <c r="D552" s="3" t="s">
        <v>1545</v>
      </c>
      <c r="E552" s="3">
        <v>5.7005637875E11</v>
      </c>
      <c r="F552" s="3" t="s">
        <v>1467</v>
      </c>
      <c r="G552" s="3" t="s">
        <v>581</v>
      </c>
      <c r="H552" s="3" t="s">
        <v>1340</v>
      </c>
    </row>
    <row r="553" ht="15.75" customHeight="1">
      <c r="A553" s="3">
        <v>440.0</v>
      </c>
      <c r="B553" s="3" t="s">
        <v>1546</v>
      </c>
      <c r="C553" s="3" t="s">
        <v>1547</v>
      </c>
      <c r="D553" s="3" t="s">
        <v>1548</v>
      </c>
      <c r="E553" s="3">
        <v>5.70056378751E11</v>
      </c>
      <c r="F553" s="3" t="s">
        <v>1549</v>
      </c>
      <c r="G553" s="3" t="s">
        <v>581</v>
      </c>
      <c r="H553" s="3" t="s">
        <v>1340</v>
      </c>
    </row>
    <row r="554" ht="15.75" customHeight="1">
      <c r="A554" s="3">
        <v>441.0</v>
      </c>
      <c r="B554" s="3" t="s">
        <v>1550</v>
      </c>
      <c r="C554" s="3" t="s">
        <v>1551</v>
      </c>
      <c r="D554" s="3" t="s">
        <v>1552</v>
      </c>
      <c r="E554" s="3">
        <v>5.70056378755E11</v>
      </c>
      <c r="F554" s="3" t="s">
        <v>1553</v>
      </c>
      <c r="G554" s="3" t="s">
        <v>581</v>
      </c>
      <c r="H554" s="3" t="s">
        <v>1340</v>
      </c>
    </row>
    <row r="555" ht="15.75" customHeight="1">
      <c r="A555" s="3">
        <v>442.0</v>
      </c>
      <c r="B555" s="3" t="s">
        <v>1551</v>
      </c>
      <c r="C555" s="3" t="s">
        <v>1554</v>
      </c>
      <c r="D555" s="3" t="s">
        <v>1555</v>
      </c>
      <c r="E555" s="3">
        <v>5.70056378757E11</v>
      </c>
      <c r="F555" s="3" t="s">
        <v>1556</v>
      </c>
      <c r="G555" s="3" t="s">
        <v>581</v>
      </c>
      <c r="H555" s="3" t="s">
        <v>1272</v>
      </c>
    </row>
    <row r="556" ht="15.75" customHeight="1">
      <c r="A556" s="3">
        <v>443.0</v>
      </c>
      <c r="B556" s="3" t="s">
        <v>1557</v>
      </c>
      <c r="C556" s="3" t="s">
        <v>1452</v>
      </c>
      <c r="D556" s="3" t="s">
        <v>1558</v>
      </c>
      <c r="E556" s="3">
        <v>5.70056378759E11</v>
      </c>
      <c r="F556" s="3" t="s">
        <v>1559</v>
      </c>
      <c r="G556" s="3" t="s">
        <v>581</v>
      </c>
      <c r="H556" s="3" t="s">
        <v>1272</v>
      </c>
    </row>
    <row r="557" ht="15.75" customHeight="1">
      <c r="A557" s="3">
        <v>444.0</v>
      </c>
      <c r="B557" s="3" t="s">
        <v>1560</v>
      </c>
      <c r="C557" s="3" t="s">
        <v>1452</v>
      </c>
      <c r="D557" s="3" t="s">
        <v>1561</v>
      </c>
      <c r="E557" s="3">
        <v>5.7005637876E11</v>
      </c>
      <c r="F557" s="3" t="s">
        <v>1562</v>
      </c>
      <c r="G557" s="3" t="s">
        <v>581</v>
      </c>
      <c r="H557" s="3" t="s">
        <v>1272</v>
      </c>
    </row>
    <row r="558" ht="15.75" customHeight="1">
      <c r="A558" s="3">
        <v>445.0</v>
      </c>
      <c r="B558" s="3" t="s">
        <v>1563</v>
      </c>
      <c r="C558" s="3" t="s">
        <v>1551</v>
      </c>
      <c r="D558" s="3" t="s">
        <v>1552</v>
      </c>
      <c r="E558" s="3">
        <v>5.70056378761E11</v>
      </c>
      <c r="F558" s="3" t="s">
        <v>1564</v>
      </c>
      <c r="G558" s="3" t="s">
        <v>581</v>
      </c>
      <c r="H558" s="3" t="s">
        <v>1340</v>
      </c>
    </row>
    <row r="559" ht="15.75" customHeight="1">
      <c r="A559" s="3">
        <v>446.0</v>
      </c>
      <c r="B559" s="3" t="s">
        <v>885</v>
      </c>
      <c r="C559" s="3" t="s">
        <v>1565</v>
      </c>
      <c r="D559" s="3" t="s">
        <v>1566</v>
      </c>
      <c r="E559" s="3">
        <v>5.70056378776E11</v>
      </c>
      <c r="F559" s="3" t="s">
        <v>1567</v>
      </c>
      <c r="G559" s="3" t="s">
        <v>1568</v>
      </c>
      <c r="H559" s="3" t="s">
        <v>1569</v>
      </c>
    </row>
    <row r="560" ht="15.75" customHeight="1">
      <c r="A560" s="3">
        <v>447.0</v>
      </c>
      <c r="B560" s="3" t="s">
        <v>1513</v>
      </c>
      <c r="C560" s="3" t="s">
        <v>1514</v>
      </c>
      <c r="D560" s="3" t="s">
        <v>1514</v>
      </c>
      <c r="E560" s="3" t="s">
        <v>1514</v>
      </c>
      <c r="F560" s="3" t="s">
        <v>1514</v>
      </c>
      <c r="G560" s="3" t="s">
        <v>1514</v>
      </c>
      <c r="H560" s="3" t="s">
        <v>1514</v>
      </c>
    </row>
    <row r="561" ht="15.75" customHeight="1">
      <c r="A561" s="3">
        <v>448.0</v>
      </c>
      <c r="B561" s="3" t="s">
        <v>1570</v>
      </c>
      <c r="C561" s="3" t="s">
        <v>1571</v>
      </c>
      <c r="D561" s="3" t="s">
        <v>1572</v>
      </c>
      <c r="E561" s="3">
        <v>5.70056378785E11</v>
      </c>
      <c r="F561" s="3" t="s">
        <v>689</v>
      </c>
      <c r="G561" s="3" t="s">
        <v>599</v>
      </c>
      <c r="H561" s="3" t="s">
        <v>1272</v>
      </c>
    </row>
    <row r="562" ht="15.75" customHeight="1">
      <c r="A562" s="3">
        <v>449.0</v>
      </c>
      <c r="B562" s="3" t="s">
        <v>1573</v>
      </c>
      <c r="C562" s="3" t="s">
        <v>1574</v>
      </c>
      <c r="D562" s="3" t="s">
        <v>1575</v>
      </c>
      <c r="E562" s="3">
        <v>5.70056378786E11</v>
      </c>
      <c r="F562" s="3" t="s">
        <v>1576</v>
      </c>
      <c r="G562" s="3" t="s">
        <v>581</v>
      </c>
      <c r="H562" s="3" t="s">
        <v>1577</v>
      </c>
    </row>
    <row r="563" ht="15.75" customHeight="1">
      <c r="A563" s="3">
        <v>450.0</v>
      </c>
      <c r="B563" s="3" t="s">
        <v>1578</v>
      </c>
      <c r="C563" s="3" t="s">
        <v>1579</v>
      </c>
      <c r="D563" s="3" t="s">
        <v>1580</v>
      </c>
      <c r="E563" s="3">
        <v>5.70056378789E11</v>
      </c>
      <c r="F563" s="3" t="s">
        <v>1581</v>
      </c>
      <c r="G563" s="3" t="s">
        <v>581</v>
      </c>
      <c r="H563" s="3" t="s">
        <v>1577</v>
      </c>
    </row>
    <row r="564" ht="15.75" customHeight="1">
      <c r="A564" s="3">
        <v>451.0</v>
      </c>
      <c r="B564" s="3" t="s">
        <v>1582</v>
      </c>
      <c r="C564" s="3" t="s">
        <v>1583</v>
      </c>
      <c r="D564" s="3" t="s">
        <v>1584</v>
      </c>
      <c r="E564" s="3">
        <v>5.7005637879E11</v>
      </c>
      <c r="F564" s="3" t="s">
        <v>1585</v>
      </c>
      <c r="G564" s="3" t="s">
        <v>581</v>
      </c>
      <c r="H564" s="3" t="s">
        <v>1569</v>
      </c>
    </row>
    <row r="565" ht="15.75" customHeight="1">
      <c r="A565" s="3">
        <v>452.0</v>
      </c>
      <c r="B565" s="3" t="s">
        <v>1586</v>
      </c>
      <c r="C565" s="3" t="s">
        <v>1587</v>
      </c>
      <c r="D565" s="3" t="s">
        <v>1588</v>
      </c>
      <c r="E565" s="3">
        <v>5.70056378791E11</v>
      </c>
      <c r="F565" s="3" t="s">
        <v>1589</v>
      </c>
      <c r="G565" s="3" t="s">
        <v>581</v>
      </c>
      <c r="H565" s="3" t="s">
        <v>1577</v>
      </c>
    </row>
    <row r="566" ht="15.75" customHeight="1">
      <c r="A566" s="3">
        <v>453.0</v>
      </c>
      <c r="B566" s="3" t="s">
        <v>1590</v>
      </c>
      <c r="C566" s="3" t="s">
        <v>1591</v>
      </c>
      <c r="D566" s="3" t="s">
        <v>915</v>
      </c>
      <c r="E566" s="3">
        <v>5.70056378792E11</v>
      </c>
      <c r="F566" s="3" t="s">
        <v>1592</v>
      </c>
      <c r="G566" s="3" t="s">
        <v>581</v>
      </c>
      <c r="H566" s="3" t="s">
        <v>1272</v>
      </c>
    </row>
    <row r="567" ht="15.75" customHeight="1">
      <c r="A567" s="3">
        <v>454.0</v>
      </c>
      <c r="B567" s="3" t="s">
        <v>1593</v>
      </c>
      <c r="C567" s="3" t="s">
        <v>1411</v>
      </c>
      <c r="D567" s="3" t="s">
        <v>1594</v>
      </c>
      <c r="E567" s="3">
        <v>5.70056378797E11</v>
      </c>
      <c r="F567" s="3" t="s">
        <v>1595</v>
      </c>
      <c r="G567" s="3" t="s">
        <v>581</v>
      </c>
      <c r="H567" s="3" t="s">
        <v>1272</v>
      </c>
    </row>
    <row r="568" ht="15.75" customHeight="1">
      <c r="A568" s="3">
        <v>455.0</v>
      </c>
      <c r="B568" s="3" t="s">
        <v>1596</v>
      </c>
      <c r="C568" s="3" t="s">
        <v>1597</v>
      </c>
      <c r="D568" s="3" t="s">
        <v>1003</v>
      </c>
      <c r="E568" s="3">
        <v>5.70056378798E11</v>
      </c>
      <c r="F568" s="3" t="s">
        <v>1598</v>
      </c>
      <c r="G568" s="3" t="s">
        <v>581</v>
      </c>
      <c r="H568" s="3" t="s">
        <v>1272</v>
      </c>
    </row>
    <row r="569" ht="15.75" customHeight="1">
      <c r="A569" s="3">
        <v>456.0</v>
      </c>
      <c r="B569" s="3" t="s">
        <v>1599</v>
      </c>
      <c r="C569" s="3" t="s">
        <v>1600</v>
      </c>
      <c r="D569" s="3" t="s">
        <v>1529</v>
      </c>
      <c r="E569" s="3">
        <v>5.700563788E11</v>
      </c>
      <c r="F569" s="3" t="s">
        <v>1601</v>
      </c>
      <c r="G569" s="3" t="s">
        <v>581</v>
      </c>
      <c r="H569" s="3" t="s">
        <v>1340</v>
      </c>
    </row>
    <row r="570" ht="15.75" customHeight="1">
      <c r="A570" s="3">
        <v>457.0</v>
      </c>
      <c r="B570" s="3" t="s">
        <v>921</v>
      </c>
      <c r="C570" s="3" t="s">
        <v>1411</v>
      </c>
      <c r="D570" s="3" t="s">
        <v>1594</v>
      </c>
      <c r="E570" s="3">
        <v>5.70056378802E11</v>
      </c>
      <c r="F570" s="3" t="s">
        <v>1602</v>
      </c>
      <c r="G570" s="3" t="s">
        <v>581</v>
      </c>
      <c r="H570" s="3" t="s">
        <v>1603</v>
      </c>
    </row>
    <row r="571" ht="15.75" customHeight="1">
      <c r="A571" s="3">
        <v>458.0</v>
      </c>
      <c r="B571" s="3" t="s">
        <v>1604</v>
      </c>
      <c r="C571" s="3" t="s">
        <v>1605</v>
      </c>
      <c r="D571" s="3" t="s">
        <v>1606</v>
      </c>
      <c r="E571" s="3">
        <v>5.70056378807E11</v>
      </c>
      <c r="F571" s="3" t="s">
        <v>1607</v>
      </c>
      <c r="G571" s="3" t="s">
        <v>581</v>
      </c>
      <c r="H571" s="3" t="s">
        <v>1272</v>
      </c>
    </row>
    <row r="572" ht="15.75" customHeight="1">
      <c r="A572" s="3">
        <v>459.0</v>
      </c>
      <c r="B572" s="3" t="s">
        <v>1608</v>
      </c>
      <c r="C572" s="3" t="s">
        <v>1591</v>
      </c>
      <c r="D572" s="3" t="s">
        <v>915</v>
      </c>
      <c r="E572" s="3">
        <v>5.70056378808E11</v>
      </c>
      <c r="F572" s="3" t="s">
        <v>1609</v>
      </c>
      <c r="G572" s="3" t="s">
        <v>581</v>
      </c>
      <c r="H572" s="3" t="s">
        <v>1610</v>
      </c>
    </row>
    <row r="573" ht="15.75" customHeight="1">
      <c r="A573" s="3">
        <v>460.0</v>
      </c>
      <c r="B573" s="3" t="s">
        <v>1611</v>
      </c>
      <c r="C573" s="3" t="s">
        <v>1612</v>
      </c>
      <c r="D573" s="3" t="s">
        <v>817</v>
      </c>
      <c r="E573" s="3">
        <v>5.7005637881E11</v>
      </c>
      <c r="F573" s="3" t="s">
        <v>1613</v>
      </c>
      <c r="G573" s="3" t="s">
        <v>581</v>
      </c>
      <c r="H573" s="3" t="s">
        <v>1272</v>
      </c>
    </row>
    <row r="574" ht="15.75" customHeight="1">
      <c r="A574" s="3">
        <v>461.0</v>
      </c>
      <c r="B574" s="3" t="s">
        <v>1614</v>
      </c>
      <c r="C574" s="3" t="s">
        <v>1484</v>
      </c>
      <c r="D574" s="3" t="s">
        <v>1615</v>
      </c>
      <c r="E574" s="3">
        <v>5.70056378815E11</v>
      </c>
      <c r="F574" s="3" t="s">
        <v>1616</v>
      </c>
      <c r="G574" s="3" t="s">
        <v>581</v>
      </c>
      <c r="H574" s="3" t="s">
        <v>1617</v>
      </c>
    </row>
    <row r="575" ht="15.75" customHeight="1">
      <c r="A575" s="3">
        <v>462.0</v>
      </c>
      <c r="B575" s="3" t="s">
        <v>1618</v>
      </c>
      <c r="C575" s="3" t="s">
        <v>1443</v>
      </c>
      <c r="D575" s="3" t="s">
        <v>1453</v>
      </c>
      <c r="E575" s="3">
        <v>5.70056378816E11</v>
      </c>
      <c r="F575" s="3" t="s">
        <v>1619</v>
      </c>
      <c r="G575" s="3" t="s">
        <v>581</v>
      </c>
      <c r="H575" s="3" t="s">
        <v>1272</v>
      </c>
    </row>
    <row r="576" ht="15.75" customHeight="1">
      <c r="A576" s="3">
        <v>463.0</v>
      </c>
      <c r="B576" s="3" t="s">
        <v>1620</v>
      </c>
      <c r="C576" s="3" t="s">
        <v>1621</v>
      </c>
      <c r="D576" s="3" t="s">
        <v>1622</v>
      </c>
      <c r="E576" s="3">
        <v>5.70056378819E11</v>
      </c>
      <c r="F576" s="3" t="s">
        <v>1623</v>
      </c>
      <c r="G576" s="3" t="s">
        <v>581</v>
      </c>
      <c r="H576" s="3" t="s">
        <v>1272</v>
      </c>
    </row>
    <row r="577" ht="15.75" customHeight="1">
      <c r="A577" s="3">
        <v>464.0</v>
      </c>
      <c r="B577" s="3" t="s">
        <v>1624</v>
      </c>
      <c r="C577" s="3" t="s">
        <v>1625</v>
      </c>
      <c r="D577" s="3" t="s">
        <v>1626</v>
      </c>
      <c r="E577" s="3">
        <v>5.70056378822E11</v>
      </c>
      <c r="F577" s="3" t="s">
        <v>1627</v>
      </c>
      <c r="G577" s="3" t="s">
        <v>581</v>
      </c>
      <c r="H577" s="3" t="s">
        <v>1272</v>
      </c>
    </row>
    <row r="578" ht="15.75" customHeight="1">
      <c r="A578" s="3">
        <v>465.0</v>
      </c>
      <c r="B578" s="3" t="s">
        <v>1604</v>
      </c>
      <c r="C578" s="3" t="s">
        <v>1628</v>
      </c>
      <c r="D578" s="3" t="s">
        <v>1615</v>
      </c>
      <c r="E578" s="3">
        <v>5.70056378823E11</v>
      </c>
      <c r="F578" s="3" t="s">
        <v>1629</v>
      </c>
      <c r="G578" s="3" t="s">
        <v>581</v>
      </c>
      <c r="H578" s="3" t="s">
        <v>1617</v>
      </c>
    </row>
    <row r="579" ht="15.75" customHeight="1">
      <c r="A579" s="3">
        <v>466.0</v>
      </c>
      <c r="B579" s="3" t="s">
        <v>1625</v>
      </c>
      <c r="C579" s="3" t="s">
        <v>1630</v>
      </c>
      <c r="D579" s="3" t="s">
        <v>852</v>
      </c>
      <c r="E579" s="3">
        <v>5.70056378824E11</v>
      </c>
      <c r="F579" s="3" t="s">
        <v>1631</v>
      </c>
      <c r="G579" s="3" t="s">
        <v>581</v>
      </c>
      <c r="H579" s="3" t="s">
        <v>1617</v>
      </c>
    </row>
    <row r="580" ht="15.75" customHeight="1">
      <c r="A580" s="3">
        <v>467.0</v>
      </c>
      <c r="B580" s="3" t="s">
        <v>1632</v>
      </c>
      <c r="C580" s="3" t="s">
        <v>1633</v>
      </c>
      <c r="D580" s="3" t="s">
        <v>817</v>
      </c>
      <c r="E580" s="3">
        <v>5.70056378826E11</v>
      </c>
      <c r="F580" s="3" t="s">
        <v>1634</v>
      </c>
      <c r="G580" s="3" t="s">
        <v>581</v>
      </c>
      <c r="H580" s="3" t="s">
        <v>1272</v>
      </c>
    </row>
    <row r="581" ht="15.75" customHeight="1">
      <c r="A581" s="3">
        <v>468.0</v>
      </c>
      <c r="B581" s="3" t="s">
        <v>1635</v>
      </c>
      <c r="C581" s="3" t="s">
        <v>1611</v>
      </c>
      <c r="D581" s="3" t="s">
        <v>897</v>
      </c>
      <c r="E581" s="3">
        <v>5.70056378829E11</v>
      </c>
      <c r="F581" s="3" t="s">
        <v>1636</v>
      </c>
      <c r="G581" s="3" t="s">
        <v>581</v>
      </c>
      <c r="H581" s="3" t="s">
        <v>1272</v>
      </c>
    </row>
    <row r="582" ht="15.75" customHeight="1">
      <c r="A582" s="3">
        <v>469.0</v>
      </c>
      <c r="B582" s="3" t="s">
        <v>877</v>
      </c>
      <c r="C582" s="3" t="s">
        <v>1611</v>
      </c>
      <c r="D582" s="3" t="s">
        <v>897</v>
      </c>
      <c r="E582" s="3">
        <v>5.7005637883E11</v>
      </c>
      <c r="F582" s="3" t="s">
        <v>1637</v>
      </c>
      <c r="G582" s="3" t="s">
        <v>581</v>
      </c>
      <c r="H582" s="3" t="s">
        <v>1603</v>
      </c>
    </row>
    <row r="583" ht="15.75" customHeight="1">
      <c r="A583" s="3">
        <v>470.0</v>
      </c>
      <c r="B583" s="3" t="s">
        <v>1638</v>
      </c>
      <c r="C583" s="3" t="s">
        <v>1280</v>
      </c>
      <c r="D583" s="3" t="s">
        <v>1639</v>
      </c>
      <c r="E583" s="3">
        <v>5.70056378832E11</v>
      </c>
      <c r="F583" s="3" t="s">
        <v>1640</v>
      </c>
      <c r="G583" s="3" t="s">
        <v>581</v>
      </c>
      <c r="H583" s="3" t="s">
        <v>1603</v>
      </c>
    </row>
    <row r="584" ht="15.75" customHeight="1">
      <c r="A584" s="3">
        <v>471.0</v>
      </c>
      <c r="B584" s="3" t="s">
        <v>1641</v>
      </c>
      <c r="C584" s="3" t="s">
        <v>1411</v>
      </c>
      <c r="D584" s="3" t="s">
        <v>1642</v>
      </c>
      <c r="E584" s="3">
        <v>5.70056378833E11</v>
      </c>
      <c r="F584" s="3" t="s">
        <v>1643</v>
      </c>
      <c r="G584" s="3" t="s">
        <v>581</v>
      </c>
      <c r="H584" s="3" t="s">
        <v>1617</v>
      </c>
    </row>
    <row r="585" ht="15.75" customHeight="1">
      <c r="A585" s="3">
        <v>472.0</v>
      </c>
      <c r="B585" s="3" t="s">
        <v>1644</v>
      </c>
      <c r="C585" s="3" t="s">
        <v>1443</v>
      </c>
      <c r="D585" s="3" t="s">
        <v>1453</v>
      </c>
      <c r="E585" s="3">
        <v>5.70056378835E11</v>
      </c>
      <c r="F585" s="3" t="s">
        <v>1645</v>
      </c>
      <c r="G585" s="3" t="s">
        <v>581</v>
      </c>
      <c r="H585" s="3" t="s">
        <v>1603</v>
      </c>
    </row>
    <row r="586" ht="15.75" customHeight="1">
      <c r="A586" s="3">
        <v>473.0</v>
      </c>
      <c r="B586" s="3" t="s">
        <v>1646</v>
      </c>
      <c r="C586" s="3" t="s">
        <v>1443</v>
      </c>
      <c r="D586" s="3" t="s">
        <v>1558</v>
      </c>
      <c r="E586" s="3">
        <v>5.70056378836E11</v>
      </c>
      <c r="F586" s="3" t="s">
        <v>593</v>
      </c>
      <c r="G586" s="3" t="s">
        <v>1647</v>
      </c>
      <c r="H586" s="3" t="s">
        <v>1272</v>
      </c>
    </row>
    <row r="587" ht="15.75" customHeight="1">
      <c r="A587" s="3">
        <v>474.0</v>
      </c>
      <c r="B587" s="3" t="s">
        <v>1648</v>
      </c>
      <c r="C587" s="3" t="s">
        <v>1649</v>
      </c>
      <c r="D587" s="3" t="s">
        <v>1650</v>
      </c>
      <c r="E587" s="3">
        <v>5.70056378838E11</v>
      </c>
      <c r="F587" s="3" t="s">
        <v>1651</v>
      </c>
      <c r="G587" s="3" t="s">
        <v>581</v>
      </c>
      <c r="H587" s="3" t="s">
        <v>1617</v>
      </c>
    </row>
    <row r="588" ht="15.75" customHeight="1">
      <c r="A588" s="3">
        <v>475.0</v>
      </c>
      <c r="B588" s="3" t="s">
        <v>1652</v>
      </c>
      <c r="C588" s="3" t="s">
        <v>1653</v>
      </c>
      <c r="D588" s="3" t="s">
        <v>1654</v>
      </c>
      <c r="E588" s="3">
        <v>5.7005637884E11</v>
      </c>
      <c r="F588" s="3" t="s">
        <v>1655</v>
      </c>
      <c r="G588" s="3" t="s">
        <v>581</v>
      </c>
      <c r="H588" s="3" t="s">
        <v>1272</v>
      </c>
    </row>
    <row r="589" ht="15.75" customHeight="1">
      <c r="A589" s="3">
        <v>476.0</v>
      </c>
      <c r="B589" s="3" t="s">
        <v>1590</v>
      </c>
      <c r="C589" s="3" t="s">
        <v>1656</v>
      </c>
      <c r="D589" s="3" t="s">
        <v>1657</v>
      </c>
      <c r="E589" s="3">
        <v>5.70056378842E11</v>
      </c>
      <c r="F589" s="3" t="s">
        <v>1658</v>
      </c>
      <c r="G589" s="3" t="s">
        <v>581</v>
      </c>
      <c r="H589" s="3" t="s">
        <v>1617</v>
      </c>
    </row>
    <row r="590" ht="15.75" customHeight="1">
      <c r="A590" s="3">
        <v>477.0</v>
      </c>
      <c r="B590" s="3" t="s">
        <v>1659</v>
      </c>
      <c r="C590" s="3" t="s">
        <v>1660</v>
      </c>
      <c r="D590" s="3" t="s">
        <v>1661</v>
      </c>
      <c r="E590" s="3">
        <v>5.70056378861E11</v>
      </c>
      <c r="F590" s="3" t="s">
        <v>1662</v>
      </c>
      <c r="G590" s="3" t="s">
        <v>581</v>
      </c>
      <c r="H590" s="3" t="s">
        <v>1603</v>
      </c>
    </row>
    <row r="591" ht="15.75" customHeight="1">
      <c r="A591" s="3">
        <v>478.0</v>
      </c>
      <c r="B591" s="3" t="s">
        <v>1392</v>
      </c>
      <c r="C591" s="3" t="s">
        <v>1596</v>
      </c>
      <c r="D591" s="3" t="s">
        <v>1453</v>
      </c>
      <c r="E591" s="3">
        <v>5.70056378872E11</v>
      </c>
      <c r="F591" s="3" t="s">
        <v>1663</v>
      </c>
      <c r="G591" s="3" t="s">
        <v>581</v>
      </c>
      <c r="H591" s="3" t="s">
        <v>1603</v>
      </c>
    </row>
    <row r="592" ht="15.75" customHeight="1">
      <c r="A592" s="3">
        <v>479.0</v>
      </c>
      <c r="B592" s="3" t="s">
        <v>1381</v>
      </c>
      <c r="C592" s="3" t="s">
        <v>1664</v>
      </c>
      <c r="D592" s="3" t="s">
        <v>901</v>
      </c>
      <c r="E592" s="3">
        <v>5.70056378875E11</v>
      </c>
      <c r="F592" s="3" t="s">
        <v>1665</v>
      </c>
      <c r="G592" s="3" t="s">
        <v>1666</v>
      </c>
      <c r="H592" s="3" t="s">
        <v>1272</v>
      </c>
    </row>
    <row r="593" ht="15.75" customHeight="1">
      <c r="A593" s="3">
        <v>480.0</v>
      </c>
      <c r="B593" s="3" t="s">
        <v>994</v>
      </c>
      <c r="C593" s="3" t="s">
        <v>1667</v>
      </c>
      <c r="D593" s="3" t="s">
        <v>1668</v>
      </c>
      <c r="E593" s="3">
        <v>5.70056378879E11</v>
      </c>
      <c r="F593" s="3" t="s">
        <v>1669</v>
      </c>
      <c r="G593" s="3" t="s">
        <v>581</v>
      </c>
      <c r="H593" s="3" t="s">
        <v>1603</v>
      </c>
    </row>
    <row r="594" ht="15.75" customHeight="1">
      <c r="A594" s="3">
        <v>481.0</v>
      </c>
      <c r="B594" s="3" t="s">
        <v>1670</v>
      </c>
      <c r="C594" s="3" t="s">
        <v>1671</v>
      </c>
      <c r="D594" s="3" t="s">
        <v>1672</v>
      </c>
      <c r="E594" s="3">
        <v>5.70056378884E11</v>
      </c>
      <c r="F594" s="3" t="s">
        <v>1673</v>
      </c>
      <c r="G594" s="3" t="s">
        <v>581</v>
      </c>
      <c r="H594" s="3" t="s">
        <v>1272</v>
      </c>
    </row>
    <row r="595" ht="15.75" customHeight="1">
      <c r="A595" s="3">
        <v>482.0</v>
      </c>
      <c r="B595" s="3" t="s">
        <v>1674</v>
      </c>
      <c r="C595" s="3" t="s">
        <v>1675</v>
      </c>
      <c r="D595" s="3" t="s">
        <v>1676</v>
      </c>
      <c r="E595" s="3">
        <v>5.70056378885E11</v>
      </c>
      <c r="F595" s="3" t="s">
        <v>1677</v>
      </c>
      <c r="G595" s="3" t="s">
        <v>581</v>
      </c>
      <c r="H595" s="3" t="s">
        <v>1272</v>
      </c>
    </row>
    <row r="596" ht="15.75" customHeight="1">
      <c r="A596" s="3">
        <v>483.0</v>
      </c>
      <c r="B596" s="3" t="s">
        <v>1678</v>
      </c>
      <c r="C596" s="3" t="s">
        <v>1679</v>
      </c>
      <c r="D596" s="3" t="s">
        <v>1615</v>
      </c>
      <c r="E596" s="3">
        <v>5.70056378886E11</v>
      </c>
      <c r="F596" s="3" t="s">
        <v>1680</v>
      </c>
      <c r="G596" s="3" t="s">
        <v>581</v>
      </c>
      <c r="H596" s="3" t="s">
        <v>1610</v>
      </c>
    </row>
    <row r="597" ht="15.75" customHeight="1">
      <c r="A597" s="3">
        <v>484.0</v>
      </c>
      <c r="B597" s="3" t="s">
        <v>1681</v>
      </c>
      <c r="C597" s="3" t="s">
        <v>1679</v>
      </c>
      <c r="D597" s="3" t="s">
        <v>859</v>
      </c>
      <c r="E597" s="3">
        <v>5.70056378887E11</v>
      </c>
      <c r="F597" s="3" t="s">
        <v>1682</v>
      </c>
      <c r="G597" s="3" t="s">
        <v>581</v>
      </c>
      <c r="H597" s="3" t="s">
        <v>1272</v>
      </c>
    </row>
    <row r="598" ht="15.75" customHeight="1">
      <c r="A598" s="3">
        <v>485.0</v>
      </c>
      <c r="B598" s="3" t="s">
        <v>1683</v>
      </c>
      <c r="C598" s="3" t="s">
        <v>1684</v>
      </c>
      <c r="D598" s="3" t="s">
        <v>1685</v>
      </c>
      <c r="E598" s="3">
        <v>5.70056378888E11</v>
      </c>
      <c r="F598" s="3" t="s">
        <v>1686</v>
      </c>
      <c r="G598" s="3" t="s">
        <v>581</v>
      </c>
      <c r="H598" s="3" t="s">
        <v>1617</v>
      </c>
    </row>
    <row r="599" ht="15.75" customHeight="1">
      <c r="A599" s="3">
        <v>486.0</v>
      </c>
      <c r="B599" s="3" t="s">
        <v>1687</v>
      </c>
      <c r="C599" s="3" t="s">
        <v>1649</v>
      </c>
      <c r="D599" s="3" t="s">
        <v>1688</v>
      </c>
      <c r="E599" s="3">
        <v>5.70056378892E11</v>
      </c>
      <c r="F599" s="3" t="s">
        <v>1689</v>
      </c>
      <c r="G599" s="3" t="s">
        <v>581</v>
      </c>
      <c r="H599" s="3" t="s">
        <v>1603</v>
      </c>
    </row>
    <row r="600" ht="15.75" customHeight="1">
      <c r="A600" s="3">
        <v>487.0</v>
      </c>
      <c r="B600" s="3" t="s">
        <v>1690</v>
      </c>
      <c r="C600" s="3" t="s">
        <v>1691</v>
      </c>
      <c r="D600" s="3" t="s">
        <v>1692</v>
      </c>
      <c r="E600" s="3">
        <v>5.70056378897E11</v>
      </c>
      <c r="F600" s="3" t="s">
        <v>1693</v>
      </c>
      <c r="G600" s="3" t="s">
        <v>581</v>
      </c>
      <c r="H600" s="3" t="s">
        <v>1603</v>
      </c>
    </row>
    <row r="601" ht="15.75" customHeight="1">
      <c r="A601" s="3">
        <v>488.0</v>
      </c>
      <c r="B601" s="3" t="s">
        <v>1694</v>
      </c>
      <c r="C601" s="3" t="s">
        <v>1695</v>
      </c>
      <c r="D601" s="3" t="s">
        <v>1003</v>
      </c>
      <c r="E601" s="3">
        <v>5.70056378898E11</v>
      </c>
      <c r="F601" s="3" t="s">
        <v>1696</v>
      </c>
      <c r="G601" s="3" t="s">
        <v>581</v>
      </c>
      <c r="H601" s="3" t="s">
        <v>1603</v>
      </c>
    </row>
    <row r="602" ht="15.75" customHeight="1">
      <c r="A602" s="3">
        <v>489.0</v>
      </c>
      <c r="B602" s="3" t="s">
        <v>1697</v>
      </c>
      <c r="C602" s="3" t="s">
        <v>1679</v>
      </c>
      <c r="D602" s="3" t="s">
        <v>859</v>
      </c>
      <c r="E602" s="3">
        <v>5.70056378899E11</v>
      </c>
      <c r="F602" s="3" t="s">
        <v>1698</v>
      </c>
      <c r="G602" s="3" t="s">
        <v>581</v>
      </c>
      <c r="H602" s="3" t="s">
        <v>1603</v>
      </c>
    </row>
    <row r="603" ht="15.75" customHeight="1">
      <c r="A603" s="3">
        <v>490.0</v>
      </c>
      <c r="B603" s="3" t="s">
        <v>885</v>
      </c>
      <c r="C603" s="3" t="s">
        <v>1694</v>
      </c>
      <c r="D603" s="3" t="s">
        <v>1699</v>
      </c>
      <c r="E603" s="3">
        <v>5.700563789E11</v>
      </c>
      <c r="F603" s="3" t="s">
        <v>1700</v>
      </c>
      <c r="G603" s="3" t="s">
        <v>581</v>
      </c>
      <c r="H603" s="3" t="s">
        <v>1272</v>
      </c>
    </row>
    <row r="604" ht="15.75" customHeight="1">
      <c r="A604" s="3">
        <v>491.0</v>
      </c>
      <c r="B604" s="3" t="s">
        <v>1701</v>
      </c>
      <c r="C604" s="3" t="s">
        <v>1702</v>
      </c>
      <c r="D604" s="3" t="s">
        <v>1703</v>
      </c>
      <c r="E604" s="3">
        <v>5.70056378902E11</v>
      </c>
      <c r="F604" s="3" t="s">
        <v>1704</v>
      </c>
      <c r="G604" s="3" t="s">
        <v>581</v>
      </c>
      <c r="H604" s="3" t="s">
        <v>1272</v>
      </c>
    </row>
    <row r="605" ht="15.75" customHeight="1">
      <c r="A605" s="3">
        <v>492.0</v>
      </c>
      <c r="B605" s="3" t="s">
        <v>1596</v>
      </c>
      <c r="C605" s="3" t="s">
        <v>1701</v>
      </c>
      <c r="D605" s="3" t="s">
        <v>1705</v>
      </c>
      <c r="E605" s="3">
        <v>5.70056378905E11</v>
      </c>
      <c r="F605" s="3" t="s">
        <v>1706</v>
      </c>
      <c r="G605" s="3" t="s">
        <v>581</v>
      </c>
      <c r="H605" s="3" t="s">
        <v>1272</v>
      </c>
    </row>
    <row r="606" ht="15.75" customHeight="1">
      <c r="A606" s="3">
        <v>493.0</v>
      </c>
      <c r="B606" s="3" t="s">
        <v>1687</v>
      </c>
      <c r="C606" s="3" t="s">
        <v>1707</v>
      </c>
      <c r="D606" s="3" t="s">
        <v>1379</v>
      </c>
      <c r="E606" s="3">
        <v>5.70056378909E11</v>
      </c>
      <c r="F606" s="3" t="s">
        <v>1708</v>
      </c>
      <c r="G606" s="3" t="s">
        <v>608</v>
      </c>
      <c r="H606" s="3" t="s">
        <v>1272</v>
      </c>
    </row>
    <row r="607" ht="15.75" customHeight="1">
      <c r="A607" s="3">
        <v>494.0</v>
      </c>
      <c r="B607" s="3" t="s">
        <v>1681</v>
      </c>
      <c r="C607" s="3" t="s">
        <v>1709</v>
      </c>
      <c r="D607" s="3" t="s">
        <v>1710</v>
      </c>
      <c r="E607" s="3">
        <v>5.70056378913E11</v>
      </c>
      <c r="F607" s="3" t="s">
        <v>1711</v>
      </c>
      <c r="G607" s="3" t="s">
        <v>608</v>
      </c>
      <c r="H607" s="3" t="s">
        <v>1272</v>
      </c>
    </row>
    <row r="608" ht="15.75" customHeight="1">
      <c r="A608" s="3">
        <v>495.0</v>
      </c>
      <c r="B608" s="3" t="s">
        <v>1712</v>
      </c>
      <c r="C608" s="3" t="s">
        <v>1713</v>
      </c>
      <c r="D608" s="3" t="s">
        <v>919</v>
      </c>
      <c r="E608" s="3">
        <v>5.70056378917E11</v>
      </c>
      <c r="F608" s="3" t="s">
        <v>1714</v>
      </c>
      <c r="G608" s="3" t="s">
        <v>608</v>
      </c>
      <c r="H608" s="3" t="s">
        <v>1272</v>
      </c>
    </row>
    <row r="609" ht="15.75" customHeight="1">
      <c r="A609" s="3">
        <v>496.0</v>
      </c>
      <c r="B609" s="3" t="s">
        <v>1713</v>
      </c>
      <c r="C609" s="3" t="s">
        <v>1715</v>
      </c>
      <c r="D609" s="3" t="s">
        <v>1716</v>
      </c>
      <c r="E609" s="3">
        <v>5.70056378918E11</v>
      </c>
      <c r="F609" s="3" t="s">
        <v>1704</v>
      </c>
      <c r="G609" s="3" t="s">
        <v>581</v>
      </c>
      <c r="H609" s="3" t="s">
        <v>1272</v>
      </c>
    </row>
    <row r="610" ht="15.75" customHeight="1">
      <c r="A610" s="3">
        <v>497.0</v>
      </c>
      <c r="B610" s="3" t="s">
        <v>1717</v>
      </c>
      <c r="C610" s="3" t="s">
        <v>1718</v>
      </c>
      <c r="D610" s="3" t="s">
        <v>1719</v>
      </c>
      <c r="E610" s="3">
        <v>5.70056378929E11</v>
      </c>
      <c r="F610" s="3" t="s">
        <v>1720</v>
      </c>
      <c r="G610" s="3" t="s">
        <v>581</v>
      </c>
      <c r="H610" s="3" t="s">
        <v>1272</v>
      </c>
    </row>
    <row r="611" ht="15.75" customHeight="1">
      <c r="A611" s="3">
        <v>498.0</v>
      </c>
      <c r="B611" s="3" t="s">
        <v>1721</v>
      </c>
      <c r="C611" s="3" t="s">
        <v>1722</v>
      </c>
      <c r="D611" s="3" t="s">
        <v>1723</v>
      </c>
      <c r="E611" s="3">
        <v>5.70056378932E11</v>
      </c>
      <c r="F611" s="3" t="s">
        <v>1724</v>
      </c>
      <c r="G611" s="3" t="s">
        <v>608</v>
      </c>
      <c r="H611" s="3" t="s">
        <v>1272</v>
      </c>
    </row>
    <row r="612" ht="15.75" customHeight="1">
      <c r="A612" s="3">
        <v>499.0</v>
      </c>
      <c r="B612" s="3" t="s">
        <v>1725</v>
      </c>
      <c r="C612" s="3" t="s">
        <v>1726</v>
      </c>
      <c r="D612" s="3" t="s">
        <v>1727</v>
      </c>
      <c r="E612" s="3">
        <v>5.70056378935E11</v>
      </c>
      <c r="F612" s="3" t="s">
        <v>1728</v>
      </c>
      <c r="G612" s="3" t="s">
        <v>581</v>
      </c>
      <c r="H612" s="3" t="s">
        <v>1272</v>
      </c>
    </row>
    <row r="613" ht="15.75" customHeight="1">
      <c r="A613" s="3">
        <v>500.0</v>
      </c>
      <c r="B613" s="3" t="s">
        <v>994</v>
      </c>
      <c r="C613" s="3" t="s">
        <v>1729</v>
      </c>
      <c r="D613" s="3" t="s">
        <v>1730</v>
      </c>
      <c r="E613" s="3">
        <v>5.70056378936E11</v>
      </c>
      <c r="F613" s="3" t="s">
        <v>1731</v>
      </c>
      <c r="G613" s="3" t="s">
        <v>925</v>
      </c>
      <c r="H613" s="3" t="s">
        <v>1272</v>
      </c>
    </row>
    <row r="614" ht="15.75" customHeight="1">
      <c r="A614" s="3">
        <v>501.0</v>
      </c>
      <c r="B614" s="3" t="s">
        <v>1732</v>
      </c>
      <c r="C614" s="3" t="s">
        <v>1733</v>
      </c>
      <c r="D614" s="3" t="s">
        <v>1734</v>
      </c>
      <c r="E614" s="3">
        <v>5.70056378942E11</v>
      </c>
      <c r="F614" s="3" t="s">
        <v>689</v>
      </c>
      <c r="G614" s="3" t="s">
        <v>599</v>
      </c>
      <c r="H614" s="3" t="s">
        <v>1272</v>
      </c>
    </row>
    <row r="615" ht="15.75" customHeight="1">
      <c r="A615" s="3">
        <v>502.0</v>
      </c>
      <c r="B615" s="3" t="s">
        <v>1735</v>
      </c>
      <c r="C615" s="3" t="s">
        <v>1736</v>
      </c>
      <c r="D615" s="3" t="s">
        <v>1003</v>
      </c>
      <c r="E615" s="3">
        <v>5.70056378945E11</v>
      </c>
      <c r="F615" s="3" t="s">
        <v>1737</v>
      </c>
      <c r="G615" s="3" t="s">
        <v>581</v>
      </c>
      <c r="H615" s="3" t="s">
        <v>1272</v>
      </c>
    </row>
    <row r="616" ht="15.75" customHeight="1">
      <c r="A616" s="3">
        <v>503.0</v>
      </c>
      <c r="B616" s="3" t="s">
        <v>1738</v>
      </c>
      <c r="C616" s="3" t="s">
        <v>1739</v>
      </c>
      <c r="D616" s="3" t="s">
        <v>1740</v>
      </c>
      <c r="E616" s="3">
        <v>5.70056378954E11</v>
      </c>
      <c r="F616" s="3" t="s">
        <v>1741</v>
      </c>
      <c r="G616" s="3" t="s">
        <v>925</v>
      </c>
      <c r="H616" s="3" t="s">
        <v>1272</v>
      </c>
    </row>
    <row r="617" ht="15.75" customHeight="1">
      <c r="A617" s="3">
        <v>504.0</v>
      </c>
      <c r="B617" s="3" t="s">
        <v>1742</v>
      </c>
      <c r="C617" s="3" t="s">
        <v>1743</v>
      </c>
      <c r="D617" s="3" t="s">
        <v>1017</v>
      </c>
      <c r="E617" s="3">
        <v>5.70056378959E11</v>
      </c>
      <c r="F617" s="3" t="s">
        <v>1744</v>
      </c>
      <c r="G617" s="3" t="s">
        <v>581</v>
      </c>
      <c r="H617" s="3" t="s">
        <v>1272</v>
      </c>
    </row>
    <row r="618" ht="15.75" customHeight="1">
      <c r="A618" s="3">
        <v>505.0</v>
      </c>
      <c r="B618" s="3" t="s">
        <v>1745</v>
      </c>
      <c r="C618" s="3" t="s">
        <v>1746</v>
      </c>
      <c r="D618" s="3" t="s">
        <v>1747</v>
      </c>
      <c r="E618" s="3">
        <v>5.70056378956E11</v>
      </c>
      <c r="F618" s="3" t="s">
        <v>1748</v>
      </c>
      <c r="G618" s="3" t="s">
        <v>581</v>
      </c>
      <c r="H618" s="3" t="s">
        <v>1272</v>
      </c>
    </row>
    <row r="619" ht="15.75" customHeight="1">
      <c r="A619" s="3">
        <v>506.0</v>
      </c>
      <c r="B619" s="3" t="s">
        <v>1749</v>
      </c>
      <c r="C619" s="3" t="s">
        <v>1750</v>
      </c>
      <c r="D619" s="3" t="s">
        <v>1751</v>
      </c>
      <c r="E619" s="3">
        <v>5.70056378958E11</v>
      </c>
      <c r="F619" s="3" t="s">
        <v>1752</v>
      </c>
      <c r="G619" s="3" t="s">
        <v>581</v>
      </c>
      <c r="H619" s="3" t="s">
        <v>1272</v>
      </c>
    </row>
    <row r="620" ht="15.75" customHeight="1">
      <c r="A620" s="3">
        <v>507.0</v>
      </c>
      <c r="B620" s="3" t="s">
        <v>1753</v>
      </c>
      <c r="C620" s="3" t="s">
        <v>1754</v>
      </c>
      <c r="D620" s="3" t="s">
        <v>1755</v>
      </c>
      <c r="E620" s="3">
        <v>5.70056378959E11</v>
      </c>
      <c r="F620" s="3" t="s">
        <v>1756</v>
      </c>
      <c r="G620" s="3" t="s">
        <v>823</v>
      </c>
      <c r="H620" s="3" t="s">
        <v>1272</v>
      </c>
    </row>
    <row r="621" ht="15.75" customHeight="1">
      <c r="A621" s="3">
        <v>508.0</v>
      </c>
      <c r="B621" s="3" t="s">
        <v>1757</v>
      </c>
      <c r="C621" s="3" t="s">
        <v>1758</v>
      </c>
      <c r="D621" s="3" t="s">
        <v>1759</v>
      </c>
      <c r="E621" s="3">
        <v>5.7005637896E11</v>
      </c>
      <c r="F621" s="3" t="s">
        <v>1760</v>
      </c>
      <c r="G621" s="3" t="s">
        <v>581</v>
      </c>
      <c r="H621" s="3" t="s">
        <v>1272</v>
      </c>
    </row>
    <row r="622" ht="15.75" customHeight="1">
      <c r="A622" s="3">
        <v>509.0</v>
      </c>
      <c r="B622" s="3" t="s">
        <v>1761</v>
      </c>
      <c r="C622" s="3" t="s">
        <v>1762</v>
      </c>
      <c r="D622" s="3" t="s">
        <v>1763</v>
      </c>
      <c r="E622" s="3">
        <v>5.70056378961E11</v>
      </c>
      <c r="F622" s="3" t="s">
        <v>1764</v>
      </c>
      <c r="G622" s="3" t="s">
        <v>581</v>
      </c>
      <c r="H622" s="3" t="s">
        <v>1272</v>
      </c>
    </row>
    <row r="623" ht="15.75" customHeight="1">
      <c r="A623" s="3">
        <v>510.0</v>
      </c>
      <c r="B623" s="3" t="s">
        <v>1765</v>
      </c>
      <c r="C623" s="3" t="s">
        <v>1766</v>
      </c>
      <c r="D623" s="3" t="s">
        <v>1767</v>
      </c>
      <c r="E623" s="3">
        <v>5.70056378963E11</v>
      </c>
      <c r="F623" s="3" t="s">
        <v>1768</v>
      </c>
      <c r="G623" s="3" t="s">
        <v>581</v>
      </c>
      <c r="H623" s="3" t="s">
        <v>1272</v>
      </c>
    </row>
    <row r="624" ht="15.75" customHeight="1">
      <c r="A624" s="3">
        <v>511.0</v>
      </c>
      <c r="B624" s="3" t="s">
        <v>1523</v>
      </c>
      <c r="C624" s="3" t="s">
        <v>1762</v>
      </c>
      <c r="D624" s="3" t="s">
        <v>1763</v>
      </c>
      <c r="E624" s="3">
        <v>5.70056378964E11</v>
      </c>
      <c r="F624" s="3" t="s">
        <v>1769</v>
      </c>
      <c r="G624" s="3" t="s">
        <v>581</v>
      </c>
      <c r="H624" s="3" t="s">
        <v>1272</v>
      </c>
    </row>
    <row r="625" ht="15.75" customHeight="1">
      <c r="A625" s="3">
        <v>512.0</v>
      </c>
      <c r="B625" s="3" t="s">
        <v>1770</v>
      </c>
      <c r="C625" s="3" t="s">
        <v>1771</v>
      </c>
      <c r="D625" s="3" t="s">
        <v>1772</v>
      </c>
      <c r="E625" s="3">
        <v>5.70056378966E11</v>
      </c>
      <c r="F625" s="3" t="s">
        <v>1773</v>
      </c>
      <c r="G625" s="3" t="s">
        <v>581</v>
      </c>
      <c r="H625" s="3" t="s">
        <v>1272</v>
      </c>
    </row>
    <row r="626" ht="15.75" customHeight="1">
      <c r="A626" s="3">
        <v>513.0</v>
      </c>
      <c r="B626" s="3" t="s">
        <v>1774</v>
      </c>
      <c r="C626" s="3" t="s">
        <v>1771</v>
      </c>
      <c r="D626" s="3" t="s">
        <v>1772</v>
      </c>
      <c r="E626" s="3">
        <v>5.7005637897E11</v>
      </c>
      <c r="F626" s="3" t="s">
        <v>1775</v>
      </c>
      <c r="G626" s="3" t="s">
        <v>581</v>
      </c>
      <c r="H626" s="3" t="s">
        <v>1272</v>
      </c>
    </row>
    <row r="627" ht="15.75" customHeight="1">
      <c r="A627" s="3">
        <v>514.0</v>
      </c>
      <c r="B627" s="3" t="s">
        <v>1776</v>
      </c>
      <c r="C627" s="3" t="s">
        <v>1762</v>
      </c>
      <c r="D627" s="3" t="s">
        <v>1763</v>
      </c>
      <c r="E627" s="3">
        <v>5.70056378972E11</v>
      </c>
      <c r="F627" s="3" t="s">
        <v>1777</v>
      </c>
      <c r="G627" s="3" t="s">
        <v>608</v>
      </c>
      <c r="H627" s="3" t="s">
        <v>1272</v>
      </c>
    </row>
    <row r="628" ht="15.75" customHeight="1">
      <c r="A628" s="3">
        <v>515.0</v>
      </c>
      <c r="B628" s="3" t="s">
        <v>1778</v>
      </c>
      <c r="C628" s="3" t="s">
        <v>1762</v>
      </c>
      <c r="D628" s="3" t="s">
        <v>1763</v>
      </c>
      <c r="E628" s="3">
        <v>5.70056378977E11</v>
      </c>
      <c r="F628" s="3" t="s">
        <v>1779</v>
      </c>
      <c r="G628" s="3" t="s">
        <v>581</v>
      </c>
      <c r="H628" s="3" t="s">
        <v>1272</v>
      </c>
    </row>
    <row r="629" ht="15.75" customHeight="1">
      <c r="A629" s="3">
        <v>516.0</v>
      </c>
      <c r="B629" s="3" t="s">
        <v>1780</v>
      </c>
      <c r="C629" s="3" t="s">
        <v>1762</v>
      </c>
      <c r="D629" s="3" t="s">
        <v>1763</v>
      </c>
      <c r="E629" s="3">
        <v>5.7005637898E11</v>
      </c>
      <c r="F629" s="3" t="s">
        <v>1781</v>
      </c>
      <c r="G629" s="3" t="s">
        <v>608</v>
      </c>
      <c r="H629" s="3" t="s">
        <v>1272</v>
      </c>
    </row>
    <row r="630" ht="15.75" customHeight="1">
      <c r="A630" s="3">
        <v>517.0</v>
      </c>
      <c r="B630" s="3" t="s">
        <v>1782</v>
      </c>
      <c r="C630" s="3" t="s">
        <v>1582</v>
      </c>
      <c r="D630" s="3" t="s">
        <v>1783</v>
      </c>
      <c r="E630" s="3">
        <v>5.70056378981E11</v>
      </c>
      <c r="F630" s="3" t="s">
        <v>1784</v>
      </c>
      <c r="G630" s="3" t="s">
        <v>608</v>
      </c>
      <c r="H630" s="3" t="s">
        <v>1272</v>
      </c>
    </row>
    <row r="631" ht="15.75" customHeight="1">
      <c r="A631" s="3">
        <v>518.0</v>
      </c>
      <c r="B631" s="3" t="s">
        <v>1785</v>
      </c>
      <c r="C631" s="3" t="s">
        <v>1786</v>
      </c>
      <c r="D631" s="3" t="s">
        <v>1787</v>
      </c>
      <c r="E631" s="3">
        <v>5.70056378989E11</v>
      </c>
      <c r="F631" s="3" t="s">
        <v>1788</v>
      </c>
      <c r="G631" s="3" t="s">
        <v>823</v>
      </c>
      <c r="H631" s="3" t="s">
        <v>1272</v>
      </c>
    </row>
    <row r="632" ht="15.75" customHeight="1">
      <c r="A632" s="3">
        <v>519.0</v>
      </c>
      <c r="B632" s="3" t="s">
        <v>1789</v>
      </c>
      <c r="C632" s="3" t="s">
        <v>1790</v>
      </c>
      <c r="D632" s="3" t="s">
        <v>1791</v>
      </c>
      <c r="E632" s="3">
        <v>5.7005637899E11</v>
      </c>
      <c r="F632" s="3" t="s">
        <v>1792</v>
      </c>
      <c r="G632" s="3" t="s">
        <v>925</v>
      </c>
      <c r="H632" s="3" t="s">
        <v>1272</v>
      </c>
    </row>
    <row r="633" ht="15.75" customHeight="1">
      <c r="A633" s="3">
        <v>520.0</v>
      </c>
      <c r="B633" s="3" t="s">
        <v>1793</v>
      </c>
      <c r="C633" s="3" t="s">
        <v>1762</v>
      </c>
      <c r="D633" s="3" t="s">
        <v>1763</v>
      </c>
      <c r="E633" s="3">
        <v>5.70056378991E11</v>
      </c>
      <c r="F633" s="3" t="s">
        <v>1794</v>
      </c>
      <c r="G633" s="3" t="s">
        <v>1647</v>
      </c>
      <c r="H633" s="3" t="s">
        <v>1272</v>
      </c>
    </row>
    <row r="634" ht="15.75" customHeight="1">
      <c r="A634" s="3">
        <v>521.0</v>
      </c>
      <c r="B634" s="3" t="s">
        <v>1795</v>
      </c>
      <c r="C634" s="3" t="s">
        <v>1796</v>
      </c>
      <c r="D634" s="3" t="s">
        <v>1797</v>
      </c>
      <c r="E634" s="3">
        <v>5.70056378993E11</v>
      </c>
      <c r="F634" s="3" t="s">
        <v>1798</v>
      </c>
      <c r="G634" s="3" t="s">
        <v>581</v>
      </c>
      <c r="H634" s="3" t="s">
        <v>1272</v>
      </c>
    </row>
    <row r="635" ht="15.75" customHeight="1">
      <c r="A635" s="3">
        <v>522.0</v>
      </c>
      <c r="B635" s="3" t="s">
        <v>1799</v>
      </c>
      <c r="C635" s="3" t="s">
        <v>1800</v>
      </c>
      <c r="D635" s="3" t="s">
        <v>1801</v>
      </c>
      <c r="E635" s="3">
        <v>5.70056378999E11</v>
      </c>
      <c r="F635" s="3" t="s">
        <v>1802</v>
      </c>
      <c r="G635" s="3" t="s">
        <v>581</v>
      </c>
      <c r="H635" s="3" t="s">
        <v>1272</v>
      </c>
    </row>
    <row r="636" ht="15.75" customHeight="1">
      <c r="A636" s="3">
        <v>523.0</v>
      </c>
      <c r="B636" s="3" t="s">
        <v>1803</v>
      </c>
      <c r="C636" s="3" t="s">
        <v>1804</v>
      </c>
      <c r="D636" s="3" t="s">
        <v>1801</v>
      </c>
      <c r="E636" s="3">
        <v>5.70056379E11</v>
      </c>
      <c r="F636" s="3" t="s">
        <v>1805</v>
      </c>
      <c r="G636" s="3" t="s">
        <v>581</v>
      </c>
      <c r="H636" s="3" t="s">
        <v>1272</v>
      </c>
    </row>
    <row r="637" ht="15.75" customHeight="1">
      <c r="A637" s="3">
        <v>524.0</v>
      </c>
      <c r="B637" s="3" t="s">
        <v>1806</v>
      </c>
      <c r="C637" s="3" t="s">
        <v>1807</v>
      </c>
      <c r="D637" s="3" t="s">
        <v>1808</v>
      </c>
      <c r="E637" s="3">
        <v>5.70056544631E11</v>
      </c>
      <c r="F637" s="3" t="s">
        <v>1809</v>
      </c>
      <c r="G637" s="3" t="s">
        <v>581</v>
      </c>
      <c r="H637" s="3" t="s">
        <v>1272</v>
      </c>
    </row>
    <row r="638" ht="15.75" customHeight="1">
      <c r="A638" s="3">
        <v>525.0</v>
      </c>
      <c r="B638" s="3" t="s">
        <v>1810</v>
      </c>
      <c r="C638" s="3" t="s">
        <v>1811</v>
      </c>
      <c r="D638" s="3" t="s">
        <v>1812</v>
      </c>
      <c r="E638" s="3">
        <v>5.70056000001E11</v>
      </c>
      <c r="F638" s="3" t="s">
        <v>1813</v>
      </c>
      <c r="G638" s="3" t="s">
        <v>1568</v>
      </c>
      <c r="H638" s="3" t="s">
        <v>1272</v>
      </c>
    </row>
    <row r="639" ht="15.75" customHeight="1">
      <c r="A639" s="3">
        <v>526.0</v>
      </c>
      <c r="B639" s="3" t="s">
        <v>1814</v>
      </c>
      <c r="C639" s="3" t="s">
        <v>1815</v>
      </c>
      <c r="D639" s="3" t="s">
        <v>1816</v>
      </c>
      <c r="E639" s="3">
        <v>5.7005600001E11</v>
      </c>
      <c r="F639" s="3" t="s">
        <v>1817</v>
      </c>
      <c r="G639" s="3" t="s">
        <v>608</v>
      </c>
      <c r="H639" s="3" t="s">
        <v>1272</v>
      </c>
    </row>
    <row r="640" ht="15.75" customHeight="1">
      <c r="A640" s="3">
        <v>527.0</v>
      </c>
      <c r="B640" s="3" t="s">
        <v>1818</v>
      </c>
      <c r="C640" s="3" t="s">
        <v>1819</v>
      </c>
      <c r="D640" s="3" t="s">
        <v>1820</v>
      </c>
      <c r="E640" s="3">
        <v>5.70056000012E11</v>
      </c>
      <c r="F640" s="3" t="s">
        <v>1821</v>
      </c>
      <c r="G640" s="3" t="s">
        <v>581</v>
      </c>
      <c r="H640" s="3" t="s">
        <v>1272</v>
      </c>
    </row>
    <row r="641" ht="15.75" customHeight="1">
      <c r="A641" s="3">
        <v>528.0</v>
      </c>
      <c r="B641" s="3" t="s">
        <v>1822</v>
      </c>
      <c r="C641" s="3" t="s">
        <v>1823</v>
      </c>
      <c r="D641" s="3" t="s">
        <v>1824</v>
      </c>
      <c r="E641" s="3">
        <v>5.70056000014E11</v>
      </c>
      <c r="F641" s="3" t="s">
        <v>978</v>
      </c>
      <c r="G641" s="3" t="s">
        <v>1568</v>
      </c>
      <c r="H641" s="3" t="s">
        <v>1272</v>
      </c>
    </row>
    <row r="642" ht="15.75" customHeight="1">
      <c r="A642" s="3">
        <v>529.0</v>
      </c>
      <c r="B642" s="3" t="s">
        <v>1825</v>
      </c>
      <c r="C642" s="3" t="s">
        <v>1826</v>
      </c>
      <c r="D642" s="3" t="s">
        <v>844</v>
      </c>
      <c r="E642" s="3">
        <v>5.70056000017E11</v>
      </c>
      <c r="F642" s="3" t="s">
        <v>1066</v>
      </c>
      <c r="G642" s="3" t="s">
        <v>581</v>
      </c>
      <c r="H642" s="3" t="s">
        <v>1272</v>
      </c>
    </row>
    <row r="643" ht="15.75" customHeight="1">
      <c r="A643" s="3">
        <v>530.0</v>
      </c>
      <c r="B643" s="3" t="s">
        <v>1827</v>
      </c>
      <c r="C643" s="3" t="s">
        <v>1828</v>
      </c>
      <c r="D643" s="3" t="s">
        <v>943</v>
      </c>
      <c r="E643" s="3">
        <v>5.70056000018E11</v>
      </c>
      <c r="F643" s="3" t="s">
        <v>707</v>
      </c>
      <c r="G643" s="3" t="s">
        <v>581</v>
      </c>
      <c r="H643" s="3" t="s">
        <v>1272</v>
      </c>
    </row>
    <row r="644" ht="15.75" customHeight="1">
      <c r="A644" s="3">
        <v>531.0</v>
      </c>
      <c r="B644" s="3" t="s">
        <v>1829</v>
      </c>
      <c r="C644" s="3" t="s">
        <v>1830</v>
      </c>
      <c r="D644" s="3" t="s">
        <v>1831</v>
      </c>
      <c r="E644" s="3">
        <v>5.70056000019E11</v>
      </c>
      <c r="F644" s="3" t="s">
        <v>1832</v>
      </c>
      <c r="G644" s="3" t="s">
        <v>599</v>
      </c>
      <c r="H644" s="3" t="s">
        <v>1272</v>
      </c>
    </row>
    <row r="645" ht="15.75" customHeight="1">
      <c r="A645" s="3">
        <v>532.0</v>
      </c>
      <c r="B645" s="3" t="s">
        <v>1833</v>
      </c>
      <c r="C645" s="3" t="s">
        <v>1834</v>
      </c>
      <c r="D645" s="3" t="s">
        <v>1835</v>
      </c>
      <c r="E645" s="3">
        <v>5.7005600002E11</v>
      </c>
      <c r="F645" s="3" t="s">
        <v>1836</v>
      </c>
      <c r="G645" s="3" t="s">
        <v>581</v>
      </c>
      <c r="H645" s="3" t="s">
        <v>1272</v>
      </c>
    </row>
    <row r="646" ht="15.75" customHeight="1">
      <c r="A646" s="3">
        <v>533.0</v>
      </c>
      <c r="B646" s="3" t="s">
        <v>1837</v>
      </c>
      <c r="C646" s="3" t="s">
        <v>1697</v>
      </c>
      <c r="D646" s="3" t="s">
        <v>1838</v>
      </c>
      <c r="E646" s="3">
        <v>5.70056000021E11</v>
      </c>
      <c r="F646" s="3" t="s">
        <v>689</v>
      </c>
      <c r="G646" s="3" t="s">
        <v>581</v>
      </c>
      <c r="H646" s="3" t="s">
        <v>1272</v>
      </c>
    </row>
    <row r="647" ht="15.75" customHeight="1">
      <c r="A647" s="3">
        <v>534.0</v>
      </c>
      <c r="B647" s="3" t="s">
        <v>1839</v>
      </c>
      <c r="C647" s="3" t="s">
        <v>1840</v>
      </c>
      <c r="D647" s="3" t="s">
        <v>1841</v>
      </c>
      <c r="E647" s="3">
        <v>5.70056000023E11</v>
      </c>
      <c r="F647" s="3" t="s">
        <v>1842</v>
      </c>
      <c r="G647" s="3" t="s">
        <v>1843</v>
      </c>
      <c r="H647" s="3" t="s">
        <v>1272</v>
      </c>
    </row>
    <row r="648" ht="15.75" customHeight="1">
      <c r="A648" s="3">
        <v>535.0</v>
      </c>
      <c r="B648" s="3" t="s">
        <v>1844</v>
      </c>
      <c r="C648" s="3" t="s">
        <v>1845</v>
      </c>
      <c r="D648" s="3" t="s">
        <v>1846</v>
      </c>
      <c r="E648" s="3">
        <v>5.70056000025E11</v>
      </c>
      <c r="F648" s="3" t="s">
        <v>1836</v>
      </c>
      <c r="G648" s="3" t="s">
        <v>581</v>
      </c>
      <c r="H648" s="3" t="s">
        <v>1272</v>
      </c>
    </row>
    <row r="649" ht="15.75" customHeight="1">
      <c r="A649" s="3">
        <v>536.0</v>
      </c>
      <c r="B649" s="3" t="s">
        <v>1847</v>
      </c>
      <c r="C649" s="3" t="s">
        <v>1848</v>
      </c>
      <c r="D649" s="3" t="s">
        <v>1849</v>
      </c>
      <c r="E649" s="3">
        <v>5.70056000026E11</v>
      </c>
      <c r="F649" s="3" t="s">
        <v>767</v>
      </c>
      <c r="G649" s="3" t="s">
        <v>581</v>
      </c>
      <c r="H649" s="3" t="s">
        <v>1272</v>
      </c>
    </row>
    <row r="650" ht="15.75" customHeight="1">
      <c r="A650" s="3">
        <v>537.0</v>
      </c>
      <c r="B650" s="3" t="s">
        <v>1850</v>
      </c>
      <c r="C650" s="3" t="s">
        <v>1851</v>
      </c>
      <c r="D650" s="3" t="s">
        <v>1347</v>
      </c>
      <c r="E650" s="3">
        <v>5.70056000027E11</v>
      </c>
      <c r="F650" s="3" t="s">
        <v>1852</v>
      </c>
      <c r="G650" s="3" t="s">
        <v>581</v>
      </c>
      <c r="H650" s="3" t="s">
        <v>1272</v>
      </c>
    </row>
    <row r="651" ht="15.75" customHeight="1">
      <c r="A651" s="3">
        <v>538.0</v>
      </c>
      <c r="B651" s="3" t="s">
        <v>1853</v>
      </c>
      <c r="C651" s="3" t="s">
        <v>1854</v>
      </c>
      <c r="D651" s="3" t="s">
        <v>1824</v>
      </c>
      <c r="E651" s="3">
        <v>5.70056000028E11</v>
      </c>
      <c r="F651" s="3" t="s">
        <v>1682</v>
      </c>
      <c r="G651" s="3" t="s">
        <v>581</v>
      </c>
      <c r="H651" s="3" t="s">
        <v>1272</v>
      </c>
    </row>
    <row r="652" ht="15.75" customHeight="1">
      <c r="A652" s="3">
        <v>539.0</v>
      </c>
      <c r="B652" s="3" t="s">
        <v>1855</v>
      </c>
      <c r="C652" s="3" t="s">
        <v>1856</v>
      </c>
      <c r="D652" s="3" t="s">
        <v>1857</v>
      </c>
      <c r="E652" s="3">
        <v>5.7005600003E11</v>
      </c>
      <c r="F652" s="3" t="s">
        <v>1858</v>
      </c>
      <c r="G652" s="3" t="s">
        <v>581</v>
      </c>
      <c r="H652" s="3" t="s">
        <v>1272</v>
      </c>
    </row>
    <row r="653" ht="15.75" customHeight="1">
      <c r="A653" s="3">
        <v>540.0</v>
      </c>
      <c r="B653" s="3" t="s">
        <v>1859</v>
      </c>
      <c r="C653" s="3" t="s">
        <v>891</v>
      </c>
      <c r="D653" s="3" t="s">
        <v>1860</v>
      </c>
      <c r="E653" s="3">
        <v>5.70056000031E11</v>
      </c>
      <c r="F653" s="3" t="s">
        <v>1861</v>
      </c>
      <c r="G653" s="3" t="s">
        <v>581</v>
      </c>
      <c r="H653" s="3" t="s">
        <v>1272</v>
      </c>
    </row>
    <row r="654" ht="15.75" customHeight="1">
      <c r="A654" s="3">
        <v>541.0</v>
      </c>
      <c r="B654" s="3" t="s">
        <v>1862</v>
      </c>
      <c r="C654" s="3" t="s">
        <v>1863</v>
      </c>
      <c r="D654" s="3" t="s">
        <v>1864</v>
      </c>
      <c r="E654" s="3">
        <v>5.70056000032E11</v>
      </c>
      <c r="F654" s="3" t="s">
        <v>1865</v>
      </c>
      <c r="G654" s="3" t="s">
        <v>581</v>
      </c>
      <c r="H654" s="3" t="s">
        <v>1272</v>
      </c>
    </row>
    <row r="655" ht="15.75" customHeight="1">
      <c r="A655" s="3">
        <v>542.0</v>
      </c>
      <c r="B655" s="3" t="s">
        <v>1866</v>
      </c>
      <c r="C655" s="3" t="s">
        <v>873</v>
      </c>
      <c r="D655" s="3" t="s">
        <v>1867</v>
      </c>
      <c r="E655" s="3">
        <v>5.70056000041E11</v>
      </c>
      <c r="F655" s="3" t="s">
        <v>1868</v>
      </c>
      <c r="G655" s="3" t="s">
        <v>608</v>
      </c>
      <c r="H655" s="3" t="s">
        <v>1272</v>
      </c>
    </row>
    <row r="656" ht="15.75" customHeight="1">
      <c r="A656" s="3">
        <v>543.0</v>
      </c>
      <c r="B656" s="3" t="s">
        <v>1869</v>
      </c>
      <c r="C656" s="3" t="s">
        <v>1870</v>
      </c>
      <c r="D656" s="3" t="s">
        <v>1566</v>
      </c>
      <c r="E656" s="3">
        <v>5.70056000047E11</v>
      </c>
      <c r="F656" s="3" t="s">
        <v>1173</v>
      </c>
      <c r="G656" s="3" t="s">
        <v>608</v>
      </c>
      <c r="H656" s="3" t="s">
        <v>1272</v>
      </c>
    </row>
    <row r="657" ht="15.75" customHeight="1">
      <c r="A657" s="3">
        <v>544.0</v>
      </c>
      <c r="B657" s="3" t="s">
        <v>1871</v>
      </c>
      <c r="C657" s="3" t="s">
        <v>1872</v>
      </c>
      <c r="D657" s="3" t="s">
        <v>1873</v>
      </c>
      <c r="E657" s="3">
        <v>5.7005600005E11</v>
      </c>
      <c r="F657" s="3" t="s">
        <v>1874</v>
      </c>
      <c r="G657" s="3" t="s">
        <v>581</v>
      </c>
      <c r="H657" s="3" t="s">
        <v>1272</v>
      </c>
    </row>
    <row r="658" ht="15.75" customHeight="1">
      <c r="A658" s="3">
        <v>545.0</v>
      </c>
      <c r="B658" s="3" t="s">
        <v>1875</v>
      </c>
      <c r="C658" s="3" t="s">
        <v>1876</v>
      </c>
      <c r="D658" s="3" t="s">
        <v>1877</v>
      </c>
      <c r="E658" s="3">
        <v>5.70056000059E11</v>
      </c>
      <c r="F658" s="3" t="s">
        <v>1878</v>
      </c>
      <c r="G658" s="3" t="s">
        <v>925</v>
      </c>
      <c r="H658" s="3" t="s">
        <v>1272</v>
      </c>
    </row>
    <row r="659" ht="15.75" customHeight="1">
      <c r="A659" s="3">
        <v>546.0</v>
      </c>
      <c r="B659" s="3" t="s">
        <v>1879</v>
      </c>
      <c r="C659" s="3" t="s">
        <v>1399</v>
      </c>
      <c r="D659" s="3" t="s">
        <v>1880</v>
      </c>
      <c r="E659" s="3">
        <v>5.70056000064E11</v>
      </c>
      <c r="F659" s="3" t="s">
        <v>1881</v>
      </c>
      <c r="G659" s="3" t="s">
        <v>599</v>
      </c>
      <c r="H659" s="3" t="s">
        <v>1272</v>
      </c>
    </row>
    <row r="660" ht="15.75" customHeight="1">
      <c r="A660" s="3">
        <v>547.0</v>
      </c>
      <c r="B660" s="3" t="s">
        <v>1882</v>
      </c>
      <c r="C660" s="3" t="s">
        <v>1883</v>
      </c>
      <c r="D660" s="3" t="s">
        <v>1884</v>
      </c>
      <c r="E660" s="3">
        <v>5.7005600007E11</v>
      </c>
      <c r="F660" s="3" t="s">
        <v>689</v>
      </c>
      <c r="G660" s="3" t="s">
        <v>925</v>
      </c>
      <c r="H660" s="3" t="s">
        <v>1272</v>
      </c>
    </row>
    <row r="661" ht="15.75" customHeight="1">
      <c r="A661" s="3">
        <v>548.0</v>
      </c>
      <c r="B661" s="3" t="s">
        <v>1885</v>
      </c>
      <c r="C661" s="3" t="s">
        <v>1886</v>
      </c>
      <c r="D661" s="3" t="s">
        <v>1887</v>
      </c>
      <c r="E661" s="3">
        <v>5.70056000072E11</v>
      </c>
      <c r="F661" s="3" t="s">
        <v>1888</v>
      </c>
      <c r="G661" s="3" t="s">
        <v>925</v>
      </c>
      <c r="H661" s="3" t="s">
        <v>1272</v>
      </c>
    </row>
    <row r="662" ht="15.75" customHeight="1">
      <c r="A662" s="3">
        <v>549.0</v>
      </c>
      <c r="B662" s="3" t="s">
        <v>1889</v>
      </c>
      <c r="C662" s="3" t="s">
        <v>1890</v>
      </c>
      <c r="D662" s="3" t="s">
        <v>1072</v>
      </c>
      <c r="E662" s="3">
        <v>5.70056000077E11</v>
      </c>
      <c r="F662" s="3" t="s">
        <v>1878</v>
      </c>
      <c r="G662" s="3" t="s">
        <v>599</v>
      </c>
      <c r="H662" s="3" t="s">
        <v>1272</v>
      </c>
    </row>
    <row r="663" ht="15.75" customHeight="1">
      <c r="A663" s="3">
        <v>550.0</v>
      </c>
      <c r="B663" s="3" t="s">
        <v>1891</v>
      </c>
      <c r="C663" s="3" t="s">
        <v>1892</v>
      </c>
      <c r="D663" s="3" t="s">
        <v>923</v>
      </c>
      <c r="E663" s="3">
        <v>5.70056000078E11</v>
      </c>
      <c r="F663" s="3" t="s">
        <v>1893</v>
      </c>
      <c r="G663" s="3" t="s">
        <v>581</v>
      </c>
      <c r="H663" s="3" t="s">
        <v>1272</v>
      </c>
    </row>
    <row r="664" ht="15.75" customHeight="1">
      <c r="A664" s="3">
        <v>551.0</v>
      </c>
      <c r="B664" s="3" t="s">
        <v>1513</v>
      </c>
      <c r="C664" s="3" t="s">
        <v>1514</v>
      </c>
      <c r="D664" s="3" t="s">
        <v>1514</v>
      </c>
      <c r="E664" s="3" t="s">
        <v>1514</v>
      </c>
      <c r="F664" s="3" t="s">
        <v>1514</v>
      </c>
      <c r="G664" s="3" t="s">
        <v>1514</v>
      </c>
      <c r="H664" s="3" t="s">
        <v>1514</v>
      </c>
    </row>
    <row r="665" ht="15.75" customHeight="1">
      <c r="A665" s="3">
        <v>552.0</v>
      </c>
      <c r="B665" s="3" t="s">
        <v>1894</v>
      </c>
      <c r="C665" s="3" t="s">
        <v>1895</v>
      </c>
      <c r="D665" s="3" t="s">
        <v>875</v>
      </c>
      <c r="E665" s="3">
        <v>5.70056000086E11</v>
      </c>
      <c r="F665" s="3" t="s">
        <v>1896</v>
      </c>
      <c r="G665" s="3" t="s">
        <v>925</v>
      </c>
      <c r="H665" s="3" t="s">
        <v>1272</v>
      </c>
    </row>
    <row r="666" ht="15.75" customHeight="1">
      <c r="A666" s="3">
        <v>553.0</v>
      </c>
      <c r="B666" s="3" t="s">
        <v>1897</v>
      </c>
      <c r="C666" s="3" t="s">
        <v>1898</v>
      </c>
      <c r="D666" s="3" t="s">
        <v>1899</v>
      </c>
      <c r="E666" s="3">
        <v>5.70056000087E11</v>
      </c>
      <c r="F666" s="3" t="s">
        <v>1900</v>
      </c>
      <c r="G666" s="3" t="s">
        <v>925</v>
      </c>
      <c r="H666" s="3" t="s">
        <v>1272</v>
      </c>
    </row>
    <row r="667" ht="15.75" customHeight="1">
      <c r="A667" s="3">
        <v>554.0</v>
      </c>
      <c r="B667" s="3" t="s">
        <v>1901</v>
      </c>
      <c r="C667" s="3" t="s">
        <v>1830</v>
      </c>
      <c r="D667" s="3" t="s">
        <v>1902</v>
      </c>
      <c r="E667" s="3">
        <v>5.70056000088E11</v>
      </c>
      <c r="F667" s="3" t="s">
        <v>707</v>
      </c>
      <c r="G667" s="3" t="s">
        <v>925</v>
      </c>
      <c r="H667" s="3" t="s">
        <v>1272</v>
      </c>
    </row>
    <row r="668" ht="15.75" customHeight="1">
      <c r="A668" s="3">
        <v>555.0</v>
      </c>
      <c r="B668" s="3" t="s">
        <v>1903</v>
      </c>
      <c r="C668" s="3" t="s">
        <v>1872</v>
      </c>
      <c r="D668" s="3" t="s">
        <v>1904</v>
      </c>
      <c r="E668" s="3">
        <v>5.70056000091E11</v>
      </c>
      <c r="F668" s="3" t="s">
        <v>1905</v>
      </c>
      <c r="G668" s="3" t="s">
        <v>925</v>
      </c>
      <c r="H668" s="3" t="s">
        <v>1272</v>
      </c>
    </row>
    <row r="669" ht="15.75" customHeight="1">
      <c r="A669" s="3">
        <v>556.0</v>
      </c>
      <c r="B669" s="3" t="s">
        <v>1906</v>
      </c>
      <c r="C669" s="3" t="s">
        <v>1907</v>
      </c>
      <c r="D669" s="3" t="s">
        <v>1902</v>
      </c>
      <c r="E669" s="3">
        <v>5.70056000093E11</v>
      </c>
      <c r="F669" s="3" t="s">
        <v>1908</v>
      </c>
      <c r="G669" s="3" t="s">
        <v>581</v>
      </c>
      <c r="H669" s="3" t="s">
        <v>1272</v>
      </c>
    </row>
    <row r="670" ht="15.75" customHeight="1">
      <c r="A670" s="3">
        <v>557.0</v>
      </c>
      <c r="B670" s="3" t="s">
        <v>1909</v>
      </c>
      <c r="C670" s="3" t="s">
        <v>1910</v>
      </c>
      <c r="D670" s="3" t="s">
        <v>1911</v>
      </c>
      <c r="E670" s="3">
        <v>5.70056000096E11</v>
      </c>
      <c r="F670" s="3" t="s">
        <v>1912</v>
      </c>
      <c r="G670" s="3" t="s">
        <v>1568</v>
      </c>
      <c r="H670" s="3" t="s">
        <v>1272</v>
      </c>
    </row>
    <row r="671" ht="15.75" customHeight="1">
      <c r="A671" s="3">
        <v>558.0</v>
      </c>
      <c r="B671" s="3" t="s">
        <v>1913</v>
      </c>
      <c r="C671" s="3" t="s">
        <v>1914</v>
      </c>
      <c r="D671" s="3" t="s">
        <v>1915</v>
      </c>
      <c r="E671" s="3">
        <v>5.70056000097E11</v>
      </c>
      <c r="F671" s="3" t="s">
        <v>1916</v>
      </c>
      <c r="G671" s="3" t="s">
        <v>581</v>
      </c>
      <c r="H671" s="3" t="s">
        <v>1272</v>
      </c>
    </row>
    <row r="672" ht="15.75" customHeight="1">
      <c r="A672" s="3">
        <v>559.0</v>
      </c>
      <c r="B672" s="3" t="s">
        <v>1917</v>
      </c>
      <c r="C672" s="3" t="s">
        <v>877</v>
      </c>
      <c r="D672" s="3" t="s">
        <v>1918</v>
      </c>
      <c r="E672" s="3">
        <v>5.70056000099E11</v>
      </c>
      <c r="F672" s="3" t="s">
        <v>1919</v>
      </c>
      <c r="G672" s="3" t="s">
        <v>925</v>
      </c>
      <c r="H672" s="3" t="s">
        <v>1272</v>
      </c>
    </row>
    <row r="673" ht="15.75" customHeight="1">
      <c r="A673" s="3">
        <v>560.0</v>
      </c>
      <c r="B673" s="3" t="s">
        <v>1523</v>
      </c>
      <c r="C673" s="3" t="s">
        <v>1890</v>
      </c>
      <c r="D673" s="3" t="s">
        <v>1072</v>
      </c>
      <c r="E673" s="3" t="s">
        <v>1920</v>
      </c>
      <c r="F673" s="3" t="s">
        <v>1921</v>
      </c>
      <c r="G673" s="3" t="s">
        <v>581</v>
      </c>
      <c r="H673" s="3" t="s">
        <v>1272</v>
      </c>
    </row>
    <row r="674" ht="15.75" customHeight="1">
      <c r="A674" s="3">
        <v>561.0</v>
      </c>
      <c r="B674" s="3" t="s">
        <v>1922</v>
      </c>
      <c r="C674" s="3" t="s">
        <v>1923</v>
      </c>
      <c r="D674" s="3" t="s">
        <v>1924</v>
      </c>
      <c r="E674" s="3" t="s">
        <v>1925</v>
      </c>
      <c r="F674" s="3" t="s">
        <v>1926</v>
      </c>
      <c r="G674" s="3" t="s">
        <v>608</v>
      </c>
      <c r="H674" s="3" t="s">
        <v>1272</v>
      </c>
    </row>
    <row r="675" ht="15.75" customHeight="1">
      <c r="A675" s="3">
        <v>562.0</v>
      </c>
      <c r="B675" s="3" t="s">
        <v>1927</v>
      </c>
      <c r="C675" s="3" t="s">
        <v>1928</v>
      </c>
      <c r="D675" s="3" t="s">
        <v>1929</v>
      </c>
      <c r="E675" s="3" t="s">
        <v>1930</v>
      </c>
      <c r="F675" s="3" t="s">
        <v>1931</v>
      </c>
      <c r="G675" s="3" t="s">
        <v>581</v>
      </c>
      <c r="H675" s="3" t="s">
        <v>1272</v>
      </c>
    </row>
    <row r="676" ht="15.75" customHeight="1">
      <c r="A676" s="3">
        <v>563.0</v>
      </c>
      <c r="B676" s="3" t="s">
        <v>1932</v>
      </c>
      <c r="C676" s="3" t="s">
        <v>1933</v>
      </c>
      <c r="D676" s="3" t="s">
        <v>1934</v>
      </c>
      <c r="E676" s="3" t="s">
        <v>1935</v>
      </c>
      <c r="F676" s="3" t="s">
        <v>1936</v>
      </c>
      <c r="G676" s="3" t="s">
        <v>581</v>
      </c>
      <c r="H676" s="3" t="s">
        <v>1272</v>
      </c>
    </row>
    <row r="677" ht="15.75" customHeight="1">
      <c r="A677" s="3">
        <v>564.0</v>
      </c>
      <c r="B677" s="3" t="s">
        <v>1937</v>
      </c>
      <c r="C677" s="3" t="s">
        <v>1938</v>
      </c>
      <c r="D677" s="3" t="s">
        <v>1939</v>
      </c>
      <c r="E677" s="3" t="s">
        <v>1940</v>
      </c>
      <c r="F677" s="3" t="s">
        <v>689</v>
      </c>
      <c r="G677" s="3" t="s">
        <v>925</v>
      </c>
      <c r="H677" s="3" t="s">
        <v>1272</v>
      </c>
    </row>
    <row r="678" ht="15.75" customHeight="1">
      <c r="A678" s="3">
        <v>565.0</v>
      </c>
      <c r="B678" s="3" t="s">
        <v>1941</v>
      </c>
      <c r="C678" s="3" t="s">
        <v>1942</v>
      </c>
      <c r="D678" s="3" t="s">
        <v>1943</v>
      </c>
      <c r="E678" s="3">
        <v>5.70056000111E11</v>
      </c>
      <c r="F678" s="3" t="s">
        <v>1944</v>
      </c>
      <c r="G678" s="3" t="s">
        <v>599</v>
      </c>
      <c r="H678" s="3" t="s">
        <v>1272</v>
      </c>
    </row>
    <row r="679" ht="15.75" customHeight="1">
      <c r="A679" s="3">
        <v>566.0</v>
      </c>
      <c r="B679" s="3" t="s">
        <v>1945</v>
      </c>
      <c r="C679" s="3" t="s">
        <v>1687</v>
      </c>
      <c r="D679" s="3" t="s">
        <v>1946</v>
      </c>
      <c r="E679" s="3">
        <v>5.70056000112E11</v>
      </c>
      <c r="F679" s="3" t="s">
        <v>707</v>
      </c>
      <c r="G679" s="3" t="s">
        <v>581</v>
      </c>
      <c r="H679" s="3" t="s">
        <v>1272</v>
      </c>
    </row>
    <row r="680" ht="15.75" customHeight="1">
      <c r="A680" s="3">
        <v>567.0</v>
      </c>
      <c r="B680" s="3" t="s">
        <v>1947</v>
      </c>
      <c r="C680" s="3" t="s">
        <v>1694</v>
      </c>
      <c r="D680" s="3" t="s">
        <v>844</v>
      </c>
      <c r="E680" s="3">
        <v>5.70056000113E11</v>
      </c>
      <c r="F680" s="3" t="s">
        <v>689</v>
      </c>
      <c r="G680" s="3" t="s">
        <v>925</v>
      </c>
      <c r="H680" s="3" t="s">
        <v>1272</v>
      </c>
    </row>
    <row r="681" ht="15.75" customHeight="1">
      <c r="A681" s="3">
        <v>568.0</v>
      </c>
      <c r="B681" s="3" t="s">
        <v>1948</v>
      </c>
      <c r="C681" s="3" t="s">
        <v>1949</v>
      </c>
      <c r="D681" s="3" t="s">
        <v>1950</v>
      </c>
      <c r="E681" s="3">
        <v>5.70056000121E11</v>
      </c>
      <c r="F681" s="3" t="s">
        <v>1951</v>
      </c>
      <c r="G681" s="3" t="s">
        <v>581</v>
      </c>
      <c r="H681" s="3" t="s">
        <v>1272</v>
      </c>
    </row>
    <row r="682" ht="15.75" customHeight="1">
      <c r="A682" s="3">
        <v>569.0</v>
      </c>
      <c r="B682" s="3" t="s">
        <v>1952</v>
      </c>
      <c r="C682" s="3" t="s">
        <v>1953</v>
      </c>
      <c r="D682" s="3" t="s">
        <v>1954</v>
      </c>
      <c r="E682" s="3">
        <v>5.70056000128E11</v>
      </c>
      <c r="F682" s="3" t="s">
        <v>1955</v>
      </c>
      <c r="G682" s="3" t="s">
        <v>599</v>
      </c>
      <c r="H682" s="3" t="s">
        <v>1272</v>
      </c>
    </row>
    <row r="683" ht="15.75" customHeight="1">
      <c r="A683" s="3">
        <v>570.0</v>
      </c>
      <c r="B683" s="3" t="s">
        <v>1956</v>
      </c>
      <c r="C683" s="3" t="s">
        <v>1957</v>
      </c>
      <c r="D683" s="3" t="s">
        <v>1958</v>
      </c>
      <c r="E683" s="3">
        <v>5.70056000129E11</v>
      </c>
      <c r="F683" s="3" t="s">
        <v>1959</v>
      </c>
      <c r="G683" s="3" t="s">
        <v>581</v>
      </c>
      <c r="H683" s="3" t="s">
        <v>1272</v>
      </c>
    </row>
    <row r="684" ht="15.75" customHeight="1">
      <c r="A684" s="3">
        <v>571.0</v>
      </c>
      <c r="B684" s="3" t="s">
        <v>1927</v>
      </c>
      <c r="C684" s="3" t="s">
        <v>1960</v>
      </c>
      <c r="D684" s="3" t="s">
        <v>1934</v>
      </c>
      <c r="E684" s="3">
        <v>5.7005600013E11</v>
      </c>
      <c r="F684" s="3" t="s">
        <v>675</v>
      </c>
      <c r="G684" s="3" t="s">
        <v>925</v>
      </c>
      <c r="H684" s="3" t="s">
        <v>1272</v>
      </c>
    </row>
    <row r="685" ht="15.75" customHeight="1">
      <c r="A685" s="3">
        <v>572.0</v>
      </c>
      <c r="B685" s="3" t="s">
        <v>1961</v>
      </c>
      <c r="C685" s="3" t="s">
        <v>1962</v>
      </c>
      <c r="D685" s="3" t="s">
        <v>1963</v>
      </c>
      <c r="E685" s="3">
        <v>5.70056000132E11</v>
      </c>
      <c r="F685" s="3" t="s">
        <v>1964</v>
      </c>
      <c r="G685" s="3" t="s">
        <v>581</v>
      </c>
      <c r="H685" s="3" t="s">
        <v>1272</v>
      </c>
    </row>
    <row r="686" ht="15.75" customHeight="1">
      <c r="A686" s="3">
        <v>573.0</v>
      </c>
      <c r="B686" s="3" t="s">
        <v>1965</v>
      </c>
      <c r="C686" s="3" t="s">
        <v>1966</v>
      </c>
      <c r="D686" s="3" t="s">
        <v>1705</v>
      </c>
      <c r="E686" s="3">
        <v>5.70056000136E11</v>
      </c>
      <c r="F686" s="3" t="s">
        <v>1967</v>
      </c>
      <c r="G686" s="3" t="s">
        <v>581</v>
      </c>
      <c r="H686" s="3" t="s">
        <v>1272</v>
      </c>
    </row>
    <row r="687" ht="15.75" customHeight="1">
      <c r="A687" s="3">
        <v>574.0</v>
      </c>
      <c r="B687" s="3" t="s">
        <v>1968</v>
      </c>
      <c r="C687" s="3" t="s">
        <v>798</v>
      </c>
      <c r="D687" s="3" t="s">
        <v>1969</v>
      </c>
      <c r="E687" s="3">
        <v>5.70056000142E11</v>
      </c>
      <c r="F687" s="3" t="s">
        <v>1970</v>
      </c>
      <c r="G687" s="3" t="s">
        <v>581</v>
      </c>
      <c r="H687" s="3" t="s">
        <v>1272</v>
      </c>
    </row>
    <row r="688" ht="15.75" customHeight="1">
      <c r="A688" s="3">
        <v>575.0</v>
      </c>
      <c r="B688" s="3" t="s">
        <v>1971</v>
      </c>
      <c r="C688" s="3" t="s">
        <v>1972</v>
      </c>
      <c r="D688" s="3" t="s">
        <v>1973</v>
      </c>
      <c r="E688" s="3">
        <v>5.70056000146E11</v>
      </c>
      <c r="F688" s="3" t="s">
        <v>1974</v>
      </c>
      <c r="G688" s="3" t="s">
        <v>581</v>
      </c>
      <c r="H688" s="3" t="s">
        <v>1272</v>
      </c>
    </row>
    <row r="689" ht="15.75" customHeight="1">
      <c r="A689" s="3">
        <v>576.0</v>
      </c>
      <c r="B689" s="3" t="s">
        <v>1975</v>
      </c>
      <c r="C689" s="3" t="s">
        <v>910</v>
      </c>
      <c r="D689" s="3" t="s">
        <v>1976</v>
      </c>
      <c r="E689" s="3">
        <v>5.70056000144E11</v>
      </c>
      <c r="F689" s="3" t="s">
        <v>1977</v>
      </c>
      <c r="G689" s="3" t="s">
        <v>1978</v>
      </c>
      <c r="H689" s="3" t="s">
        <v>1272</v>
      </c>
    </row>
    <row r="690" ht="15.75" customHeight="1">
      <c r="A690" s="3">
        <v>577.0</v>
      </c>
      <c r="B690" s="3" t="s">
        <v>1979</v>
      </c>
      <c r="C690" s="3" t="s">
        <v>1980</v>
      </c>
      <c r="D690" s="3" t="s">
        <v>1981</v>
      </c>
      <c r="E690" s="3">
        <v>5.70056000149E11</v>
      </c>
      <c r="F690" s="3" t="s">
        <v>1982</v>
      </c>
      <c r="G690" s="3" t="s">
        <v>925</v>
      </c>
      <c r="H690" s="3" t="s">
        <v>1272</v>
      </c>
    </row>
    <row r="691" ht="15.75" customHeight="1">
      <c r="A691" s="3">
        <v>578.0</v>
      </c>
      <c r="B691" s="3" t="s">
        <v>1983</v>
      </c>
      <c r="C691" s="3" t="s">
        <v>1984</v>
      </c>
      <c r="D691" s="3" t="s">
        <v>1985</v>
      </c>
      <c r="E691" s="3">
        <v>5.7005600015E11</v>
      </c>
      <c r="F691" s="3" t="s">
        <v>1319</v>
      </c>
      <c r="G691" s="3" t="s">
        <v>581</v>
      </c>
      <c r="H691" s="3" t="s">
        <v>1272</v>
      </c>
    </row>
    <row r="692" ht="15.75" customHeight="1">
      <c r="A692" s="3">
        <v>579.0</v>
      </c>
      <c r="B692" s="3" t="s">
        <v>1986</v>
      </c>
      <c r="C692" s="3" t="s">
        <v>1987</v>
      </c>
      <c r="D692" s="3" t="s">
        <v>1988</v>
      </c>
      <c r="E692" s="3">
        <v>5.70056000152E11</v>
      </c>
      <c r="F692" s="3" t="s">
        <v>1989</v>
      </c>
      <c r="G692" s="3" t="s">
        <v>925</v>
      </c>
      <c r="H692" s="3" t="s">
        <v>1272</v>
      </c>
    </row>
    <row r="693" ht="15.75" customHeight="1">
      <c r="A693" s="3">
        <v>580.0</v>
      </c>
      <c r="B693" s="3" t="s">
        <v>1990</v>
      </c>
      <c r="C693" s="3" t="s">
        <v>1991</v>
      </c>
      <c r="D693" s="3" t="s">
        <v>1992</v>
      </c>
      <c r="E693" s="3">
        <v>5.70056000153E11</v>
      </c>
      <c r="F693" s="3" t="s">
        <v>1053</v>
      </c>
      <c r="G693" s="3" t="s">
        <v>581</v>
      </c>
      <c r="H693" s="3" t="s">
        <v>1272</v>
      </c>
    </row>
    <row r="694" ht="15.75" customHeight="1">
      <c r="A694" s="3">
        <v>581.0</v>
      </c>
      <c r="B694" s="3" t="s">
        <v>1993</v>
      </c>
      <c r="C694" s="3" t="s">
        <v>1994</v>
      </c>
      <c r="D694" s="3" t="s">
        <v>1995</v>
      </c>
      <c r="E694" s="3">
        <v>5.70056000159E11</v>
      </c>
      <c r="F694" s="3" t="s">
        <v>1996</v>
      </c>
      <c r="G694" s="3" t="s">
        <v>581</v>
      </c>
      <c r="H694" s="3" t="s">
        <v>1272</v>
      </c>
    </row>
    <row r="695" ht="15.75" customHeight="1">
      <c r="A695" s="3">
        <v>582.0</v>
      </c>
      <c r="B695" s="3" t="s">
        <v>1997</v>
      </c>
      <c r="C695" s="3" t="s">
        <v>1998</v>
      </c>
      <c r="D695" s="3" t="s">
        <v>1999</v>
      </c>
      <c r="E695" s="3">
        <v>5.70056000161E11</v>
      </c>
      <c r="F695" s="3" t="s">
        <v>2000</v>
      </c>
      <c r="G695" s="3" t="s">
        <v>581</v>
      </c>
      <c r="H695" s="3" t="s">
        <v>1272</v>
      </c>
    </row>
    <row r="696" ht="15.75" customHeight="1">
      <c r="A696" s="3">
        <v>583.0</v>
      </c>
      <c r="B696" s="3" t="s">
        <v>2001</v>
      </c>
      <c r="C696" s="3" t="s">
        <v>2002</v>
      </c>
      <c r="D696" s="3" t="s">
        <v>2003</v>
      </c>
      <c r="E696" s="3">
        <v>5.70056000162E11</v>
      </c>
      <c r="F696" s="3" t="s">
        <v>2004</v>
      </c>
      <c r="G696" s="3" t="s">
        <v>581</v>
      </c>
      <c r="H696" s="3" t="s">
        <v>1272</v>
      </c>
    </row>
    <row r="697" ht="15.75" customHeight="1">
      <c r="A697" s="3">
        <v>584.0</v>
      </c>
      <c r="B697" s="3" t="s">
        <v>2005</v>
      </c>
      <c r="C697" s="3" t="s">
        <v>2006</v>
      </c>
      <c r="D697" s="3" t="s">
        <v>2007</v>
      </c>
      <c r="E697" s="3">
        <v>5.70056000164E11</v>
      </c>
      <c r="F697" s="3" t="s">
        <v>2008</v>
      </c>
      <c r="G697" s="3" t="s">
        <v>925</v>
      </c>
      <c r="H697" s="3" t="s">
        <v>1272</v>
      </c>
    </row>
    <row r="698" ht="15.75" customHeight="1">
      <c r="A698" s="3">
        <v>585.0</v>
      </c>
      <c r="B698" s="3" t="s">
        <v>2009</v>
      </c>
      <c r="C698" s="3" t="s">
        <v>2010</v>
      </c>
      <c r="D698" s="3" t="s">
        <v>2011</v>
      </c>
      <c r="E698" s="3">
        <v>5.70056000165E11</v>
      </c>
      <c r="F698" s="3" t="s">
        <v>1881</v>
      </c>
      <c r="G698" s="3" t="s">
        <v>581</v>
      </c>
      <c r="H698" s="3" t="s">
        <v>1272</v>
      </c>
    </row>
    <row r="699" ht="15.75" customHeight="1">
      <c r="A699" s="3">
        <v>586.0</v>
      </c>
      <c r="B699" s="3" t="s">
        <v>2012</v>
      </c>
      <c r="C699" s="3" t="s">
        <v>2013</v>
      </c>
      <c r="D699" s="3" t="s">
        <v>2014</v>
      </c>
      <c r="E699" s="3">
        <v>5.70056000166E11</v>
      </c>
      <c r="F699" s="3" t="s">
        <v>2015</v>
      </c>
      <c r="G699" s="3" t="s">
        <v>599</v>
      </c>
      <c r="H699" s="3" t="s">
        <v>1272</v>
      </c>
    </row>
    <row r="700" ht="15.75" customHeight="1">
      <c r="A700" s="3">
        <v>587.0</v>
      </c>
      <c r="B700" s="3" t="s">
        <v>2016</v>
      </c>
      <c r="C700" s="3" t="s">
        <v>2017</v>
      </c>
      <c r="D700" s="3" t="s">
        <v>2018</v>
      </c>
      <c r="E700" s="3">
        <v>5.70056000172E11</v>
      </c>
      <c r="F700" s="3" t="s">
        <v>689</v>
      </c>
      <c r="G700" s="3" t="s">
        <v>925</v>
      </c>
      <c r="H700" s="3" t="s">
        <v>1272</v>
      </c>
    </row>
    <row r="701" ht="15.75" customHeight="1">
      <c r="A701" s="3">
        <v>588.0</v>
      </c>
      <c r="B701" s="3" t="s">
        <v>2019</v>
      </c>
      <c r="C701" s="3" t="s">
        <v>2020</v>
      </c>
      <c r="D701" s="3" t="s">
        <v>2021</v>
      </c>
      <c r="E701" s="3">
        <v>5.70056000173E11</v>
      </c>
      <c r="F701" s="3" t="s">
        <v>2022</v>
      </c>
      <c r="G701" s="3" t="s">
        <v>581</v>
      </c>
      <c r="H701" s="3" t="s">
        <v>1272</v>
      </c>
    </row>
    <row r="702" ht="15.75" customHeight="1">
      <c r="A702" s="3">
        <v>589.0</v>
      </c>
      <c r="B702" s="3" t="s">
        <v>2023</v>
      </c>
      <c r="C702" s="3" t="s">
        <v>2024</v>
      </c>
      <c r="D702" s="3" t="s">
        <v>2025</v>
      </c>
      <c r="E702" s="3">
        <v>5.70056000174E11</v>
      </c>
      <c r="F702" s="3" t="s">
        <v>2026</v>
      </c>
      <c r="G702" s="3" t="s">
        <v>581</v>
      </c>
      <c r="H702" s="3" t="s">
        <v>1272</v>
      </c>
    </row>
    <row r="703" ht="15.75" customHeight="1">
      <c r="A703" s="3">
        <v>590.0</v>
      </c>
      <c r="B703" s="3" t="s">
        <v>2027</v>
      </c>
      <c r="C703" s="3" t="s">
        <v>2028</v>
      </c>
      <c r="D703" s="3" t="s">
        <v>2029</v>
      </c>
      <c r="E703" s="3">
        <v>5.70056000175E11</v>
      </c>
      <c r="F703" s="3" t="s">
        <v>2030</v>
      </c>
      <c r="G703" s="3" t="s">
        <v>925</v>
      </c>
      <c r="H703" s="3" t="s">
        <v>1272</v>
      </c>
    </row>
    <row r="704" ht="15.75" customHeight="1">
      <c r="A704" s="3">
        <v>591.0</v>
      </c>
      <c r="B704" s="3" t="s">
        <v>2031</v>
      </c>
      <c r="C704" s="3" t="s">
        <v>2032</v>
      </c>
      <c r="D704" s="3" t="s">
        <v>2033</v>
      </c>
      <c r="E704" s="3">
        <v>5.70056000176E11</v>
      </c>
      <c r="F704" s="3" t="s">
        <v>2034</v>
      </c>
      <c r="G704" s="3" t="s">
        <v>581</v>
      </c>
      <c r="H704" s="3" t="s">
        <v>1272</v>
      </c>
    </row>
    <row r="705" ht="15.75" customHeight="1">
      <c r="A705" s="3">
        <v>592.0</v>
      </c>
      <c r="B705" s="3" t="s">
        <v>2035</v>
      </c>
      <c r="C705" s="3" t="s">
        <v>631</v>
      </c>
      <c r="D705" s="3" t="s">
        <v>2036</v>
      </c>
      <c r="E705" s="3">
        <v>5.70056000179E11</v>
      </c>
      <c r="F705" s="3" t="s">
        <v>2037</v>
      </c>
      <c r="G705" s="3" t="s">
        <v>925</v>
      </c>
      <c r="H705" s="3" t="s">
        <v>1272</v>
      </c>
    </row>
    <row r="706" ht="15.75" customHeight="1">
      <c r="A706" s="3">
        <v>593.0</v>
      </c>
      <c r="B706" s="3" t="s">
        <v>2038</v>
      </c>
      <c r="C706" s="3" t="s">
        <v>2039</v>
      </c>
      <c r="D706" s="3" t="s">
        <v>2040</v>
      </c>
      <c r="E706" s="3">
        <v>5.70056000181E11</v>
      </c>
      <c r="F706" s="3" t="s">
        <v>2041</v>
      </c>
      <c r="G706" s="3" t="s">
        <v>925</v>
      </c>
      <c r="H706" s="3" t="s">
        <v>1272</v>
      </c>
    </row>
    <row r="707" ht="15.75" customHeight="1">
      <c r="A707" s="3">
        <v>594.0</v>
      </c>
      <c r="B707" s="3" t="s">
        <v>2042</v>
      </c>
      <c r="C707" s="3" t="s">
        <v>2043</v>
      </c>
      <c r="D707" s="3" t="s">
        <v>2044</v>
      </c>
      <c r="E707" s="3">
        <v>5.70056000182E11</v>
      </c>
      <c r="F707" s="3" t="s">
        <v>2045</v>
      </c>
      <c r="G707" s="3" t="s">
        <v>581</v>
      </c>
      <c r="H707" s="3" t="s">
        <v>1272</v>
      </c>
    </row>
    <row r="708" ht="15.75" customHeight="1">
      <c r="A708" s="3">
        <v>595.0</v>
      </c>
      <c r="B708" s="3" t="s">
        <v>2046</v>
      </c>
      <c r="C708" s="3" t="s">
        <v>2047</v>
      </c>
      <c r="D708" s="3" t="s">
        <v>751</v>
      </c>
      <c r="E708" s="3">
        <v>5.70056000188E11</v>
      </c>
      <c r="F708" s="3" t="s">
        <v>2048</v>
      </c>
      <c r="G708" s="3" t="s">
        <v>599</v>
      </c>
      <c r="H708" s="3" t="s">
        <v>1272</v>
      </c>
    </row>
    <row r="709" ht="15.75" customHeight="1">
      <c r="A709" s="3">
        <v>596.0</v>
      </c>
      <c r="B709" s="3" t="s">
        <v>2049</v>
      </c>
      <c r="C709" s="3" t="s">
        <v>2050</v>
      </c>
      <c r="D709" s="3" t="s">
        <v>2051</v>
      </c>
      <c r="E709" s="3">
        <v>5.7005600019E11</v>
      </c>
      <c r="F709" s="3" t="s">
        <v>2052</v>
      </c>
      <c r="G709" s="3" t="s">
        <v>925</v>
      </c>
      <c r="H709" s="3" t="s">
        <v>1272</v>
      </c>
    </row>
    <row r="710" ht="15.75" customHeight="1">
      <c r="A710" s="3">
        <v>597.0</v>
      </c>
      <c r="B710" s="3" t="s">
        <v>2053</v>
      </c>
      <c r="C710" s="3" t="s">
        <v>2054</v>
      </c>
      <c r="D710" s="3" t="s">
        <v>2055</v>
      </c>
      <c r="E710" s="3">
        <v>5.70056000193E11</v>
      </c>
      <c r="F710" s="3" t="s">
        <v>2056</v>
      </c>
      <c r="G710" s="3" t="s">
        <v>581</v>
      </c>
      <c r="H710" s="3" t="s">
        <v>1272</v>
      </c>
    </row>
    <row r="711" ht="15.75" customHeight="1">
      <c r="A711" s="3">
        <v>598.0</v>
      </c>
      <c r="B711" s="3" t="s">
        <v>2057</v>
      </c>
      <c r="C711" s="3" t="s">
        <v>2058</v>
      </c>
      <c r="D711" s="3" t="s">
        <v>637</v>
      </c>
      <c r="E711" s="3">
        <v>5.70056000194E11</v>
      </c>
      <c r="F711" s="3" t="s">
        <v>2059</v>
      </c>
      <c r="G711" s="3" t="s">
        <v>581</v>
      </c>
      <c r="H711" s="3" t="s">
        <v>1272</v>
      </c>
    </row>
    <row r="712" ht="15.75" customHeight="1">
      <c r="A712" s="3">
        <v>599.0</v>
      </c>
      <c r="B712" s="3" t="s">
        <v>2060</v>
      </c>
      <c r="C712" s="3" t="s">
        <v>2061</v>
      </c>
      <c r="D712" s="3" t="s">
        <v>2062</v>
      </c>
      <c r="E712" s="3">
        <v>5.70056000196E11</v>
      </c>
      <c r="F712" s="3" t="s">
        <v>2063</v>
      </c>
      <c r="G712" s="3" t="s">
        <v>581</v>
      </c>
      <c r="H712" s="3" t="s">
        <v>1272</v>
      </c>
    </row>
    <row r="713" ht="15.75" customHeight="1">
      <c r="A713" s="3">
        <v>600.0</v>
      </c>
      <c r="B713" s="3" t="s">
        <v>2064</v>
      </c>
      <c r="C713" s="3" t="s">
        <v>2065</v>
      </c>
      <c r="D713" s="3" t="s">
        <v>2066</v>
      </c>
      <c r="E713" s="3">
        <v>5.70056000198E11</v>
      </c>
      <c r="F713" s="3" t="s">
        <v>2067</v>
      </c>
      <c r="G713" s="3" t="s">
        <v>599</v>
      </c>
      <c r="H713" s="3" t="s">
        <v>1272</v>
      </c>
    </row>
    <row r="714" ht="15.75" customHeight="1">
      <c r="A714" s="3">
        <v>601.0</v>
      </c>
      <c r="B714" s="3" t="s">
        <v>2068</v>
      </c>
      <c r="C714" s="3" t="s">
        <v>1232</v>
      </c>
      <c r="D714" s="3" t="s">
        <v>2069</v>
      </c>
      <c r="E714" s="3">
        <v>5.700560002E11</v>
      </c>
      <c r="F714" s="3" t="s">
        <v>2070</v>
      </c>
      <c r="G714" s="3" t="s">
        <v>925</v>
      </c>
      <c r="H714" s="3" t="s">
        <v>1272</v>
      </c>
    </row>
    <row r="715" ht="15.75" customHeight="1">
      <c r="A715" s="3">
        <v>602.0</v>
      </c>
      <c r="B715" s="3" t="s">
        <v>2071</v>
      </c>
      <c r="C715" s="3" t="s">
        <v>2072</v>
      </c>
      <c r="D715" s="3" t="s">
        <v>2073</v>
      </c>
      <c r="E715" s="3">
        <v>5.70056000049E11</v>
      </c>
      <c r="F715" s="3" t="s">
        <v>2074</v>
      </c>
      <c r="G715" s="3" t="s">
        <v>599</v>
      </c>
      <c r="H715" s="3" t="s">
        <v>1272</v>
      </c>
    </row>
    <row r="716" ht="15.75" customHeight="1">
      <c r="A716" s="3">
        <v>603.0</v>
      </c>
      <c r="B716" s="3" t="s">
        <v>2075</v>
      </c>
      <c r="C716" s="3" t="s">
        <v>2050</v>
      </c>
      <c r="D716" s="3" t="s">
        <v>2076</v>
      </c>
      <c r="E716" s="3">
        <v>5.70056000053E11</v>
      </c>
      <c r="F716" s="3" t="s">
        <v>2077</v>
      </c>
      <c r="G716" s="3" t="s">
        <v>2078</v>
      </c>
      <c r="H716" s="3" t="s">
        <v>1272</v>
      </c>
    </row>
    <row r="717" ht="15.75" customHeight="1">
      <c r="A717" s="3">
        <v>604.0</v>
      </c>
      <c r="B717" s="3" t="s">
        <v>2079</v>
      </c>
      <c r="C717" s="3" t="s">
        <v>2080</v>
      </c>
      <c r="D717" s="3" t="s">
        <v>2069</v>
      </c>
      <c r="E717" s="3">
        <v>5.70056000098E11</v>
      </c>
      <c r="F717" s="3" t="s">
        <v>2081</v>
      </c>
      <c r="G717" s="3" t="s">
        <v>581</v>
      </c>
      <c r="H717" s="3" t="s">
        <v>1272</v>
      </c>
    </row>
    <row r="718" ht="15.75" customHeight="1">
      <c r="A718" s="3">
        <v>605.0</v>
      </c>
      <c r="B718" s="3" t="s">
        <v>716</v>
      </c>
      <c r="C718" s="3" t="s">
        <v>2082</v>
      </c>
      <c r="D718" s="3" t="s">
        <v>2083</v>
      </c>
      <c r="E718" s="3">
        <v>5.70056000125E11</v>
      </c>
      <c r="F718" s="3" t="s">
        <v>2084</v>
      </c>
      <c r="G718" s="3" t="s">
        <v>581</v>
      </c>
      <c r="H718" s="3" t="s">
        <v>1272</v>
      </c>
    </row>
    <row r="719" ht="15.75" customHeight="1">
      <c r="A719" s="3">
        <v>606.0</v>
      </c>
      <c r="B719" s="3" t="s">
        <v>2085</v>
      </c>
      <c r="C719" s="3" t="s">
        <v>2086</v>
      </c>
      <c r="D719" s="3" t="s">
        <v>2087</v>
      </c>
      <c r="E719" s="3">
        <v>5.70056000135E11</v>
      </c>
      <c r="F719" s="3" t="s">
        <v>2088</v>
      </c>
      <c r="G719" s="3" t="s">
        <v>599</v>
      </c>
      <c r="H719" s="3" t="s">
        <v>1272</v>
      </c>
    </row>
    <row r="720" ht="15.75" customHeight="1">
      <c r="A720" s="3">
        <v>607.0</v>
      </c>
      <c r="B720" s="3" t="s">
        <v>2089</v>
      </c>
      <c r="C720" s="3" t="s">
        <v>2090</v>
      </c>
      <c r="D720" s="3" t="s">
        <v>2091</v>
      </c>
      <c r="E720" s="3">
        <v>5.70056000155E11</v>
      </c>
      <c r="F720" s="3" t="s">
        <v>2092</v>
      </c>
      <c r="G720" s="3" t="s">
        <v>925</v>
      </c>
      <c r="H720" s="3" t="s">
        <v>1272</v>
      </c>
    </row>
    <row r="721" ht="15.75" customHeight="1">
      <c r="A721" s="3">
        <v>608.0</v>
      </c>
      <c r="B721" s="3" t="s">
        <v>2093</v>
      </c>
      <c r="C721" s="3" t="s">
        <v>2094</v>
      </c>
      <c r="D721" s="3" t="s">
        <v>2095</v>
      </c>
      <c r="E721" s="3">
        <v>5.70056000197E11</v>
      </c>
      <c r="F721" s="3" t="s">
        <v>2096</v>
      </c>
      <c r="G721" s="3" t="s">
        <v>925</v>
      </c>
      <c r="H721" s="3" t="s">
        <v>1272</v>
      </c>
    </row>
    <row r="722" ht="15.75" customHeight="1">
      <c r="A722" s="3">
        <v>609.0</v>
      </c>
      <c r="B722" s="3" t="s">
        <v>677</v>
      </c>
      <c r="C722" s="3" t="s">
        <v>635</v>
      </c>
      <c r="D722" s="3" t="s">
        <v>2097</v>
      </c>
      <c r="E722" s="3">
        <v>5.70056000038E11</v>
      </c>
      <c r="F722" s="3" t="s">
        <v>2098</v>
      </c>
      <c r="G722" s="3" t="s">
        <v>599</v>
      </c>
      <c r="H722" s="3" t="s">
        <v>1272</v>
      </c>
    </row>
    <row r="723" ht="15.75" customHeight="1">
      <c r="A723" s="3">
        <v>610.0</v>
      </c>
      <c r="B723" s="3" t="s">
        <v>2099</v>
      </c>
      <c r="C723" s="3" t="s">
        <v>2100</v>
      </c>
      <c r="D723" s="3" t="s">
        <v>618</v>
      </c>
      <c r="E723" s="3">
        <v>5.70056000057E11</v>
      </c>
      <c r="F723" s="3" t="s">
        <v>2101</v>
      </c>
      <c r="G723" s="3" t="s">
        <v>599</v>
      </c>
      <c r="H723" s="3" t="s">
        <v>1272</v>
      </c>
    </row>
    <row r="724" ht="15.75" customHeight="1">
      <c r="A724" s="3">
        <v>611.0</v>
      </c>
      <c r="B724" s="3" t="s">
        <v>2102</v>
      </c>
      <c r="C724" s="3" t="s">
        <v>2103</v>
      </c>
      <c r="D724" s="3" t="s">
        <v>1918</v>
      </c>
      <c r="E724" s="3">
        <v>5.700560001E11</v>
      </c>
      <c r="F724" s="3" t="s">
        <v>2104</v>
      </c>
      <c r="G724" s="3" t="s">
        <v>925</v>
      </c>
      <c r="H724" s="3" t="s">
        <v>1272</v>
      </c>
    </row>
    <row r="725" ht="15.75" customHeight="1">
      <c r="A725" s="3">
        <v>612.0</v>
      </c>
      <c r="B725" s="3" t="s">
        <v>2105</v>
      </c>
      <c r="C725" s="3" t="s">
        <v>2106</v>
      </c>
      <c r="D725" s="3" t="s">
        <v>2091</v>
      </c>
      <c r="E725" s="3">
        <v>5.70056000199E11</v>
      </c>
      <c r="F725" s="3" t="s">
        <v>2107</v>
      </c>
      <c r="G725" s="3" t="s">
        <v>581</v>
      </c>
      <c r="H725" s="3" t="s">
        <v>1272</v>
      </c>
    </row>
    <row r="726" ht="15.75" customHeight="1">
      <c r="A726" s="3">
        <v>613.0</v>
      </c>
      <c r="B726" s="3" t="s">
        <v>2108</v>
      </c>
      <c r="C726" s="3" t="s">
        <v>2109</v>
      </c>
      <c r="D726" s="3" t="s">
        <v>2110</v>
      </c>
      <c r="E726" s="3">
        <v>5.70056000081E11</v>
      </c>
      <c r="F726" s="3" t="s">
        <v>2111</v>
      </c>
      <c r="G726" s="3" t="s">
        <v>823</v>
      </c>
      <c r="H726" s="3" t="s">
        <v>1272</v>
      </c>
    </row>
    <row r="727" ht="15.75" customHeight="1">
      <c r="A727" s="3">
        <v>614.0</v>
      </c>
      <c r="B727" s="3" t="s">
        <v>2112</v>
      </c>
      <c r="C727" s="3" t="s">
        <v>2113</v>
      </c>
      <c r="D727" s="3" t="s">
        <v>2114</v>
      </c>
      <c r="E727" s="3">
        <v>5.70056000079E11</v>
      </c>
      <c r="F727" s="3" t="s">
        <v>2115</v>
      </c>
      <c r="G727" s="3" t="s">
        <v>599</v>
      </c>
      <c r="H727" s="3" t="s">
        <v>1272</v>
      </c>
    </row>
    <row r="728" ht="15.75" customHeight="1">
      <c r="A728" s="3">
        <v>615.0</v>
      </c>
      <c r="B728" s="3" t="s">
        <v>2116</v>
      </c>
      <c r="C728" s="3" t="s">
        <v>2117</v>
      </c>
      <c r="D728" s="3" t="s">
        <v>2118</v>
      </c>
      <c r="E728" s="3">
        <v>5.70056000108E11</v>
      </c>
      <c r="F728" s="3" t="s">
        <v>2119</v>
      </c>
      <c r="G728" s="3" t="s">
        <v>925</v>
      </c>
      <c r="H728" s="3" t="s">
        <v>1272</v>
      </c>
    </row>
    <row r="729" ht="15.75" customHeight="1">
      <c r="A729" s="3">
        <v>616.0</v>
      </c>
      <c r="B729" s="3" t="s">
        <v>2120</v>
      </c>
      <c r="C729" s="3" t="s">
        <v>2121</v>
      </c>
      <c r="D729" s="3" t="s">
        <v>2122</v>
      </c>
      <c r="E729" s="3">
        <v>5.70056000126E11</v>
      </c>
      <c r="F729" s="3" t="s">
        <v>2123</v>
      </c>
      <c r="G729" s="3" t="s">
        <v>1568</v>
      </c>
      <c r="H729" s="3" t="s">
        <v>1272</v>
      </c>
    </row>
    <row r="730" ht="15.75" customHeight="1">
      <c r="A730" s="3">
        <v>617.0</v>
      </c>
      <c r="B730" s="3" t="s">
        <v>2124</v>
      </c>
      <c r="C730" s="3" t="s">
        <v>2125</v>
      </c>
      <c r="D730" s="3" t="s">
        <v>2069</v>
      </c>
      <c r="E730" s="3">
        <v>5.70056000146E11</v>
      </c>
      <c r="F730" s="3" t="s">
        <v>2126</v>
      </c>
      <c r="G730" s="3" t="s">
        <v>823</v>
      </c>
      <c r="H730" s="3" t="s">
        <v>1272</v>
      </c>
    </row>
    <row r="731" ht="15.75" customHeight="1">
      <c r="A731" s="3">
        <v>618.0</v>
      </c>
      <c r="B731" s="3" t="s">
        <v>2127</v>
      </c>
      <c r="C731" s="3" t="s">
        <v>1565</v>
      </c>
      <c r="D731" s="3" t="s">
        <v>2128</v>
      </c>
      <c r="E731" s="3">
        <v>5.7005600016E11</v>
      </c>
      <c r="F731" s="3" t="s">
        <v>2129</v>
      </c>
      <c r="G731" s="3" t="s">
        <v>581</v>
      </c>
      <c r="H731" s="3" t="s">
        <v>1272</v>
      </c>
    </row>
    <row r="732" ht="15.75" customHeight="1">
      <c r="A732" s="3">
        <v>619.0</v>
      </c>
      <c r="B732" s="3" t="s">
        <v>2130</v>
      </c>
      <c r="C732" s="3" t="s">
        <v>635</v>
      </c>
      <c r="D732" s="3" t="s">
        <v>2131</v>
      </c>
      <c r="E732" s="3">
        <v>5.70056000202E11</v>
      </c>
      <c r="F732" s="3" t="s">
        <v>2132</v>
      </c>
      <c r="G732" s="3" t="s">
        <v>581</v>
      </c>
      <c r="H732" s="3" t="s">
        <v>1272</v>
      </c>
    </row>
    <row r="733" ht="15.75" customHeight="1">
      <c r="A733" s="3">
        <v>620.0</v>
      </c>
      <c r="B733" s="3" t="s">
        <v>2133</v>
      </c>
      <c r="C733" s="3" t="s">
        <v>2134</v>
      </c>
      <c r="D733" s="3" t="s">
        <v>2135</v>
      </c>
      <c r="E733" s="3">
        <v>5.70056000203E11</v>
      </c>
      <c r="F733" s="3" t="s">
        <v>2136</v>
      </c>
      <c r="G733" s="3" t="s">
        <v>581</v>
      </c>
      <c r="H733" s="3" t="s">
        <v>1272</v>
      </c>
    </row>
    <row r="734" ht="15.75" customHeight="1">
      <c r="A734" s="3">
        <v>621.0</v>
      </c>
      <c r="B734" s="3" t="s">
        <v>650</v>
      </c>
      <c r="C734" s="3" t="s">
        <v>2137</v>
      </c>
      <c r="D734" s="3" t="s">
        <v>2138</v>
      </c>
      <c r="E734" s="3">
        <v>5.70056000204E11</v>
      </c>
      <c r="F734" s="3" t="s">
        <v>2139</v>
      </c>
      <c r="G734" s="3" t="s">
        <v>925</v>
      </c>
      <c r="H734" s="3" t="s">
        <v>1272</v>
      </c>
    </row>
    <row r="735" ht="15.75" customHeight="1">
      <c r="A735" s="3">
        <v>622.0</v>
      </c>
      <c r="B735" s="3" t="s">
        <v>2140</v>
      </c>
      <c r="C735" s="3" t="s">
        <v>635</v>
      </c>
      <c r="D735" s="3" t="s">
        <v>2141</v>
      </c>
      <c r="E735" s="3">
        <v>5.70056000205E11</v>
      </c>
      <c r="F735" s="3" t="s">
        <v>2142</v>
      </c>
      <c r="G735" s="3" t="s">
        <v>925</v>
      </c>
      <c r="H735" s="3" t="s">
        <v>1272</v>
      </c>
    </row>
    <row r="736" ht="15.75" customHeight="1">
      <c r="A736" s="3">
        <v>623.0</v>
      </c>
      <c r="B736" s="3" t="s">
        <v>2143</v>
      </c>
      <c r="C736" s="3" t="s">
        <v>1139</v>
      </c>
      <c r="D736" s="3" t="s">
        <v>2144</v>
      </c>
      <c r="E736" s="3">
        <v>5.70056000207E11</v>
      </c>
      <c r="F736" s="3" t="s">
        <v>2145</v>
      </c>
      <c r="G736" s="3" t="s">
        <v>599</v>
      </c>
      <c r="H736" s="3" t="s">
        <v>1272</v>
      </c>
    </row>
    <row r="737" ht="15.75" customHeight="1">
      <c r="A737" s="3">
        <v>624.0</v>
      </c>
      <c r="B737" s="3" t="s">
        <v>2146</v>
      </c>
      <c r="C737" s="3" t="s">
        <v>2147</v>
      </c>
      <c r="D737" s="3" t="s">
        <v>2148</v>
      </c>
      <c r="E737" s="3">
        <v>5.70056000209E11</v>
      </c>
      <c r="F737" s="3" t="s">
        <v>2149</v>
      </c>
      <c r="G737" s="3" t="s">
        <v>581</v>
      </c>
      <c r="H737" s="3" t="s">
        <v>1272</v>
      </c>
    </row>
    <row r="738" ht="15.75" customHeight="1">
      <c r="A738" s="3">
        <v>625.0</v>
      </c>
      <c r="B738" s="3" t="s">
        <v>2150</v>
      </c>
      <c r="C738" s="3" t="s">
        <v>2151</v>
      </c>
      <c r="D738" s="3" t="s">
        <v>2152</v>
      </c>
      <c r="E738" s="3">
        <v>5.70056000211E11</v>
      </c>
      <c r="F738" s="3" t="s">
        <v>2153</v>
      </c>
      <c r="G738" s="3" t="s">
        <v>581</v>
      </c>
      <c r="H738" s="3" t="s">
        <v>1272</v>
      </c>
    </row>
    <row r="739" ht="15.75" customHeight="1">
      <c r="A739" s="3">
        <v>626.0</v>
      </c>
      <c r="B739" s="3" t="s">
        <v>2154</v>
      </c>
      <c r="C739" s="3" t="s">
        <v>2155</v>
      </c>
      <c r="D739" s="3" t="s">
        <v>2156</v>
      </c>
      <c r="E739" s="3">
        <v>5.70056000213E11</v>
      </c>
      <c r="F739" s="3" t="s">
        <v>2157</v>
      </c>
      <c r="G739" s="3" t="s">
        <v>599</v>
      </c>
      <c r="H739" s="3" t="s">
        <v>2158</v>
      </c>
    </row>
    <row r="740" ht="15.75" customHeight="1">
      <c r="A740" s="3">
        <v>627.0</v>
      </c>
      <c r="B740" s="3" t="s">
        <v>2159</v>
      </c>
      <c r="C740" s="3" t="s">
        <v>2160</v>
      </c>
      <c r="D740" s="3" t="s">
        <v>2161</v>
      </c>
      <c r="E740" s="3">
        <v>5.70056000214E11</v>
      </c>
      <c r="F740" s="3" t="s">
        <v>2162</v>
      </c>
      <c r="G740" s="3" t="s">
        <v>925</v>
      </c>
      <c r="H740" s="3" t="s">
        <v>2163</v>
      </c>
    </row>
    <row r="741" ht="15.75" customHeight="1">
      <c r="A741" s="3">
        <v>628.0</v>
      </c>
      <c r="B741" s="3" t="s">
        <v>2164</v>
      </c>
      <c r="C741" s="3" t="s">
        <v>1186</v>
      </c>
      <c r="D741" s="3" t="s">
        <v>2165</v>
      </c>
      <c r="E741" s="3">
        <v>5.70056000217E11</v>
      </c>
      <c r="F741" s="3" t="s">
        <v>2166</v>
      </c>
      <c r="G741" s="3" t="s">
        <v>925</v>
      </c>
      <c r="H741" s="3" t="s">
        <v>1272</v>
      </c>
    </row>
    <row r="742" ht="15.75" customHeight="1">
      <c r="A742" s="3">
        <v>629.0</v>
      </c>
      <c r="B742" s="3" t="s">
        <v>2167</v>
      </c>
      <c r="C742" s="3" t="s">
        <v>2168</v>
      </c>
      <c r="D742" s="3" t="s">
        <v>2169</v>
      </c>
      <c r="E742" s="3">
        <v>5.70056000218E11</v>
      </c>
      <c r="F742" s="3" t="s">
        <v>2170</v>
      </c>
      <c r="G742" s="3" t="s">
        <v>925</v>
      </c>
      <c r="H742" s="3" t="s">
        <v>2171</v>
      </c>
    </row>
    <row r="743" ht="15.75" customHeight="1">
      <c r="A743" s="3">
        <v>630.0</v>
      </c>
      <c r="B743" s="3" t="s">
        <v>2172</v>
      </c>
      <c r="C743" s="3" t="s">
        <v>2173</v>
      </c>
      <c r="D743" s="3" t="s">
        <v>1873</v>
      </c>
      <c r="E743" s="3">
        <v>5.70056000221E11</v>
      </c>
      <c r="F743" s="3" t="s">
        <v>2174</v>
      </c>
      <c r="G743" s="3" t="s">
        <v>676</v>
      </c>
      <c r="H743" s="3" t="s">
        <v>1500</v>
      </c>
    </row>
    <row r="744" ht="15.75" customHeight="1">
      <c r="A744" s="3">
        <v>631.0</v>
      </c>
      <c r="B744" s="3" t="s">
        <v>2175</v>
      </c>
      <c r="C744" s="3" t="s">
        <v>2176</v>
      </c>
      <c r="D744" s="3" t="s">
        <v>2177</v>
      </c>
      <c r="E744" s="3">
        <v>5.70056000229E11</v>
      </c>
      <c r="F744" s="3" t="s">
        <v>2178</v>
      </c>
      <c r="G744" s="3" t="s">
        <v>608</v>
      </c>
      <c r="H744" s="3" t="s">
        <v>1272</v>
      </c>
    </row>
    <row r="745" ht="15.75" customHeight="1">
      <c r="A745" s="3">
        <v>632.0</v>
      </c>
      <c r="B745" s="3" t="s">
        <v>2179</v>
      </c>
      <c r="C745" s="3" t="s">
        <v>2180</v>
      </c>
      <c r="D745" s="3" t="s">
        <v>875</v>
      </c>
      <c r="E745" s="3">
        <v>5.7005600023E11</v>
      </c>
      <c r="F745" s="3" t="s">
        <v>2181</v>
      </c>
      <c r="G745" s="3" t="s">
        <v>676</v>
      </c>
      <c r="H745" s="3" t="s">
        <v>1272</v>
      </c>
    </row>
    <row r="746" ht="15.75" customHeight="1">
      <c r="A746" s="3">
        <v>633.0</v>
      </c>
      <c r="B746" s="3" t="s">
        <v>2182</v>
      </c>
      <c r="C746" s="3" t="s">
        <v>2183</v>
      </c>
      <c r="D746" s="3" t="s">
        <v>2184</v>
      </c>
      <c r="E746" s="3">
        <v>5.70056000232E11</v>
      </c>
      <c r="F746" s="3" t="s">
        <v>2185</v>
      </c>
      <c r="G746" s="3" t="s">
        <v>581</v>
      </c>
      <c r="H746" s="3" t="s">
        <v>2171</v>
      </c>
    </row>
    <row r="747" ht="15.75" customHeight="1">
      <c r="A747" s="3">
        <v>634.0</v>
      </c>
      <c r="B747" s="3" t="s">
        <v>2186</v>
      </c>
      <c r="C747" s="3" t="s">
        <v>2187</v>
      </c>
      <c r="D747" s="3" t="s">
        <v>852</v>
      </c>
      <c r="E747" s="3">
        <v>5.70056000233E11</v>
      </c>
      <c r="F747" s="3" t="s">
        <v>2188</v>
      </c>
      <c r="G747" s="3" t="s">
        <v>676</v>
      </c>
      <c r="H747" s="3" t="s">
        <v>2171</v>
      </c>
    </row>
    <row r="748" ht="15.75" customHeight="1">
      <c r="A748" s="3">
        <v>635.0</v>
      </c>
      <c r="B748" s="3" t="s">
        <v>2189</v>
      </c>
      <c r="C748" s="3" t="s">
        <v>2190</v>
      </c>
      <c r="D748" s="3" t="s">
        <v>2191</v>
      </c>
      <c r="E748" s="3">
        <v>5.70056000234E11</v>
      </c>
      <c r="F748" s="3" t="s">
        <v>2192</v>
      </c>
      <c r="G748" s="3" t="s">
        <v>676</v>
      </c>
      <c r="H748" s="3" t="s">
        <v>2193</v>
      </c>
    </row>
    <row r="749" ht="15.75" customHeight="1">
      <c r="A749" s="3">
        <v>636.0</v>
      </c>
      <c r="B749" s="3" t="s">
        <v>2194</v>
      </c>
      <c r="C749" s="3" t="s">
        <v>2195</v>
      </c>
      <c r="D749" s="3" t="s">
        <v>2196</v>
      </c>
      <c r="E749" s="3">
        <v>5.70056000236E11</v>
      </c>
      <c r="F749" s="3" t="s">
        <v>2197</v>
      </c>
      <c r="G749" s="3" t="s">
        <v>676</v>
      </c>
      <c r="H749" s="3" t="s">
        <v>2198</v>
      </c>
    </row>
    <row r="750" ht="15.75" customHeight="1">
      <c r="A750" s="3">
        <v>637.0</v>
      </c>
      <c r="B750" s="3" t="s">
        <v>2199</v>
      </c>
      <c r="C750" s="3" t="s">
        <v>2200</v>
      </c>
      <c r="D750" s="3" t="s">
        <v>1831</v>
      </c>
      <c r="E750" s="3">
        <v>5.70056000237E11</v>
      </c>
      <c r="F750" s="3" t="s">
        <v>2201</v>
      </c>
      <c r="G750" s="3" t="s">
        <v>676</v>
      </c>
      <c r="H750" s="3" t="s">
        <v>1272</v>
      </c>
    </row>
    <row r="751" ht="15.75" customHeight="1">
      <c r="A751" s="3">
        <v>638.0</v>
      </c>
      <c r="B751" s="3" t="s">
        <v>826</v>
      </c>
      <c r="C751" s="3" t="s">
        <v>2202</v>
      </c>
      <c r="D751" s="3" t="s">
        <v>2203</v>
      </c>
      <c r="E751" s="3">
        <v>5.70056000241E11</v>
      </c>
      <c r="F751" s="3" t="s">
        <v>2204</v>
      </c>
      <c r="G751" s="3" t="s">
        <v>925</v>
      </c>
      <c r="H751" s="3" t="s">
        <v>1272</v>
      </c>
    </row>
    <row r="752" ht="15.75" customHeight="1">
      <c r="A752" s="3">
        <v>639.0</v>
      </c>
      <c r="B752" s="3" t="s">
        <v>2205</v>
      </c>
      <c r="C752" s="3" t="s">
        <v>2206</v>
      </c>
      <c r="D752" s="3" t="s">
        <v>2207</v>
      </c>
      <c r="E752" s="3">
        <v>5.70056000242E11</v>
      </c>
      <c r="F752" s="3" t="s">
        <v>2208</v>
      </c>
      <c r="G752" s="3" t="s">
        <v>676</v>
      </c>
      <c r="H752" s="3" t="s">
        <v>1500</v>
      </c>
    </row>
    <row r="753" ht="15.75" customHeight="1">
      <c r="A753" s="3">
        <v>640.0</v>
      </c>
      <c r="B753" s="3" t="s">
        <v>2209</v>
      </c>
      <c r="C753" s="3" t="s">
        <v>2210</v>
      </c>
      <c r="D753" s="3" t="s">
        <v>2211</v>
      </c>
      <c r="E753" s="3">
        <v>5.70056000248E11</v>
      </c>
      <c r="F753" s="3" t="s">
        <v>2212</v>
      </c>
      <c r="G753" s="3" t="s">
        <v>599</v>
      </c>
      <c r="H753" s="3" t="s">
        <v>1272</v>
      </c>
    </row>
    <row r="754" ht="15.75" customHeight="1">
      <c r="A754" s="3">
        <v>641.0</v>
      </c>
      <c r="B754" s="3" t="s">
        <v>2213</v>
      </c>
      <c r="C754" s="3" t="s">
        <v>2214</v>
      </c>
      <c r="D754" s="3" t="s">
        <v>2215</v>
      </c>
      <c r="E754" s="3">
        <v>5.70056000251E11</v>
      </c>
      <c r="F754" s="3" t="s">
        <v>2216</v>
      </c>
      <c r="G754" s="3" t="s">
        <v>599</v>
      </c>
      <c r="H754" s="3" t="s">
        <v>1272</v>
      </c>
    </row>
    <row r="755" ht="15.75" customHeight="1">
      <c r="A755" s="3">
        <v>642.0</v>
      </c>
      <c r="B755" s="3" t="s">
        <v>826</v>
      </c>
      <c r="C755" s="3" t="s">
        <v>2217</v>
      </c>
      <c r="D755" s="3" t="s">
        <v>1873</v>
      </c>
      <c r="E755" s="3">
        <v>5.70056000253E11</v>
      </c>
      <c r="F755" s="3" t="s">
        <v>2218</v>
      </c>
      <c r="G755" s="3" t="s">
        <v>925</v>
      </c>
      <c r="H755" s="3" t="s">
        <v>2219</v>
      </c>
    </row>
    <row r="756" ht="15.75" customHeight="1">
      <c r="A756" s="3">
        <v>643.0</v>
      </c>
      <c r="B756" s="3" t="s">
        <v>2220</v>
      </c>
      <c r="C756" s="3" t="s">
        <v>2221</v>
      </c>
      <c r="D756" s="3" t="s">
        <v>2222</v>
      </c>
      <c r="E756" s="3">
        <v>5.70056000254E11</v>
      </c>
      <c r="F756" s="3" t="s">
        <v>2223</v>
      </c>
      <c r="G756" s="3" t="s">
        <v>581</v>
      </c>
      <c r="H756" s="3" t="s">
        <v>2224</v>
      </c>
    </row>
    <row r="757" ht="15.75" customHeight="1">
      <c r="A757" s="3">
        <v>644.0</v>
      </c>
      <c r="B757" s="3" t="s">
        <v>2225</v>
      </c>
      <c r="C757" s="3" t="s">
        <v>2226</v>
      </c>
      <c r="D757" s="3" t="s">
        <v>2144</v>
      </c>
      <c r="E757" s="3">
        <v>5.7005600026E11</v>
      </c>
      <c r="F757" s="3" t="s">
        <v>2227</v>
      </c>
      <c r="G757" s="3" t="s">
        <v>676</v>
      </c>
      <c r="H757" s="3" t="s">
        <v>2228</v>
      </c>
    </row>
    <row r="758" ht="15.75" customHeight="1">
      <c r="A758" s="3">
        <v>645.0</v>
      </c>
      <c r="B758" s="3" t="s">
        <v>2229</v>
      </c>
      <c r="C758" s="3" t="s">
        <v>2230</v>
      </c>
      <c r="D758" s="3" t="s">
        <v>2231</v>
      </c>
      <c r="E758" s="3">
        <v>5.70056000261E11</v>
      </c>
      <c r="F758" s="3" t="s">
        <v>2232</v>
      </c>
      <c r="G758" s="3" t="s">
        <v>608</v>
      </c>
      <c r="H758" s="3" t="s">
        <v>2233</v>
      </c>
    </row>
    <row r="759" ht="15.75" customHeight="1">
      <c r="A759" s="3">
        <v>646.0</v>
      </c>
      <c r="B759" s="3" t="s">
        <v>2234</v>
      </c>
      <c r="C759" s="3" t="s">
        <v>2235</v>
      </c>
      <c r="D759" s="3" t="s">
        <v>2236</v>
      </c>
      <c r="E759" s="3">
        <v>5.70056000262E11</v>
      </c>
      <c r="F759" s="3" t="s">
        <v>1881</v>
      </c>
      <c r="G759" s="3" t="s">
        <v>2237</v>
      </c>
      <c r="H759" s="3" t="s">
        <v>2238</v>
      </c>
    </row>
    <row r="760" ht="15.75" customHeight="1">
      <c r="A760" s="3">
        <v>647.0</v>
      </c>
      <c r="B760" s="3" t="s">
        <v>2239</v>
      </c>
      <c r="C760" s="3" t="s">
        <v>877</v>
      </c>
      <c r="D760" s="3" t="s">
        <v>2240</v>
      </c>
      <c r="E760" s="3">
        <v>5.70056000263E11</v>
      </c>
      <c r="F760" s="3" t="s">
        <v>2241</v>
      </c>
      <c r="G760" s="3" t="s">
        <v>2078</v>
      </c>
      <c r="H760" s="3" t="s">
        <v>2242</v>
      </c>
    </row>
    <row r="761" ht="15.75" customHeight="1">
      <c r="A761" s="3">
        <v>648.0</v>
      </c>
      <c r="B761" s="3" t="s">
        <v>2243</v>
      </c>
      <c r="C761" s="3" t="s">
        <v>2244</v>
      </c>
      <c r="D761" s="3" t="s">
        <v>1441</v>
      </c>
      <c r="E761" s="3">
        <v>5.70056000265E11</v>
      </c>
      <c r="F761" s="3" t="s">
        <v>2245</v>
      </c>
      <c r="G761" s="3" t="s">
        <v>599</v>
      </c>
      <c r="H761" s="3" t="s">
        <v>2246</v>
      </c>
    </row>
    <row r="762" ht="15.75" customHeight="1">
      <c r="A762" s="3">
        <v>649.0</v>
      </c>
      <c r="B762" s="3" t="s">
        <v>2247</v>
      </c>
      <c r="C762" s="3" t="s">
        <v>1758</v>
      </c>
      <c r="D762" s="3" t="s">
        <v>2248</v>
      </c>
      <c r="E762" s="3">
        <v>5.70056000266E11</v>
      </c>
      <c r="F762" s="3" t="s">
        <v>2249</v>
      </c>
      <c r="G762" s="3" t="s">
        <v>581</v>
      </c>
      <c r="H762" s="3" t="s">
        <v>582</v>
      </c>
    </row>
    <row r="763" ht="15.75" customHeight="1">
      <c r="A763" s="3">
        <v>650.0</v>
      </c>
      <c r="B763" s="3" t="s">
        <v>2250</v>
      </c>
      <c r="C763" s="3" t="s">
        <v>2251</v>
      </c>
      <c r="D763" s="3" t="s">
        <v>2252</v>
      </c>
      <c r="E763" s="3">
        <v>5.70056000267E11</v>
      </c>
      <c r="F763" s="3" t="s">
        <v>2253</v>
      </c>
      <c r="G763" s="3" t="s">
        <v>581</v>
      </c>
      <c r="H763" s="3" t="s">
        <v>582</v>
      </c>
    </row>
    <row r="764" ht="15.75" customHeight="1">
      <c r="A764" s="3">
        <v>651.0</v>
      </c>
      <c r="B764" s="3" t="s">
        <v>2254</v>
      </c>
      <c r="C764" s="3" t="s">
        <v>2255</v>
      </c>
      <c r="D764" s="3" t="s">
        <v>2256</v>
      </c>
      <c r="E764" s="3">
        <v>5.70056000268E11</v>
      </c>
      <c r="F764" s="3" t="s">
        <v>2257</v>
      </c>
      <c r="G764" s="3" t="s">
        <v>581</v>
      </c>
      <c r="H764" s="3" t="s">
        <v>2242</v>
      </c>
    </row>
    <row r="765" ht="15.75" customHeight="1">
      <c r="A765" s="3">
        <v>652.0</v>
      </c>
      <c r="B765" s="3" t="s">
        <v>2258</v>
      </c>
      <c r="C765" s="3" t="s">
        <v>1638</v>
      </c>
      <c r="D765" s="3" t="s">
        <v>2259</v>
      </c>
      <c r="E765" s="3">
        <v>5.7005600027E11</v>
      </c>
      <c r="F765" s="3" t="s">
        <v>2260</v>
      </c>
      <c r="G765" s="3" t="s">
        <v>599</v>
      </c>
      <c r="H765" s="3" t="s">
        <v>2261</v>
      </c>
    </row>
    <row r="766" ht="15.75" customHeight="1">
      <c r="A766" s="3">
        <v>653.0</v>
      </c>
      <c r="B766" s="3" t="s">
        <v>2262</v>
      </c>
      <c r="C766" s="3" t="s">
        <v>2263</v>
      </c>
      <c r="D766" s="3" t="s">
        <v>2264</v>
      </c>
      <c r="E766" s="3">
        <v>5.70056000272E11</v>
      </c>
      <c r="F766" s="3" t="s">
        <v>2265</v>
      </c>
      <c r="G766" s="3" t="s">
        <v>2266</v>
      </c>
      <c r="H766" s="3" t="s">
        <v>2267</v>
      </c>
    </row>
    <row r="767" ht="15.75" customHeight="1">
      <c r="A767" s="3">
        <v>654.0</v>
      </c>
      <c r="B767" s="3" t="s">
        <v>2268</v>
      </c>
      <c r="C767" s="3" t="s">
        <v>2269</v>
      </c>
      <c r="D767" s="3" t="s">
        <v>2270</v>
      </c>
      <c r="E767" s="3">
        <v>5.70056000273E11</v>
      </c>
      <c r="F767" s="3" t="s">
        <v>2271</v>
      </c>
      <c r="G767" s="3" t="s">
        <v>581</v>
      </c>
      <c r="H767" s="3" t="s">
        <v>2272</v>
      </c>
    </row>
    <row r="768" ht="15.75" customHeight="1">
      <c r="A768" s="3">
        <v>655.0</v>
      </c>
      <c r="B768" s="3" t="s">
        <v>2273</v>
      </c>
      <c r="C768" s="3" t="s">
        <v>1506</v>
      </c>
      <c r="D768" s="3" t="s">
        <v>2274</v>
      </c>
      <c r="E768" s="3">
        <v>5.70056000277E11</v>
      </c>
      <c r="F768" s="3" t="s">
        <v>2275</v>
      </c>
      <c r="G768" s="3" t="s">
        <v>581</v>
      </c>
      <c r="H768" s="3" t="s">
        <v>582</v>
      </c>
    </row>
    <row r="769" ht="15.75" customHeight="1">
      <c r="A769" s="3">
        <v>656.0</v>
      </c>
      <c r="B769" s="3" t="s">
        <v>2276</v>
      </c>
      <c r="C769" s="3" t="s">
        <v>2277</v>
      </c>
      <c r="D769" s="3" t="s">
        <v>2278</v>
      </c>
      <c r="E769" s="3">
        <v>5.70056000279E11</v>
      </c>
      <c r="F769" s="3" t="s">
        <v>2279</v>
      </c>
      <c r="G769" s="3" t="s">
        <v>599</v>
      </c>
      <c r="H769" s="3" t="s">
        <v>2280</v>
      </c>
    </row>
    <row r="770" ht="15.75" customHeight="1">
      <c r="A770" s="3">
        <v>657.0</v>
      </c>
      <c r="B770" s="3" t="s">
        <v>2281</v>
      </c>
      <c r="C770" s="3" t="s">
        <v>2282</v>
      </c>
      <c r="D770" s="3" t="s">
        <v>2283</v>
      </c>
      <c r="E770" s="3">
        <v>5.7005600028E11</v>
      </c>
      <c r="F770" s="3" t="s">
        <v>2284</v>
      </c>
      <c r="G770" s="3" t="s">
        <v>608</v>
      </c>
      <c r="H770" s="3" t="s">
        <v>2261</v>
      </c>
    </row>
    <row r="771" ht="15.75" customHeight="1">
      <c r="A771" s="3">
        <v>658.0</v>
      </c>
      <c r="B771" s="3" t="s">
        <v>2285</v>
      </c>
      <c r="C771" s="3" t="s">
        <v>2286</v>
      </c>
      <c r="D771" s="3" t="s">
        <v>2287</v>
      </c>
      <c r="E771" s="3">
        <v>5.70056000282E11</v>
      </c>
      <c r="F771" s="3" t="s">
        <v>2288</v>
      </c>
      <c r="G771" s="3" t="s">
        <v>581</v>
      </c>
      <c r="H771" s="3" t="s">
        <v>582</v>
      </c>
    </row>
    <row r="772" ht="15.75" customHeight="1">
      <c r="A772" s="3">
        <v>659.0</v>
      </c>
      <c r="B772" s="3" t="s">
        <v>1345</v>
      </c>
      <c r="C772" s="3" t="s">
        <v>1652</v>
      </c>
      <c r="D772" s="3" t="s">
        <v>1943</v>
      </c>
      <c r="E772" s="3">
        <v>5.70056000283E11</v>
      </c>
      <c r="F772" s="3" t="s">
        <v>2289</v>
      </c>
      <c r="G772" s="3" t="s">
        <v>599</v>
      </c>
      <c r="H772" s="3" t="s">
        <v>582</v>
      </c>
    </row>
    <row r="773" ht="15.75" customHeight="1">
      <c r="A773" s="3">
        <v>660.0</v>
      </c>
      <c r="B773" s="3" t="s">
        <v>1604</v>
      </c>
      <c r="C773" s="3" t="s">
        <v>2290</v>
      </c>
      <c r="D773" s="3" t="s">
        <v>1606</v>
      </c>
      <c r="E773" s="3">
        <v>5.70056000285E11</v>
      </c>
      <c r="F773" s="3" t="s">
        <v>1053</v>
      </c>
      <c r="G773" s="3" t="s">
        <v>581</v>
      </c>
      <c r="H773" s="3" t="s">
        <v>582</v>
      </c>
    </row>
    <row r="774" ht="15.75" customHeight="1">
      <c r="A774" s="3">
        <v>661.0</v>
      </c>
      <c r="B774" s="3" t="s">
        <v>2291</v>
      </c>
      <c r="C774" s="3" t="s">
        <v>2292</v>
      </c>
      <c r="D774" s="3" t="s">
        <v>2293</v>
      </c>
      <c r="E774" s="3">
        <v>5.70056000288E11</v>
      </c>
      <c r="F774" s="3" t="s">
        <v>2294</v>
      </c>
      <c r="G774" s="3" t="s">
        <v>599</v>
      </c>
      <c r="H774" s="3" t="s">
        <v>2238</v>
      </c>
    </row>
    <row r="775" ht="15.75" customHeight="1">
      <c r="A775" s="3">
        <v>662.0</v>
      </c>
      <c r="B775" s="3" t="s">
        <v>2295</v>
      </c>
      <c r="C775" s="3" t="s">
        <v>2292</v>
      </c>
      <c r="D775" s="3" t="s">
        <v>2293</v>
      </c>
      <c r="E775" s="3">
        <v>5.70056000287E11</v>
      </c>
      <c r="F775" s="3" t="s">
        <v>2296</v>
      </c>
      <c r="G775" s="3" t="s">
        <v>581</v>
      </c>
      <c r="H775" s="3" t="s">
        <v>2238</v>
      </c>
    </row>
    <row r="776" ht="15.75" customHeight="1">
      <c r="A776" s="3">
        <v>663.0</v>
      </c>
      <c r="B776" s="3" t="s">
        <v>2297</v>
      </c>
      <c r="C776" s="3" t="s">
        <v>1604</v>
      </c>
      <c r="D776" s="3" t="s">
        <v>2298</v>
      </c>
      <c r="E776" s="3">
        <v>5.70056000289E11</v>
      </c>
      <c r="F776" s="3" t="s">
        <v>2299</v>
      </c>
      <c r="G776" s="3" t="s">
        <v>599</v>
      </c>
      <c r="H776" s="3" t="s">
        <v>2238</v>
      </c>
    </row>
    <row r="777" ht="15.75" customHeight="1">
      <c r="A777" s="3">
        <v>664.0</v>
      </c>
      <c r="B777" s="3" t="s">
        <v>2300</v>
      </c>
      <c r="C777" s="3" t="s">
        <v>1473</v>
      </c>
      <c r="D777" s="3" t="s">
        <v>2301</v>
      </c>
      <c r="E777" s="3">
        <v>5.70056000295E11</v>
      </c>
      <c r="F777" s="3" t="s">
        <v>2302</v>
      </c>
      <c r="G777" s="3" t="s">
        <v>2237</v>
      </c>
      <c r="H777" s="3" t="s">
        <v>2261</v>
      </c>
    </row>
    <row r="778" ht="15.75" customHeight="1">
      <c r="A778" s="3">
        <v>665.0</v>
      </c>
      <c r="B778" s="3" t="s">
        <v>2303</v>
      </c>
      <c r="C778" s="3" t="s">
        <v>2304</v>
      </c>
      <c r="D778" s="3" t="s">
        <v>1441</v>
      </c>
      <c r="E778" s="3">
        <v>5.70056000298E11</v>
      </c>
      <c r="F778" s="3" t="s">
        <v>2305</v>
      </c>
      <c r="G778" s="3" t="s">
        <v>676</v>
      </c>
      <c r="H778" s="3" t="s">
        <v>2238</v>
      </c>
    </row>
    <row r="779" ht="15.75" customHeight="1">
      <c r="A779" s="3">
        <v>666.0</v>
      </c>
      <c r="B779" s="3" t="s">
        <v>2306</v>
      </c>
      <c r="C779" s="3" t="s">
        <v>2307</v>
      </c>
      <c r="D779" s="3" t="s">
        <v>2308</v>
      </c>
      <c r="E779" s="3">
        <v>5.70056000299E11</v>
      </c>
      <c r="F779" s="3" t="s">
        <v>2309</v>
      </c>
      <c r="G779" s="3" t="s">
        <v>925</v>
      </c>
      <c r="H779" s="3" t="s">
        <v>2310</v>
      </c>
    </row>
    <row r="780" ht="15.75" customHeight="1">
      <c r="A780" s="3">
        <v>667.0</v>
      </c>
      <c r="B780" s="3" t="s">
        <v>2311</v>
      </c>
      <c r="C780" s="3" t="s">
        <v>2312</v>
      </c>
      <c r="D780" s="3" t="s">
        <v>2313</v>
      </c>
      <c r="E780" s="3">
        <v>5.700560003E11</v>
      </c>
      <c r="F780" s="3" t="s">
        <v>2314</v>
      </c>
      <c r="G780" s="3" t="s">
        <v>599</v>
      </c>
      <c r="H780" s="3" t="s">
        <v>2315</v>
      </c>
    </row>
    <row r="781" ht="15.75" customHeight="1">
      <c r="A781" s="3">
        <v>668.0</v>
      </c>
      <c r="B781" s="3" t="s">
        <v>2316</v>
      </c>
      <c r="C781" s="3" t="s">
        <v>1303</v>
      </c>
      <c r="D781" s="3" t="s">
        <v>2252</v>
      </c>
      <c r="E781" s="3">
        <v>5.70056000301E11</v>
      </c>
      <c r="F781" s="3" t="s">
        <v>2317</v>
      </c>
      <c r="G781" s="3" t="s">
        <v>599</v>
      </c>
      <c r="H781" s="3" t="s">
        <v>2238</v>
      </c>
    </row>
    <row r="782" ht="15.75" customHeight="1">
      <c r="A782" s="3">
        <v>669.0</v>
      </c>
      <c r="B782" s="3" t="s">
        <v>2318</v>
      </c>
      <c r="C782" s="3" t="s">
        <v>1389</v>
      </c>
      <c r="D782" s="3" t="s">
        <v>2319</v>
      </c>
      <c r="E782" s="3">
        <v>5.70056000302E11</v>
      </c>
      <c r="F782" s="3" t="s">
        <v>2320</v>
      </c>
      <c r="G782" s="3" t="s">
        <v>599</v>
      </c>
      <c r="H782" s="3" t="s">
        <v>2315</v>
      </c>
    </row>
    <row r="783" ht="15.75" customHeight="1">
      <c r="A783" s="3">
        <v>670.0</v>
      </c>
      <c r="B783" s="3" t="s">
        <v>2321</v>
      </c>
      <c r="C783" s="3" t="s">
        <v>2322</v>
      </c>
      <c r="D783" s="3" t="s">
        <v>1003</v>
      </c>
      <c r="E783" s="3">
        <v>5.70056000304E11</v>
      </c>
      <c r="F783" s="3" t="s">
        <v>2323</v>
      </c>
      <c r="G783" s="3" t="s">
        <v>581</v>
      </c>
      <c r="H783" s="3" t="s">
        <v>2324</v>
      </c>
    </row>
    <row r="784" ht="15.75" customHeight="1">
      <c r="A784" s="3">
        <v>671.0</v>
      </c>
      <c r="B784" s="3" t="s">
        <v>2325</v>
      </c>
      <c r="C784" s="3" t="s">
        <v>2326</v>
      </c>
      <c r="D784" s="3" t="s">
        <v>2327</v>
      </c>
      <c r="E784" s="3">
        <v>5.70056000306E11</v>
      </c>
      <c r="F784" s="3" t="s">
        <v>2081</v>
      </c>
      <c r="G784" s="3" t="s">
        <v>581</v>
      </c>
      <c r="H784" s="3" t="s">
        <v>2261</v>
      </c>
    </row>
    <row r="785" ht="15.75" customHeight="1">
      <c r="A785" s="3">
        <v>672.0</v>
      </c>
      <c r="B785" s="3" t="s">
        <v>2328</v>
      </c>
      <c r="C785" s="3" t="s">
        <v>1586</v>
      </c>
      <c r="D785" s="3" t="s">
        <v>1877</v>
      </c>
      <c r="E785" s="3">
        <v>5.70056000308E11</v>
      </c>
      <c r="F785" s="3" t="s">
        <v>2153</v>
      </c>
      <c r="G785" s="3" t="s">
        <v>676</v>
      </c>
      <c r="H785" s="3" t="s">
        <v>2238</v>
      </c>
    </row>
    <row r="786" ht="15.75" customHeight="1">
      <c r="A786" s="3">
        <v>673.0</v>
      </c>
      <c r="B786" s="3" t="s">
        <v>2329</v>
      </c>
      <c r="C786" s="3" t="s">
        <v>1082</v>
      </c>
      <c r="D786" s="3" t="s">
        <v>2330</v>
      </c>
      <c r="E786" s="3">
        <v>5.70056000311E11</v>
      </c>
      <c r="F786" s="3" t="s">
        <v>2331</v>
      </c>
      <c r="G786" s="3" t="s">
        <v>599</v>
      </c>
      <c r="H786" s="3" t="s">
        <v>582</v>
      </c>
    </row>
    <row r="787" ht="15.75" customHeight="1">
      <c r="A787" s="3">
        <v>674.0</v>
      </c>
      <c r="B787" s="3" t="s">
        <v>2332</v>
      </c>
      <c r="C787" s="3" t="s">
        <v>1582</v>
      </c>
      <c r="D787" s="3" t="s">
        <v>2333</v>
      </c>
      <c r="E787" s="3">
        <v>5.70056000312E11</v>
      </c>
      <c r="F787" s="3" t="s">
        <v>2334</v>
      </c>
      <c r="G787" s="3" t="s">
        <v>599</v>
      </c>
      <c r="H787" s="3" t="s">
        <v>582</v>
      </c>
    </row>
    <row r="788" ht="15.75" customHeight="1">
      <c r="A788" s="3">
        <v>675.0</v>
      </c>
      <c r="B788" s="3" t="s">
        <v>2335</v>
      </c>
      <c r="C788" s="3" t="s">
        <v>960</v>
      </c>
      <c r="D788" s="3" t="s">
        <v>2336</v>
      </c>
      <c r="E788" s="3">
        <v>5.70056000313E11</v>
      </c>
      <c r="F788" s="3" t="s">
        <v>2337</v>
      </c>
      <c r="G788" s="3" t="s">
        <v>599</v>
      </c>
      <c r="H788" s="3" t="s">
        <v>582</v>
      </c>
    </row>
    <row r="789" ht="15.75" customHeight="1">
      <c r="A789" s="3">
        <v>676.0</v>
      </c>
      <c r="B789" s="3" t="s">
        <v>2338</v>
      </c>
      <c r="C789" s="3" t="s">
        <v>2339</v>
      </c>
      <c r="D789" s="3" t="s">
        <v>2340</v>
      </c>
      <c r="E789" s="3">
        <v>5.70056000314E11</v>
      </c>
      <c r="F789" s="3" t="s">
        <v>2341</v>
      </c>
      <c r="G789" s="3" t="s">
        <v>599</v>
      </c>
      <c r="H789" s="3" t="s">
        <v>582</v>
      </c>
    </row>
    <row r="790" ht="15.75" customHeight="1">
      <c r="A790" s="3">
        <v>677.0</v>
      </c>
      <c r="B790" s="3" t="s">
        <v>2342</v>
      </c>
      <c r="C790" s="3" t="s">
        <v>2343</v>
      </c>
      <c r="D790" s="3" t="s">
        <v>2344</v>
      </c>
      <c r="E790" s="3">
        <v>5.70056000316E11</v>
      </c>
      <c r="F790" s="3" t="s">
        <v>2345</v>
      </c>
      <c r="G790" s="3" t="s">
        <v>599</v>
      </c>
      <c r="H790" s="3" t="s">
        <v>582</v>
      </c>
    </row>
    <row r="791" ht="15.75" customHeight="1">
      <c r="A791" s="3">
        <v>678.0</v>
      </c>
      <c r="B791" s="3" t="s">
        <v>2346</v>
      </c>
      <c r="C791" s="3" t="s">
        <v>2347</v>
      </c>
      <c r="D791" s="3" t="s">
        <v>2348</v>
      </c>
      <c r="E791" s="3">
        <v>5.70056000317E11</v>
      </c>
      <c r="F791" s="3" t="s">
        <v>1000</v>
      </c>
      <c r="G791" s="3" t="s">
        <v>608</v>
      </c>
      <c r="H791" s="3" t="s">
        <v>582</v>
      </c>
    </row>
    <row r="792" ht="15.75" customHeight="1">
      <c r="A792" s="3">
        <v>679.0</v>
      </c>
      <c r="B792" s="3" t="s">
        <v>2349</v>
      </c>
      <c r="C792" s="3" t="s">
        <v>2347</v>
      </c>
      <c r="D792" s="3" t="s">
        <v>2348</v>
      </c>
      <c r="E792" s="3">
        <v>5.70056000321E11</v>
      </c>
      <c r="F792" s="3" t="s">
        <v>2350</v>
      </c>
      <c r="G792" s="3" t="s">
        <v>599</v>
      </c>
      <c r="H792" s="3" t="s">
        <v>582</v>
      </c>
    </row>
    <row r="793" ht="15.75" customHeight="1">
      <c r="A793" s="3">
        <v>680.0</v>
      </c>
      <c r="B793" s="3" t="s">
        <v>2351</v>
      </c>
      <c r="C793" s="3" t="s">
        <v>2352</v>
      </c>
      <c r="D793" s="3" t="s">
        <v>2353</v>
      </c>
      <c r="E793" s="3">
        <v>5.70056000323E11</v>
      </c>
      <c r="F793" s="3" t="s">
        <v>2354</v>
      </c>
      <c r="G793" s="3" t="s">
        <v>599</v>
      </c>
      <c r="H793" s="3" t="s">
        <v>582</v>
      </c>
    </row>
    <row r="794" ht="15.75" customHeight="1">
      <c r="A794" s="3">
        <v>681.0</v>
      </c>
      <c r="B794" s="3" t="s">
        <v>2355</v>
      </c>
      <c r="C794" s="3" t="s">
        <v>2356</v>
      </c>
      <c r="D794" s="3" t="s">
        <v>2357</v>
      </c>
      <c r="E794" s="3">
        <v>5.70056000324E11</v>
      </c>
      <c r="F794" s="3" t="s">
        <v>2358</v>
      </c>
      <c r="G794" s="3" t="s">
        <v>608</v>
      </c>
      <c r="H794" s="3" t="s">
        <v>582</v>
      </c>
    </row>
    <row r="795" ht="15.75" customHeight="1">
      <c r="A795" s="3">
        <v>682.0</v>
      </c>
      <c r="B795" s="3" t="s">
        <v>2359</v>
      </c>
      <c r="C795" s="3" t="s">
        <v>2360</v>
      </c>
      <c r="D795" s="3" t="s">
        <v>2361</v>
      </c>
      <c r="E795" s="3">
        <v>5.70056000325E11</v>
      </c>
      <c r="F795" s="3" t="s">
        <v>2362</v>
      </c>
      <c r="G795" s="3" t="s">
        <v>581</v>
      </c>
      <c r="H795" s="3" t="s">
        <v>582</v>
      </c>
    </row>
    <row r="796" ht="15.75" customHeight="1">
      <c r="A796" s="3">
        <v>683.0</v>
      </c>
      <c r="B796" s="3" t="s">
        <v>2363</v>
      </c>
      <c r="C796" s="3" t="s">
        <v>2364</v>
      </c>
      <c r="D796" s="3" t="s">
        <v>2365</v>
      </c>
      <c r="E796" s="3">
        <v>5.70056000326E11</v>
      </c>
      <c r="F796" s="3" t="s">
        <v>2366</v>
      </c>
      <c r="G796" s="3" t="s">
        <v>599</v>
      </c>
      <c r="H796" s="3" t="s">
        <v>582</v>
      </c>
    </row>
    <row r="797" ht="15.75" customHeight="1">
      <c r="A797" s="3">
        <v>684.0</v>
      </c>
      <c r="B797" s="3" t="s">
        <v>2367</v>
      </c>
      <c r="C797" s="3" t="s">
        <v>2368</v>
      </c>
      <c r="D797" s="3" t="s">
        <v>2369</v>
      </c>
      <c r="E797" s="3">
        <v>5.70056000328E11</v>
      </c>
      <c r="F797" s="3" t="s">
        <v>2370</v>
      </c>
      <c r="G797" s="3" t="s">
        <v>2078</v>
      </c>
      <c r="H797" s="3" t="s">
        <v>582</v>
      </c>
    </row>
    <row r="798" ht="15.75" customHeight="1">
      <c r="A798" s="3">
        <v>685.0</v>
      </c>
      <c r="B798" s="3" t="s">
        <v>2371</v>
      </c>
      <c r="C798" s="3" t="s">
        <v>2372</v>
      </c>
      <c r="D798" s="3" t="s">
        <v>2373</v>
      </c>
      <c r="E798" s="3">
        <v>5.70056000329E11</v>
      </c>
      <c r="F798" s="3" t="s">
        <v>2374</v>
      </c>
      <c r="G798" s="3" t="s">
        <v>2078</v>
      </c>
      <c r="H798" s="3" t="s">
        <v>582</v>
      </c>
    </row>
    <row r="799" ht="15.75" customHeight="1">
      <c r="A799" s="3">
        <v>686.0</v>
      </c>
      <c r="B799" s="3" t="s">
        <v>2375</v>
      </c>
      <c r="C799" s="3" t="s">
        <v>2376</v>
      </c>
      <c r="D799" s="3" t="s">
        <v>2377</v>
      </c>
      <c r="E799" s="3">
        <v>5.7005600033E11</v>
      </c>
      <c r="F799" s="3" t="s">
        <v>2378</v>
      </c>
      <c r="G799" s="3" t="s">
        <v>2078</v>
      </c>
      <c r="H799" s="3" t="s">
        <v>685</v>
      </c>
    </row>
    <row r="800" ht="15.75" customHeight="1">
      <c r="A800" s="3">
        <v>687.0</v>
      </c>
      <c r="B800" s="3" t="s">
        <v>2379</v>
      </c>
      <c r="C800" s="3" t="s">
        <v>2380</v>
      </c>
      <c r="D800" s="3" t="s">
        <v>2381</v>
      </c>
      <c r="E800" s="3">
        <v>5.70056000331E11</v>
      </c>
      <c r="F800" s="3" t="s">
        <v>2382</v>
      </c>
      <c r="G800" s="3" t="s">
        <v>581</v>
      </c>
      <c r="H800" s="3" t="s">
        <v>582</v>
      </c>
    </row>
    <row r="801" ht="15.75" customHeight="1">
      <c r="A801" s="3">
        <v>688.0</v>
      </c>
      <c r="B801" s="3" t="s">
        <v>2383</v>
      </c>
      <c r="C801" s="3" t="s">
        <v>2384</v>
      </c>
      <c r="D801" s="3" t="s">
        <v>2385</v>
      </c>
      <c r="E801" s="3">
        <v>5.70056000332E11</v>
      </c>
      <c r="F801" s="3" t="s">
        <v>2386</v>
      </c>
      <c r="G801" s="3" t="s">
        <v>599</v>
      </c>
      <c r="H801" s="3" t="s">
        <v>582</v>
      </c>
    </row>
    <row r="802" ht="15.75" customHeight="1">
      <c r="A802" s="3">
        <v>689.0</v>
      </c>
      <c r="B802" s="3" t="s">
        <v>2387</v>
      </c>
      <c r="C802" s="3" t="s">
        <v>2388</v>
      </c>
      <c r="D802" s="3" t="s">
        <v>2389</v>
      </c>
      <c r="E802" s="3">
        <v>5.70056000294E11</v>
      </c>
      <c r="F802" s="3" t="s">
        <v>2390</v>
      </c>
      <c r="G802" s="3" t="s">
        <v>599</v>
      </c>
      <c r="H802" s="3" t="s">
        <v>2238</v>
      </c>
    </row>
    <row r="803" ht="15.75" customHeight="1">
      <c r="A803" s="3">
        <v>690.0</v>
      </c>
      <c r="B803" s="3" t="s">
        <v>1945</v>
      </c>
      <c r="C803" s="3" t="s">
        <v>2391</v>
      </c>
      <c r="D803" s="3" t="s">
        <v>2392</v>
      </c>
      <c r="E803" s="3">
        <v>5.70056000335E11</v>
      </c>
      <c r="F803" s="3" t="s">
        <v>2393</v>
      </c>
      <c r="G803" s="3" t="s">
        <v>2265</v>
      </c>
      <c r="H803" s="3" t="s">
        <v>2394</v>
      </c>
    </row>
    <row r="804" ht="15.75" customHeight="1">
      <c r="A804" s="3">
        <v>691.0</v>
      </c>
      <c r="B804" s="3" t="s">
        <v>2395</v>
      </c>
      <c r="C804" s="3" t="s">
        <v>2396</v>
      </c>
      <c r="D804" s="3" t="s">
        <v>2397</v>
      </c>
      <c r="E804" s="3">
        <v>5.70056000337E11</v>
      </c>
      <c r="F804" s="3" t="s">
        <v>2398</v>
      </c>
      <c r="G804" s="3" t="s">
        <v>599</v>
      </c>
      <c r="H804" s="3" t="s">
        <v>2399</v>
      </c>
    </row>
    <row r="805" ht="15.75" customHeight="1">
      <c r="A805" s="3">
        <v>692.0</v>
      </c>
      <c r="B805" s="3" t="s">
        <v>2400</v>
      </c>
      <c r="C805" s="3" t="s">
        <v>2401</v>
      </c>
      <c r="D805" s="3" t="s">
        <v>2402</v>
      </c>
      <c r="E805" s="3">
        <v>5.7005600034E11</v>
      </c>
      <c r="F805" s="3" t="s">
        <v>2403</v>
      </c>
      <c r="G805" s="3" t="s">
        <v>581</v>
      </c>
      <c r="H805" s="3" t="s">
        <v>2394</v>
      </c>
    </row>
    <row r="806" ht="15.75" customHeight="1">
      <c r="A806" s="3">
        <v>693.0</v>
      </c>
      <c r="B806" s="3" t="s">
        <v>2404</v>
      </c>
      <c r="C806" s="3" t="s">
        <v>2405</v>
      </c>
      <c r="D806" s="3" t="s">
        <v>2406</v>
      </c>
      <c r="E806" s="3">
        <v>5.70056000341E11</v>
      </c>
      <c r="F806" s="3" t="s">
        <v>2407</v>
      </c>
      <c r="G806" s="3" t="s">
        <v>581</v>
      </c>
      <c r="H806" s="3" t="s">
        <v>2408</v>
      </c>
    </row>
    <row r="807" ht="15.75" customHeight="1">
      <c r="A807" s="3">
        <v>694.0</v>
      </c>
      <c r="B807" s="3" t="s">
        <v>2409</v>
      </c>
      <c r="C807" s="3" t="s">
        <v>2410</v>
      </c>
      <c r="D807" s="3" t="s">
        <v>2389</v>
      </c>
      <c r="E807" s="3">
        <v>5.70056000342E11</v>
      </c>
      <c r="F807" s="3" t="s">
        <v>2411</v>
      </c>
      <c r="G807" s="3" t="s">
        <v>581</v>
      </c>
      <c r="H807" s="3" t="s">
        <v>2412</v>
      </c>
    </row>
    <row r="808" ht="15.75" customHeight="1">
      <c r="A808" s="3">
        <v>695.0</v>
      </c>
      <c r="B808" s="3" t="s">
        <v>2413</v>
      </c>
      <c r="C808" s="3" t="s">
        <v>2414</v>
      </c>
      <c r="D808" s="3" t="s">
        <v>2415</v>
      </c>
      <c r="E808" s="3">
        <v>5.70056000343E11</v>
      </c>
      <c r="F808" s="3" t="s">
        <v>2416</v>
      </c>
      <c r="G808" s="3" t="s">
        <v>581</v>
      </c>
      <c r="H808" s="3" t="s">
        <v>2417</v>
      </c>
    </row>
    <row r="809" ht="15.75" customHeight="1">
      <c r="A809" s="3">
        <v>696.0</v>
      </c>
      <c r="B809" s="3" t="s">
        <v>2418</v>
      </c>
      <c r="C809" s="3" t="s">
        <v>2419</v>
      </c>
      <c r="D809" s="3" t="s">
        <v>2420</v>
      </c>
      <c r="E809" s="3">
        <v>5.7005600035E11</v>
      </c>
      <c r="F809" s="3" t="s">
        <v>2421</v>
      </c>
      <c r="G809" s="3" t="s">
        <v>599</v>
      </c>
      <c r="H809" s="3" t="s">
        <v>2422</v>
      </c>
    </row>
    <row r="810" ht="15.75" customHeight="1">
      <c r="A810" s="3">
        <v>697.0</v>
      </c>
      <c r="B810" s="3" t="s">
        <v>2423</v>
      </c>
      <c r="C810" s="3" t="s">
        <v>2424</v>
      </c>
      <c r="D810" s="3" t="s">
        <v>2425</v>
      </c>
      <c r="E810" s="3">
        <v>5.70056000352E11</v>
      </c>
      <c r="F810" s="3" t="s">
        <v>2426</v>
      </c>
      <c r="G810" s="3" t="s">
        <v>581</v>
      </c>
      <c r="H810" s="3" t="s">
        <v>2427</v>
      </c>
    </row>
    <row r="811" ht="15.75" customHeight="1">
      <c r="A811" s="3">
        <v>698.0</v>
      </c>
      <c r="B811" s="3" t="s">
        <v>1839</v>
      </c>
      <c r="C811" s="3" t="s">
        <v>2428</v>
      </c>
      <c r="D811" s="3" t="s">
        <v>2429</v>
      </c>
      <c r="E811" s="3">
        <v>5.70056000353E11</v>
      </c>
      <c r="F811" s="3" t="s">
        <v>2430</v>
      </c>
      <c r="G811" s="3" t="s">
        <v>599</v>
      </c>
      <c r="H811" s="3" t="s">
        <v>2431</v>
      </c>
    </row>
    <row r="812" ht="15.75" customHeight="1">
      <c r="A812" s="3">
        <v>699.0</v>
      </c>
      <c r="B812" s="3" t="s">
        <v>2432</v>
      </c>
      <c r="C812" s="3" t="s">
        <v>2433</v>
      </c>
      <c r="D812" s="3" t="s">
        <v>2434</v>
      </c>
      <c r="E812" s="3">
        <v>5.7005600036E11</v>
      </c>
      <c r="F812" s="3" t="s">
        <v>2435</v>
      </c>
      <c r="G812" s="3" t="s">
        <v>599</v>
      </c>
      <c r="H812" s="3" t="s">
        <v>2394</v>
      </c>
    </row>
    <row r="813" ht="15.75" customHeight="1">
      <c r="A813" s="3">
        <v>700.0</v>
      </c>
      <c r="B813" s="3" t="s">
        <v>2436</v>
      </c>
      <c r="C813" s="3" t="s">
        <v>2437</v>
      </c>
      <c r="D813" s="3" t="s">
        <v>2438</v>
      </c>
      <c r="E813" s="3">
        <v>5.70056000361E11</v>
      </c>
      <c r="F813" s="3" t="s">
        <v>2439</v>
      </c>
      <c r="G813" s="3" t="s">
        <v>599</v>
      </c>
      <c r="H813" s="3" t="s">
        <v>2440</v>
      </c>
    </row>
    <row r="814" ht="15.75" customHeight="1">
      <c r="A814" s="3">
        <v>701.0</v>
      </c>
      <c r="B814" s="3" t="s">
        <v>2441</v>
      </c>
      <c r="C814" s="3" t="s">
        <v>2442</v>
      </c>
      <c r="D814" s="3" t="s">
        <v>2443</v>
      </c>
      <c r="E814" s="3">
        <v>5.70056000364E11</v>
      </c>
      <c r="F814" s="3" t="s">
        <v>2444</v>
      </c>
      <c r="G814" s="3" t="s">
        <v>599</v>
      </c>
      <c r="H814" s="3" t="s">
        <v>2394</v>
      </c>
    </row>
    <row r="815" ht="15.75" customHeight="1">
      <c r="A815" s="3">
        <v>702.0</v>
      </c>
      <c r="B815" s="3" t="s">
        <v>2445</v>
      </c>
      <c r="C815" s="3" t="s">
        <v>2405</v>
      </c>
      <c r="D815" s="3" t="s">
        <v>2406</v>
      </c>
      <c r="E815" s="3">
        <v>5.70056000088E11</v>
      </c>
      <c r="F815" s="3" t="s">
        <v>2446</v>
      </c>
      <c r="G815" s="3" t="s">
        <v>581</v>
      </c>
      <c r="H815" s="3" t="s">
        <v>582</v>
      </c>
    </row>
    <row r="816" ht="15.75" customHeight="1">
      <c r="A816" s="3">
        <v>703.0</v>
      </c>
      <c r="B816" s="3" t="s">
        <v>2447</v>
      </c>
      <c r="C816" s="3" t="s">
        <v>2448</v>
      </c>
      <c r="D816" s="3" t="s">
        <v>2449</v>
      </c>
      <c r="E816" s="3">
        <v>5.70056000127E11</v>
      </c>
      <c r="F816" s="3" t="s">
        <v>2450</v>
      </c>
      <c r="G816" s="3" t="s">
        <v>581</v>
      </c>
      <c r="H816" s="3" t="s">
        <v>685</v>
      </c>
    </row>
    <row r="817" ht="15.75" customHeight="1">
      <c r="A817" s="3">
        <v>704.0</v>
      </c>
      <c r="B817" s="3" t="s">
        <v>2451</v>
      </c>
      <c r="C817" s="3" t="s">
        <v>2452</v>
      </c>
      <c r="D817" s="3" t="s">
        <v>2453</v>
      </c>
      <c r="E817" s="3">
        <v>5.70056000256E11</v>
      </c>
      <c r="F817" s="3" t="s">
        <v>2454</v>
      </c>
      <c r="G817" s="3" t="s">
        <v>2237</v>
      </c>
      <c r="H817" s="3" t="s">
        <v>2455</v>
      </c>
    </row>
    <row r="818" ht="15.75" customHeight="1">
      <c r="A818" s="3">
        <v>705.0</v>
      </c>
      <c r="B818" s="3" t="s">
        <v>2456</v>
      </c>
      <c r="C818" s="3" t="s">
        <v>2457</v>
      </c>
      <c r="D818" s="3" t="s">
        <v>2458</v>
      </c>
      <c r="E818" s="3">
        <v>5.70056000369E11</v>
      </c>
      <c r="F818" s="3" t="s">
        <v>2459</v>
      </c>
      <c r="G818" s="3" t="s">
        <v>581</v>
      </c>
      <c r="H818" s="3" t="s">
        <v>582</v>
      </c>
    </row>
    <row r="819" ht="15.75" customHeight="1">
      <c r="A819" s="3">
        <v>706.0</v>
      </c>
      <c r="B819" s="3" t="s">
        <v>2460</v>
      </c>
      <c r="C819" s="3" t="s">
        <v>2461</v>
      </c>
      <c r="D819" s="3" t="s">
        <v>2462</v>
      </c>
      <c r="E819" s="3">
        <v>5.70056000371E11</v>
      </c>
      <c r="F819" s="3" t="s">
        <v>2463</v>
      </c>
      <c r="G819" s="3" t="s">
        <v>599</v>
      </c>
      <c r="H819" s="3" t="s">
        <v>582</v>
      </c>
    </row>
    <row r="820" ht="15.75" customHeight="1">
      <c r="A820" s="3">
        <v>707.0</v>
      </c>
      <c r="B820" s="3" t="s">
        <v>2464</v>
      </c>
      <c r="C820" s="3" t="s">
        <v>2465</v>
      </c>
      <c r="D820" s="3" t="s">
        <v>2466</v>
      </c>
      <c r="E820" s="3">
        <v>5.70056000372E11</v>
      </c>
      <c r="F820" s="3" t="s">
        <v>2467</v>
      </c>
      <c r="G820" s="3" t="s">
        <v>581</v>
      </c>
      <c r="H820" s="3" t="s">
        <v>582</v>
      </c>
    </row>
    <row r="821" ht="15.75" customHeight="1">
      <c r="A821" s="3">
        <v>708.0</v>
      </c>
      <c r="B821" s="3" t="s">
        <v>1827</v>
      </c>
      <c r="C821" s="3" t="s">
        <v>2468</v>
      </c>
      <c r="D821" s="3" t="s">
        <v>2469</v>
      </c>
      <c r="E821" s="3">
        <v>5.70056000373E11</v>
      </c>
      <c r="F821" s="3" t="s">
        <v>2470</v>
      </c>
      <c r="G821" s="3" t="s">
        <v>599</v>
      </c>
      <c r="H821" s="3" t="s">
        <v>582</v>
      </c>
    </row>
    <row r="822" ht="15.75" customHeight="1">
      <c r="A822" s="3">
        <v>709.0</v>
      </c>
      <c r="B822" s="3" t="s">
        <v>2471</v>
      </c>
      <c r="C822" s="3" t="s">
        <v>2472</v>
      </c>
      <c r="D822" s="3" t="s">
        <v>2473</v>
      </c>
      <c r="E822" s="3">
        <v>5.70056000374E11</v>
      </c>
      <c r="F822" s="3" t="s">
        <v>2474</v>
      </c>
      <c r="G822" s="3" t="s">
        <v>581</v>
      </c>
      <c r="H822" s="3" t="s">
        <v>582</v>
      </c>
    </row>
    <row r="823" ht="15.75" customHeight="1">
      <c r="A823" s="3">
        <v>710.0</v>
      </c>
      <c r="B823" s="3" t="s">
        <v>2475</v>
      </c>
      <c r="C823" s="3" t="s">
        <v>2476</v>
      </c>
      <c r="D823" s="3" t="s">
        <v>2477</v>
      </c>
      <c r="E823" s="3">
        <v>5.70056000375E11</v>
      </c>
      <c r="F823" s="3" t="s">
        <v>2478</v>
      </c>
      <c r="G823" s="3" t="s">
        <v>2078</v>
      </c>
      <c r="H823" s="3" t="s">
        <v>582</v>
      </c>
    </row>
    <row r="824" ht="15.75" customHeight="1">
      <c r="A824" s="3">
        <v>711.0</v>
      </c>
      <c r="B824" s="3" t="s">
        <v>2479</v>
      </c>
      <c r="C824" s="3" t="s">
        <v>2480</v>
      </c>
      <c r="D824" s="3" t="s">
        <v>2481</v>
      </c>
      <c r="E824" s="3">
        <v>5.70056000376E11</v>
      </c>
      <c r="F824" s="3" t="s">
        <v>2482</v>
      </c>
      <c r="G824" s="3" t="s">
        <v>581</v>
      </c>
      <c r="H824" s="3" t="s">
        <v>582</v>
      </c>
    </row>
    <row r="825" ht="15.75" customHeight="1">
      <c r="A825" s="3">
        <v>712.0</v>
      </c>
      <c r="B825" s="3" t="s">
        <v>2483</v>
      </c>
      <c r="C825" s="3" t="s">
        <v>2484</v>
      </c>
      <c r="D825" s="3" t="s">
        <v>2485</v>
      </c>
      <c r="E825" s="3">
        <v>5.70056000381E11</v>
      </c>
      <c r="F825" s="3" t="s">
        <v>2486</v>
      </c>
      <c r="G825" s="3" t="s">
        <v>599</v>
      </c>
      <c r="H825" s="3" t="s">
        <v>582</v>
      </c>
    </row>
    <row r="826" ht="15.75" customHeight="1">
      <c r="A826" s="3">
        <v>713.0</v>
      </c>
      <c r="B826" s="3" t="s">
        <v>2487</v>
      </c>
      <c r="C826" s="3" t="s">
        <v>2488</v>
      </c>
      <c r="D826" s="3" t="s">
        <v>2489</v>
      </c>
      <c r="E826" s="3">
        <v>5.70056000382E11</v>
      </c>
      <c r="F826" s="3" t="s">
        <v>2490</v>
      </c>
      <c r="G826" s="3" t="s">
        <v>599</v>
      </c>
      <c r="H826" s="3" t="s">
        <v>582</v>
      </c>
    </row>
    <row r="827" ht="15.75" customHeight="1">
      <c r="A827" s="3">
        <v>714.0</v>
      </c>
      <c r="B827" s="3" t="s">
        <v>2491</v>
      </c>
      <c r="C827" s="3" t="s">
        <v>2492</v>
      </c>
      <c r="D827" s="3" t="s">
        <v>2493</v>
      </c>
      <c r="E827" s="3">
        <v>5.70056000384E11</v>
      </c>
      <c r="F827" s="3" t="s">
        <v>2494</v>
      </c>
      <c r="G827" s="3" t="s">
        <v>581</v>
      </c>
      <c r="H827" s="3" t="s">
        <v>582</v>
      </c>
    </row>
    <row r="828" ht="15.75" customHeight="1">
      <c r="A828" s="3">
        <v>715.0</v>
      </c>
      <c r="B828" s="3" t="s">
        <v>2495</v>
      </c>
      <c r="C828" s="3" t="s">
        <v>2496</v>
      </c>
      <c r="D828" s="3" t="s">
        <v>2497</v>
      </c>
      <c r="E828" s="3">
        <v>5.70056000385E11</v>
      </c>
      <c r="F828" s="3" t="s">
        <v>2498</v>
      </c>
      <c r="G828" s="3" t="s">
        <v>599</v>
      </c>
      <c r="H828" s="3" t="s">
        <v>582</v>
      </c>
    </row>
    <row r="829" ht="15.75" customHeight="1">
      <c r="A829" s="3">
        <v>716.0</v>
      </c>
      <c r="B829" s="3" t="s">
        <v>2499</v>
      </c>
      <c r="C829" s="3" t="s">
        <v>2500</v>
      </c>
      <c r="D829" s="3" t="s">
        <v>2501</v>
      </c>
      <c r="E829" s="3">
        <v>5.70056000386E11</v>
      </c>
      <c r="F829" s="3" t="s">
        <v>2502</v>
      </c>
      <c r="G829" s="3" t="s">
        <v>599</v>
      </c>
      <c r="H829" s="3" t="s">
        <v>582</v>
      </c>
    </row>
    <row r="830" ht="15.75" customHeight="1">
      <c r="A830" s="3">
        <v>717.0</v>
      </c>
      <c r="B830" s="3" t="s">
        <v>2503</v>
      </c>
      <c r="C830" s="3" t="s">
        <v>2476</v>
      </c>
      <c r="D830" s="3" t="s">
        <v>2504</v>
      </c>
      <c r="E830" s="3">
        <v>5.70056000387E11</v>
      </c>
      <c r="F830" s="3" t="s">
        <v>2505</v>
      </c>
      <c r="G830" s="3" t="s">
        <v>581</v>
      </c>
      <c r="H830" s="3" t="s">
        <v>582</v>
      </c>
    </row>
    <row r="831" ht="15.75" customHeight="1">
      <c r="A831" s="3">
        <v>718.0</v>
      </c>
      <c r="B831" s="3" t="s">
        <v>2506</v>
      </c>
      <c r="C831" s="3" t="s">
        <v>1320</v>
      </c>
      <c r="D831" s="3" t="s">
        <v>2507</v>
      </c>
      <c r="E831" s="3">
        <v>5.70056000388E11</v>
      </c>
      <c r="F831" s="3" t="s">
        <v>2508</v>
      </c>
      <c r="G831" s="3" t="s">
        <v>608</v>
      </c>
      <c r="H831" s="3" t="s">
        <v>582</v>
      </c>
    </row>
    <row r="832" ht="15.75" customHeight="1">
      <c r="A832" s="3">
        <v>719.0</v>
      </c>
      <c r="B832" s="3" t="s">
        <v>2509</v>
      </c>
      <c r="C832" s="3" t="s">
        <v>1328</v>
      </c>
      <c r="D832" s="3" t="s">
        <v>2510</v>
      </c>
      <c r="E832" s="3">
        <v>5.70056000389E11</v>
      </c>
      <c r="F832" s="3" t="s">
        <v>2511</v>
      </c>
      <c r="G832" s="3" t="s">
        <v>676</v>
      </c>
      <c r="H832" s="3" t="s">
        <v>582</v>
      </c>
    </row>
    <row r="833" ht="15.75" customHeight="1">
      <c r="A833" s="3">
        <v>720.0</v>
      </c>
      <c r="B833" s="3" t="s">
        <v>2512</v>
      </c>
      <c r="C833" s="3" t="s">
        <v>2513</v>
      </c>
      <c r="D833" s="3" t="s">
        <v>2514</v>
      </c>
      <c r="E833" s="3">
        <v>5.70056000392E11</v>
      </c>
      <c r="F833" s="3" t="s">
        <v>2515</v>
      </c>
      <c r="G833" s="3" t="s">
        <v>581</v>
      </c>
      <c r="H833" s="3" t="s">
        <v>582</v>
      </c>
    </row>
    <row r="834" ht="15.75" customHeight="1">
      <c r="A834" s="3">
        <v>721.0</v>
      </c>
      <c r="B834" s="3" t="s">
        <v>2516</v>
      </c>
      <c r="C834" s="3" t="s">
        <v>2517</v>
      </c>
      <c r="D834" s="3" t="s">
        <v>1902</v>
      </c>
      <c r="E834" s="3">
        <v>5.70056000393E11</v>
      </c>
      <c r="F834" s="3" t="s">
        <v>2518</v>
      </c>
      <c r="G834" s="3" t="s">
        <v>581</v>
      </c>
      <c r="H834" s="3" t="s">
        <v>582</v>
      </c>
    </row>
    <row r="835" ht="15.75" customHeight="1">
      <c r="A835" s="3">
        <v>722.0</v>
      </c>
      <c r="B835" s="3" t="s">
        <v>2519</v>
      </c>
      <c r="C835" s="3" t="s">
        <v>2520</v>
      </c>
      <c r="D835" s="3" t="s">
        <v>2521</v>
      </c>
      <c r="E835" s="3">
        <v>5.70056000396E11</v>
      </c>
      <c r="F835" s="3" t="s">
        <v>2522</v>
      </c>
      <c r="G835" s="3" t="s">
        <v>581</v>
      </c>
      <c r="H835" s="3" t="s">
        <v>582</v>
      </c>
    </row>
    <row r="836" ht="15.75" customHeight="1">
      <c r="A836" s="3">
        <v>723.0</v>
      </c>
      <c r="B836" s="3" t="s">
        <v>2523</v>
      </c>
      <c r="C836" s="3" t="s">
        <v>921</v>
      </c>
      <c r="D836" s="3" t="s">
        <v>2524</v>
      </c>
      <c r="E836" s="3">
        <v>5.70056000397E11</v>
      </c>
      <c r="F836" s="3" t="s">
        <v>2525</v>
      </c>
      <c r="G836" s="3" t="s">
        <v>599</v>
      </c>
      <c r="H836" s="3" t="s">
        <v>582</v>
      </c>
    </row>
    <row r="837" ht="15.75" customHeight="1">
      <c r="A837" s="3">
        <v>724.0</v>
      </c>
      <c r="B837" s="3" t="s">
        <v>2526</v>
      </c>
      <c r="C837" s="3" t="s">
        <v>631</v>
      </c>
      <c r="D837" s="3" t="s">
        <v>2527</v>
      </c>
      <c r="E837" s="3">
        <v>5.70056000398E11</v>
      </c>
      <c r="F837" s="3" t="s">
        <v>2528</v>
      </c>
      <c r="G837" s="3" t="s">
        <v>581</v>
      </c>
      <c r="H837" s="3" t="s">
        <v>582</v>
      </c>
    </row>
    <row r="838" ht="15.75" customHeight="1">
      <c r="A838" s="3">
        <v>725.0</v>
      </c>
      <c r="B838" s="3" t="s">
        <v>2529</v>
      </c>
      <c r="C838" s="3" t="s">
        <v>2530</v>
      </c>
      <c r="D838" s="3" t="s">
        <v>2531</v>
      </c>
      <c r="E838" s="3">
        <v>5.700560004E11</v>
      </c>
      <c r="F838" s="3" t="s">
        <v>2532</v>
      </c>
      <c r="G838" s="3" t="s">
        <v>599</v>
      </c>
      <c r="H838" s="3" t="s">
        <v>582</v>
      </c>
    </row>
    <row r="839" ht="15.75" customHeight="1">
      <c r="A839" s="3">
        <v>726.0</v>
      </c>
      <c r="B839" s="3" t="s">
        <v>2338</v>
      </c>
      <c r="C839" s="3" t="s">
        <v>1487</v>
      </c>
      <c r="D839" s="3" t="s">
        <v>2533</v>
      </c>
      <c r="E839" s="3">
        <v>5.70056000404E11</v>
      </c>
      <c r="F839" s="3" t="s">
        <v>2534</v>
      </c>
      <c r="G839" s="3" t="s">
        <v>599</v>
      </c>
      <c r="H839" s="3" t="s">
        <v>582</v>
      </c>
    </row>
    <row r="840" ht="15.75" customHeight="1">
      <c r="A840" s="3">
        <v>727.0</v>
      </c>
      <c r="B840" s="3" t="s">
        <v>2535</v>
      </c>
      <c r="C840" s="3" t="s">
        <v>1582</v>
      </c>
      <c r="D840" s="3" t="s">
        <v>1533</v>
      </c>
      <c r="E840" s="3">
        <v>5.70056000405E11</v>
      </c>
      <c r="F840" s="3" t="s">
        <v>2536</v>
      </c>
      <c r="G840" s="3" t="s">
        <v>581</v>
      </c>
      <c r="H840" s="3" t="s">
        <v>582</v>
      </c>
    </row>
    <row r="841" ht="15.75" customHeight="1">
      <c r="A841" s="3">
        <v>728.0</v>
      </c>
      <c r="B841" s="3" t="s">
        <v>2537</v>
      </c>
      <c r="C841" s="3" t="s">
        <v>2538</v>
      </c>
      <c r="D841" s="3" t="s">
        <v>2539</v>
      </c>
      <c r="E841" s="3">
        <v>5.70056000406E11</v>
      </c>
      <c r="F841" s="3" t="s">
        <v>2540</v>
      </c>
      <c r="G841" s="3" t="s">
        <v>599</v>
      </c>
      <c r="H841" s="3" t="s">
        <v>582</v>
      </c>
    </row>
    <row r="842" ht="15.75" customHeight="1">
      <c r="A842" s="3">
        <v>729.0</v>
      </c>
      <c r="B842" s="3" t="s">
        <v>2541</v>
      </c>
      <c r="C842" s="3" t="s">
        <v>1414</v>
      </c>
      <c r="D842" s="3" t="s">
        <v>1122</v>
      </c>
      <c r="E842" s="3">
        <v>5.70056000408E11</v>
      </c>
      <c r="F842" s="3" t="s">
        <v>2542</v>
      </c>
      <c r="G842" s="3" t="s">
        <v>581</v>
      </c>
      <c r="H842" s="3" t="s">
        <v>582</v>
      </c>
    </row>
    <row r="843" ht="15.75" customHeight="1">
      <c r="A843" s="3">
        <v>730.0</v>
      </c>
      <c r="B843" s="3" t="s">
        <v>2543</v>
      </c>
      <c r="C843" s="3" t="s">
        <v>2544</v>
      </c>
      <c r="D843" s="3" t="s">
        <v>2545</v>
      </c>
      <c r="E843" s="3">
        <v>5.7005600041E11</v>
      </c>
      <c r="F843" s="3" t="s">
        <v>2546</v>
      </c>
      <c r="G843" s="3" t="s">
        <v>581</v>
      </c>
      <c r="H843" s="3" t="s">
        <v>582</v>
      </c>
    </row>
    <row r="844" ht="15.75" customHeight="1">
      <c r="A844" s="3">
        <v>731.0</v>
      </c>
      <c r="B844" s="3" t="s">
        <v>2547</v>
      </c>
      <c r="C844" s="3" t="s">
        <v>2548</v>
      </c>
      <c r="D844" s="3" t="s">
        <v>1003</v>
      </c>
      <c r="E844" s="3">
        <v>5.70056000413E11</v>
      </c>
      <c r="F844" s="3" t="s">
        <v>2549</v>
      </c>
      <c r="G844" s="3" t="s">
        <v>581</v>
      </c>
      <c r="H844" s="3" t="s">
        <v>582</v>
      </c>
    </row>
    <row r="845" ht="15.75" customHeight="1">
      <c r="A845" s="3">
        <v>732.0</v>
      </c>
      <c r="B845" s="3" t="s">
        <v>2550</v>
      </c>
      <c r="C845" s="3" t="s">
        <v>1659</v>
      </c>
      <c r="D845" s="3" t="s">
        <v>2551</v>
      </c>
      <c r="E845" s="3">
        <v>5.70056000414E11</v>
      </c>
      <c r="F845" s="3" t="s">
        <v>2511</v>
      </c>
      <c r="G845" s="3" t="s">
        <v>599</v>
      </c>
      <c r="H845" s="3" t="s">
        <v>582</v>
      </c>
    </row>
    <row r="846" ht="15.75" customHeight="1">
      <c r="A846" s="3">
        <v>733.0</v>
      </c>
      <c r="B846" s="3" t="s">
        <v>2552</v>
      </c>
      <c r="C846" s="3" t="s">
        <v>2553</v>
      </c>
      <c r="D846" s="3" t="s">
        <v>2554</v>
      </c>
      <c r="E846" s="3">
        <v>5.70056000419E11</v>
      </c>
      <c r="F846" s="3" t="s">
        <v>2555</v>
      </c>
      <c r="G846" s="3" t="s">
        <v>599</v>
      </c>
      <c r="H846" s="3" t="s">
        <v>582</v>
      </c>
    </row>
    <row r="847" ht="15.75" customHeight="1">
      <c r="A847" s="3">
        <v>734.0</v>
      </c>
      <c r="B847" s="3" t="s">
        <v>2556</v>
      </c>
      <c r="C847" s="3" t="s">
        <v>2557</v>
      </c>
      <c r="D847" s="3" t="s">
        <v>2558</v>
      </c>
      <c r="E847" s="3">
        <v>5.70056000422E11</v>
      </c>
      <c r="F847" s="3" t="s">
        <v>2559</v>
      </c>
      <c r="G847" s="3" t="s">
        <v>581</v>
      </c>
      <c r="H847" s="3" t="s">
        <v>582</v>
      </c>
    </row>
    <row r="848" ht="15.75" customHeight="1">
      <c r="A848" s="3">
        <v>735.0</v>
      </c>
      <c r="B848" s="3" t="s">
        <v>2560</v>
      </c>
      <c r="C848" s="3" t="s">
        <v>589</v>
      </c>
      <c r="D848" s="3" t="s">
        <v>2561</v>
      </c>
      <c r="E848" s="3">
        <v>5.70056000423E11</v>
      </c>
      <c r="F848" s="3" t="s">
        <v>2562</v>
      </c>
      <c r="G848" s="3" t="s">
        <v>599</v>
      </c>
      <c r="H848" s="3" t="s">
        <v>582</v>
      </c>
    </row>
    <row r="849" ht="15.75" customHeight="1">
      <c r="A849" s="3">
        <v>736.0</v>
      </c>
      <c r="B849" s="3" t="s">
        <v>2563</v>
      </c>
      <c r="C849" s="3" t="s">
        <v>2564</v>
      </c>
      <c r="D849" s="3" t="s">
        <v>2565</v>
      </c>
      <c r="E849" s="3">
        <v>5.70056000424E11</v>
      </c>
      <c r="F849" s="3" t="s">
        <v>2566</v>
      </c>
      <c r="G849" s="3" t="s">
        <v>581</v>
      </c>
      <c r="H849" s="3" t="s">
        <v>582</v>
      </c>
    </row>
    <row r="850" ht="15.75" customHeight="1">
      <c r="A850" s="3">
        <v>737.0</v>
      </c>
      <c r="B850" s="3" t="s">
        <v>2567</v>
      </c>
      <c r="C850" s="3" t="s">
        <v>2568</v>
      </c>
      <c r="D850" s="3" t="s">
        <v>2569</v>
      </c>
      <c r="E850" s="3">
        <v>5.70056000426E11</v>
      </c>
      <c r="F850" s="3" t="s">
        <v>2570</v>
      </c>
      <c r="G850" s="3" t="s">
        <v>599</v>
      </c>
      <c r="H850" s="3" t="s">
        <v>582</v>
      </c>
    </row>
    <row r="851" ht="15.75" customHeight="1">
      <c r="A851" s="3">
        <v>738.0</v>
      </c>
      <c r="B851" s="3" t="s">
        <v>2556</v>
      </c>
      <c r="C851" s="3" t="s">
        <v>2571</v>
      </c>
      <c r="D851" s="3" t="s">
        <v>2572</v>
      </c>
      <c r="E851" s="3">
        <v>5.70056000427E11</v>
      </c>
      <c r="F851" s="3" t="s">
        <v>2573</v>
      </c>
      <c r="G851" s="3" t="s">
        <v>581</v>
      </c>
      <c r="H851" s="3" t="s">
        <v>582</v>
      </c>
    </row>
    <row r="852" ht="15.75" customHeight="1">
      <c r="A852" s="3">
        <v>739.0</v>
      </c>
      <c r="B852" s="3" t="s">
        <v>1717</v>
      </c>
      <c r="C852" s="3" t="s">
        <v>877</v>
      </c>
      <c r="D852" s="3" t="s">
        <v>2574</v>
      </c>
      <c r="E852" s="3">
        <v>5.70056000428E11</v>
      </c>
      <c r="F852" s="3" t="s">
        <v>1567</v>
      </c>
      <c r="G852" s="3" t="s">
        <v>581</v>
      </c>
      <c r="H852" s="3" t="s">
        <v>582</v>
      </c>
    </row>
    <row r="853" ht="15.75" customHeight="1">
      <c r="A853" s="3">
        <v>740.0</v>
      </c>
      <c r="B853" s="3" t="s">
        <v>2575</v>
      </c>
      <c r="C853" s="3" t="s">
        <v>2576</v>
      </c>
      <c r="D853" s="3" t="s">
        <v>2577</v>
      </c>
      <c r="E853" s="3">
        <v>5.70056000429E11</v>
      </c>
      <c r="F853" s="3" t="s">
        <v>2578</v>
      </c>
      <c r="G853" s="3" t="s">
        <v>581</v>
      </c>
      <c r="H853" s="3" t="s">
        <v>582</v>
      </c>
    </row>
    <row r="854" ht="15.75" customHeight="1">
      <c r="A854" s="3">
        <v>741.0</v>
      </c>
      <c r="B854" s="3" t="s">
        <v>2579</v>
      </c>
      <c r="C854" s="3" t="s">
        <v>2580</v>
      </c>
      <c r="D854" s="3" t="s">
        <v>2581</v>
      </c>
      <c r="E854" s="3">
        <v>5.7005600043E11</v>
      </c>
      <c r="F854" s="3" t="s">
        <v>2582</v>
      </c>
      <c r="G854" s="3" t="s">
        <v>599</v>
      </c>
      <c r="H854" s="3" t="s">
        <v>582</v>
      </c>
    </row>
    <row r="855" ht="15.75" customHeight="1">
      <c r="A855" s="3">
        <v>742.0</v>
      </c>
      <c r="B855" s="3" t="s">
        <v>2583</v>
      </c>
      <c r="C855" s="3" t="s">
        <v>2584</v>
      </c>
      <c r="D855" s="3" t="s">
        <v>2585</v>
      </c>
      <c r="E855" s="3">
        <v>5.70056000431E11</v>
      </c>
      <c r="F855" s="3" t="s">
        <v>2586</v>
      </c>
      <c r="G855" s="3" t="s">
        <v>581</v>
      </c>
      <c r="H855" s="3" t="s">
        <v>582</v>
      </c>
    </row>
    <row r="856" ht="15.75" customHeight="1">
      <c r="A856" s="3">
        <v>743.0</v>
      </c>
      <c r="B856" s="3" t="s">
        <v>2587</v>
      </c>
      <c r="C856" s="3" t="s">
        <v>994</v>
      </c>
      <c r="D856" s="3" t="s">
        <v>2588</v>
      </c>
      <c r="E856" s="3">
        <v>5.70056000437E11</v>
      </c>
      <c r="F856" s="3" t="s">
        <v>2586</v>
      </c>
      <c r="G856" s="3" t="s">
        <v>599</v>
      </c>
      <c r="H856" s="3" t="s">
        <v>582</v>
      </c>
    </row>
    <row r="857" ht="15.75" customHeight="1">
      <c r="A857" s="3">
        <v>744.0</v>
      </c>
      <c r="B857" s="3" t="s">
        <v>2589</v>
      </c>
      <c r="C857" s="3" t="s">
        <v>2590</v>
      </c>
      <c r="D857" s="3" t="s">
        <v>2591</v>
      </c>
      <c r="E857" s="3">
        <v>5.70056000439E11</v>
      </c>
      <c r="F857" s="3" t="s">
        <v>2592</v>
      </c>
      <c r="G857" s="3" t="s">
        <v>599</v>
      </c>
      <c r="H857" s="3" t="s">
        <v>582</v>
      </c>
    </row>
    <row r="858" ht="15.75" customHeight="1">
      <c r="A858" s="3">
        <v>745.0</v>
      </c>
      <c r="B858" s="3" t="s">
        <v>2593</v>
      </c>
      <c r="C858" s="3" t="s">
        <v>2594</v>
      </c>
      <c r="D858" s="3" t="s">
        <v>2569</v>
      </c>
      <c r="E858" s="3">
        <v>5.7005600044E11</v>
      </c>
      <c r="F858" s="3" t="s">
        <v>2595</v>
      </c>
      <c r="G858" s="3" t="s">
        <v>581</v>
      </c>
      <c r="H858" s="3" t="s">
        <v>582</v>
      </c>
    </row>
    <row r="859" ht="15.75" customHeight="1">
      <c r="A859" s="3">
        <v>746.0</v>
      </c>
      <c r="B859" s="3" t="s">
        <v>2596</v>
      </c>
      <c r="C859" s="3" t="s">
        <v>2597</v>
      </c>
      <c r="D859" s="3" t="s">
        <v>2524</v>
      </c>
      <c r="E859" s="3">
        <v>5.70056000441E11</v>
      </c>
      <c r="F859" s="3" t="s">
        <v>2382</v>
      </c>
      <c r="G859" s="3" t="s">
        <v>599</v>
      </c>
      <c r="H859" s="3" t="s">
        <v>582</v>
      </c>
    </row>
    <row r="860" ht="15.75" customHeight="1">
      <c r="A860" s="3">
        <v>747.0</v>
      </c>
      <c r="B860" s="3" t="s">
        <v>2598</v>
      </c>
      <c r="C860" s="3" t="s">
        <v>1280</v>
      </c>
      <c r="D860" s="3" t="s">
        <v>1719</v>
      </c>
      <c r="E860" s="3">
        <v>5.70056000443E11</v>
      </c>
      <c r="F860" s="3" t="s">
        <v>2599</v>
      </c>
      <c r="G860" s="3" t="s">
        <v>599</v>
      </c>
      <c r="H860" s="3" t="s">
        <v>582</v>
      </c>
    </row>
    <row r="861" ht="15.75" customHeight="1">
      <c r="A861" s="3">
        <v>748.0</v>
      </c>
      <c r="B861" s="3" t="s">
        <v>2600</v>
      </c>
      <c r="C861" s="3" t="s">
        <v>1479</v>
      </c>
      <c r="D861" s="3" t="s">
        <v>2585</v>
      </c>
      <c r="E861" s="3">
        <v>5.70056000446E11</v>
      </c>
      <c r="F861" s="3" t="s">
        <v>2601</v>
      </c>
      <c r="G861" s="3" t="s">
        <v>599</v>
      </c>
      <c r="H861" s="3" t="s">
        <v>582</v>
      </c>
    </row>
    <row r="862" ht="15.75" customHeight="1">
      <c r="A862" s="3">
        <v>749.0</v>
      </c>
      <c r="B862" s="3" t="s">
        <v>2602</v>
      </c>
      <c r="C862" s="3" t="s">
        <v>1341</v>
      </c>
      <c r="D862" s="3" t="s">
        <v>2603</v>
      </c>
      <c r="E862" s="3">
        <v>5.70056000447E11</v>
      </c>
      <c r="F862" s="3" t="s">
        <v>2604</v>
      </c>
      <c r="G862" s="3" t="s">
        <v>599</v>
      </c>
      <c r="H862" s="3" t="s">
        <v>582</v>
      </c>
    </row>
    <row r="863" ht="15.75" customHeight="1">
      <c r="A863" s="3">
        <v>750.0</v>
      </c>
      <c r="B863" s="3" t="s">
        <v>2605</v>
      </c>
      <c r="C863" s="3" t="s">
        <v>2606</v>
      </c>
      <c r="D863" s="3" t="s">
        <v>2259</v>
      </c>
      <c r="E863" s="3">
        <v>5.70056000452E11</v>
      </c>
      <c r="F863" s="3" t="s">
        <v>2607</v>
      </c>
      <c r="G863" s="3" t="s">
        <v>599</v>
      </c>
      <c r="H863" s="3" t="s">
        <v>582</v>
      </c>
    </row>
    <row r="864" ht="15.75" customHeight="1">
      <c r="A864" s="3">
        <v>751.0</v>
      </c>
      <c r="B864" s="3" t="s">
        <v>2608</v>
      </c>
      <c r="C864" s="3" t="s">
        <v>1359</v>
      </c>
      <c r="D864" s="3" t="s">
        <v>1880</v>
      </c>
      <c r="E864" s="3">
        <v>5.70056000454E11</v>
      </c>
      <c r="F864" s="3" t="s">
        <v>2609</v>
      </c>
      <c r="G864" s="3" t="s">
        <v>599</v>
      </c>
      <c r="H864" s="3" t="s">
        <v>582</v>
      </c>
    </row>
    <row r="865" ht="15.75" customHeight="1">
      <c r="A865" s="3">
        <v>752.0</v>
      </c>
      <c r="B865" s="3" t="s">
        <v>2610</v>
      </c>
      <c r="C865" s="3" t="s">
        <v>2611</v>
      </c>
      <c r="D865" s="3" t="s">
        <v>2612</v>
      </c>
      <c r="E865" s="3">
        <v>5.70056000455E11</v>
      </c>
      <c r="F865" s="3" t="s">
        <v>2613</v>
      </c>
      <c r="G865" s="3" t="s">
        <v>581</v>
      </c>
      <c r="H865" s="3" t="s">
        <v>582</v>
      </c>
    </row>
    <row r="866" ht="15.75" customHeight="1">
      <c r="A866" s="3">
        <v>753.0</v>
      </c>
      <c r="B866" s="3" t="s">
        <v>2614</v>
      </c>
      <c r="C866" s="3" t="s">
        <v>2615</v>
      </c>
      <c r="D866" s="3" t="s">
        <v>1838</v>
      </c>
      <c r="E866" s="3">
        <v>5.70056000456E11</v>
      </c>
      <c r="F866" s="3" t="s">
        <v>2599</v>
      </c>
      <c r="G866" s="3" t="s">
        <v>599</v>
      </c>
      <c r="H866" s="3" t="s">
        <v>582</v>
      </c>
    </row>
    <row r="867" ht="15.75" customHeight="1">
      <c r="A867" s="3">
        <v>754.0</v>
      </c>
      <c r="B867" s="3" t="s">
        <v>2616</v>
      </c>
      <c r="C867" s="3" t="s">
        <v>2617</v>
      </c>
      <c r="D867" s="3" t="s">
        <v>2618</v>
      </c>
      <c r="E867" s="3">
        <v>5.70056000458E11</v>
      </c>
      <c r="F867" s="3" t="s">
        <v>2619</v>
      </c>
      <c r="G867" s="3" t="s">
        <v>581</v>
      </c>
      <c r="H867" s="3" t="s">
        <v>582</v>
      </c>
    </row>
    <row r="868" ht="15.75" customHeight="1">
      <c r="A868" s="3">
        <v>755.0</v>
      </c>
      <c r="B868" s="3" t="s">
        <v>2620</v>
      </c>
      <c r="C868" s="3" t="s">
        <v>2621</v>
      </c>
      <c r="D868" s="3" t="s">
        <v>2622</v>
      </c>
      <c r="E868" s="3">
        <v>5.70056000462E11</v>
      </c>
      <c r="F868" s="3" t="s">
        <v>2599</v>
      </c>
      <c r="G868" s="3" t="s">
        <v>581</v>
      </c>
      <c r="H868" s="3" t="s">
        <v>582</v>
      </c>
    </row>
    <row r="869" ht="15.75" customHeight="1">
      <c r="A869" s="3">
        <v>756.0</v>
      </c>
      <c r="B869" s="3" t="s">
        <v>2623</v>
      </c>
      <c r="C869" s="3" t="s">
        <v>2624</v>
      </c>
      <c r="D869" s="3" t="s">
        <v>2625</v>
      </c>
      <c r="E869" s="3">
        <v>5.70056000463E11</v>
      </c>
      <c r="F869" s="3" t="s">
        <v>2626</v>
      </c>
      <c r="G869" s="3" t="s">
        <v>581</v>
      </c>
      <c r="H869" s="3" t="s">
        <v>582</v>
      </c>
    </row>
    <row r="870" ht="15.75" customHeight="1">
      <c r="A870" s="3">
        <v>757.0</v>
      </c>
      <c r="B870" s="3" t="s">
        <v>2627</v>
      </c>
      <c r="C870" s="3" t="s">
        <v>2628</v>
      </c>
      <c r="D870" s="3" t="s">
        <v>2629</v>
      </c>
      <c r="E870" s="3">
        <v>5.70056000467E11</v>
      </c>
      <c r="F870" s="3" t="s">
        <v>2630</v>
      </c>
      <c r="G870" s="3" t="s">
        <v>599</v>
      </c>
      <c r="H870" s="3" t="s">
        <v>582</v>
      </c>
    </row>
    <row r="871" ht="15.75" customHeight="1">
      <c r="A871" s="3">
        <v>758.0</v>
      </c>
      <c r="B871" s="3" t="s">
        <v>2631</v>
      </c>
      <c r="C871" s="3" t="s">
        <v>2632</v>
      </c>
      <c r="D871" s="3" t="s">
        <v>2633</v>
      </c>
      <c r="E871" s="3">
        <v>5.70056000469E11</v>
      </c>
      <c r="F871" s="3" t="s">
        <v>2634</v>
      </c>
      <c r="G871" s="3" t="s">
        <v>581</v>
      </c>
      <c r="H871" s="3" t="s">
        <v>582</v>
      </c>
    </row>
    <row r="872" ht="15.75" customHeight="1">
      <c r="A872" s="3">
        <v>759.0</v>
      </c>
      <c r="B872" s="3" t="s">
        <v>2635</v>
      </c>
      <c r="C872" s="3" t="s">
        <v>2636</v>
      </c>
      <c r="D872" s="3" t="s">
        <v>2637</v>
      </c>
      <c r="E872" s="3">
        <v>5.70056000472E11</v>
      </c>
      <c r="F872" s="3" t="s">
        <v>2638</v>
      </c>
      <c r="G872" s="3" t="s">
        <v>581</v>
      </c>
      <c r="H872" s="3" t="s">
        <v>582</v>
      </c>
    </row>
    <row r="873" ht="15.75" customHeight="1">
      <c r="A873" s="3">
        <v>760.0</v>
      </c>
      <c r="B873" s="3" t="s">
        <v>1897</v>
      </c>
      <c r="C873" s="3" t="s">
        <v>2639</v>
      </c>
      <c r="D873" s="3" t="s">
        <v>2640</v>
      </c>
      <c r="E873" s="3">
        <v>5.70056000473E11</v>
      </c>
      <c r="F873" s="3" t="s">
        <v>2641</v>
      </c>
      <c r="G873" s="3" t="s">
        <v>599</v>
      </c>
      <c r="H873" s="3" t="s">
        <v>582</v>
      </c>
    </row>
    <row r="874" ht="15.75" customHeight="1">
      <c r="A874" s="3">
        <v>761.0</v>
      </c>
      <c r="B874" s="3" t="s">
        <v>2379</v>
      </c>
      <c r="C874" s="3" t="s">
        <v>2642</v>
      </c>
      <c r="D874" s="3" t="s">
        <v>2643</v>
      </c>
      <c r="E874" s="3">
        <v>5.70056000475E11</v>
      </c>
      <c r="F874" s="3" t="s">
        <v>2644</v>
      </c>
      <c r="G874" s="3" t="s">
        <v>599</v>
      </c>
      <c r="H874" s="3" t="s">
        <v>582</v>
      </c>
    </row>
    <row r="875" ht="15.75" customHeight="1">
      <c r="A875" s="3">
        <v>762.0</v>
      </c>
      <c r="B875" s="3" t="s">
        <v>2645</v>
      </c>
      <c r="C875" s="3" t="s">
        <v>2646</v>
      </c>
      <c r="D875" s="3" t="s">
        <v>2647</v>
      </c>
      <c r="E875" s="3">
        <v>5.70056000481E11</v>
      </c>
      <c r="F875" s="3" t="s">
        <v>2648</v>
      </c>
      <c r="G875" s="3" t="s">
        <v>608</v>
      </c>
      <c r="H875" s="3" t="s">
        <v>582</v>
      </c>
    </row>
    <row r="876" ht="15.75" customHeight="1">
      <c r="A876" s="3">
        <v>763.0</v>
      </c>
      <c r="B876" s="3" t="s">
        <v>2631</v>
      </c>
      <c r="C876" s="3" t="s">
        <v>2649</v>
      </c>
      <c r="D876" s="3" t="s">
        <v>2650</v>
      </c>
      <c r="E876" s="3">
        <v>5.70056000483E11</v>
      </c>
      <c r="F876" s="3" t="s">
        <v>2651</v>
      </c>
      <c r="G876" s="3" t="s">
        <v>599</v>
      </c>
      <c r="H876" s="3" t="s">
        <v>582</v>
      </c>
    </row>
    <row r="877" ht="15.75" customHeight="1">
      <c r="A877" s="3">
        <v>764.0</v>
      </c>
      <c r="B877" s="3" t="s">
        <v>2652</v>
      </c>
      <c r="C877" s="3" t="s">
        <v>2653</v>
      </c>
      <c r="D877" s="3" t="s">
        <v>2654</v>
      </c>
      <c r="E877" s="3">
        <v>5.70056000485E11</v>
      </c>
      <c r="F877" s="3" t="s">
        <v>1530</v>
      </c>
      <c r="G877" s="3" t="s">
        <v>581</v>
      </c>
      <c r="H877" s="3" t="s">
        <v>582</v>
      </c>
    </row>
    <row r="878" ht="15.75" customHeight="1">
      <c r="A878" s="3">
        <v>765.0</v>
      </c>
      <c r="B878" s="3" t="s">
        <v>2655</v>
      </c>
      <c r="C878" s="3" t="s">
        <v>2656</v>
      </c>
      <c r="D878" s="3" t="s">
        <v>2657</v>
      </c>
      <c r="E878" s="3">
        <v>5.70056000486E11</v>
      </c>
      <c r="F878" s="3" t="s">
        <v>2658</v>
      </c>
      <c r="G878" s="3" t="s">
        <v>581</v>
      </c>
      <c r="H878" s="3" t="s">
        <v>582</v>
      </c>
    </row>
    <row r="879" ht="15.75" customHeight="1">
      <c r="A879" s="3">
        <v>766.0</v>
      </c>
      <c r="B879" s="3" t="s">
        <v>2659</v>
      </c>
      <c r="C879" s="3" t="s">
        <v>2364</v>
      </c>
      <c r="D879" s="3" t="s">
        <v>2660</v>
      </c>
      <c r="E879" s="3">
        <v>5.70056000489E11</v>
      </c>
      <c r="F879" s="3" t="s">
        <v>2661</v>
      </c>
      <c r="G879" s="3" t="s">
        <v>599</v>
      </c>
      <c r="H879" s="3" t="s">
        <v>582</v>
      </c>
    </row>
    <row r="880" ht="15.75" customHeight="1">
      <c r="A880" s="3">
        <v>767.0</v>
      </c>
      <c r="B880" s="3" t="s">
        <v>2662</v>
      </c>
      <c r="C880" s="3" t="s">
        <v>2653</v>
      </c>
      <c r="D880" s="3" t="s">
        <v>2663</v>
      </c>
      <c r="E880" s="3">
        <v>5.7005600049E11</v>
      </c>
      <c r="F880" s="3" t="s">
        <v>2664</v>
      </c>
      <c r="G880" s="3" t="s">
        <v>581</v>
      </c>
      <c r="H880" s="3" t="s">
        <v>582</v>
      </c>
    </row>
    <row r="881" ht="15.75" customHeight="1">
      <c r="A881" s="3">
        <v>768.0</v>
      </c>
      <c r="B881" s="3" t="s">
        <v>2665</v>
      </c>
      <c r="C881" s="3" t="s">
        <v>2666</v>
      </c>
      <c r="D881" s="3" t="s">
        <v>2667</v>
      </c>
      <c r="E881" s="3">
        <v>5.70056000491E11</v>
      </c>
      <c r="F881" s="3" t="s">
        <v>2668</v>
      </c>
      <c r="G881" s="3" t="s">
        <v>599</v>
      </c>
      <c r="H881" s="3" t="s">
        <v>582</v>
      </c>
    </row>
    <row r="882" ht="15.75" customHeight="1">
      <c r="A882" s="3">
        <v>769.0</v>
      </c>
      <c r="B882" s="3" t="s">
        <v>2669</v>
      </c>
      <c r="C882" s="3" t="s">
        <v>2670</v>
      </c>
      <c r="D882" s="3" t="s">
        <v>2671</v>
      </c>
      <c r="E882" s="3">
        <v>5.70056000492E11</v>
      </c>
      <c r="F882" s="3" t="s">
        <v>2672</v>
      </c>
      <c r="G882" s="3" t="s">
        <v>581</v>
      </c>
      <c r="H882" s="3" t="s">
        <v>2673</v>
      </c>
    </row>
    <row r="883" ht="15.75" customHeight="1">
      <c r="A883" s="3">
        <v>770.0</v>
      </c>
      <c r="B883" s="3" t="s">
        <v>2674</v>
      </c>
      <c r="C883" s="3" t="s">
        <v>2675</v>
      </c>
      <c r="D883" s="3" t="s">
        <v>2676</v>
      </c>
      <c r="E883" s="3">
        <v>5.70056000493E11</v>
      </c>
      <c r="F883" s="3" t="s">
        <v>2201</v>
      </c>
      <c r="G883" s="3" t="s">
        <v>581</v>
      </c>
      <c r="H883" s="3" t="s">
        <v>582</v>
      </c>
    </row>
    <row r="884" ht="15.75" customHeight="1">
      <c r="A884" s="3">
        <v>771.0</v>
      </c>
      <c r="B884" s="3" t="s">
        <v>2677</v>
      </c>
      <c r="C884" s="3" t="s">
        <v>2372</v>
      </c>
      <c r="D884" s="3" t="s">
        <v>2678</v>
      </c>
      <c r="E884" s="3">
        <v>5.70056000495E11</v>
      </c>
      <c r="F884" s="3" t="s">
        <v>2679</v>
      </c>
      <c r="G884" s="3" t="s">
        <v>599</v>
      </c>
      <c r="H884" s="3" t="s">
        <v>582</v>
      </c>
    </row>
    <row r="885" ht="15.75" customHeight="1">
      <c r="A885" s="3">
        <v>772.0</v>
      </c>
      <c r="B885" s="3" t="s">
        <v>2680</v>
      </c>
      <c r="C885" s="3" t="s">
        <v>1334</v>
      </c>
      <c r="D885" s="3" t="s">
        <v>2681</v>
      </c>
      <c r="E885" s="3">
        <v>5.70056000497E11</v>
      </c>
      <c r="F885" s="3" t="s">
        <v>2482</v>
      </c>
      <c r="G885" s="3" t="s">
        <v>599</v>
      </c>
      <c r="H885" s="3" t="s">
        <v>582</v>
      </c>
    </row>
    <row r="886" ht="15.75" customHeight="1">
      <c r="A886" s="3">
        <v>773.0</v>
      </c>
      <c r="B886" s="3" t="s">
        <v>2682</v>
      </c>
      <c r="C886" s="3" t="s">
        <v>2683</v>
      </c>
      <c r="D886" s="3" t="s">
        <v>1017</v>
      </c>
      <c r="E886" s="3">
        <v>5.70056000498E11</v>
      </c>
      <c r="F886" s="3" t="s">
        <v>2684</v>
      </c>
      <c r="G886" s="3" t="s">
        <v>599</v>
      </c>
      <c r="H886" s="3" t="s">
        <v>582</v>
      </c>
    </row>
    <row r="887" ht="15.75" customHeight="1">
      <c r="A887" s="3">
        <v>774.0</v>
      </c>
      <c r="B887" s="3" t="s">
        <v>1758</v>
      </c>
      <c r="C887" s="3" t="s">
        <v>1892</v>
      </c>
      <c r="D887" s="3" t="s">
        <v>2685</v>
      </c>
      <c r="E887" s="3">
        <v>5.70056000499E11</v>
      </c>
      <c r="F887" s="3" t="s">
        <v>2686</v>
      </c>
      <c r="G887" s="3" t="s">
        <v>581</v>
      </c>
      <c r="H887" s="3" t="s">
        <v>582</v>
      </c>
    </row>
    <row r="888" ht="15.75" customHeight="1">
      <c r="A888" s="3">
        <v>775.0</v>
      </c>
      <c r="B888" s="3" t="s">
        <v>2687</v>
      </c>
      <c r="C888" s="3" t="s">
        <v>2688</v>
      </c>
      <c r="D888" s="3" t="s">
        <v>2689</v>
      </c>
      <c r="E888" s="3">
        <v>5.700560005E11</v>
      </c>
      <c r="F888" s="3" t="s">
        <v>2470</v>
      </c>
      <c r="G888" s="3" t="s">
        <v>599</v>
      </c>
      <c r="H888" s="3" t="s">
        <v>582</v>
      </c>
    </row>
    <row r="889" ht="15.75" customHeight="1">
      <c r="A889" s="3">
        <v>776.0</v>
      </c>
      <c r="B889" s="3" t="s">
        <v>2690</v>
      </c>
      <c r="C889" s="3" t="s">
        <v>2347</v>
      </c>
      <c r="D889" s="3" t="s">
        <v>2691</v>
      </c>
      <c r="E889" s="3">
        <v>5.70056000503E11</v>
      </c>
      <c r="F889" s="3" t="s">
        <v>2692</v>
      </c>
      <c r="G889" s="3" t="s">
        <v>581</v>
      </c>
      <c r="H889" s="3" t="s">
        <v>582</v>
      </c>
    </row>
    <row r="890" ht="15.75" customHeight="1">
      <c r="A890" s="3">
        <v>777.0</v>
      </c>
      <c r="B890" s="3" t="s">
        <v>2693</v>
      </c>
      <c r="C890" s="3" t="s">
        <v>1402</v>
      </c>
      <c r="D890" s="3" t="s">
        <v>2252</v>
      </c>
      <c r="E890" s="3">
        <v>5.70056000506E11</v>
      </c>
      <c r="F890" s="3" t="s">
        <v>2694</v>
      </c>
      <c r="G890" s="3" t="s">
        <v>581</v>
      </c>
      <c r="H890" s="3" t="s">
        <v>582</v>
      </c>
    </row>
    <row r="891" ht="15.75" customHeight="1">
      <c r="A891" s="3">
        <v>778.0</v>
      </c>
      <c r="B891" s="3" t="s">
        <v>2695</v>
      </c>
      <c r="C891" s="3" t="s">
        <v>2696</v>
      </c>
      <c r="D891" s="3" t="s">
        <v>2697</v>
      </c>
      <c r="E891" s="3">
        <v>5.70056000367E11</v>
      </c>
      <c r="F891" s="3" t="s">
        <v>1352</v>
      </c>
      <c r="G891" s="3" t="s">
        <v>925</v>
      </c>
      <c r="H891" s="3" t="s">
        <v>582</v>
      </c>
    </row>
    <row r="892" ht="15.75" customHeight="1">
      <c r="A892" s="3">
        <v>779.0</v>
      </c>
      <c r="B892" s="3" t="s">
        <v>2698</v>
      </c>
      <c r="C892" s="3" t="s">
        <v>2699</v>
      </c>
      <c r="D892" s="3" t="s">
        <v>2270</v>
      </c>
      <c r="E892" s="3">
        <v>5.70056000407E11</v>
      </c>
      <c r="F892" s="3" t="s">
        <v>2700</v>
      </c>
      <c r="G892" s="3" t="s">
        <v>581</v>
      </c>
      <c r="H892" s="3" t="s">
        <v>582</v>
      </c>
    </row>
    <row r="893" ht="15.75" customHeight="1">
      <c r="A893" s="3">
        <v>780.0</v>
      </c>
      <c r="B893" s="3" t="s">
        <v>1758</v>
      </c>
      <c r="C893" s="3" t="s">
        <v>2701</v>
      </c>
      <c r="D893" s="3" t="s">
        <v>2702</v>
      </c>
      <c r="E893" s="3">
        <v>5.700562444634E12</v>
      </c>
      <c r="F893" s="3" t="s">
        <v>2703</v>
      </c>
      <c r="G893" s="3" t="s">
        <v>581</v>
      </c>
      <c r="H893" s="3" t="s">
        <v>2704</v>
      </c>
    </row>
    <row r="894" ht="15.75" customHeight="1">
      <c r="A894" s="3">
        <v>781.0</v>
      </c>
      <c r="B894" s="3" t="s">
        <v>2705</v>
      </c>
      <c r="C894" s="3" t="s">
        <v>2706</v>
      </c>
      <c r="D894" s="3" t="s">
        <v>2707</v>
      </c>
      <c r="E894" s="3">
        <v>5.70056000507E11</v>
      </c>
      <c r="F894" s="3" t="s">
        <v>2708</v>
      </c>
      <c r="G894" s="3" t="s">
        <v>1666</v>
      </c>
      <c r="H894" s="3" t="s">
        <v>582</v>
      </c>
    </row>
    <row r="895" ht="15.75" customHeight="1">
      <c r="A895" s="3">
        <v>782.0</v>
      </c>
      <c r="B895" s="3" t="s">
        <v>2709</v>
      </c>
      <c r="C895" s="3" t="s">
        <v>2710</v>
      </c>
      <c r="D895" s="3" t="s">
        <v>2711</v>
      </c>
      <c r="E895" s="3">
        <v>5.700562444636E12</v>
      </c>
      <c r="F895" s="3" t="s">
        <v>2599</v>
      </c>
      <c r="G895" s="3" t="s">
        <v>676</v>
      </c>
      <c r="H895" s="3" t="s">
        <v>2712</v>
      </c>
    </row>
    <row r="896" ht="15.75" customHeight="1">
      <c r="A896" s="3">
        <v>783.0</v>
      </c>
      <c r="B896" s="3" t="s">
        <v>2713</v>
      </c>
      <c r="C896" s="3" t="s">
        <v>2714</v>
      </c>
      <c r="D896" s="3" t="s">
        <v>2392</v>
      </c>
      <c r="E896" s="3">
        <v>5.700562444638E12</v>
      </c>
      <c r="F896" s="3" t="s">
        <v>2715</v>
      </c>
      <c r="G896" s="3" t="s">
        <v>823</v>
      </c>
      <c r="H896" s="3" t="s">
        <v>582</v>
      </c>
    </row>
    <row r="897" ht="15.75" customHeight="1">
      <c r="A897" s="3">
        <v>784.0</v>
      </c>
      <c r="B897" s="3" t="s">
        <v>2716</v>
      </c>
      <c r="C897" s="3" t="s">
        <v>2717</v>
      </c>
      <c r="D897" s="3" t="s">
        <v>2718</v>
      </c>
      <c r="E897" s="3">
        <v>5.70056244464E12</v>
      </c>
      <c r="F897" s="3" t="s">
        <v>2719</v>
      </c>
      <c r="G897" s="3" t="s">
        <v>676</v>
      </c>
      <c r="H897" s="3" t="s">
        <v>2720</v>
      </c>
    </row>
    <row r="898" ht="15.75" customHeight="1">
      <c r="A898" s="3">
        <v>785.0</v>
      </c>
      <c r="B898" s="3" t="s">
        <v>2721</v>
      </c>
      <c r="C898" s="3" t="s">
        <v>2722</v>
      </c>
      <c r="D898" s="3" t="s">
        <v>2723</v>
      </c>
      <c r="E898" s="3">
        <v>5.700562444641E12</v>
      </c>
      <c r="F898" s="3" t="s">
        <v>2724</v>
      </c>
      <c r="G898" s="3" t="s">
        <v>581</v>
      </c>
      <c r="H898" s="3" t="s">
        <v>2704</v>
      </c>
    </row>
    <row r="899" ht="15.75" customHeight="1">
      <c r="A899" s="3">
        <v>786.0</v>
      </c>
      <c r="B899" s="3" t="s">
        <v>2725</v>
      </c>
      <c r="C899" s="3" t="s">
        <v>2726</v>
      </c>
      <c r="D899" s="3" t="s">
        <v>2727</v>
      </c>
      <c r="E899" s="3">
        <v>5.700562444642E12</v>
      </c>
      <c r="F899" s="3" t="s">
        <v>2728</v>
      </c>
      <c r="G899" s="3" t="s">
        <v>608</v>
      </c>
      <c r="H899" s="3" t="s">
        <v>582</v>
      </c>
    </row>
    <row r="900" ht="15.75" customHeight="1">
      <c r="A900" s="3">
        <v>787.0</v>
      </c>
      <c r="B900" s="3" t="s">
        <v>2729</v>
      </c>
      <c r="C900" s="3" t="s">
        <v>2730</v>
      </c>
      <c r="D900" s="3" t="s">
        <v>2731</v>
      </c>
      <c r="E900" s="3">
        <v>5.700560000045E12</v>
      </c>
      <c r="F900" s="3" t="s">
        <v>2732</v>
      </c>
      <c r="G900" s="3" t="s">
        <v>599</v>
      </c>
      <c r="H900" s="3" t="s">
        <v>582</v>
      </c>
    </row>
    <row r="901" ht="15.75" customHeight="1">
      <c r="A901" s="3">
        <v>788.0</v>
      </c>
      <c r="B901" s="3" t="s">
        <v>2733</v>
      </c>
      <c r="C901" s="3" t="s">
        <v>2734</v>
      </c>
      <c r="D901" s="3" t="s">
        <v>2735</v>
      </c>
      <c r="E901" s="3">
        <v>5.7005600000509E13</v>
      </c>
      <c r="F901" s="3" t="s">
        <v>2736</v>
      </c>
      <c r="G901" s="3" t="s">
        <v>599</v>
      </c>
      <c r="H901" s="3" t="s">
        <v>2737</v>
      </c>
    </row>
    <row r="902" ht="15.75" customHeight="1">
      <c r="A902" s="3">
        <v>789.0</v>
      </c>
      <c r="B902" s="3" t="s">
        <v>2738</v>
      </c>
      <c r="C902" s="3" t="s">
        <v>2739</v>
      </c>
      <c r="D902" s="3" t="s">
        <v>2740</v>
      </c>
      <c r="E902" s="3">
        <v>5.70056000051E12</v>
      </c>
      <c r="F902" s="3" t="s">
        <v>2736</v>
      </c>
      <c r="G902" s="3" t="s">
        <v>599</v>
      </c>
      <c r="H902" s="3" t="s">
        <v>2741</v>
      </c>
    </row>
    <row r="903" ht="15.75" customHeight="1">
      <c r="A903" s="3">
        <v>790.0</v>
      </c>
      <c r="B903" s="3" t="s">
        <v>2742</v>
      </c>
      <c r="C903" s="3" t="s">
        <v>2743</v>
      </c>
      <c r="D903" s="3" t="s">
        <v>2744</v>
      </c>
      <c r="E903" s="3">
        <v>5.700565000512E12</v>
      </c>
      <c r="F903" s="3" t="s">
        <v>2745</v>
      </c>
      <c r="G903" s="3" t="s">
        <v>581</v>
      </c>
      <c r="H903" s="3" t="s">
        <v>2746</v>
      </c>
    </row>
    <row r="904" ht="15.75" customHeight="1">
      <c r="A904" s="3">
        <v>791.0</v>
      </c>
      <c r="B904" s="3" t="s">
        <v>2747</v>
      </c>
      <c r="C904" s="3" t="s">
        <v>2748</v>
      </c>
      <c r="D904" s="3" t="s">
        <v>1860</v>
      </c>
      <c r="E904" s="3">
        <v>5.700565000513E12</v>
      </c>
      <c r="F904" s="3" t="s">
        <v>2736</v>
      </c>
      <c r="G904" s="3" t="s">
        <v>599</v>
      </c>
      <c r="H904" s="3" t="s">
        <v>2749</v>
      </c>
    </row>
    <row r="905" ht="15.75" customHeight="1">
      <c r="A905" s="3">
        <v>792.0</v>
      </c>
      <c r="B905" s="3" t="s">
        <v>2750</v>
      </c>
      <c r="C905" s="3" t="s">
        <v>2751</v>
      </c>
      <c r="D905" s="3" t="s">
        <v>2097</v>
      </c>
      <c r="E905" s="3">
        <v>5.700565000516E12</v>
      </c>
      <c r="F905" s="3" t="s">
        <v>2736</v>
      </c>
      <c r="G905" s="3" t="s">
        <v>599</v>
      </c>
      <c r="H905" s="3" t="s">
        <v>2752</v>
      </c>
    </row>
    <row r="906" ht="15.75" customHeight="1">
      <c r="A906" s="3">
        <v>793.0</v>
      </c>
      <c r="B906" s="3" t="s">
        <v>2753</v>
      </c>
      <c r="C906" s="3" t="s">
        <v>2754</v>
      </c>
      <c r="D906" s="3" t="s">
        <v>2755</v>
      </c>
      <c r="E906" s="3">
        <v>5.700565000518E12</v>
      </c>
      <c r="F906" s="3" t="s">
        <v>2756</v>
      </c>
      <c r="G906" s="3" t="s">
        <v>599</v>
      </c>
      <c r="H906" s="3" t="s">
        <v>2757</v>
      </c>
    </row>
    <row r="907" ht="15.75" customHeight="1">
      <c r="A907" s="3">
        <v>794.0</v>
      </c>
      <c r="B907" s="3" t="s">
        <v>2758</v>
      </c>
      <c r="C907" s="3" t="s">
        <v>2759</v>
      </c>
      <c r="D907" s="3" t="s">
        <v>2760</v>
      </c>
      <c r="E907" s="3">
        <v>5.700565000521E12</v>
      </c>
      <c r="F907" s="3" t="s">
        <v>2761</v>
      </c>
      <c r="G907" s="3" t="s">
        <v>599</v>
      </c>
      <c r="H907" s="3" t="s">
        <v>582</v>
      </c>
    </row>
    <row r="908" ht="15.75" customHeight="1">
      <c r="A908" s="3">
        <v>795.0</v>
      </c>
      <c r="B908" s="3" t="s">
        <v>2762</v>
      </c>
      <c r="C908" s="3" t="s">
        <v>2763</v>
      </c>
      <c r="D908" s="3" t="s">
        <v>2764</v>
      </c>
      <c r="E908" s="3">
        <v>5.700565000523E12</v>
      </c>
      <c r="F908" s="3" t="s">
        <v>2736</v>
      </c>
      <c r="G908" s="3" t="s">
        <v>599</v>
      </c>
      <c r="H908" s="3" t="s">
        <v>582</v>
      </c>
    </row>
    <row r="909" ht="15.75" customHeight="1">
      <c r="A909" s="3">
        <v>796.0</v>
      </c>
      <c r="B909" s="3" t="s">
        <v>2765</v>
      </c>
      <c r="C909" s="3" t="s">
        <v>2751</v>
      </c>
      <c r="D909" s="3" t="s">
        <v>2766</v>
      </c>
      <c r="E909" s="3">
        <v>5.700565000531E12</v>
      </c>
      <c r="F909" s="3" t="s">
        <v>2767</v>
      </c>
      <c r="G909" s="3" t="s">
        <v>599</v>
      </c>
      <c r="H909" s="3" t="s">
        <v>582</v>
      </c>
    </row>
    <row r="910" ht="15.75" customHeight="1">
      <c r="A910" s="3">
        <v>797.0</v>
      </c>
      <c r="B910" s="3" t="s">
        <v>2768</v>
      </c>
      <c r="C910" s="3" t="s">
        <v>2769</v>
      </c>
      <c r="D910" s="3" t="s">
        <v>2770</v>
      </c>
      <c r="E910" s="3">
        <v>5.700565000532E12</v>
      </c>
      <c r="F910" s="3" t="s">
        <v>2771</v>
      </c>
      <c r="G910" s="3" t="s">
        <v>581</v>
      </c>
      <c r="H910" s="3" t="s">
        <v>2772</v>
      </c>
    </row>
    <row r="911" ht="15.75" customHeight="1">
      <c r="A911" s="3">
        <v>798.0</v>
      </c>
      <c r="B911" s="3" t="s">
        <v>2773</v>
      </c>
      <c r="C911" s="3" t="s">
        <v>2133</v>
      </c>
      <c r="D911" s="3" t="s">
        <v>2774</v>
      </c>
      <c r="E911" s="3">
        <v>5.700565000535E12</v>
      </c>
      <c r="F911" s="3" t="s">
        <v>2775</v>
      </c>
      <c r="G911" s="3" t="s">
        <v>599</v>
      </c>
      <c r="H911" s="3" t="s">
        <v>582</v>
      </c>
    </row>
    <row r="912" ht="15.75" customHeight="1">
      <c r="A912" s="3">
        <v>799.0</v>
      </c>
      <c r="B912" s="3" t="s">
        <v>2776</v>
      </c>
      <c r="C912" s="3" t="s">
        <v>2777</v>
      </c>
      <c r="D912" s="3" t="s">
        <v>2778</v>
      </c>
      <c r="E912" s="3">
        <v>5.700565000536E12</v>
      </c>
      <c r="F912" s="3" t="s">
        <v>2779</v>
      </c>
      <c r="G912" s="3" t="s">
        <v>599</v>
      </c>
      <c r="H912" s="3" t="s">
        <v>2780</v>
      </c>
    </row>
    <row r="913" ht="15.75" customHeight="1">
      <c r="A913" s="3">
        <v>800.0</v>
      </c>
      <c r="B913" s="3" t="s">
        <v>2781</v>
      </c>
      <c r="C913" s="3" t="s">
        <v>631</v>
      </c>
      <c r="D913" s="3" t="s">
        <v>2782</v>
      </c>
      <c r="E913" s="3">
        <v>5.700565000537E12</v>
      </c>
      <c r="F913" s="3" t="s">
        <v>2783</v>
      </c>
      <c r="G913" s="3" t="s">
        <v>599</v>
      </c>
      <c r="H913" s="3" t="s">
        <v>2784</v>
      </c>
    </row>
    <row r="914" ht="15.75" customHeight="1">
      <c r="A914" s="3">
        <v>801.0</v>
      </c>
      <c r="B914" s="3" t="s">
        <v>2785</v>
      </c>
      <c r="C914" s="3" t="s">
        <v>2786</v>
      </c>
      <c r="D914" s="3" t="s">
        <v>2787</v>
      </c>
      <c r="E914" s="3">
        <v>5.700565000542E12</v>
      </c>
      <c r="F914" s="3" t="s">
        <v>2788</v>
      </c>
      <c r="G914" s="3" t="s">
        <v>599</v>
      </c>
      <c r="H914" s="3" t="s">
        <v>2789</v>
      </c>
    </row>
    <row r="915" ht="15.75" customHeight="1">
      <c r="A915" s="3">
        <v>802.0</v>
      </c>
      <c r="B915" s="3" t="s">
        <v>2790</v>
      </c>
      <c r="C915" s="3" t="s">
        <v>2791</v>
      </c>
      <c r="D915" s="3" t="s">
        <v>2792</v>
      </c>
      <c r="E915" s="3">
        <v>5.700565000545E12</v>
      </c>
      <c r="F915" s="3" t="s">
        <v>2793</v>
      </c>
      <c r="G915" s="3" t="s">
        <v>581</v>
      </c>
      <c r="H915" s="3" t="s">
        <v>2794</v>
      </c>
    </row>
    <row r="916" ht="15.75" customHeight="1">
      <c r="A916" s="3">
        <v>803.0</v>
      </c>
      <c r="B916" s="3" t="s">
        <v>2795</v>
      </c>
      <c r="C916" s="3" t="s">
        <v>2796</v>
      </c>
      <c r="D916" s="3" t="s">
        <v>2797</v>
      </c>
      <c r="E916" s="3">
        <v>5.700565000546E12</v>
      </c>
      <c r="F916" s="3" t="s">
        <v>2798</v>
      </c>
      <c r="G916" s="3" t="s">
        <v>599</v>
      </c>
      <c r="H916" s="3" t="s">
        <v>2799</v>
      </c>
    </row>
    <row r="917" ht="15.75" customHeight="1">
      <c r="A917" s="3">
        <v>804.0</v>
      </c>
      <c r="B917" s="3" t="s">
        <v>2800</v>
      </c>
      <c r="C917" s="3" t="s">
        <v>2801</v>
      </c>
      <c r="D917" s="3" t="s">
        <v>726</v>
      </c>
      <c r="E917" s="3">
        <v>5.700565444645E12</v>
      </c>
      <c r="F917" s="3" t="s">
        <v>2802</v>
      </c>
      <c r="G917" s="3" t="s">
        <v>676</v>
      </c>
      <c r="H917" s="3" t="s">
        <v>582</v>
      </c>
    </row>
    <row r="918" ht="15.75" customHeight="1">
      <c r="A918" s="3">
        <v>805.0</v>
      </c>
      <c r="B918" s="3" t="s">
        <v>2803</v>
      </c>
      <c r="C918" s="3" t="s">
        <v>2804</v>
      </c>
      <c r="D918" s="3" t="s">
        <v>1880</v>
      </c>
      <c r="E918" s="3">
        <v>5.700565444647E12</v>
      </c>
      <c r="F918" s="3" t="s">
        <v>2805</v>
      </c>
      <c r="G918" s="3" t="s">
        <v>599</v>
      </c>
      <c r="H918" s="3" t="s">
        <v>582</v>
      </c>
    </row>
    <row r="919" ht="15.75" customHeight="1">
      <c r="A919" s="3">
        <v>806.0</v>
      </c>
      <c r="B919" s="3" t="s">
        <v>2806</v>
      </c>
      <c r="C919" s="3" t="s">
        <v>2807</v>
      </c>
      <c r="D919" s="3" t="s">
        <v>2808</v>
      </c>
      <c r="E919" s="3">
        <v>5.700565444648E12</v>
      </c>
      <c r="F919" s="3" t="s">
        <v>2809</v>
      </c>
      <c r="G919" s="3" t="s">
        <v>676</v>
      </c>
      <c r="H919" s="3" t="s">
        <v>582</v>
      </c>
    </row>
    <row r="920" ht="15.75" customHeight="1">
      <c r="A920" s="4">
        <v>807.0</v>
      </c>
      <c r="B920" s="4" t="s">
        <v>2810</v>
      </c>
      <c r="C920" s="4" t="s">
        <v>2811</v>
      </c>
      <c r="D920" s="3"/>
      <c r="E920" s="3"/>
      <c r="F920" s="3"/>
      <c r="G920" s="3"/>
      <c r="H920" s="3"/>
    </row>
    <row r="921" ht="15.75" customHeight="1">
      <c r="A921" s="3">
        <v>808.0</v>
      </c>
      <c r="B921" s="3" t="s">
        <v>2812</v>
      </c>
      <c r="C921" s="3" t="s">
        <v>2813</v>
      </c>
      <c r="D921" s="3" t="s">
        <v>2814</v>
      </c>
      <c r="E921" s="3">
        <v>5.700565444651E12</v>
      </c>
      <c r="F921" s="3" t="s">
        <v>2815</v>
      </c>
      <c r="G921" s="3" t="s">
        <v>608</v>
      </c>
      <c r="H921" s="3" t="s">
        <v>582</v>
      </c>
    </row>
    <row r="922" ht="15.75" customHeight="1">
      <c r="A922" s="3">
        <v>809.0</v>
      </c>
      <c r="B922" s="3" t="s">
        <v>2816</v>
      </c>
      <c r="C922" s="3" t="s">
        <v>2817</v>
      </c>
      <c r="D922" s="3" t="s">
        <v>2818</v>
      </c>
      <c r="E922" s="3">
        <v>5.700565444652E12</v>
      </c>
      <c r="F922" s="3" t="s">
        <v>2819</v>
      </c>
      <c r="G922" s="3" t="s">
        <v>2237</v>
      </c>
      <c r="H922" s="3" t="s">
        <v>582</v>
      </c>
    </row>
    <row r="923" ht="15.75" customHeight="1">
      <c r="A923" s="3">
        <v>810.0</v>
      </c>
      <c r="B923" s="3" t="s">
        <v>2150</v>
      </c>
      <c r="C923" s="3" t="s">
        <v>2200</v>
      </c>
      <c r="D923" s="3" t="s">
        <v>2820</v>
      </c>
      <c r="E923" s="3">
        <v>5.700565444653E12</v>
      </c>
      <c r="F923" s="3" t="s">
        <v>2821</v>
      </c>
      <c r="G923" s="3" t="s">
        <v>676</v>
      </c>
      <c r="H923" s="3" t="s">
        <v>582</v>
      </c>
    </row>
    <row r="924" ht="15.75" customHeight="1">
      <c r="A924" s="3">
        <v>811.0</v>
      </c>
      <c r="B924" s="3" t="s">
        <v>2822</v>
      </c>
      <c r="C924" s="3" t="s">
        <v>2823</v>
      </c>
      <c r="D924" s="3" t="s">
        <v>2824</v>
      </c>
      <c r="E924" s="3">
        <v>5.700565444654E12</v>
      </c>
      <c r="F924" s="3" t="s">
        <v>2825</v>
      </c>
      <c r="G924" s="3" t="s">
        <v>599</v>
      </c>
      <c r="H924" s="3" t="s">
        <v>582</v>
      </c>
    </row>
    <row r="925" ht="15.75" customHeight="1">
      <c r="A925" s="3">
        <v>812.0</v>
      </c>
      <c r="B925" s="3" t="s">
        <v>2826</v>
      </c>
      <c r="C925" s="3" t="s">
        <v>1082</v>
      </c>
      <c r="D925" s="3" t="s">
        <v>2827</v>
      </c>
      <c r="E925" s="3">
        <v>5.700565444655E12</v>
      </c>
      <c r="F925" s="3" t="s">
        <v>2463</v>
      </c>
      <c r="G925" s="3" t="s">
        <v>676</v>
      </c>
      <c r="H925" s="3" t="s">
        <v>2828</v>
      </c>
    </row>
    <row r="926" ht="15.75" customHeight="1">
      <c r="A926" s="3">
        <v>813.0</v>
      </c>
      <c r="B926" s="3" t="s">
        <v>2829</v>
      </c>
      <c r="C926" s="3" t="s">
        <v>690</v>
      </c>
      <c r="D926" s="3" t="s">
        <v>2830</v>
      </c>
      <c r="E926" s="3">
        <v>5.700565444656E12</v>
      </c>
      <c r="F926" s="3" t="s">
        <v>2831</v>
      </c>
      <c r="G926" s="3" t="s">
        <v>581</v>
      </c>
      <c r="H926" s="3" t="s">
        <v>582</v>
      </c>
    </row>
    <row r="927" ht="15.75" customHeight="1">
      <c r="A927" s="3">
        <v>814.0</v>
      </c>
      <c r="B927" s="3" t="s">
        <v>2832</v>
      </c>
      <c r="C927" s="3" t="s">
        <v>585</v>
      </c>
      <c r="D927" s="3" t="s">
        <v>2833</v>
      </c>
      <c r="E927" s="3">
        <v>5.700565444657E12</v>
      </c>
      <c r="F927" s="3" t="s">
        <v>2834</v>
      </c>
      <c r="G927" s="3" t="s">
        <v>599</v>
      </c>
      <c r="H927" s="3" t="s">
        <v>2835</v>
      </c>
    </row>
    <row r="928" ht="15.75" customHeight="1">
      <c r="A928" s="3">
        <v>815.0</v>
      </c>
      <c r="B928" s="3" t="s">
        <v>2758</v>
      </c>
      <c r="C928" s="3" t="s">
        <v>2836</v>
      </c>
      <c r="D928" s="3" t="s">
        <v>2837</v>
      </c>
      <c r="E928" s="3">
        <v>5.700565444658E12</v>
      </c>
      <c r="F928" s="3" t="s">
        <v>2838</v>
      </c>
      <c r="G928" s="3" t="s">
        <v>676</v>
      </c>
      <c r="H928" s="3" t="s">
        <v>582</v>
      </c>
    </row>
    <row r="929" ht="15.75" customHeight="1">
      <c r="A929" s="3">
        <v>816.0</v>
      </c>
      <c r="B929" s="3" t="s">
        <v>2839</v>
      </c>
      <c r="C929" s="3" t="s">
        <v>2840</v>
      </c>
      <c r="D929" s="3" t="s">
        <v>2841</v>
      </c>
      <c r="E929" s="3">
        <v>5.700565444659E12</v>
      </c>
      <c r="F929" s="3" t="s">
        <v>2842</v>
      </c>
      <c r="G929" s="3" t="s">
        <v>581</v>
      </c>
      <c r="H929" s="3" t="s">
        <v>2843</v>
      </c>
    </row>
    <row r="930" ht="15.75" customHeight="1">
      <c r="A930" s="3">
        <v>817.0</v>
      </c>
      <c r="B930" s="3" t="s">
        <v>2844</v>
      </c>
      <c r="C930" s="3" t="s">
        <v>2845</v>
      </c>
      <c r="D930" s="3" t="s">
        <v>2846</v>
      </c>
      <c r="E930" s="3">
        <v>5.70056544466E12</v>
      </c>
      <c r="F930" s="3" t="s">
        <v>2847</v>
      </c>
      <c r="G930" s="3" t="s">
        <v>581</v>
      </c>
      <c r="H930" s="3" t="s">
        <v>2848</v>
      </c>
    </row>
    <row r="931" ht="15.75" customHeight="1">
      <c r="A931" s="3">
        <v>818.0</v>
      </c>
      <c r="B931" s="3" t="s">
        <v>2849</v>
      </c>
      <c r="C931" s="3" t="s">
        <v>650</v>
      </c>
      <c r="D931" s="3" t="s">
        <v>2850</v>
      </c>
      <c r="E931" s="3">
        <v>5.700565444662E12</v>
      </c>
      <c r="F931" s="3" t="s">
        <v>2851</v>
      </c>
      <c r="G931" s="3" t="s">
        <v>581</v>
      </c>
      <c r="H931" s="3" t="s">
        <v>2852</v>
      </c>
    </row>
    <row r="932" ht="15.75" customHeight="1">
      <c r="A932" s="3">
        <v>819.0</v>
      </c>
      <c r="B932" s="3" t="s">
        <v>2853</v>
      </c>
      <c r="C932" s="3" t="s">
        <v>2854</v>
      </c>
      <c r="D932" s="3" t="s">
        <v>2855</v>
      </c>
      <c r="E932" s="3">
        <v>5.700565444663E12</v>
      </c>
      <c r="F932" s="3" t="s">
        <v>2463</v>
      </c>
      <c r="G932" s="3" t="s">
        <v>581</v>
      </c>
      <c r="H932" s="3" t="s">
        <v>582</v>
      </c>
    </row>
    <row r="933" ht="15.75" customHeight="1">
      <c r="A933" s="3">
        <v>820.0</v>
      </c>
      <c r="B933" s="3" t="s">
        <v>2856</v>
      </c>
      <c r="C933" s="3" t="s">
        <v>2777</v>
      </c>
      <c r="D933" s="3" t="s">
        <v>2857</v>
      </c>
      <c r="E933" s="3">
        <v>5.700565444664E12</v>
      </c>
      <c r="F933" s="3" t="s">
        <v>2858</v>
      </c>
      <c r="G933" s="3" t="s">
        <v>599</v>
      </c>
      <c r="H933" s="3" t="s">
        <v>582</v>
      </c>
    </row>
    <row r="934" ht="15.75" customHeight="1">
      <c r="A934" s="3">
        <v>821.0</v>
      </c>
      <c r="B934" s="3" t="s">
        <v>2859</v>
      </c>
      <c r="C934" s="3" t="s">
        <v>2860</v>
      </c>
      <c r="D934" s="3" t="s">
        <v>2861</v>
      </c>
      <c r="E934" s="3">
        <v>5.700565444665E12</v>
      </c>
      <c r="F934" s="3" t="s">
        <v>2382</v>
      </c>
      <c r="G934" s="3" t="s">
        <v>581</v>
      </c>
      <c r="H934" s="3" t="s">
        <v>2862</v>
      </c>
    </row>
    <row r="935" ht="15.75" customHeight="1">
      <c r="A935" s="3">
        <v>822.0</v>
      </c>
      <c r="B935" s="3" t="s">
        <v>2758</v>
      </c>
      <c r="C935" s="3" t="s">
        <v>2863</v>
      </c>
      <c r="D935" s="3" t="s">
        <v>2864</v>
      </c>
      <c r="E935" s="3">
        <v>5.700565444667E12</v>
      </c>
      <c r="F935" s="3" t="s">
        <v>2578</v>
      </c>
      <c r="G935" s="3" t="s">
        <v>581</v>
      </c>
      <c r="H935" s="3" t="s">
        <v>2865</v>
      </c>
    </row>
    <row r="936" ht="15.75" customHeight="1">
      <c r="A936" s="3">
        <v>823.0</v>
      </c>
      <c r="B936" s="3" t="s">
        <v>2866</v>
      </c>
      <c r="C936" s="3" t="s">
        <v>712</v>
      </c>
      <c r="D936" s="3" t="s">
        <v>2867</v>
      </c>
      <c r="E936" s="3">
        <v>5.70056544467E12</v>
      </c>
      <c r="F936" s="3" t="s">
        <v>2868</v>
      </c>
      <c r="G936" s="3" t="s">
        <v>581</v>
      </c>
      <c r="H936" s="3" t="s">
        <v>582</v>
      </c>
    </row>
    <row r="937" ht="15.75" customHeight="1">
      <c r="A937" s="3">
        <v>824.0</v>
      </c>
      <c r="B937" s="3" t="s">
        <v>2869</v>
      </c>
      <c r="C937" s="3" t="s">
        <v>2870</v>
      </c>
      <c r="D937" s="3" t="s">
        <v>2871</v>
      </c>
      <c r="E937" s="3">
        <v>5.700565444674E12</v>
      </c>
      <c r="F937" s="3" t="s">
        <v>2872</v>
      </c>
      <c r="G937" s="3" t="s">
        <v>581</v>
      </c>
      <c r="H937" s="3" t="s">
        <v>2873</v>
      </c>
    </row>
    <row r="938" ht="15.75" customHeight="1">
      <c r="A938" s="3">
        <v>825.0</v>
      </c>
      <c r="B938" s="3" t="s">
        <v>2874</v>
      </c>
      <c r="C938" s="3" t="s">
        <v>2875</v>
      </c>
      <c r="D938" s="3" t="s">
        <v>2876</v>
      </c>
      <c r="E938" s="3">
        <v>5.700565444676E12</v>
      </c>
      <c r="F938" s="3" t="s">
        <v>2877</v>
      </c>
      <c r="G938" s="3" t="s">
        <v>2265</v>
      </c>
      <c r="H938" s="3" t="s">
        <v>2878</v>
      </c>
    </row>
    <row r="939" ht="15.75" customHeight="1">
      <c r="A939" s="3">
        <v>826.0</v>
      </c>
      <c r="B939" s="3" t="s">
        <v>2777</v>
      </c>
      <c r="C939" s="3" t="s">
        <v>632</v>
      </c>
      <c r="D939" s="3" t="s">
        <v>674</v>
      </c>
      <c r="E939" s="3">
        <v>5.700565444677E12</v>
      </c>
      <c r="F939" s="3" t="s">
        <v>2879</v>
      </c>
      <c r="G939" s="3" t="s">
        <v>676</v>
      </c>
      <c r="H939" s="3" t="s">
        <v>582</v>
      </c>
    </row>
    <row r="940" ht="15.75" customHeight="1">
      <c r="A940" s="3">
        <v>827.0</v>
      </c>
      <c r="B940" s="3" t="s">
        <v>2880</v>
      </c>
      <c r="C940" s="3" t="s">
        <v>704</v>
      </c>
      <c r="D940" s="3" t="s">
        <v>2881</v>
      </c>
      <c r="E940" s="3">
        <v>5.700565444679E12</v>
      </c>
      <c r="F940" s="3" t="s">
        <v>2463</v>
      </c>
      <c r="G940" s="3" t="s">
        <v>599</v>
      </c>
      <c r="H940" s="3" t="s">
        <v>582</v>
      </c>
    </row>
    <row r="941" ht="15.75" customHeight="1">
      <c r="A941" s="3">
        <v>828.0</v>
      </c>
      <c r="B941" s="3" t="s">
        <v>2882</v>
      </c>
      <c r="C941" s="3" t="s">
        <v>2883</v>
      </c>
      <c r="D941" s="3" t="s">
        <v>2207</v>
      </c>
      <c r="E941" s="3">
        <v>5.700565444684E12</v>
      </c>
      <c r="F941" s="3" t="s">
        <v>2884</v>
      </c>
      <c r="G941" s="3" t="s">
        <v>581</v>
      </c>
      <c r="H941" s="3" t="s">
        <v>2885</v>
      </c>
    </row>
    <row r="942" ht="15.75" customHeight="1">
      <c r="A942" s="3">
        <v>829.0</v>
      </c>
      <c r="B942" s="3" t="s">
        <v>2886</v>
      </c>
      <c r="C942" s="3" t="s">
        <v>2875</v>
      </c>
      <c r="D942" s="3" t="s">
        <v>2887</v>
      </c>
      <c r="E942" s="3">
        <v>5.700565444685E12</v>
      </c>
      <c r="F942" s="3" t="s">
        <v>2888</v>
      </c>
      <c r="G942" s="3" t="s">
        <v>2237</v>
      </c>
      <c r="H942" s="3" t="s">
        <v>582</v>
      </c>
    </row>
    <row r="943" ht="15.75" customHeight="1">
      <c r="A943" s="3">
        <v>830.0</v>
      </c>
      <c r="B943" s="3" t="s">
        <v>2889</v>
      </c>
      <c r="C943" s="3" t="s">
        <v>2890</v>
      </c>
      <c r="D943" s="3" t="s">
        <v>2891</v>
      </c>
      <c r="E943" s="3">
        <v>5.700565444686E12</v>
      </c>
      <c r="F943" s="3" t="s">
        <v>2599</v>
      </c>
      <c r="G943" s="3" t="s">
        <v>581</v>
      </c>
      <c r="H943" s="3" t="s">
        <v>582</v>
      </c>
    </row>
    <row r="944" ht="15.75" customHeight="1">
      <c r="A944" s="3">
        <v>831.0</v>
      </c>
      <c r="B944" s="3" t="s">
        <v>2892</v>
      </c>
      <c r="C944" s="3" t="s">
        <v>776</v>
      </c>
      <c r="D944" s="3" t="s">
        <v>2893</v>
      </c>
      <c r="E944" s="3">
        <v>5.700565444687E12</v>
      </c>
      <c r="F944" s="3" t="s">
        <v>2894</v>
      </c>
      <c r="G944" s="3" t="s">
        <v>2265</v>
      </c>
      <c r="H944" s="3" t="s">
        <v>582</v>
      </c>
    </row>
    <row r="945" ht="15.75" customHeight="1">
      <c r="A945" s="3">
        <v>832.0</v>
      </c>
      <c r="B945" s="3" t="s">
        <v>2895</v>
      </c>
      <c r="C945" s="3" t="s">
        <v>2763</v>
      </c>
      <c r="D945" s="3" t="s">
        <v>2881</v>
      </c>
      <c r="E945" s="3">
        <v>5.700565444688E12</v>
      </c>
      <c r="F945" s="3" t="s">
        <v>2896</v>
      </c>
      <c r="G945" s="3" t="s">
        <v>581</v>
      </c>
      <c r="H945" s="3" t="s">
        <v>582</v>
      </c>
    </row>
    <row r="946" ht="15.75" customHeight="1">
      <c r="A946" s="3">
        <v>833.0</v>
      </c>
      <c r="B946" s="3" t="s">
        <v>2897</v>
      </c>
      <c r="C946" s="3" t="s">
        <v>2898</v>
      </c>
      <c r="D946" s="3" t="s">
        <v>2899</v>
      </c>
      <c r="E946" s="3">
        <v>5.700565444689E12</v>
      </c>
      <c r="F946" s="3" t="s">
        <v>2900</v>
      </c>
      <c r="G946" s="3" t="s">
        <v>599</v>
      </c>
      <c r="H946" s="3" t="s">
        <v>582</v>
      </c>
    </row>
    <row r="947" ht="15.75" customHeight="1">
      <c r="A947" s="3">
        <v>834.0</v>
      </c>
      <c r="B947" s="3" t="s">
        <v>2901</v>
      </c>
      <c r="C947" s="3" t="s">
        <v>2902</v>
      </c>
      <c r="D947" s="3" t="s">
        <v>2903</v>
      </c>
      <c r="E947" s="3">
        <v>5.70056544469E12</v>
      </c>
      <c r="F947" s="3" t="s">
        <v>2904</v>
      </c>
      <c r="G947" s="3" t="s">
        <v>599</v>
      </c>
      <c r="H947" s="3" t="s">
        <v>582</v>
      </c>
    </row>
    <row r="948" ht="15.75" customHeight="1">
      <c r="A948" s="3">
        <v>835.0</v>
      </c>
      <c r="B948" s="3" t="s">
        <v>2905</v>
      </c>
      <c r="C948" s="3" t="s">
        <v>746</v>
      </c>
      <c r="D948" s="3" t="s">
        <v>2906</v>
      </c>
      <c r="E948" s="3">
        <v>5.700565444697E12</v>
      </c>
      <c r="F948" s="3" t="s">
        <v>2907</v>
      </c>
      <c r="G948" s="3" t="s">
        <v>581</v>
      </c>
      <c r="H948" s="3" t="s">
        <v>582</v>
      </c>
    </row>
    <row r="949" ht="15.75" customHeight="1">
      <c r="A949" s="3">
        <v>836.0</v>
      </c>
      <c r="B949" s="3" t="s">
        <v>2908</v>
      </c>
      <c r="C949" s="3" t="s">
        <v>761</v>
      </c>
      <c r="D949" s="3" t="s">
        <v>2909</v>
      </c>
      <c r="E949" s="3">
        <v>5.700565444698E12</v>
      </c>
      <c r="F949" s="3" t="s">
        <v>2910</v>
      </c>
      <c r="G949" s="3" t="s">
        <v>581</v>
      </c>
      <c r="H949" s="3" t="s">
        <v>582</v>
      </c>
    </row>
    <row r="950" ht="15.75" customHeight="1">
      <c r="A950" s="3">
        <v>837.0</v>
      </c>
      <c r="B950" s="3" t="s">
        <v>2911</v>
      </c>
      <c r="C950" s="3" t="s">
        <v>2912</v>
      </c>
      <c r="D950" s="3" t="s">
        <v>2913</v>
      </c>
      <c r="E950" s="3">
        <v>5.700565444699E12</v>
      </c>
      <c r="F950" s="3" t="s">
        <v>2463</v>
      </c>
      <c r="G950" s="3" t="s">
        <v>599</v>
      </c>
      <c r="H950" s="3" t="s">
        <v>2914</v>
      </c>
    </row>
    <row r="951" ht="15.75" customHeight="1">
      <c r="A951" s="3">
        <v>838.0</v>
      </c>
      <c r="B951" s="3" t="s">
        <v>2915</v>
      </c>
      <c r="C951" s="3" t="s">
        <v>2916</v>
      </c>
      <c r="D951" s="3" t="s">
        <v>2917</v>
      </c>
      <c r="E951" s="3">
        <v>5.7005654447E12</v>
      </c>
      <c r="F951" s="3" t="s">
        <v>2918</v>
      </c>
      <c r="G951" s="3" t="s">
        <v>581</v>
      </c>
      <c r="H951" s="3" t="s">
        <v>582</v>
      </c>
    </row>
    <row r="952" ht="15.75" customHeight="1">
      <c r="A952" s="3">
        <v>839.0</v>
      </c>
      <c r="B952" s="3" t="s">
        <v>2919</v>
      </c>
      <c r="C952" s="3" t="s">
        <v>794</v>
      </c>
      <c r="D952" s="3" t="s">
        <v>2920</v>
      </c>
      <c r="E952" s="3">
        <v>5.700565000514E12</v>
      </c>
      <c r="F952" s="3" t="s">
        <v>2921</v>
      </c>
      <c r="G952" s="3" t="s">
        <v>599</v>
      </c>
      <c r="H952" s="3" t="s">
        <v>582</v>
      </c>
    </row>
    <row r="953" ht="15.75" customHeight="1">
      <c r="A953" s="3">
        <v>840.0</v>
      </c>
      <c r="B953" s="3" t="s">
        <v>2922</v>
      </c>
      <c r="C953" s="3" t="s">
        <v>650</v>
      </c>
      <c r="D953" s="3" t="s">
        <v>2923</v>
      </c>
      <c r="E953" s="3">
        <v>5.700565000529E12</v>
      </c>
      <c r="F953" s="3" t="s">
        <v>2924</v>
      </c>
      <c r="G953" s="3" t="s">
        <v>581</v>
      </c>
      <c r="H953" s="3" t="s">
        <v>582</v>
      </c>
    </row>
    <row r="954" ht="15.75" customHeight="1">
      <c r="A954" s="3">
        <v>841.0</v>
      </c>
      <c r="B954" s="3" t="s">
        <v>2925</v>
      </c>
      <c r="C954" s="3" t="s">
        <v>2926</v>
      </c>
      <c r="D954" s="3" t="s">
        <v>2927</v>
      </c>
      <c r="E954" s="3">
        <v>5.700565000544E12</v>
      </c>
      <c r="F954" s="3" t="s">
        <v>2798</v>
      </c>
      <c r="G954" s="3" t="s">
        <v>581</v>
      </c>
      <c r="H954" s="3" t="s">
        <v>582</v>
      </c>
    </row>
    <row r="955" ht="15.75" customHeight="1">
      <c r="A955" s="3">
        <v>842.0</v>
      </c>
      <c r="B955" s="3" t="s">
        <v>2928</v>
      </c>
      <c r="C955" s="3" t="s">
        <v>1244</v>
      </c>
      <c r="D955" s="3" t="s">
        <v>2929</v>
      </c>
      <c r="E955" s="3">
        <v>5.700565444703E12</v>
      </c>
      <c r="F955" s="3" t="s">
        <v>2599</v>
      </c>
      <c r="G955" s="3" t="s">
        <v>599</v>
      </c>
      <c r="H955" s="3" t="s">
        <v>582</v>
      </c>
    </row>
    <row r="956" ht="15.75" customHeight="1">
      <c r="A956" s="3">
        <v>843.0</v>
      </c>
      <c r="B956" s="3" t="s">
        <v>2930</v>
      </c>
      <c r="C956" s="3" t="s">
        <v>2931</v>
      </c>
      <c r="D956" s="3" t="s">
        <v>2932</v>
      </c>
      <c r="E956" s="3">
        <v>5.700565444708E12</v>
      </c>
      <c r="F956" s="3" t="s">
        <v>2515</v>
      </c>
      <c r="G956" s="3" t="s">
        <v>676</v>
      </c>
      <c r="H956" s="3" t="s">
        <v>582</v>
      </c>
    </row>
    <row r="957" ht="15.75" customHeight="1">
      <c r="A957" s="3">
        <v>844.0</v>
      </c>
      <c r="B957" s="3" t="s">
        <v>2933</v>
      </c>
      <c r="C957" s="3" t="s">
        <v>2934</v>
      </c>
      <c r="D957" s="3" t="s">
        <v>2935</v>
      </c>
      <c r="E957" s="3">
        <v>5.700565000539E12</v>
      </c>
      <c r="F957" s="3" t="s">
        <v>2936</v>
      </c>
      <c r="G957" s="3" t="s">
        <v>676</v>
      </c>
      <c r="H957" s="3" t="s">
        <v>2937</v>
      </c>
    </row>
    <row r="958" ht="15.75" customHeight="1">
      <c r="A958" s="3">
        <v>845.0</v>
      </c>
      <c r="B958" s="3" t="s">
        <v>2938</v>
      </c>
      <c r="C958" s="3" t="s">
        <v>2939</v>
      </c>
      <c r="D958" s="3" t="s">
        <v>2940</v>
      </c>
      <c r="E958" s="3">
        <v>5.70056500054E12</v>
      </c>
      <c r="F958" s="3" t="s">
        <v>2941</v>
      </c>
      <c r="G958" s="3" t="s">
        <v>581</v>
      </c>
      <c r="H958" s="3" t="s">
        <v>582</v>
      </c>
    </row>
    <row r="959" ht="15.75" customHeight="1">
      <c r="A959" s="3">
        <v>846.0</v>
      </c>
      <c r="B959" s="3" t="s">
        <v>2781</v>
      </c>
      <c r="C959" s="3" t="s">
        <v>2942</v>
      </c>
      <c r="D959" s="3" t="s">
        <v>2069</v>
      </c>
      <c r="E959" s="3">
        <v>5.700565444711E12</v>
      </c>
      <c r="F959" s="3" t="s">
        <v>2943</v>
      </c>
      <c r="G959" s="3" t="s">
        <v>676</v>
      </c>
      <c r="H959" s="3" t="s">
        <v>582</v>
      </c>
    </row>
    <row r="960" ht="15.75" customHeight="1">
      <c r="A960" s="3">
        <v>847.0</v>
      </c>
      <c r="B960" s="3" t="s">
        <v>2944</v>
      </c>
      <c r="C960" s="3" t="s">
        <v>2945</v>
      </c>
      <c r="D960" s="3" t="s">
        <v>2946</v>
      </c>
      <c r="E960" s="3">
        <v>5.700565444712E12</v>
      </c>
      <c r="F960" s="3" t="s">
        <v>2947</v>
      </c>
      <c r="G960" s="3" t="s">
        <v>676</v>
      </c>
      <c r="H960" s="3" t="s">
        <v>582</v>
      </c>
    </row>
    <row r="961" ht="15.75" customHeight="1">
      <c r="A961" s="3">
        <v>848.0</v>
      </c>
      <c r="B961" s="3" t="s">
        <v>2948</v>
      </c>
      <c r="C961" s="3" t="s">
        <v>2949</v>
      </c>
      <c r="D961" s="3" t="s">
        <v>787</v>
      </c>
      <c r="E961" s="3">
        <v>5.700565444713E12</v>
      </c>
      <c r="F961" s="3" t="s">
        <v>2736</v>
      </c>
      <c r="G961" s="3" t="s">
        <v>676</v>
      </c>
      <c r="H961" s="3" t="s">
        <v>582</v>
      </c>
    </row>
    <row r="962" ht="15.75" customHeight="1">
      <c r="A962" s="3">
        <v>849.0</v>
      </c>
      <c r="B962" s="3" t="s">
        <v>2950</v>
      </c>
      <c r="C962" s="3" t="s">
        <v>678</v>
      </c>
      <c r="D962" s="3" t="s">
        <v>2951</v>
      </c>
      <c r="E962" s="3">
        <v>5.70056500053E12</v>
      </c>
      <c r="F962" s="3" t="s">
        <v>2952</v>
      </c>
      <c r="G962" s="3" t="s">
        <v>676</v>
      </c>
      <c r="H962" s="3" t="s">
        <v>2953</v>
      </c>
    </row>
    <row r="963" ht="15.75" customHeight="1">
      <c r="A963" s="3">
        <v>850.0</v>
      </c>
      <c r="B963" s="3" t="s">
        <v>2954</v>
      </c>
      <c r="C963" s="3" t="s">
        <v>2955</v>
      </c>
      <c r="D963" s="3" t="s">
        <v>618</v>
      </c>
      <c r="E963" s="3">
        <v>5.700565000541E12</v>
      </c>
      <c r="F963" s="3" t="s">
        <v>2956</v>
      </c>
      <c r="G963" s="3" t="s">
        <v>581</v>
      </c>
      <c r="H963" s="3" t="s">
        <v>582</v>
      </c>
    </row>
    <row r="964" ht="15.75" customHeight="1">
      <c r="A964" s="3">
        <v>851.0</v>
      </c>
      <c r="B964" s="3" t="s">
        <v>2957</v>
      </c>
      <c r="C964" s="3" t="s">
        <v>1679</v>
      </c>
      <c r="D964" s="3" t="s">
        <v>1902</v>
      </c>
      <c r="E964" s="3">
        <v>5.70056544472E12</v>
      </c>
      <c r="F964" s="3" t="s">
        <v>2958</v>
      </c>
      <c r="G964" s="3" t="s">
        <v>676</v>
      </c>
      <c r="H964" s="3" t="s">
        <v>2959</v>
      </c>
    </row>
    <row r="965" ht="15.75" customHeight="1">
      <c r="A965" s="3">
        <v>852.0</v>
      </c>
      <c r="B965" s="3" t="s">
        <v>650</v>
      </c>
      <c r="C965" s="3" t="s">
        <v>2960</v>
      </c>
      <c r="D965" s="3" t="s">
        <v>2961</v>
      </c>
      <c r="E965" s="3">
        <v>5.700565444721E12</v>
      </c>
      <c r="F965" s="3" t="s">
        <v>2962</v>
      </c>
      <c r="G965" s="3" t="s">
        <v>581</v>
      </c>
      <c r="H965" s="3" t="s">
        <v>2959</v>
      </c>
    </row>
    <row r="966" ht="15.75" customHeight="1">
      <c r="A966" s="3">
        <v>853.0</v>
      </c>
      <c r="B966" s="3" t="s">
        <v>2963</v>
      </c>
      <c r="C966" s="3" t="s">
        <v>2964</v>
      </c>
      <c r="D966" s="3" t="s">
        <v>2923</v>
      </c>
      <c r="E966" s="3">
        <v>5.700565000543E12</v>
      </c>
      <c r="F966" s="3" t="s">
        <v>2965</v>
      </c>
      <c r="G966" s="3" t="s">
        <v>823</v>
      </c>
      <c r="H966" s="3" t="s">
        <v>2835</v>
      </c>
    </row>
    <row r="967" ht="15.75" customHeight="1">
      <c r="A967" s="3">
        <v>854.0</v>
      </c>
      <c r="B967" s="3" t="s">
        <v>616</v>
      </c>
      <c r="C967" s="3" t="s">
        <v>2966</v>
      </c>
      <c r="D967" s="3" t="s">
        <v>2967</v>
      </c>
      <c r="E967" s="3">
        <v>5.700565444733E12</v>
      </c>
      <c r="F967" s="3" t="s">
        <v>2968</v>
      </c>
      <c r="G967" s="3" t="s">
        <v>676</v>
      </c>
      <c r="H967" s="3" t="s">
        <v>2969</v>
      </c>
    </row>
    <row r="968" ht="15.75" customHeight="1">
      <c r="A968" s="3">
        <v>855.0</v>
      </c>
      <c r="B968" s="3" t="s">
        <v>2970</v>
      </c>
      <c r="C968" s="3" t="s">
        <v>2971</v>
      </c>
      <c r="D968" s="3" t="s">
        <v>2972</v>
      </c>
      <c r="E968" s="3">
        <v>5.700565444734E12</v>
      </c>
      <c r="F968" s="3" t="s">
        <v>2973</v>
      </c>
      <c r="G968" s="3" t="s">
        <v>676</v>
      </c>
      <c r="H968" s="3" t="s">
        <v>2974</v>
      </c>
    </row>
    <row r="969" ht="15.75" customHeight="1">
      <c r="A969" s="3">
        <v>856.0</v>
      </c>
      <c r="B969" s="3" t="s">
        <v>2975</v>
      </c>
      <c r="C969" s="3" t="s">
        <v>794</v>
      </c>
      <c r="D969" s="3" t="s">
        <v>2976</v>
      </c>
      <c r="E969" s="3">
        <v>5.700565444736E12</v>
      </c>
      <c r="F969" s="3" t="s">
        <v>2977</v>
      </c>
      <c r="G969" s="3" t="s">
        <v>581</v>
      </c>
      <c r="H969" s="3" t="s">
        <v>582</v>
      </c>
    </row>
    <row r="970" ht="15.75" customHeight="1">
      <c r="A970" s="3">
        <v>857.0</v>
      </c>
      <c r="B970" s="3" t="s">
        <v>2978</v>
      </c>
      <c r="C970" s="3" t="s">
        <v>2979</v>
      </c>
      <c r="D970" s="3" t="s">
        <v>733</v>
      </c>
      <c r="E970" s="3">
        <v>5.70056544474E12</v>
      </c>
      <c r="F970" s="3" t="s">
        <v>2463</v>
      </c>
      <c r="G970" s="3" t="s">
        <v>581</v>
      </c>
      <c r="H970" s="3" t="s">
        <v>582</v>
      </c>
    </row>
    <row r="971" ht="15.75" customHeight="1">
      <c r="A971" s="3">
        <v>858.0</v>
      </c>
      <c r="B971" s="3" t="s">
        <v>2980</v>
      </c>
      <c r="C971" s="3" t="s">
        <v>2981</v>
      </c>
      <c r="D971" s="3" t="s">
        <v>2982</v>
      </c>
      <c r="E971" s="3">
        <v>5.70056544473E12</v>
      </c>
      <c r="F971" s="3" t="s">
        <v>2983</v>
      </c>
      <c r="G971" s="3" t="s">
        <v>676</v>
      </c>
      <c r="H971" s="3" t="s">
        <v>582</v>
      </c>
    </row>
    <row r="972" ht="15.75" customHeight="1">
      <c r="A972" s="3">
        <v>859.0</v>
      </c>
      <c r="B972" s="3" t="s">
        <v>2984</v>
      </c>
      <c r="C972" s="3" t="s">
        <v>1399</v>
      </c>
      <c r="D972" s="3" t="s">
        <v>2985</v>
      </c>
      <c r="E972" s="3">
        <v>5.700565444741E12</v>
      </c>
      <c r="F972" s="3" t="s">
        <v>2986</v>
      </c>
      <c r="G972" s="3" t="s">
        <v>581</v>
      </c>
      <c r="H972" s="3" t="s">
        <v>582</v>
      </c>
    </row>
    <row r="973" ht="15.75" customHeight="1">
      <c r="A973" s="3">
        <v>860.0</v>
      </c>
      <c r="B973" s="3" t="s">
        <v>2987</v>
      </c>
      <c r="C973" s="3" t="s">
        <v>2988</v>
      </c>
      <c r="D973" s="3" t="s">
        <v>2864</v>
      </c>
      <c r="E973" s="3">
        <v>5.700565444743E12</v>
      </c>
      <c r="F973" s="3" t="s">
        <v>2463</v>
      </c>
      <c r="G973" s="3" t="s">
        <v>676</v>
      </c>
      <c r="H973" s="3" t="s">
        <v>2989</v>
      </c>
    </row>
    <row r="974" ht="15.75" customHeight="1">
      <c r="A974" s="3">
        <v>861.0</v>
      </c>
      <c r="B974" s="3" t="s">
        <v>2990</v>
      </c>
      <c r="C974" s="3" t="s">
        <v>2991</v>
      </c>
      <c r="D974" s="3" t="s">
        <v>2992</v>
      </c>
      <c r="E974" s="3">
        <v>5.700565444744E12</v>
      </c>
      <c r="F974" s="3" t="s">
        <v>2993</v>
      </c>
      <c r="G974" s="3" t="s">
        <v>2237</v>
      </c>
      <c r="H974" s="3" t="s">
        <v>582</v>
      </c>
    </row>
    <row r="975" ht="15.75" customHeight="1">
      <c r="A975" s="3">
        <v>862.0</v>
      </c>
      <c r="B975" s="3" t="s">
        <v>1840</v>
      </c>
      <c r="C975" s="3" t="s">
        <v>1565</v>
      </c>
      <c r="D975" s="3" t="s">
        <v>2994</v>
      </c>
      <c r="E975" s="3">
        <v>5.70056584745E11</v>
      </c>
      <c r="F975" s="3" t="s">
        <v>2995</v>
      </c>
      <c r="G975" s="3" t="s">
        <v>676</v>
      </c>
      <c r="H975" s="3" t="s">
        <v>2996</v>
      </c>
    </row>
    <row r="976" ht="15.75" customHeight="1">
      <c r="A976" s="3">
        <v>863.0</v>
      </c>
      <c r="B976" s="3" t="s">
        <v>2997</v>
      </c>
      <c r="C976" s="3" t="s">
        <v>2998</v>
      </c>
      <c r="D976" s="3" t="s">
        <v>2999</v>
      </c>
      <c r="E976" s="3">
        <v>5.70056584749E11</v>
      </c>
      <c r="F976" s="3" t="s">
        <v>3000</v>
      </c>
      <c r="G976" s="3" t="s">
        <v>676</v>
      </c>
      <c r="H976" s="3" t="s">
        <v>582</v>
      </c>
    </row>
    <row r="977" ht="15.75" customHeight="1">
      <c r="A977" s="3">
        <v>864.0</v>
      </c>
      <c r="B977" s="3" t="s">
        <v>3001</v>
      </c>
      <c r="C977" s="3" t="s">
        <v>3002</v>
      </c>
      <c r="D977" s="3" t="s">
        <v>3003</v>
      </c>
      <c r="E977" s="3">
        <v>5.70056584751E11</v>
      </c>
      <c r="F977" s="3" t="s">
        <v>2798</v>
      </c>
      <c r="G977" s="3" t="s">
        <v>599</v>
      </c>
      <c r="H977" s="3" t="s">
        <v>582</v>
      </c>
    </row>
    <row r="978" ht="15.75" customHeight="1">
      <c r="A978" s="3">
        <v>865.0</v>
      </c>
      <c r="B978" s="3" t="s">
        <v>3004</v>
      </c>
      <c r="C978" s="3" t="s">
        <v>2292</v>
      </c>
      <c r="D978" s="3" t="s">
        <v>3005</v>
      </c>
      <c r="E978" s="3">
        <v>5.70056584752E11</v>
      </c>
      <c r="F978" s="3" t="s">
        <v>3006</v>
      </c>
      <c r="G978" s="3" t="s">
        <v>599</v>
      </c>
      <c r="H978" s="3" t="s">
        <v>582</v>
      </c>
    </row>
    <row r="979" ht="15.75" customHeight="1">
      <c r="A979" s="3">
        <v>866.0</v>
      </c>
      <c r="B979" s="3" t="s">
        <v>3007</v>
      </c>
      <c r="C979" s="3" t="s">
        <v>1758</v>
      </c>
      <c r="D979" s="3" t="s">
        <v>3008</v>
      </c>
      <c r="E979" s="3">
        <v>5.70056584753E11</v>
      </c>
      <c r="F979" s="3" t="s">
        <v>3009</v>
      </c>
      <c r="G979" s="3" t="s">
        <v>599</v>
      </c>
      <c r="H979" s="3" t="s">
        <v>582</v>
      </c>
    </row>
    <row r="980" ht="15.75" customHeight="1">
      <c r="A980" s="3">
        <v>867.0</v>
      </c>
      <c r="B980" s="3" t="s">
        <v>2587</v>
      </c>
      <c r="C980" s="3" t="s">
        <v>1652</v>
      </c>
      <c r="D980" s="3" t="s">
        <v>3010</v>
      </c>
      <c r="E980" s="3">
        <v>5.70056584755E11</v>
      </c>
      <c r="F980" s="3" t="s">
        <v>3011</v>
      </c>
      <c r="G980" s="3" t="s">
        <v>676</v>
      </c>
      <c r="H980" s="3" t="s">
        <v>582</v>
      </c>
    </row>
    <row r="981" ht="15.75" customHeight="1">
      <c r="A981" s="3">
        <v>868.0</v>
      </c>
      <c r="B981" s="3" t="s">
        <v>3012</v>
      </c>
      <c r="C981" s="3" t="s">
        <v>1652</v>
      </c>
      <c r="D981" s="3" t="s">
        <v>3010</v>
      </c>
      <c r="E981" s="3">
        <v>5.70056584756E11</v>
      </c>
      <c r="F981" s="3" t="s">
        <v>3013</v>
      </c>
      <c r="G981" s="3" t="s">
        <v>676</v>
      </c>
      <c r="H981" s="3" t="s">
        <v>582</v>
      </c>
    </row>
    <row r="982" ht="15.75" customHeight="1">
      <c r="A982" s="3">
        <v>869.0</v>
      </c>
      <c r="B982" s="3" t="s">
        <v>3014</v>
      </c>
      <c r="C982" s="3" t="s">
        <v>838</v>
      </c>
      <c r="D982" s="3" t="s">
        <v>3015</v>
      </c>
      <c r="E982" s="3">
        <v>5.70056584762E11</v>
      </c>
      <c r="F982" s="3" t="s">
        <v>3016</v>
      </c>
      <c r="G982" s="3" t="s">
        <v>599</v>
      </c>
      <c r="H982" s="3" t="s">
        <v>582</v>
      </c>
    </row>
    <row r="983" ht="15.75" customHeight="1">
      <c r="A983" s="3">
        <v>870.0</v>
      </c>
      <c r="B983" s="3" t="s">
        <v>3017</v>
      </c>
      <c r="C983" s="3" t="s">
        <v>3018</v>
      </c>
      <c r="D983" s="3" t="s">
        <v>3019</v>
      </c>
      <c r="E983" s="3">
        <v>5.70056584767E11</v>
      </c>
      <c r="F983" s="3" t="s">
        <v>3020</v>
      </c>
      <c r="G983" s="3" t="s">
        <v>676</v>
      </c>
      <c r="H983" s="3" t="s">
        <v>582</v>
      </c>
    </row>
    <row r="984" ht="15.75" customHeight="1">
      <c r="A984" s="3">
        <v>871.0</v>
      </c>
      <c r="B984" s="3" t="s">
        <v>3021</v>
      </c>
      <c r="C984" s="3" t="s">
        <v>3022</v>
      </c>
      <c r="D984" s="3" t="s">
        <v>1338</v>
      </c>
      <c r="E984" s="3">
        <v>5.70056584768E11</v>
      </c>
      <c r="F984" s="3" t="s">
        <v>2578</v>
      </c>
      <c r="G984" s="3" t="s">
        <v>823</v>
      </c>
      <c r="H984" s="3" t="s">
        <v>582</v>
      </c>
    </row>
    <row r="985" ht="15.75" customHeight="1">
      <c r="A985" s="3">
        <v>872.0</v>
      </c>
      <c r="B985" s="3" t="s">
        <v>3023</v>
      </c>
      <c r="C985" s="3" t="s">
        <v>3024</v>
      </c>
      <c r="D985" s="3" t="s">
        <v>3025</v>
      </c>
      <c r="E985" s="3">
        <v>5.70056584769E11</v>
      </c>
      <c r="F985" s="3" t="s">
        <v>2736</v>
      </c>
      <c r="G985" s="3" t="s">
        <v>676</v>
      </c>
      <c r="H985" s="3" t="s">
        <v>582</v>
      </c>
    </row>
    <row r="986" ht="15.75" customHeight="1">
      <c r="A986" s="3">
        <v>873.0</v>
      </c>
      <c r="B986" s="3" t="s">
        <v>3026</v>
      </c>
      <c r="C986" s="3" t="s">
        <v>877</v>
      </c>
      <c r="D986" s="3" t="s">
        <v>3027</v>
      </c>
      <c r="E986" s="3">
        <v>5.7005658477E11</v>
      </c>
      <c r="F986" s="3" t="s">
        <v>3028</v>
      </c>
      <c r="G986" s="3" t="s">
        <v>599</v>
      </c>
      <c r="H986" s="3" t="s">
        <v>582</v>
      </c>
    </row>
    <row r="987" ht="15.75" customHeight="1">
      <c r="A987" s="3">
        <v>874.0</v>
      </c>
      <c r="B987" s="3" t="s">
        <v>3029</v>
      </c>
      <c r="C987" s="3" t="s">
        <v>3030</v>
      </c>
      <c r="D987" s="3" t="s">
        <v>3031</v>
      </c>
      <c r="E987" s="3">
        <v>5.70056584771E11</v>
      </c>
      <c r="F987" s="3" t="s">
        <v>3032</v>
      </c>
      <c r="G987" s="3" t="s">
        <v>676</v>
      </c>
      <c r="H987" s="3" t="s">
        <v>582</v>
      </c>
    </row>
    <row r="988" ht="15.75" customHeight="1">
      <c r="A988" s="3">
        <v>875.0</v>
      </c>
      <c r="B988" s="3" t="s">
        <v>3033</v>
      </c>
      <c r="C988" s="3" t="s">
        <v>2606</v>
      </c>
      <c r="D988" s="3" t="s">
        <v>2259</v>
      </c>
      <c r="E988" s="3">
        <v>5.70056584772E11</v>
      </c>
      <c r="F988" s="3" t="s">
        <v>3034</v>
      </c>
      <c r="G988" s="3" t="s">
        <v>581</v>
      </c>
      <c r="H988" s="3" t="s">
        <v>582</v>
      </c>
    </row>
    <row r="989" ht="15.75" customHeight="1">
      <c r="A989" s="3">
        <v>876.0</v>
      </c>
      <c r="B989" s="3" t="s">
        <v>3035</v>
      </c>
      <c r="C989" s="3" t="s">
        <v>1349</v>
      </c>
      <c r="D989" s="3" t="s">
        <v>3036</v>
      </c>
      <c r="E989" s="3">
        <v>5.70056584775E11</v>
      </c>
      <c r="F989" s="3" t="s">
        <v>2382</v>
      </c>
      <c r="G989" s="3" t="s">
        <v>599</v>
      </c>
      <c r="H989" s="3" t="s">
        <v>582</v>
      </c>
    </row>
    <row r="990" ht="15.75" customHeight="1">
      <c r="A990" s="3">
        <v>877.0</v>
      </c>
      <c r="B990" s="3" t="s">
        <v>3037</v>
      </c>
      <c r="C990" s="3" t="s">
        <v>1402</v>
      </c>
      <c r="D990" s="3" t="s">
        <v>2252</v>
      </c>
      <c r="E990" s="3">
        <v>5.70056584779E11</v>
      </c>
      <c r="F990" s="3" t="s">
        <v>3038</v>
      </c>
      <c r="G990" s="3" t="s">
        <v>581</v>
      </c>
      <c r="H990" s="3" t="s">
        <v>582</v>
      </c>
    </row>
    <row r="991" ht="15.75" customHeight="1">
      <c r="A991" s="3">
        <v>878.0</v>
      </c>
      <c r="B991" s="3" t="s">
        <v>3039</v>
      </c>
      <c r="C991" s="3" t="s">
        <v>1381</v>
      </c>
      <c r="D991" s="3" t="s">
        <v>3040</v>
      </c>
      <c r="E991" s="3">
        <v>5.7005658478E11</v>
      </c>
      <c r="F991" s="3" t="s">
        <v>3041</v>
      </c>
      <c r="G991" s="3" t="s">
        <v>676</v>
      </c>
      <c r="H991" s="3" t="s">
        <v>582</v>
      </c>
    </row>
    <row r="992" ht="15.75" customHeight="1">
      <c r="A992" s="3">
        <v>879.0</v>
      </c>
      <c r="B992" s="3" t="s">
        <v>2747</v>
      </c>
      <c r="C992" s="3" t="s">
        <v>3004</v>
      </c>
      <c r="D992" s="3" t="s">
        <v>3042</v>
      </c>
      <c r="E992" s="3">
        <v>5.70056584786E11</v>
      </c>
      <c r="F992" s="3" t="s">
        <v>2779</v>
      </c>
      <c r="G992" s="3" t="s">
        <v>608</v>
      </c>
      <c r="H992" s="3" t="s">
        <v>582</v>
      </c>
    </row>
    <row r="993" ht="15.75" customHeight="1">
      <c r="A993" s="3">
        <v>880.0</v>
      </c>
      <c r="B993" s="3" t="s">
        <v>3043</v>
      </c>
      <c r="C993" s="3" t="s">
        <v>3044</v>
      </c>
      <c r="D993" s="3" t="s">
        <v>3045</v>
      </c>
      <c r="E993" s="3">
        <v>5.70056584792E11</v>
      </c>
      <c r="F993" s="3" t="s">
        <v>3046</v>
      </c>
      <c r="G993" s="3" t="s">
        <v>581</v>
      </c>
      <c r="H993" s="3" t="s">
        <v>582</v>
      </c>
    </row>
    <row r="994" ht="15.75" customHeight="1">
      <c r="A994" s="3">
        <v>881.0</v>
      </c>
      <c r="B994" s="3" t="s">
        <v>3047</v>
      </c>
      <c r="C994" s="3" t="s">
        <v>3048</v>
      </c>
      <c r="D994" s="3" t="s">
        <v>3049</v>
      </c>
      <c r="E994" s="3">
        <v>5.70056584794E11</v>
      </c>
      <c r="F994" s="3" t="s">
        <v>3050</v>
      </c>
      <c r="G994" s="3" t="s">
        <v>581</v>
      </c>
      <c r="H994" s="3" t="s">
        <v>582</v>
      </c>
    </row>
    <row r="995" ht="15.75" customHeight="1">
      <c r="A995" s="3">
        <v>882.0</v>
      </c>
      <c r="B995" s="3" t="s">
        <v>3051</v>
      </c>
      <c r="C995" s="3" t="s">
        <v>1473</v>
      </c>
      <c r="D995" s="3" t="s">
        <v>3052</v>
      </c>
      <c r="E995" s="3">
        <v>5.70056584795E11</v>
      </c>
      <c r="F995" s="3" t="s">
        <v>3053</v>
      </c>
      <c r="G995" s="3" t="s">
        <v>676</v>
      </c>
      <c r="H995" s="3" t="s">
        <v>582</v>
      </c>
    </row>
    <row r="996" ht="15.75" customHeight="1">
      <c r="A996" s="3">
        <v>883.0</v>
      </c>
      <c r="B996" s="3" t="s">
        <v>3054</v>
      </c>
      <c r="C996" s="3" t="s">
        <v>3055</v>
      </c>
      <c r="D996" s="3" t="s">
        <v>3056</v>
      </c>
      <c r="E996" s="3">
        <v>5.70056584803E11</v>
      </c>
      <c r="F996" s="3" t="s">
        <v>3057</v>
      </c>
      <c r="G996" s="3" t="s">
        <v>599</v>
      </c>
      <c r="H996" s="3" t="s">
        <v>582</v>
      </c>
    </row>
    <row r="997" ht="15.75" customHeight="1">
      <c r="A997" s="3">
        <v>884.0</v>
      </c>
      <c r="B997" s="3" t="s">
        <v>3058</v>
      </c>
      <c r="C997" s="3" t="s">
        <v>1320</v>
      </c>
      <c r="D997" s="3" t="s">
        <v>3008</v>
      </c>
      <c r="E997" s="3">
        <v>5.70056584804E11</v>
      </c>
      <c r="F997" s="3" t="s">
        <v>3059</v>
      </c>
      <c r="G997" s="3" t="s">
        <v>599</v>
      </c>
      <c r="H997" s="3" t="s">
        <v>582</v>
      </c>
    </row>
    <row r="998" ht="15.75" customHeight="1">
      <c r="A998" s="3">
        <v>885.0</v>
      </c>
      <c r="B998" s="3" t="s">
        <v>2575</v>
      </c>
      <c r="C998" s="3" t="s">
        <v>1417</v>
      </c>
      <c r="D998" s="3" t="s">
        <v>3060</v>
      </c>
      <c r="E998" s="3">
        <v>5.70056584805E11</v>
      </c>
      <c r="F998" s="3" t="s">
        <v>3061</v>
      </c>
      <c r="G998" s="3" t="s">
        <v>676</v>
      </c>
      <c r="H998" s="3" t="s">
        <v>582</v>
      </c>
    </row>
    <row r="999" ht="15.75" customHeight="1">
      <c r="A999" s="3">
        <v>886.0</v>
      </c>
      <c r="B999" s="3" t="s">
        <v>3062</v>
      </c>
      <c r="C999" s="3" t="s">
        <v>3063</v>
      </c>
      <c r="D999" s="3" t="s">
        <v>3064</v>
      </c>
      <c r="E999" s="3">
        <v>5.70056584746E11</v>
      </c>
      <c r="F999" s="3" t="s">
        <v>3065</v>
      </c>
      <c r="G999" s="3" t="s">
        <v>581</v>
      </c>
      <c r="H999" s="3" t="s">
        <v>582</v>
      </c>
    </row>
    <row r="1000" ht="15.75" customHeight="1">
      <c r="A1000" s="3">
        <v>887.0</v>
      </c>
      <c r="B1000" s="3" t="s">
        <v>3066</v>
      </c>
      <c r="C1000" s="3" t="s">
        <v>3067</v>
      </c>
      <c r="D1000" s="3" t="s">
        <v>3068</v>
      </c>
      <c r="E1000" s="3">
        <v>5.70056584748E11</v>
      </c>
      <c r="F1000" s="3" t="s">
        <v>3069</v>
      </c>
      <c r="G1000" s="3" t="s">
        <v>581</v>
      </c>
      <c r="H1000" s="3" t="s">
        <v>582</v>
      </c>
    </row>
    <row r="1001" ht="15.75" customHeight="1">
      <c r="A1001" s="3">
        <v>888.0</v>
      </c>
      <c r="B1001" s="3" t="s">
        <v>3070</v>
      </c>
      <c r="C1001" s="3" t="s">
        <v>2263</v>
      </c>
      <c r="D1001" s="3" t="s">
        <v>3071</v>
      </c>
      <c r="E1001" s="3">
        <v>5.70056584808E11</v>
      </c>
      <c r="F1001" s="3" t="s">
        <v>3072</v>
      </c>
      <c r="G1001" s="3" t="s">
        <v>925</v>
      </c>
      <c r="H1001" s="3" t="s">
        <v>3073</v>
      </c>
    </row>
    <row r="1002" ht="15.75" customHeight="1">
      <c r="A1002" s="3">
        <v>889.0</v>
      </c>
      <c r="B1002" s="3" t="s">
        <v>3074</v>
      </c>
      <c r="C1002" s="3" t="s">
        <v>3075</v>
      </c>
      <c r="D1002" s="3" t="s">
        <v>3076</v>
      </c>
      <c r="E1002" s="3">
        <v>5.70056584813E11</v>
      </c>
      <c r="F1002" s="3" t="s">
        <v>3077</v>
      </c>
      <c r="G1002" s="3" t="s">
        <v>1666</v>
      </c>
      <c r="H1002" s="3" t="s">
        <v>582</v>
      </c>
    </row>
    <row r="1003" ht="15.75" customHeight="1">
      <c r="A1003" s="3">
        <v>890.0</v>
      </c>
      <c r="B1003" s="3" t="s">
        <v>3078</v>
      </c>
      <c r="C1003" s="3" t="s">
        <v>3079</v>
      </c>
      <c r="D1003" s="3" t="s">
        <v>3080</v>
      </c>
      <c r="E1003" s="3">
        <v>5.70056584815E11</v>
      </c>
      <c r="F1003" s="3" t="s">
        <v>3081</v>
      </c>
      <c r="G1003" s="3" t="s">
        <v>925</v>
      </c>
      <c r="H1003" s="3" t="s">
        <v>582</v>
      </c>
    </row>
    <row r="1004" ht="15.75" customHeight="1">
      <c r="A1004" s="3">
        <v>891.0</v>
      </c>
      <c r="B1004" s="3" t="s">
        <v>3082</v>
      </c>
      <c r="C1004" s="3" t="s">
        <v>2262</v>
      </c>
      <c r="D1004" s="3" t="s">
        <v>3083</v>
      </c>
      <c r="E1004" s="3">
        <v>5.70056000548E11</v>
      </c>
      <c r="F1004" s="3" t="s">
        <v>3084</v>
      </c>
      <c r="G1004" s="3" t="s">
        <v>599</v>
      </c>
      <c r="H1004" s="3" t="s">
        <v>582</v>
      </c>
    </row>
    <row r="1005" ht="15.75" customHeight="1">
      <c r="A1005" s="3">
        <v>892.0</v>
      </c>
      <c r="B1005" s="3" t="s">
        <v>3085</v>
      </c>
      <c r="C1005" s="3" t="s">
        <v>3086</v>
      </c>
      <c r="D1005" s="3" t="s">
        <v>3087</v>
      </c>
      <c r="E1005" s="3">
        <v>5.70056000551E11</v>
      </c>
      <c r="F1005" s="3" t="s">
        <v>3088</v>
      </c>
      <c r="G1005" s="3" t="s">
        <v>599</v>
      </c>
      <c r="H1005" s="3" t="s">
        <v>3089</v>
      </c>
    </row>
    <row r="1006" ht="15.75" customHeight="1">
      <c r="A1006" s="3">
        <v>893.0</v>
      </c>
      <c r="B1006" s="3" t="s">
        <v>3090</v>
      </c>
      <c r="C1006" s="3" t="s">
        <v>979</v>
      </c>
      <c r="D1006" s="3" t="s">
        <v>3091</v>
      </c>
      <c r="E1006" s="3">
        <v>5.70056000552E11</v>
      </c>
      <c r="F1006" s="3" t="s">
        <v>3092</v>
      </c>
      <c r="G1006" s="3" t="s">
        <v>599</v>
      </c>
      <c r="H1006" s="3" t="s">
        <v>582</v>
      </c>
    </row>
    <row r="1007" ht="15.75" customHeight="1">
      <c r="A1007" s="3">
        <v>894.0</v>
      </c>
      <c r="B1007" s="3" t="s">
        <v>3093</v>
      </c>
      <c r="C1007" s="3" t="s">
        <v>1273</v>
      </c>
      <c r="D1007" s="3" t="s">
        <v>1017</v>
      </c>
      <c r="E1007" s="3">
        <v>5.70056000553E11</v>
      </c>
      <c r="F1007" s="3" t="s">
        <v>3094</v>
      </c>
      <c r="G1007" s="3" t="s">
        <v>608</v>
      </c>
      <c r="H1007" s="3" t="s">
        <v>582</v>
      </c>
    </row>
    <row r="1008" ht="15.75" customHeight="1">
      <c r="A1008" s="3">
        <v>895.0</v>
      </c>
      <c r="B1008" s="3" t="s">
        <v>3095</v>
      </c>
      <c r="C1008" s="3" t="s">
        <v>3096</v>
      </c>
      <c r="D1008" s="3" t="s">
        <v>3097</v>
      </c>
      <c r="E1008" s="3">
        <v>5.70056000556E11</v>
      </c>
      <c r="F1008" s="3" t="s">
        <v>3098</v>
      </c>
      <c r="G1008" s="3" t="s">
        <v>823</v>
      </c>
      <c r="H1008" s="3" t="s">
        <v>582</v>
      </c>
    </row>
    <row r="1009" ht="15.75" customHeight="1">
      <c r="A1009" s="3">
        <v>896.0</v>
      </c>
      <c r="B1009" s="3" t="s">
        <v>3099</v>
      </c>
      <c r="C1009" s="3" t="s">
        <v>3100</v>
      </c>
      <c r="D1009" s="3" t="s">
        <v>3101</v>
      </c>
      <c r="E1009" s="3">
        <v>5.70056000558E11</v>
      </c>
      <c r="F1009" s="3" t="s">
        <v>3102</v>
      </c>
      <c r="G1009" s="3" t="s">
        <v>676</v>
      </c>
      <c r="H1009" s="3" t="s">
        <v>582</v>
      </c>
    </row>
    <row r="1010" ht="15.75" customHeight="1">
      <c r="A1010" s="3">
        <v>897.0</v>
      </c>
      <c r="B1010" s="3" t="s">
        <v>3103</v>
      </c>
      <c r="C1010" s="3" t="s">
        <v>3104</v>
      </c>
      <c r="D1010" s="3" t="s">
        <v>2507</v>
      </c>
      <c r="E1010" s="3">
        <v>5.70056000559E11</v>
      </c>
      <c r="F1010" s="3" t="s">
        <v>3105</v>
      </c>
      <c r="G1010" s="3" t="s">
        <v>599</v>
      </c>
      <c r="H1010" s="3" t="s">
        <v>582</v>
      </c>
    </row>
    <row r="1011" ht="15.75" customHeight="1">
      <c r="A1011" s="3">
        <v>898.0</v>
      </c>
      <c r="B1011" s="3" t="s">
        <v>3106</v>
      </c>
      <c r="C1011" s="3" t="s">
        <v>1236</v>
      </c>
      <c r="D1011" s="3" t="s">
        <v>1719</v>
      </c>
      <c r="E1011" s="3">
        <v>5.70056500056E12</v>
      </c>
      <c r="F1011" s="3" t="s">
        <v>3107</v>
      </c>
      <c r="G1011" s="3" t="s">
        <v>581</v>
      </c>
      <c r="H1011" s="3" t="s">
        <v>582</v>
      </c>
    </row>
    <row r="1012" ht="15.75" customHeight="1">
      <c r="A1012" s="3">
        <v>899.0</v>
      </c>
      <c r="B1012" s="3" t="s">
        <v>3108</v>
      </c>
      <c r="C1012" s="3" t="s">
        <v>3109</v>
      </c>
      <c r="D1012" s="3" t="s">
        <v>1838</v>
      </c>
      <c r="E1012" s="3">
        <v>5.70056544807E11</v>
      </c>
      <c r="F1012" s="3" t="s">
        <v>3110</v>
      </c>
      <c r="G1012" s="3" t="s">
        <v>676</v>
      </c>
      <c r="H1012" s="3" t="s">
        <v>3111</v>
      </c>
    </row>
    <row r="1013" ht="15.75" customHeight="1">
      <c r="A1013" s="3">
        <v>900.0</v>
      </c>
      <c r="B1013" s="3" t="s">
        <v>3112</v>
      </c>
      <c r="C1013" s="3" t="s">
        <v>3113</v>
      </c>
      <c r="D1013" s="3" t="s">
        <v>3114</v>
      </c>
      <c r="E1013" s="3">
        <v>5.7005654481E11</v>
      </c>
      <c r="F1013" s="3" t="s">
        <v>3115</v>
      </c>
      <c r="G1013" s="3" t="s">
        <v>676</v>
      </c>
      <c r="H1013" s="3" t="s">
        <v>3116</v>
      </c>
    </row>
    <row r="1014" ht="15.75" customHeight="1">
      <c r="A1014" s="3">
        <v>901.0</v>
      </c>
      <c r="B1014" s="3" t="s">
        <v>3117</v>
      </c>
      <c r="C1014" s="3" t="s">
        <v>3118</v>
      </c>
      <c r="D1014" s="3" t="s">
        <v>3119</v>
      </c>
      <c r="E1014" s="3">
        <v>5.70056544812E11</v>
      </c>
      <c r="F1014" s="3" t="s">
        <v>3120</v>
      </c>
      <c r="G1014" s="3" t="s">
        <v>823</v>
      </c>
      <c r="H1014" s="3" t="s">
        <v>3121</v>
      </c>
    </row>
    <row r="1015" ht="15.75" customHeight="1">
      <c r="A1015" s="3">
        <v>902.0</v>
      </c>
      <c r="B1015" s="3" t="s">
        <v>3122</v>
      </c>
      <c r="C1015" s="3" t="s">
        <v>3123</v>
      </c>
      <c r="D1015" s="3" t="s">
        <v>3124</v>
      </c>
      <c r="E1015" s="3">
        <v>5.70056544821E11</v>
      </c>
      <c r="F1015" s="3" t="s">
        <v>3125</v>
      </c>
      <c r="G1015" s="3" t="s">
        <v>676</v>
      </c>
      <c r="H1015" s="3" t="s">
        <v>3126</v>
      </c>
    </row>
    <row r="1016" ht="15.75" customHeight="1">
      <c r="A1016" s="3">
        <v>903.0</v>
      </c>
      <c r="B1016" s="3" t="s">
        <v>945</v>
      </c>
      <c r="C1016" s="3" t="s">
        <v>3127</v>
      </c>
      <c r="D1016" s="3" t="s">
        <v>1375</v>
      </c>
      <c r="E1016" s="3">
        <v>5.70056544819E11</v>
      </c>
      <c r="F1016" s="3" t="s">
        <v>3128</v>
      </c>
      <c r="G1016" s="3" t="s">
        <v>676</v>
      </c>
      <c r="H1016" s="3" t="s">
        <v>582</v>
      </c>
    </row>
    <row r="1017" ht="15.75" customHeight="1">
      <c r="A1017" s="3">
        <v>904.0</v>
      </c>
      <c r="B1017" s="3" t="s">
        <v>3129</v>
      </c>
      <c r="C1017" s="3" t="s">
        <v>3130</v>
      </c>
      <c r="D1017" s="3" t="s">
        <v>1902</v>
      </c>
      <c r="E1017" s="3">
        <v>5.70056544822E11</v>
      </c>
      <c r="F1017" s="3" t="s">
        <v>3131</v>
      </c>
      <c r="G1017" s="3" t="s">
        <v>676</v>
      </c>
      <c r="H1017" s="3" t="s">
        <v>3132</v>
      </c>
    </row>
    <row r="1018" ht="15.75" customHeight="1">
      <c r="A1018" s="3">
        <v>905.0</v>
      </c>
      <c r="B1018" s="3" t="s">
        <v>3133</v>
      </c>
      <c r="C1018" s="3" t="s">
        <v>3134</v>
      </c>
      <c r="D1018" s="3" t="s">
        <v>3135</v>
      </c>
      <c r="E1018" s="3">
        <v>5.70056544823E11</v>
      </c>
      <c r="F1018" s="3" t="s">
        <v>3136</v>
      </c>
      <c r="G1018" s="3" t="s">
        <v>676</v>
      </c>
      <c r="H1018" s="3" t="s">
        <v>3137</v>
      </c>
    </row>
    <row r="1019" ht="15.75" customHeight="1"/>
    <row r="1020" ht="15.75" customHeight="1"/>
    <row r="1021" ht="15.75" customHeight="1"/>
    <row r="1022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9" width="12.63"/>
    <col customWidth="1" min="10" max="26" width="14.38"/>
  </cols>
  <sheetData>
    <row r="1">
      <c r="A1" s="3" t="s">
        <v>3138</v>
      </c>
      <c r="B1" s="3" t="str">
        <f>IFERROR(__xludf.DUMMYFUNCTION("SPLIT(A1,""|"")")," ক্রমিক নং ")</f>
        <v> ক্রমিক নং </v>
      </c>
      <c r="C1" s="3" t="str">
        <f>IFERROR(__xludf.DUMMYFUNCTION("""COMPUTED_VALUE""")," নাম ")</f>
        <v> নাম </v>
      </c>
      <c r="D1" s="3" t="str">
        <f>IFERROR(__xludf.DUMMYFUNCTION("""COMPUTED_VALUE""")," ভোটার নং ")</f>
        <v> ভোটার নং </v>
      </c>
      <c r="E1" s="3" t="str">
        <f>IFERROR(__xludf.DUMMYFUNCTION("""COMPUTED_VALUE""")," পিতা ")</f>
        <v> পিতা </v>
      </c>
      <c r="F1" s="3" t="str">
        <f>IFERROR(__xludf.DUMMYFUNCTION("""COMPUTED_VALUE""")," মাতা ")</f>
        <v> মাতা </v>
      </c>
      <c r="G1" s="3" t="str">
        <f>IFERROR(__xludf.DUMMYFUNCTION("""COMPUTED_VALUE""")," জন্ম তারিখ ")</f>
        <v> জন্ম তারিখ </v>
      </c>
      <c r="H1" s="3" t="str">
        <f>IFERROR(__xludf.DUMMYFUNCTION("""COMPUTED_VALUE""")," পেশা ")</f>
        <v> পেশা </v>
      </c>
      <c r="I1" s="3" t="str">
        <f>IFERROR(__xludf.DUMMYFUNCTION("""COMPUTED_VALUE""")," ঠিকানা ")</f>
        <v> ঠিকানা </v>
      </c>
    </row>
    <row r="2">
      <c r="A2" s="3" t="s">
        <v>3139</v>
      </c>
      <c r="B2" s="3" t="str">
        <f>IFERROR(__xludf.DUMMYFUNCTION("SPLIT(A2,""|"")"),"---")</f>
        <v>---</v>
      </c>
    </row>
    <row r="3">
      <c r="A3" s="3" t="s">
        <v>3140</v>
      </c>
      <c r="B3" s="3">
        <f>IFERROR(__xludf.DUMMYFUNCTION("SPLIT(A3,""|"")"),160.0)</f>
        <v>160</v>
      </c>
      <c r="C3" s="3" t="str">
        <f>IFERROR(__xludf.DUMMYFUNCTION("""COMPUTED_VALUE""")," মো: খবির উদ্দীন ")</f>
        <v> মো: খবির উদ্দীন </v>
      </c>
      <c r="D3" s="3">
        <f>IFERROR(__xludf.DUMMYFUNCTION("""COMPUTED_VALUE"""),5.70056378103E11)</f>
        <v>570056378103</v>
      </c>
      <c r="E3" s="3" t="str">
        <f>IFERROR(__xludf.DUMMYFUNCTION("""COMPUTED_VALUE""")," ওরাজ বক্স মালিথা ")</f>
        <v> ওরাজ বক্স মালিথা </v>
      </c>
      <c r="F3" s="3" t="str">
        <f>IFERROR(__xludf.DUMMYFUNCTION("""COMPUTED_VALUE""")," মোছা: ইজারন নেছা ")</f>
        <v> মোছা: ইজারন নেছা </v>
      </c>
      <c r="G3" s="3" t="str">
        <f>IFERROR(__xludf.DUMMYFUNCTION("""COMPUTED_VALUE""")," ১০/০২/১৯৬১ ")</f>
        <v> ১০/০২/১৯৬১ </v>
      </c>
      <c r="H3" s="3" t="str">
        <f>IFERROR(__xludf.DUMMYFUNCTION("""COMPUTED_VALUE""")," কৃষক ")</f>
        <v> কৃষক </v>
      </c>
      <c r="I3" s="3" t="str">
        <f>IFERROR(__xludf.DUMMYFUNCTION("""COMPUTED_VALUE""")," জালশুকা, গাংনী, মেহেরপুর ")</f>
        <v> জালশুকা, গাংনী, মেহেরপুর </v>
      </c>
    </row>
    <row r="4">
      <c r="A4" s="3" t="s">
        <v>3141</v>
      </c>
      <c r="B4" s="3">
        <f>IFERROR(__xludf.DUMMYFUNCTION("SPLIT(A4,""|"")"),161.0)</f>
        <v>161</v>
      </c>
      <c r="C4" s="3" t="str">
        <f>IFERROR(__xludf.DUMMYFUNCTION("""COMPUTED_VALUE""")," মো: দবির উদ্দীন ")</f>
        <v> মো: দবির উদ্দীন </v>
      </c>
      <c r="D4" s="3">
        <f>IFERROR(__xludf.DUMMYFUNCTION("""COMPUTED_VALUE"""),5.70056378104E11)</f>
        <v>570056378104</v>
      </c>
      <c r="E4" s="3" t="str">
        <f>IFERROR(__xludf.DUMMYFUNCTION("""COMPUTED_VALUE""")," ওরাজ বক্স মালিথা ")</f>
        <v> ওরাজ বক্স মালিথা </v>
      </c>
      <c r="F4" s="3" t="str">
        <f>IFERROR(__xludf.DUMMYFUNCTION("""COMPUTED_VALUE""")," মোছা: ইজারন নেছা ")</f>
        <v> মোছা: ইজারন নেছা </v>
      </c>
      <c r="G4" s="3" t="str">
        <f>IFERROR(__xludf.DUMMYFUNCTION("""COMPUTED_VALUE""")," ২০/০২/১৯৫৯ ")</f>
        <v> ২০/০২/১৯৫৯ </v>
      </c>
      <c r="H4" s="3" t="str">
        <f>IFERROR(__xludf.DUMMYFUNCTION("""COMPUTED_VALUE""")," কৃষক ")</f>
        <v> কৃষক </v>
      </c>
      <c r="I4" s="3" t="str">
        <f>IFERROR(__xludf.DUMMYFUNCTION("""COMPUTED_VALUE""")," জালশুকা, গাংনী, মেহেরপুর ")</f>
        <v> জালশুকা, গাংনী, মেহেরপুর </v>
      </c>
    </row>
    <row r="5">
      <c r="A5" s="3" t="s">
        <v>3142</v>
      </c>
      <c r="B5" s="3">
        <f>IFERROR(__xludf.DUMMYFUNCTION("SPLIT(A5,""|"")"),162.0)</f>
        <v>162</v>
      </c>
      <c r="C5" s="3" t="str">
        <f>IFERROR(__xludf.DUMMYFUNCTION("""COMPUTED_VALUE""")," মো: মুকুল হোসেন ")</f>
        <v> মো: মুকুল হোসেন </v>
      </c>
      <c r="D5" s="3">
        <f>IFERROR(__xludf.DUMMYFUNCTION("""COMPUTED_VALUE"""),5.70056378105E11)</f>
        <v>570056378105</v>
      </c>
      <c r="E5" s="3" t="str">
        <f>IFERROR(__xludf.DUMMYFUNCTION("""COMPUTED_VALUE""")," মো: মনসুর আলী ")</f>
        <v> মো: মনসুর আলী </v>
      </c>
      <c r="F5" s="3" t="str">
        <f>IFERROR(__xludf.DUMMYFUNCTION("""COMPUTED_VALUE""")," মোছা: কহিনুর নেছা ")</f>
        <v> মোছা: কহিনুর নেছা </v>
      </c>
      <c r="G5" s="3" t="str">
        <f>IFERROR(__xludf.DUMMYFUNCTION("""COMPUTED_VALUE""")," ০৫/০৮/১৯৮৮ ")</f>
        <v> ০৫/০৮/১৯৮৮ </v>
      </c>
      <c r="H5" s="3" t="str">
        <f>IFERROR(__xludf.DUMMYFUNCTION("""COMPUTED_VALUE""")," কৃষক ")</f>
        <v> কৃষক </v>
      </c>
      <c r="I5" s="3" t="str">
        <f>IFERROR(__xludf.DUMMYFUNCTION("""COMPUTED_VALUE""")," জালশুকা, গাংনী, মেহেরপুর ")</f>
        <v> জালশুকা, গাংনী, মেহেরপুর </v>
      </c>
    </row>
    <row r="6">
      <c r="A6" s="3" t="s">
        <v>3143</v>
      </c>
      <c r="B6" s="3">
        <f>IFERROR(__xludf.DUMMYFUNCTION("SPLIT(A6,""|"")"),163.0)</f>
        <v>163</v>
      </c>
      <c r="C6" s="3" t="str">
        <f>IFERROR(__xludf.DUMMYFUNCTION("""COMPUTED_VALUE""")," মো: বকুল হোসেন ")</f>
        <v> মো: বকুল হোসেন </v>
      </c>
      <c r="D6" s="3">
        <f>IFERROR(__xludf.DUMMYFUNCTION("""COMPUTED_VALUE"""),5.70056378107E11)</f>
        <v>570056378107</v>
      </c>
      <c r="E6" s="3" t="str">
        <f>IFERROR(__xludf.DUMMYFUNCTION("""COMPUTED_VALUE""")," মো: মনসুর আলী ")</f>
        <v> মো: মনসুর আলী </v>
      </c>
      <c r="F6" s="3" t="str">
        <f>IFERROR(__xludf.DUMMYFUNCTION("""COMPUTED_VALUE""")," মোছা: কহিনুর নেছা ")</f>
        <v> মোছা: কহিনুর নেছা </v>
      </c>
      <c r="G6" s="3" t="str">
        <f>IFERROR(__xludf.DUMMYFUNCTION("""COMPUTED_VALUE""")," ৩১/১২/১৯৮০ ")</f>
        <v> ৩১/১২/১৯৮০ </v>
      </c>
      <c r="H6" s="3" t="str">
        <f>IFERROR(__xludf.DUMMYFUNCTION("""COMPUTED_VALUE""")," কৃষক ")</f>
        <v> কৃষক </v>
      </c>
      <c r="I6" s="3" t="str">
        <f>IFERROR(__xludf.DUMMYFUNCTION("""COMPUTED_VALUE""")," জালশুকা, গাংনী, মেহেরপুর ")</f>
        <v> জালশুকা, গাংনী, মেহেরপুর </v>
      </c>
    </row>
    <row r="7">
      <c r="A7" s="3" t="s">
        <v>3144</v>
      </c>
      <c r="B7" s="3">
        <f>IFERROR(__xludf.DUMMYFUNCTION("SPLIT(A7,""|"")"),164.0)</f>
        <v>164</v>
      </c>
      <c r="C7" s="3" t="str">
        <f>IFERROR(__xludf.DUMMYFUNCTION("""COMPUTED_VALUE""")," মো: আশাদুল হক ")</f>
        <v> মো: আশাদুল হক </v>
      </c>
      <c r="D7" s="3">
        <f>IFERROR(__xludf.DUMMYFUNCTION("""COMPUTED_VALUE"""),5.7005637811E11)</f>
        <v>570056378110</v>
      </c>
      <c r="E7" s="3" t="str">
        <f>IFERROR(__xludf.DUMMYFUNCTION("""COMPUTED_VALUE""")," ওরাজ বক্স ")</f>
        <v> ওরাজ বক্স </v>
      </c>
      <c r="F7" s="3" t="str">
        <f>IFERROR(__xludf.DUMMYFUNCTION("""COMPUTED_VALUE""")," মোছা: ইজারন নেছা ")</f>
        <v> মোছা: ইজারন নেছা </v>
      </c>
      <c r="G7" s="3" t="str">
        <f>IFERROR(__xludf.DUMMYFUNCTION("""COMPUTED_VALUE""")," ২৫/০২/১৯৭৪ ")</f>
        <v> ২৫/০২/১৯৭৪ </v>
      </c>
      <c r="H7" s="3" t="str">
        <f>IFERROR(__xludf.DUMMYFUNCTION("""COMPUTED_VALUE""")," কৃষক ")</f>
        <v> কৃষক </v>
      </c>
      <c r="I7" s="3" t="str">
        <f>IFERROR(__xludf.DUMMYFUNCTION("""COMPUTED_VALUE""")," জালশুকা, গাংনী, মেহেরপুর ")</f>
        <v> জালশুকা, গাংনী, মেহেরপুর </v>
      </c>
    </row>
    <row r="8">
      <c r="A8" s="3" t="s">
        <v>3145</v>
      </c>
      <c r="B8" s="3">
        <f>IFERROR(__xludf.DUMMYFUNCTION("SPLIT(A8,""|"")"),165.0)</f>
        <v>165</v>
      </c>
      <c r="C8" s="3" t="str">
        <f>IFERROR(__xludf.DUMMYFUNCTION("""COMPUTED_VALUE""")," মো: নাসীর উদ্দীন ")</f>
        <v> মো: নাসীর উদ্দীন </v>
      </c>
      <c r="D8" s="3">
        <f>IFERROR(__xludf.DUMMYFUNCTION("""COMPUTED_VALUE"""),5.70056378112E11)</f>
        <v>570056378112</v>
      </c>
      <c r="E8" s="3" t="str">
        <f>IFERROR(__xludf.DUMMYFUNCTION("""COMPUTED_VALUE""")," ওরাজ বক্স মালিথা ")</f>
        <v> ওরাজ বক্স মালিথা </v>
      </c>
      <c r="F8" s="3" t="str">
        <f>IFERROR(__xludf.DUMMYFUNCTION("""COMPUTED_VALUE""")," মোছা: ইজারন নেছা ")</f>
        <v> মোছা: ইজারন নেছা </v>
      </c>
      <c r="G8" s="3" t="str">
        <f>IFERROR(__xludf.DUMMYFUNCTION("""COMPUTED_VALUE""")," ০২/০২/১৯৭২ ")</f>
        <v> ০২/০২/১৯৭২ </v>
      </c>
      <c r="H8" s="3" t="str">
        <f>IFERROR(__xludf.DUMMYFUNCTION("""COMPUTED_VALUE""")," কৃষক ")</f>
        <v> কৃষক </v>
      </c>
      <c r="I8" s="3" t="str">
        <f>IFERROR(__xludf.DUMMYFUNCTION("""COMPUTED_VALUE""")," জালশুকা, গাংনী, মেহেরপুর ")</f>
        <v> জালশুকা, গাংনী, মেহেরপুর </v>
      </c>
    </row>
    <row r="9">
      <c r="A9" s="3" t="s">
        <v>3146</v>
      </c>
      <c r="B9" s="3">
        <f>IFERROR(__xludf.DUMMYFUNCTION("SPLIT(A9,""|"")"),166.0)</f>
        <v>166</v>
      </c>
      <c r="C9" s="3" t="str">
        <f>IFERROR(__xludf.DUMMYFUNCTION("""COMPUTED_VALUE""")," মো: সাইফুল ইসলাম ")</f>
        <v> মো: সাইফুল ইসলাম </v>
      </c>
      <c r="D9" s="3">
        <f>IFERROR(__xludf.DUMMYFUNCTION("""COMPUTED_VALUE"""),5.70056378114E11)</f>
        <v>570056378114</v>
      </c>
      <c r="E9" s="3" t="str">
        <f>IFERROR(__xludf.DUMMYFUNCTION("""COMPUTED_VALUE""")," মো: দবির উদ্দীন ")</f>
        <v> মো: দবির উদ্দীন </v>
      </c>
      <c r="F9" s="3" t="str">
        <f>IFERROR(__xludf.DUMMYFUNCTION("""COMPUTED_VALUE""")," মোছা: রিজিয়া খাতুন ")</f>
        <v> মোছা: রিজিয়া খাতুন </v>
      </c>
      <c r="G9" s="3" t="str">
        <f>IFERROR(__xludf.DUMMYFUNCTION("""COMPUTED_VALUE""")," ৩১/১২/১৯৮৩ ")</f>
        <v> ৩১/১২/১৯৮৩ </v>
      </c>
      <c r="H9" s="3" t="str">
        <f>IFERROR(__xludf.DUMMYFUNCTION("""COMPUTED_VALUE""")," ছাত্র/ছাত্রী ")</f>
        <v> ছাত্র/ছাত্রী </v>
      </c>
      <c r="I9" s="3" t="str">
        <f>IFERROR(__xludf.DUMMYFUNCTION("""COMPUTED_VALUE""")," জালশুকা, গাংনী, মেহেরপুর ")</f>
        <v> জালশুকা, গাংনী, মেহেরপুর </v>
      </c>
    </row>
    <row r="10">
      <c r="A10" s="3" t="s">
        <v>3147</v>
      </c>
      <c r="B10" s="3">
        <f>IFERROR(__xludf.DUMMYFUNCTION("SPLIT(A10,""|"")"),167.0)</f>
        <v>167</v>
      </c>
      <c r="C10" s="3" t="str">
        <f>IFERROR(__xludf.DUMMYFUNCTION("""COMPUTED_VALUE""")," মো: আলামিন মালিথা ")</f>
        <v> মো: আলামিন মালিথা </v>
      </c>
      <c r="D10" s="3">
        <f>IFERROR(__xludf.DUMMYFUNCTION("""COMPUTED_VALUE"""),5.70056378115E11)</f>
        <v>570056378115</v>
      </c>
      <c r="E10" s="3" t="str">
        <f>IFERROR(__xludf.DUMMYFUNCTION("""COMPUTED_VALUE""")," মো: দবির উদ্দীন ")</f>
        <v> মো: দবির উদ্দীন </v>
      </c>
      <c r="F10" s="3" t="str">
        <f>IFERROR(__xludf.DUMMYFUNCTION("""COMPUTED_VALUE""")," মোছা: রিজিয়া খাতুন ")</f>
        <v> মোছা: রিজিয়া খাতুন </v>
      </c>
      <c r="G10" s="3" t="str">
        <f>IFERROR(__xludf.DUMMYFUNCTION("""COMPUTED_VALUE""")," ১১/০১/১৯৮৭ ")</f>
        <v> ১১/০১/১৯৮৭ </v>
      </c>
      <c r="H10" s="3" t="str">
        <f>IFERROR(__xludf.DUMMYFUNCTION("""COMPUTED_VALUE""")," কৃষক ")</f>
        <v> কৃষক </v>
      </c>
      <c r="I10" s="3" t="str">
        <f>IFERROR(__xludf.DUMMYFUNCTION("""COMPUTED_VALUE""")," জালশুকা, গাংনী, মেহেরপুর ")</f>
        <v> জালশুকা, গাংনী, মেহেরপুর </v>
      </c>
    </row>
    <row r="11">
      <c r="A11" s="3" t="s">
        <v>3148</v>
      </c>
      <c r="B11" s="3">
        <f>IFERROR(__xludf.DUMMYFUNCTION("SPLIT(A11,""|"")"),168.0)</f>
        <v>168</v>
      </c>
      <c r="C11" s="3" t="str">
        <f>IFERROR(__xludf.DUMMYFUNCTION("""COMPUTED_VALUE""")," মো: রবিউল হক ")</f>
        <v> মো: রবিউল হক </v>
      </c>
      <c r="D11" s="3">
        <f>IFERROR(__xludf.DUMMYFUNCTION("""COMPUTED_VALUE"""),5.70056378117E11)</f>
        <v>570056378117</v>
      </c>
      <c r="E11" s="3" t="str">
        <f>IFERROR(__xludf.DUMMYFUNCTION("""COMPUTED_VALUE""")," ওরাজ বক্স মালিথা ")</f>
        <v> ওরাজ বক্স মালিথা </v>
      </c>
      <c r="F11" s="3" t="str">
        <f>IFERROR(__xludf.DUMMYFUNCTION("""COMPUTED_VALUE""")," মোছা: ইজারন নেছা ")</f>
        <v> মোছা: ইজারন নেছা </v>
      </c>
      <c r="G11" s="3" t="str">
        <f>IFERROR(__xludf.DUMMYFUNCTION("""COMPUTED_VALUE""")," ১৭/০৪/১৯৪৫ ")</f>
        <v> ১৭/০৪/১৯৪৫ </v>
      </c>
      <c r="H11" s="3" t="str">
        <f>IFERROR(__xludf.DUMMYFUNCTION("""COMPUTED_VALUE""")," কৃষক ")</f>
        <v> কৃষক </v>
      </c>
      <c r="I11" s="3" t="str">
        <f>IFERROR(__xludf.DUMMYFUNCTION("""COMPUTED_VALUE""")," জালশুকা, গাংনী, মেহেরপুর ")</f>
        <v> জালশুকা, গাংনী, মেহেরপুর </v>
      </c>
    </row>
    <row r="12">
      <c r="A12" s="3" t="s">
        <v>3149</v>
      </c>
      <c r="B12" s="3">
        <f>IFERROR(__xludf.DUMMYFUNCTION("SPLIT(A12,""|"")"),169.0)</f>
        <v>169</v>
      </c>
      <c r="C12" s="3" t="str">
        <f>IFERROR(__xludf.DUMMYFUNCTION("""COMPUTED_VALUE""")," মো: তোফাজ্জেল হোসেন ")</f>
        <v> মো: তোফাজ্জেল হোসেন </v>
      </c>
      <c r="D12" s="3">
        <f>IFERROR(__xludf.DUMMYFUNCTION("""COMPUTED_VALUE"""),5.70056378119E11)</f>
        <v>570056378119</v>
      </c>
      <c r="E12" s="3" t="str">
        <f>IFERROR(__xludf.DUMMYFUNCTION("""COMPUTED_VALUE""")," উম্মাদ আলী ")</f>
        <v> উম্মাদ আলী </v>
      </c>
      <c r="F12" s="3" t="str">
        <f>IFERROR(__xludf.DUMMYFUNCTION("""COMPUTED_VALUE""")," মোছা: রবিয়া খাতুন ")</f>
        <v> মোছা: রবিয়া খাতুন </v>
      </c>
      <c r="G12" s="3" t="str">
        <f>IFERROR(__xludf.DUMMYFUNCTION("""COMPUTED_VALUE""")," ০৫/০৬/১৯৬১ ")</f>
        <v> ০৫/০৬/১৯৬১ </v>
      </c>
      <c r="H12" s="3" t="str">
        <f>IFERROR(__xludf.DUMMYFUNCTION("""COMPUTED_VALUE""")," ব্যবসা ")</f>
        <v> ব্যবসা </v>
      </c>
      <c r="I12" s="3" t="str">
        <f>IFERROR(__xludf.DUMMYFUNCTION("""COMPUTED_VALUE""")," জালশুকা, গাংনী, মেহেরপুর ")</f>
        <v> জালশুকা, গাংনী, মেহেরপুর </v>
      </c>
    </row>
    <row r="13">
      <c r="A13" s="3" t="s">
        <v>3150</v>
      </c>
      <c r="B13" s="3">
        <f>IFERROR(__xludf.DUMMYFUNCTION("SPLIT(A13,""|"")"),170.0)</f>
        <v>170</v>
      </c>
      <c r="C13" s="3" t="str">
        <f>IFERROR(__xludf.DUMMYFUNCTION("""COMPUTED_VALUE""")," মো: আলেকচাঁদ ")</f>
        <v> মো: আলেকচাঁদ </v>
      </c>
      <c r="D13" s="3">
        <f>IFERROR(__xludf.DUMMYFUNCTION("""COMPUTED_VALUE"""),5.7005637812E11)</f>
        <v>570056378120</v>
      </c>
      <c r="E13" s="3" t="str">
        <f>IFERROR(__xludf.DUMMYFUNCTION("""COMPUTED_VALUE""")," মো: তোফাজ্জেল হোসেন ")</f>
        <v> মো: তোফাজ্জেল হোসেন </v>
      </c>
      <c r="F13" s="3" t="str">
        <f>IFERROR(__xludf.DUMMYFUNCTION("""COMPUTED_VALUE""")," মোছা: মাবিয়া খাতুন ")</f>
        <v> মোছা: মাবিয়া খাতুন </v>
      </c>
      <c r="G13" s="3" t="str">
        <f>IFERROR(__xludf.DUMMYFUNCTION("""COMPUTED_VALUE""")," ০৭/০৬/১৯৮২ ")</f>
        <v> ০৭/০৬/১৯৮২ </v>
      </c>
      <c r="H13" s="3" t="str">
        <f>IFERROR(__xludf.DUMMYFUNCTION("""COMPUTED_VALUE""")," কৃষক ")</f>
        <v> কৃষক </v>
      </c>
      <c r="I13" s="3" t="str">
        <f>IFERROR(__xludf.DUMMYFUNCTION("""COMPUTED_VALUE""")," জালশুকা, গাংনী, মেহেরপুর ")</f>
        <v> জালশুকা, গাংনী, মেহেরপুর </v>
      </c>
    </row>
    <row r="14">
      <c r="A14" s="3" t="s">
        <v>3151</v>
      </c>
      <c r="B14" s="3">
        <f>IFERROR(__xludf.DUMMYFUNCTION("SPLIT(A14,""|"")"),171.0)</f>
        <v>171</v>
      </c>
      <c r="C14" s="3" t="str">
        <f>IFERROR(__xludf.DUMMYFUNCTION("""COMPUTED_VALUE""")," মো: রতন আলী ")</f>
        <v> মো: রতন আলী </v>
      </c>
      <c r="D14" s="3">
        <f>IFERROR(__xludf.DUMMYFUNCTION("""COMPUTED_VALUE"""),5.70056378128E11)</f>
        <v>570056378128</v>
      </c>
      <c r="E14" s="3" t="str">
        <f>IFERROR(__xludf.DUMMYFUNCTION("""COMPUTED_VALUE""")," মো: বুদু আলী ")</f>
        <v> মো: বুদু আলী </v>
      </c>
      <c r="F14" s="3" t="str">
        <f>IFERROR(__xludf.DUMMYFUNCTION("""COMPUTED_VALUE""")," মোছা: সবুরন নেছা ")</f>
        <v> মোছা: সবুরন নেছা </v>
      </c>
      <c r="G14" s="3" t="str">
        <f>IFERROR(__xludf.DUMMYFUNCTION("""COMPUTED_VALUE""")," ০৫/০১/১৯৮৩ ")</f>
        <v> ০৫/০১/১৯৮৩ </v>
      </c>
      <c r="H14" s="3" t="str">
        <f>IFERROR(__xludf.DUMMYFUNCTION("""COMPUTED_VALUE""")," কৃষক ")</f>
        <v> কৃষক </v>
      </c>
      <c r="I14" s="3" t="str">
        <f>IFERROR(__xludf.DUMMYFUNCTION("""COMPUTED_VALUE""")," জালশুকা, গাংনী, মেহেরপুর ")</f>
        <v> জালশুকা, গাংনী, মেহেরপুর </v>
      </c>
    </row>
    <row r="15">
      <c r="A15" s="3" t="s">
        <v>3152</v>
      </c>
      <c r="B15" s="3">
        <f>IFERROR(__xludf.DUMMYFUNCTION("SPLIT(A15,""|"")"),172.0)</f>
        <v>172</v>
      </c>
      <c r="C15" s="3" t="str">
        <f>IFERROR(__xludf.DUMMYFUNCTION("""COMPUTED_VALUE""")," মো: মশিউর রহমান ")</f>
        <v> মো: মশিউর রহমান </v>
      </c>
      <c r="D15" s="3">
        <f>IFERROR(__xludf.DUMMYFUNCTION("""COMPUTED_VALUE"""),5.70056378131E11)</f>
        <v>570056378131</v>
      </c>
      <c r="E15" s="3" t="str">
        <f>IFERROR(__xludf.DUMMYFUNCTION("""COMPUTED_VALUE""")," মো: আহার উদ্দীন মন্ডল ")</f>
        <v> মো: আহার উদ্দীন মন্ডল </v>
      </c>
      <c r="F15" s="3" t="str">
        <f>IFERROR(__xludf.DUMMYFUNCTION("""COMPUTED_VALUE""")," মোছা: জাহানারা খাতুন ")</f>
        <v> মোছা: জাহানারা খাতুন </v>
      </c>
      <c r="G15" s="3" t="str">
        <f>IFERROR(__xludf.DUMMYFUNCTION("""COMPUTED_VALUE""")," ০১/০১/১৯৮৩ ")</f>
        <v> ০১/০১/১৯৮৩ </v>
      </c>
      <c r="H15" s="3" t="str">
        <f>IFERROR(__xludf.DUMMYFUNCTION("""COMPUTED_VALUE""")," কৃষক ")</f>
        <v> কৃষক </v>
      </c>
      <c r="I15" s="3" t="str">
        <f>IFERROR(__xludf.DUMMYFUNCTION("""COMPUTED_VALUE""")," জালশুকা, গাংনী, মেহেরপুর ")</f>
        <v> জালশুকা, গাংনী, মেহেরপুর </v>
      </c>
    </row>
    <row r="16">
      <c r="A16" s="3" t="s">
        <v>3153</v>
      </c>
      <c r="B16" s="3">
        <f>IFERROR(__xludf.DUMMYFUNCTION("SPLIT(A16,""|"")"),173.0)</f>
        <v>173</v>
      </c>
      <c r="C16" s="3" t="str">
        <f>IFERROR(__xludf.DUMMYFUNCTION("""COMPUTED_VALUE""")," মো: হাসিবুল ")</f>
        <v> মো: হাসিবুল </v>
      </c>
      <c r="D16" s="3">
        <f>IFERROR(__xludf.DUMMYFUNCTION("""COMPUTED_VALUE"""),5.70056378133E11)</f>
        <v>570056378133</v>
      </c>
      <c r="E16" s="3" t="str">
        <f>IFERROR(__xludf.DUMMYFUNCTION("""COMPUTED_VALUE""")," মো: মোছারদ্দীন মন্ডল ")</f>
        <v> মো: মোছারদ্দীন মন্ডল </v>
      </c>
      <c r="F16" s="3" t="str">
        <f>IFERROR(__xludf.DUMMYFUNCTION("""COMPUTED_VALUE""")," মোছা: খবেজা খাতুন ")</f>
        <v> মোছা: খবেজা খাতুন </v>
      </c>
      <c r="G16" s="3" t="str">
        <f>IFERROR(__xludf.DUMMYFUNCTION("""COMPUTED_VALUE""")," ২৫/১০/১৯৮২ ")</f>
        <v> ২৫/১০/১৯৮২ </v>
      </c>
      <c r="H16" s="3" t="str">
        <f>IFERROR(__xludf.DUMMYFUNCTION("""COMPUTED_VALUE""")," কৃষক ")</f>
        <v> কৃষক </v>
      </c>
      <c r="I16" s="3" t="str">
        <f>IFERROR(__xludf.DUMMYFUNCTION("""COMPUTED_VALUE""")," জালশুকা, গাংনী, মেহেরপুর ")</f>
        <v> জালশুকা, গাংনী, মেহেরপুর </v>
      </c>
    </row>
    <row r="17">
      <c r="A17" s="3" t="s">
        <v>3154</v>
      </c>
      <c r="B17" s="3">
        <f>IFERROR(__xludf.DUMMYFUNCTION("SPLIT(A17,""|"")"),174.0)</f>
        <v>174</v>
      </c>
      <c r="C17" s="3" t="str">
        <f>IFERROR(__xludf.DUMMYFUNCTION("""COMPUTED_VALUE""")," মো: রবিউল ইসলাম ")</f>
        <v> মো: রবিউল ইসলাম </v>
      </c>
      <c r="D17" s="3">
        <f>IFERROR(__xludf.DUMMYFUNCTION("""COMPUTED_VALUE"""),5.70056378136E11)</f>
        <v>570056378136</v>
      </c>
      <c r="E17" s="3" t="str">
        <f>IFERROR(__xludf.DUMMYFUNCTION("""COMPUTED_VALUE""")," মো: মোছার উদ্দীন মন্ডল ")</f>
        <v> মো: মোছার উদ্দীন মন্ডল </v>
      </c>
      <c r="F17" s="3" t="str">
        <f>IFERROR(__xludf.DUMMYFUNCTION("""COMPUTED_VALUE""")," মোছা: খবেজা খাতুন ")</f>
        <v> মোছা: খবেজা খাতুন </v>
      </c>
      <c r="G17" s="3" t="str">
        <f>IFERROR(__xludf.DUMMYFUNCTION("""COMPUTED_VALUE""")," ০৯/০২/১৯৭১ ")</f>
        <v> ০৯/০২/১৯৭১ </v>
      </c>
      <c r="H17" s="3" t="str">
        <f>IFERROR(__xludf.DUMMYFUNCTION("""COMPUTED_VALUE""")," কৃষক ")</f>
        <v> কৃষক </v>
      </c>
      <c r="I17" s="3" t="str">
        <f>IFERROR(__xludf.DUMMYFUNCTION("""COMPUTED_VALUE""")," জালশুকা, গাংনী, মেহেরপুর ")</f>
        <v> জালশুকা, গাংনী, মেহেরপুর </v>
      </c>
    </row>
    <row r="18">
      <c r="A18" s="3" t="s">
        <v>3155</v>
      </c>
      <c r="B18" s="3">
        <f>IFERROR(__xludf.DUMMYFUNCTION("SPLIT(A18,""|"")"),175.0)</f>
        <v>175</v>
      </c>
      <c r="C18" s="3" t="str">
        <f>IFERROR(__xludf.DUMMYFUNCTION("""COMPUTED_VALUE""")," মো: নূর ইসলাম ")</f>
        <v> মো: নূর ইসলাম </v>
      </c>
      <c r="D18" s="3">
        <f>IFERROR(__xludf.DUMMYFUNCTION("""COMPUTED_VALUE"""),5.7005637814E11)</f>
        <v>570056378140</v>
      </c>
      <c r="E18" s="3" t="str">
        <f>IFERROR(__xludf.DUMMYFUNCTION("""COMPUTED_VALUE""")," নেপাল মন্ডল ")</f>
        <v> নেপাল মন্ডল </v>
      </c>
      <c r="F18" s="3" t="str">
        <f>IFERROR(__xludf.DUMMYFUNCTION("""COMPUTED_VALUE""")," জবেদা খাতুন ")</f>
        <v> জবেদা খাতুন </v>
      </c>
      <c r="G18" s="3" t="str">
        <f>IFERROR(__xludf.DUMMYFUNCTION("""COMPUTED_VALUE""")," ০১/০১/১৯৫৬ ")</f>
        <v> ০১/০১/১৯৫৬ </v>
      </c>
      <c r="H18" s="3" t="str">
        <f>IFERROR(__xludf.DUMMYFUNCTION("""COMPUTED_VALUE""")," কৃষক ")</f>
        <v> কৃষক </v>
      </c>
      <c r="I18" s="3" t="str">
        <f>IFERROR(__xludf.DUMMYFUNCTION("""COMPUTED_VALUE""")," জালশুকা, গাংনী, মেহেরপুর ")</f>
        <v> জালশুকা, গাংনী, মেহেরপুর </v>
      </c>
    </row>
    <row r="19">
      <c r="A19" s="3" t="s">
        <v>3156</v>
      </c>
      <c r="B19" s="3">
        <f>IFERROR(__xludf.DUMMYFUNCTION("SPLIT(A19,""|"")"),176.0)</f>
        <v>176</v>
      </c>
      <c r="C19" s="3" t="str">
        <f>IFERROR(__xludf.DUMMYFUNCTION("""COMPUTED_VALUE""")," মো: বিল্লাল হোসেন ")</f>
        <v> মো: বিল্লাল হোসেন </v>
      </c>
      <c r="D19" s="3">
        <f>IFERROR(__xludf.DUMMYFUNCTION("""COMPUTED_VALUE"""),5.70056378143E11)</f>
        <v>570056378143</v>
      </c>
      <c r="E19" s="3" t="str">
        <f>IFERROR(__xludf.DUMMYFUNCTION("""COMPUTED_VALUE""")," মো: আসান আলী ")</f>
        <v> মো: আসান আলী </v>
      </c>
      <c r="F19" s="3" t="str">
        <f>IFERROR(__xludf.DUMMYFUNCTION("""COMPUTED_VALUE""")," মোছা: আজিফা খাতুন ")</f>
        <v> মোছা: আজিফা খাতুন </v>
      </c>
      <c r="G19" s="3" t="str">
        <f>IFERROR(__xludf.DUMMYFUNCTION("""COMPUTED_VALUE""")," ০৫/০৩/১৯৮৪ ")</f>
        <v> ০৫/০৩/১৯৮৪ </v>
      </c>
      <c r="H19" s="3" t="str">
        <f>IFERROR(__xludf.DUMMYFUNCTION("""COMPUTED_VALUE""")," কৃষক ")</f>
        <v> কৃষক </v>
      </c>
      <c r="I19" s="3" t="str">
        <f>IFERROR(__xludf.DUMMYFUNCTION("""COMPUTED_VALUE""")," জালশুকা, গাংনী, মেহেরপুর ")</f>
        <v> জালশুকা, গাংনী, মেহেরপুর </v>
      </c>
    </row>
    <row r="20">
      <c r="A20" s="3" t="s">
        <v>3157</v>
      </c>
      <c r="B20" s="3">
        <f>IFERROR(__xludf.DUMMYFUNCTION("SPLIT(A20,""|"")"),177.0)</f>
        <v>177</v>
      </c>
      <c r="C20" s="3" t="str">
        <f>IFERROR(__xludf.DUMMYFUNCTION("""COMPUTED_VALUE""")," মো: শহিদুল ইসলাম ")</f>
        <v> মো: শহিদুল ইসলাম </v>
      </c>
      <c r="D20" s="3">
        <f>IFERROR(__xludf.DUMMYFUNCTION("""COMPUTED_VALUE"""),5.70056378146E11)</f>
        <v>570056378146</v>
      </c>
      <c r="E20" s="3" t="str">
        <f>IFERROR(__xludf.DUMMYFUNCTION("""COMPUTED_VALUE""")," মো: রমজান আলী ")</f>
        <v> মো: রমজান আলী </v>
      </c>
      <c r="F20" s="3" t="str">
        <f>IFERROR(__xludf.DUMMYFUNCTION("""COMPUTED_VALUE""")," মোছা: সুফিয়া খাতুন ")</f>
        <v> মোছা: সুফিয়া খাতুন </v>
      </c>
      <c r="G20" s="3" t="str">
        <f>IFERROR(__xludf.DUMMYFUNCTION("""COMPUTED_VALUE""")," ০২/০৩/১৯৭৩ ")</f>
        <v> ০২/০৩/১৯৭৩ </v>
      </c>
      <c r="H20" s="3" t="str">
        <f>IFERROR(__xludf.DUMMYFUNCTION("""COMPUTED_VALUE""")," কৃষক ")</f>
        <v> কৃষক </v>
      </c>
      <c r="I20" s="3" t="str">
        <f>IFERROR(__xludf.DUMMYFUNCTION("""COMPUTED_VALUE""")," জালশুকা, গাংনী, মেহেরপুর ")</f>
        <v> জালশুকা, গাংনী, মেহেরপুর </v>
      </c>
    </row>
    <row r="21" ht="15.75" customHeight="1">
      <c r="A21" s="3" t="s">
        <v>3158</v>
      </c>
      <c r="B21" s="3">
        <f>IFERROR(__xludf.DUMMYFUNCTION("SPLIT(A21,""|"")"),178.0)</f>
        <v>178</v>
      </c>
      <c r="C21" s="3" t="str">
        <f>IFERROR(__xludf.DUMMYFUNCTION("""COMPUTED_VALUE""")," মো: আসান আলী ")</f>
        <v> মো: আসান আলী </v>
      </c>
      <c r="D21" s="3">
        <f>IFERROR(__xludf.DUMMYFUNCTION("""COMPUTED_VALUE"""),5.70056378147E11)</f>
        <v>570056378147</v>
      </c>
      <c r="E21" s="3" t="str">
        <f>IFERROR(__xludf.DUMMYFUNCTION("""COMPUTED_VALUE""")," যাদু আলী মন্ডল ")</f>
        <v> যাদু আলী মন্ডল </v>
      </c>
      <c r="F21" s="3" t="str">
        <f>IFERROR(__xludf.DUMMYFUNCTION("""COMPUTED_VALUE""")," মোছা: জেলেশন নেছা ")</f>
        <v> মোছা: জেলেশন নেছা </v>
      </c>
      <c r="G21" s="3" t="str">
        <f>IFERROR(__xludf.DUMMYFUNCTION("""COMPUTED_VALUE""")," ১৫/০৫/১৯৫৯ ")</f>
        <v> ১৫/০৫/১৯৫৯ </v>
      </c>
      <c r="H21" s="3" t="str">
        <f>IFERROR(__xludf.DUMMYFUNCTION("""COMPUTED_VALUE""")," কৃষক ")</f>
        <v> কৃষক </v>
      </c>
      <c r="I21" s="3" t="str">
        <f>IFERROR(__xludf.DUMMYFUNCTION("""COMPUTED_VALUE""")," জালশুকা, গাংনী, মেহেরপুর ")</f>
        <v> জালশুকা, গাংনী, মেহেরপুর </v>
      </c>
    </row>
    <row r="22" ht="15.75" customHeight="1">
      <c r="A22" s="3" t="s">
        <v>3159</v>
      </c>
      <c r="B22" s="3">
        <f>IFERROR(__xludf.DUMMYFUNCTION("SPLIT(A22,""|"")"),179.0)</f>
        <v>179</v>
      </c>
      <c r="C22" s="3" t="str">
        <f>IFERROR(__xludf.DUMMYFUNCTION("""COMPUTED_VALUE""")," মো: হেলাল উদ্দীন ")</f>
        <v> মো: হেলাল উদ্দীন </v>
      </c>
      <c r="D22" s="3">
        <f>IFERROR(__xludf.DUMMYFUNCTION("""COMPUTED_VALUE"""),5.7005637815E11)</f>
        <v>570056378150</v>
      </c>
      <c r="E22" s="3" t="str">
        <f>IFERROR(__xludf.DUMMYFUNCTION("""COMPUTED_VALUE""")," মো: মানিক মন্ডল ")</f>
        <v> মো: মানিক মন্ডল </v>
      </c>
      <c r="F22" s="3" t="str">
        <f>IFERROR(__xludf.DUMMYFUNCTION("""COMPUTED_VALUE""")," কমেলা খাতুন ")</f>
        <v> কমেলা খাতুন </v>
      </c>
      <c r="G22" s="3" t="str">
        <f>IFERROR(__xludf.DUMMYFUNCTION("""COMPUTED_VALUE""")," ১০/১০/১৯৬৭ ")</f>
        <v> ১০/১০/১৯৬৭ </v>
      </c>
      <c r="H22" s="3" t="str">
        <f>IFERROR(__xludf.DUMMYFUNCTION("""COMPUTED_VALUE""")," কৃষক ")</f>
        <v> কৃষক </v>
      </c>
      <c r="I22" s="3" t="str">
        <f>IFERROR(__xludf.DUMMYFUNCTION("""COMPUTED_VALUE""")," জালশুকা, গাংনী, মেহেরপুর ")</f>
        <v> জালশুকা, গাংনী, মেহেরপুর </v>
      </c>
    </row>
    <row r="23" ht="15.75" customHeight="1">
      <c r="A23" s="3" t="s">
        <v>3160</v>
      </c>
      <c r="B23" s="3">
        <f>IFERROR(__xludf.DUMMYFUNCTION("SPLIT(A23,""|"")"),180.0)</f>
        <v>180</v>
      </c>
      <c r="C23" s="3" t="str">
        <f>IFERROR(__xludf.DUMMYFUNCTION("""COMPUTED_VALUE""")," মো: বরকত আলী ")</f>
        <v> মো: বরকত আলী </v>
      </c>
      <c r="D23" s="3">
        <f>IFERROR(__xludf.DUMMYFUNCTION("""COMPUTED_VALUE"""),5.70056378152E11)</f>
        <v>570056378152</v>
      </c>
      <c r="E23" s="3" t="str">
        <f>IFERROR(__xludf.DUMMYFUNCTION("""COMPUTED_VALUE""")," ইলা বক্স ")</f>
        <v> ইলা বক্স </v>
      </c>
      <c r="F23" s="3" t="str">
        <f>IFERROR(__xludf.DUMMYFUNCTION("""COMPUTED_VALUE""")," মোছা: এলেপান ")</f>
        <v> মোছা: এলেপান </v>
      </c>
      <c r="G23" s="3" t="str">
        <f>IFERROR(__xludf.DUMMYFUNCTION("""COMPUTED_VALUE""")," ০১/০১/১৯৭৯ ")</f>
        <v> ০১/০১/১৯৭৯ </v>
      </c>
      <c r="H23" s="3" t="str">
        <f>IFERROR(__xludf.DUMMYFUNCTION("""COMPUTED_VALUE""")," কৃষক ")</f>
        <v> কৃষক </v>
      </c>
      <c r="I23" s="3" t="str">
        <f>IFERROR(__xludf.DUMMYFUNCTION("""COMPUTED_VALUE""")," জালশুকা, গাংনী, মেহেরপুর ")</f>
        <v> জালশুকা, গাংনী, মেহেরপুর </v>
      </c>
    </row>
    <row r="24" ht="15.75" customHeight="1">
      <c r="A24" s="3" t="s">
        <v>3161</v>
      </c>
      <c r="B24" s="3">
        <f>IFERROR(__xludf.DUMMYFUNCTION("SPLIT(A24,""|"")"),181.0)</f>
        <v>181</v>
      </c>
      <c r="C24" s="3" t="str">
        <f>IFERROR(__xludf.DUMMYFUNCTION("""COMPUTED_VALUE""")," মো: আতিয়ার রহমান ")</f>
        <v> মো: আতিয়ার রহমান </v>
      </c>
      <c r="D24" s="3">
        <f>IFERROR(__xludf.DUMMYFUNCTION("""COMPUTED_VALUE"""),5.70056378153E11)</f>
        <v>570056378153</v>
      </c>
      <c r="E24" s="3" t="str">
        <f>IFERROR(__xludf.DUMMYFUNCTION("""COMPUTED_VALUE""")," মো: কুরবান আলী ")</f>
        <v> মো: কুরবান আলী </v>
      </c>
      <c r="F24" s="3" t="str">
        <f>IFERROR(__xludf.DUMMYFUNCTION("""COMPUTED_VALUE""")," হামিদা খাতুন ")</f>
        <v> হামিদা খাতুন </v>
      </c>
      <c r="G24" s="3" t="str">
        <f>IFERROR(__xludf.DUMMYFUNCTION("""COMPUTED_VALUE""")," ০১/০১/১৯৭৯ ")</f>
        <v> ০১/০১/১৯৭৯ </v>
      </c>
      <c r="H24" s="3" t="str">
        <f>IFERROR(__xludf.DUMMYFUNCTION("""COMPUTED_VALUE""")," ব্যবসা ")</f>
        <v> ব্যবসা </v>
      </c>
      <c r="I24" s="3" t="str">
        <f>IFERROR(__xludf.DUMMYFUNCTION("""COMPUTED_VALUE""")," জালশুকা, গাংনী, মেহেরপুর ")</f>
        <v> জালশুকা, গাংনী, মেহেরপুর </v>
      </c>
    </row>
    <row r="25" ht="15.75" customHeight="1">
      <c r="A25" s="3" t="s">
        <v>3162</v>
      </c>
      <c r="B25" s="3">
        <f>IFERROR(__xludf.DUMMYFUNCTION("SPLIT(A25,""|"")"),182.0)</f>
        <v>182</v>
      </c>
      <c r="C25" s="3" t="str">
        <f>IFERROR(__xludf.DUMMYFUNCTION("""COMPUTED_VALUE""")," মো: মিরাজুল ইসলাম ")</f>
        <v> মো: মিরাজুল ইসলাম </v>
      </c>
      <c r="D25" s="3">
        <f>IFERROR(__xludf.DUMMYFUNCTION("""COMPUTED_VALUE"""),5.70056378157E11)</f>
        <v>570056378157</v>
      </c>
      <c r="E25" s="3" t="str">
        <f>IFERROR(__xludf.DUMMYFUNCTION("""COMPUTED_VALUE""")," মো: কাদের শেখ ")</f>
        <v> মো: কাদের শেখ </v>
      </c>
      <c r="F25" s="3" t="str">
        <f>IFERROR(__xludf.DUMMYFUNCTION("""COMPUTED_VALUE""")," মোছা: জমেলা খাতুন ")</f>
        <v> মোছা: জমেলা খাতুন </v>
      </c>
      <c r="G25" s="3" t="str">
        <f>IFERROR(__xludf.DUMMYFUNCTION("""COMPUTED_VALUE""")," ০৫/০৫/১৯৭৯ ")</f>
        <v> ০৫/০৫/১৯৭৯ </v>
      </c>
      <c r="H25" s="3" t="str">
        <f>IFERROR(__xludf.DUMMYFUNCTION("""COMPUTED_VALUE""")," কৃষক ")</f>
        <v> কৃষক </v>
      </c>
      <c r="I25" s="3" t="str">
        <f>IFERROR(__xludf.DUMMYFUNCTION("""COMPUTED_VALUE""")," জালশুকা, গাংনী, মেহেরপুর ")</f>
        <v> জালশুকা, গাংনী, মেহেরপুর </v>
      </c>
    </row>
    <row r="26" ht="15.75" customHeight="1">
      <c r="A26" s="3" t="s">
        <v>3163</v>
      </c>
      <c r="B26" s="3">
        <f>IFERROR(__xludf.DUMMYFUNCTION("SPLIT(A26,""|"")"),183.0)</f>
        <v>183</v>
      </c>
      <c r="C26" s="3" t="str">
        <f>IFERROR(__xludf.DUMMYFUNCTION("""COMPUTED_VALUE""")," মো: খলিলুর রহমান ")</f>
        <v> মো: খলিলুর রহমান </v>
      </c>
      <c r="D26" s="3">
        <f>IFERROR(__xludf.DUMMYFUNCTION("""COMPUTED_VALUE"""),5.70056378159E11)</f>
        <v>570056378159</v>
      </c>
      <c r="E26" s="3" t="str">
        <f>IFERROR(__xludf.DUMMYFUNCTION("""COMPUTED_VALUE""")," জদুআলী মন্ডল ")</f>
        <v> জদুআলী মন্ডল </v>
      </c>
      <c r="F26" s="3" t="str">
        <f>IFERROR(__xludf.DUMMYFUNCTION("""COMPUTED_VALUE""")," মোছা: জেলেখা খাতুন ")</f>
        <v> মোছা: জেলেখা খাতুন </v>
      </c>
      <c r="G26" s="3" t="str">
        <f>IFERROR(__xludf.DUMMYFUNCTION("""COMPUTED_VALUE""")," ১২/১১/১৯৬২ ")</f>
        <v> ১২/১১/১৯৬২ </v>
      </c>
      <c r="H26" s="3" t="str">
        <f>IFERROR(__xludf.DUMMYFUNCTION("""COMPUTED_VALUE""")," কৃষক ")</f>
        <v> কৃষক </v>
      </c>
      <c r="I26" s="3" t="str">
        <f>IFERROR(__xludf.DUMMYFUNCTION("""COMPUTED_VALUE""")," জালশুকা, গাংনী, মেহেরপুর ")</f>
        <v> জালশুকা, গাংনী, মেহেরপুর </v>
      </c>
    </row>
    <row r="27" ht="15.75" customHeight="1">
      <c r="A27" s="3" t="s">
        <v>3164</v>
      </c>
      <c r="B27" s="3">
        <f>IFERROR(__xludf.DUMMYFUNCTION("SPLIT(A27,""|"")"),184.0)</f>
        <v>184</v>
      </c>
      <c r="C27" s="3" t="str">
        <f>IFERROR(__xludf.DUMMYFUNCTION("""COMPUTED_VALUE""")," মো: ফজল উদ্দীন ")</f>
        <v> মো: ফজল উদ্দীন </v>
      </c>
      <c r="D27" s="3">
        <f>IFERROR(__xludf.DUMMYFUNCTION("""COMPUTED_VALUE"""),5.7005637816E11)</f>
        <v>570056378160</v>
      </c>
      <c r="E27" s="3" t="str">
        <f>IFERROR(__xludf.DUMMYFUNCTION("""COMPUTED_VALUE""")," রব্বানী মন্ডল ")</f>
        <v> রব্বানী মন্ডল </v>
      </c>
      <c r="F27" s="3" t="str">
        <f>IFERROR(__xludf.DUMMYFUNCTION("""COMPUTED_VALUE""")," মোছা: আকিরন নেছা ")</f>
        <v> মোছা: আকিরন নেছা </v>
      </c>
      <c r="G27" s="3" t="str">
        <f>IFERROR(__xludf.DUMMYFUNCTION("""COMPUTED_VALUE""")," ০১/০১/১৯৪৮ ")</f>
        <v> ০১/০১/১৯৪৮ </v>
      </c>
      <c r="H27" s="3" t="str">
        <f>IFERROR(__xludf.DUMMYFUNCTION("""COMPUTED_VALUE""")," কৃষক ")</f>
        <v> কৃষক </v>
      </c>
      <c r="I27" s="3" t="str">
        <f>IFERROR(__xludf.DUMMYFUNCTION("""COMPUTED_VALUE""")," জালশুকা, গাংনী, মেহেরপুর ")</f>
        <v> জালশুকা, গাংনী, মেহেরপুর </v>
      </c>
    </row>
    <row r="28" ht="15.75" customHeight="1">
      <c r="A28" s="3" t="s">
        <v>3165</v>
      </c>
      <c r="B28" s="3">
        <f>IFERROR(__xludf.DUMMYFUNCTION("SPLIT(A28,""|"")"),185.0)</f>
        <v>185</v>
      </c>
      <c r="C28" s="3" t="str">
        <f>IFERROR(__xludf.DUMMYFUNCTION("""COMPUTED_VALUE""")," মো: রিপন আলী ")</f>
        <v> মো: রিপন আলী </v>
      </c>
      <c r="D28" s="3">
        <f>IFERROR(__xludf.DUMMYFUNCTION("""COMPUTED_VALUE"""),5.70056378161E11)</f>
        <v>570056378161</v>
      </c>
      <c r="E28" s="3" t="str">
        <f>IFERROR(__xludf.DUMMYFUNCTION("""COMPUTED_VALUE""")," মো: মন্টু আলী ")</f>
        <v> মো: মন্টু আলী </v>
      </c>
      <c r="F28" s="3" t="str">
        <f>IFERROR(__xludf.DUMMYFUNCTION("""COMPUTED_VALUE""")," মোছা: আসমা খাতুন ")</f>
        <v> মোছা: আসমা খাতুন </v>
      </c>
      <c r="G28" s="3" t="str">
        <f>IFERROR(__xludf.DUMMYFUNCTION("""COMPUTED_VALUE""")," ০৬/০৬/১৯৭৯ ")</f>
        <v> ০৬/০৬/১৯৭৯ </v>
      </c>
      <c r="H28" s="3" t="str">
        <f>IFERROR(__xludf.DUMMYFUNCTION("""COMPUTED_VALUE""")," কৃষক ")</f>
        <v> কৃষক </v>
      </c>
      <c r="I28" s="3" t="str">
        <f>IFERROR(__xludf.DUMMYFUNCTION("""COMPUTED_VALUE""")," জালশুকা, গাংনী, মেহেরপুর ")</f>
        <v> জালশুকা, গাংনী, মেহেরপুর </v>
      </c>
    </row>
    <row r="29" ht="15.75" customHeight="1">
      <c r="A29" s="3" t="s">
        <v>3166</v>
      </c>
      <c r="B29" s="3">
        <f>IFERROR(__xludf.DUMMYFUNCTION("SPLIT(A29,""|"")"),186.0)</f>
        <v>186</v>
      </c>
      <c r="C29" s="3" t="str">
        <f>IFERROR(__xludf.DUMMYFUNCTION("""COMPUTED_VALUE""")," মো: আসান আলী ")</f>
        <v> মো: আসান আলী </v>
      </c>
      <c r="D29" s="3">
        <f>IFERROR(__xludf.DUMMYFUNCTION("""COMPUTED_VALUE"""),5.70056378163E11)</f>
        <v>570056378163</v>
      </c>
      <c r="E29" s="3" t="str">
        <f>IFERROR(__xludf.DUMMYFUNCTION("""COMPUTED_VALUE""")," জবেদ আলী ")</f>
        <v> জবেদ আলী </v>
      </c>
      <c r="F29" s="3" t="str">
        <f>IFERROR(__xludf.DUMMYFUNCTION("""COMPUTED_VALUE""")," শরিপন নেছা ")</f>
        <v> শরিপন নেছা </v>
      </c>
      <c r="G29" s="3" t="str">
        <f>IFERROR(__xludf.DUMMYFUNCTION("""COMPUTED_VALUE""")," ১০/১০/১৯৫৭ ")</f>
        <v> ১০/১০/১৯৫৭ </v>
      </c>
      <c r="H29" s="3" t="str">
        <f>IFERROR(__xludf.DUMMYFUNCTION("""COMPUTED_VALUE""")," কৃষক ")</f>
        <v> কৃষক </v>
      </c>
      <c r="I29" s="3" t="str">
        <f>IFERROR(__xludf.DUMMYFUNCTION("""COMPUTED_VALUE""")," জালশুকা, গাংনী, মেহেরপুর ")</f>
        <v> জালশুকা, গাংনী, মেহেরপুর </v>
      </c>
    </row>
    <row r="30" ht="15.75" customHeight="1">
      <c r="A30" s="3" t="s">
        <v>3167</v>
      </c>
      <c r="B30" s="3">
        <f>IFERROR(__xludf.DUMMYFUNCTION("SPLIT(A30,""|"")"),187.0)</f>
        <v>187</v>
      </c>
      <c r="C30" s="3" t="str">
        <f>IFERROR(__xludf.DUMMYFUNCTION("""COMPUTED_VALUE""")," মো: বিপুল ")</f>
        <v> মো: বিপুল </v>
      </c>
      <c r="D30" s="3">
        <f>IFERROR(__xludf.DUMMYFUNCTION("""COMPUTED_VALUE"""),5.70056378164E11)</f>
        <v>570056378164</v>
      </c>
      <c r="E30" s="3" t="str">
        <f>IFERROR(__xludf.DUMMYFUNCTION("""COMPUTED_VALUE""")," মো: আসান উদ্দীন ")</f>
        <v> মো: আসান উদ্দীন </v>
      </c>
      <c r="F30" s="3" t="str">
        <f>IFERROR(__xludf.DUMMYFUNCTION("""COMPUTED_VALUE""")," মোছা: মর্জিনা খাতুন ")</f>
        <v> মোছা: মর্জিনা খাতুন </v>
      </c>
      <c r="G30" s="3" t="str">
        <f>IFERROR(__xludf.DUMMYFUNCTION("""COMPUTED_VALUE""")," ০১/০১/১৯৮৬ ")</f>
        <v> ০১/০১/১৯৮৬ </v>
      </c>
      <c r="H30" s="3" t="str">
        <f>IFERROR(__xludf.DUMMYFUNCTION("""COMPUTED_VALUE""")," শ্রমিক ")</f>
        <v> শ্রমিক </v>
      </c>
      <c r="I30" s="3" t="str">
        <f>IFERROR(__xludf.DUMMYFUNCTION("""COMPUTED_VALUE""")," জালশুকা, গাংনী, মেহেরপুর ")</f>
        <v> জালশুকা, গাংনী, মেহেরপুর </v>
      </c>
    </row>
    <row r="31" ht="15.75" customHeight="1">
      <c r="A31" s="3" t="s">
        <v>3168</v>
      </c>
      <c r="B31" s="3">
        <f>IFERROR(__xludf.DUMMYFUNCTION("SPLIT(A31,""|"")"),188.0)</f>
        <v>188</v>
      </c>
      <c r="C31" s="3" t="str">
        <f>IFERROR(__xludf.DUMMYFUNCTION("""COMPUTED_VALUE""")," মো: সোহেল রানা ")</f>
        <v> মো: সোহেল রানা </v>
      </c>
      <c r="D31" s="3">
        <f>IFERROR(__xludf.DUMMYFUNCTION("""COMPUTED_VALUE"""),5.70056378172E11)</f>
        <v>570056378172</v>
      </c>
      <c r="E31" s="3" t="str">
        <f>IFERROR(__xludf.DUMMYFUNCTION("""COMPUTED_VALUE""")," মো: মন্টু আলী ")</f>
        <v> মো: মন্টু আলী </v>
      </c>
      <c r="F31" s="3" t="str">
        <f>IFERROR(__xludf.DUMMYFUNCTION("""COMPUTED_VALUE""")," মোছা: আসমা খাতুন ")</f>
        <v> মোছা: আসমা খাতুন </v>
      </c>
      <c r="G31" s="3" t="str">
        <f>IFERROR(__xludf.DUMMYFUNCTION("""COMPUTED_VALUE""")," ০১/০১/১৯৮৩ ")</f>
        <v> ০১/০১/১৯৮৩ </v>
      </c>
      <c r="H31" s="3" t="str">
        <f>IFERROR(__xludf.DUMMYFUNCTION("""COMPUTED_VALUE""")," কৃষক ")</f>
        <v> কৃষক </v>
      </c>
      <c r="I31" s="3" t="str">
        <f>IFERROR(__xludf.DUMMYFUNCTION("""COMPUTED_VALUE""")," জালশুকা, গাংনী, মেহেরপুর ")</f>
        <v> জালশুকা, গাংনী, মেহেরপুর </v>
      </c>
    </row>
    <row r="32" ht="15.75" customHeight="1">
      <c r="A32" s="3" t="s">
        <v>3169</v>
      </c>
      <c r="B32" s="3">
        <f>IFERROR(__xludf.DUMMYFUNCTION("SPLIT(A32,""|"")"),189.0)</f>
        <v>189</v>
      </c>
      <c r="C32" s="3" t="str">
        <f>IFERROR(__xludf.DUMMYFUNCTION("""COMPUTED_VALUE""")," মো: আবুল কাশেম ")</f>
        <v> মো: আবুল কাশেম </v>
      </c>
      <c r="D32" s="3">
        <f>IFERROR(__xludf.DUMMYFUNCTION("""COMPUTED_VALUE"""),5.70056378173E11)</f>
        <v>570056378173</v>
      </c>
      <c r="E32" s="3" t="str">
        <f>IFERROR(__xludf.DUMMYFUNCTION("""COMPUTED_VALUE""")," মো: মজিবর রহমান ")</f>
        <v> মো: মজিবর রহমান </v>
      </c>
      <c r="F32" s="3" t="str">
        <f>IFERROR(__xludf.DUMMYFUNCTION("""COMPUTED_VALUE""")," মোছা: মইমনা খাতুন ")</f>
        <v> মোছা: মইমনা খাতুন </v>
      </c>
      <c r="G32" s="3" t="str">
        <f>IFERROR(__xludf.DUMMYFUNCTION("""COMPUTED_VALUE""")," ১০/১০/১৯৬৭ ")</f>
        <v> ১০/১০/১৯৬৭ </v>
      </c>
      <c r="H32" s="3" t="str">
        <f>IFERROR(__xludf.DUMMYFUNCTION("""COMPUTED_VALUE""")," ব্যবসা ")</f>
        <v> ব্যবসা </v>
      </c>
      <c r="I32" s="3" t="str">
        <f>IFERROR(__xludf.DUMMYFUNCTION("""COMPUTED_VALUE""")," জালশুকা, গাংনী, মেহেরপুর ")</f>
        <v> জালশুকা, গাংনী, মেহেরপুর </v>
      </c>
    </row>
    <row r="33" ht="15.75" customHeight="1">
      <c r="A33" s="3" t="s">
        <v>3170</v>
      </c>
      <c r="B33" s="3">
        <f>IFERROR(__xludf.DUMMYFUNCTION("SPLIT(A33,""|"")"),190.0)</f>
        <v>190</v>
      </c>
      <c r="C33" s="3" t="str">
        <f>IFERROR(__xludf.DUMMYFUNCTION("""COMPUTED_VALUE""")," মো: কামাল উদ্দীন ")</f>
        <v> মো: কামাল উদ্দীন </v>
      </c>
      <c r="D33" s="3">
        <f>IFERROR(__xludf.DUMMYFUNCTION("""COMPUTED_VALUE"""),5.70056378179E11)</f>
        <v>570056378179</v>
      </c>
      <c r="E33" s="3" t="str">
        <f>IFERROR(__xludf.DUMMYFUNCTION("""COMPUTED_VALUE""")," মো: দবীর উদ্দীন মালিথা ")</f>
        <v> মো: দবীর উদ্দীন মালিথা </v>
      </c>
      <c r="F33" s="3" t="str">
        <f>IFERROR(__xludf.DUMMYFUNCTION("""COMPUTED_VALUE""")," মোছা: জরিম নেছা ")</f>
        <v> মোছা: জরিম নেছা </v>
      </c>
      <c r="G33" s="3" t="str">
        <f>IFERROR(__xludf.DUMMYFUNCTION("""COMPUTED_VALUE""")," ১০/০২/১৯৮৭ ")</f>
        <v> ১০/০২/১৯৮৭ </v>
      </c>
      <c r="H33" s="3" t="str">
        <f>IFERROR(__xludf.DUMMYFUNCTION("""COMPUTED_VALUE""")," কৃষক ")</f>
        <v> কৃষক </v>
      </c>
      <c r="I33" s="3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34" ht="15.75" customHeight="1">
      <c r="A34" s="3" t="s">
        <v>3171</v>
      </c>
      <c r="B34" s="3">
        <f>IFERROR(__xludf.DUMMYFUNCTION("SPLIT(A34,""|"")"),191.0)</f>
        <v>191</v>
      </c>
      <c r="C34" s="3" t="str">
        <f>IFERROR(__xludf.DUMMYFUNCTION("""COMPUTED_VALUE""")," মো: এরশাদ আলী ")</f>
        <v> মো: এরশাদ আলী </v>
      </c>
      <c r="D34" s="3">
        <f>IFERROR(__xludf.DUMMYFUNCTION("""COMPUTED_VALUE"""),5.7005637818E11)</f>
        <v>570056378180</v>
      </c>
      <c r="E34" s="3" t="str">
        <f>IFERROR(__xludf.DUMMYFUNCTION("""COMPUTED_VALUE""")," মো: দবির উদ্দীন মালিথা ")</f>
        <v> মো: দবির উদ্দীন মালিথা </v>
      </c>
      <c r="F34" s="3" t="str">
        <f>IFERROR(__xludf.DUMMYFUNCTION("""COMPUTED_VALUE""")," মোছা: জমিরন নেছা ")</f>
        <v> মোছা: জমিরন নেছা </v>
      </c>
      <c r="G34" s="3" t="str">
        <f>IFERROR(__xludf.DUMMYFUNCTION("""COMPUTED_VALUE""")," ০১/০১/১৯৯০ ")</f>
        <v> ০১/০১/১৯৯০ </v>
      </c>
      <c r="H34" s="3" t="str">
        <f>IFERROR(__xludf.DUMMYFUNCTION("""COMPUTED_VALUE""")," কৃষক ")</f>
        <v> কৃষক </v>
      </c>
      <c r="I34" s="3" t="str">
        <f>IFERROR(__xludf.DUMMYFUNCTION("""COMPUTED_VALUE""")," জালশুকা, গাংনী, মেহেরপুর ")</f>
        <v> জালশুকা, গাংনী, মেহেরপুর </v>
      </c>
    </row>
    <row r="35" ht="15.75" customHeight="1">
      <c r="A35" s="3" t="s">
        <v>3172</v>
      </c>
      <c r="B35" s="3">
        <f>IFERROR(__xludf.DUMMYFUNCTION("SPLIT(A35,""|"")"),192.0)</f>
        <v>192</v>
      </c>
      <c r="C35" s="3" t="str">
        <f>IFERROR(__xludf.DUMMYFUNCTION("""COMPUTED_VALUE""")," মো: মিনারুল ইসলাম ")</f>
        <v> মো: মিনারুল ইসলাম </v>
      </c>
      <c r="D35" s="3">
        <f>IFERROR(__xludf.DUMMYFUNCTION("""COMPUTED_VALUE"""),5.70056378185E11)</f>
        <v>570056378185</v>
      </c>
      <c r="E35" s="3" t="str">
        <f>IFERROR(__xludf.DUMMYFUNCTION("""COMPUTED_VALUE""")," মো: কুরমান আলি ")</f>
        <v> মো: কুরমান আলি </v>
      </c>
      <c r="F35" s="3" t="str">
        <f>IFERROR(__xludf.DUMMYFUNCTION("""COMPUTED_VALUE""")," মোছা: হামেদা খাতুন ")</f>
        <v> মোছা: হামেদা খাতুন </v>
      </c>
      <c r="G35" s="3" t="str">
        <f>IFERROR(__xludf.DUMMYFUNCTION("""COMPUTED_VALUE""")," ২৮/০৬/১৯৭৩ ")</f>
        <v> ২৮/০৬/১৯৭৩ </v>
      </c>
      <c r="H35" s="3" t="str">
        <f>IFERROR(__xludf.DUMMYFUNCTION("""COMPUTED_VALUE""")," কৃষক ")</f>
        <v> কৃষক </v>
      </c>
      <c r="I35" s="3" t="str">
        <f>IFERROR(__xludf.DUMMYFUNCTION("""COMPUTED_VALUE""")," জালশুকা, গাংনী, মেহেরপুর ")</f>
        <v> জালশুকা, গাংনী, মেহেরপুর </v>
      </c>
    </row>
    <row r="36" ht="15.75" customHeight="1">
      <c r="A36" s="3" t="s">
        <v>3173</v>
      </c>
      <c r="B36" s="3">
        <f>IFERROR(__xludf.DUMMYFUNCTION("SPLIT(A36,""|"")"),193.0)</f>
        <v>193</v>
      </c>
      <c r="C36" s="3" t="str">
        <f>IFERROR(__xludf.DUMMYFUNCTION("""COMPUTED_VALUE""")," মো: এনামুল হক ")</f>
        <v> মো: এনামুল হক </v>
      </c>
      <c r="D36" s="3">
        <f>IFERROR(__xludf.DUMMYFUNCTION("""COMPUTED_VALUE"""),5.70056378187E11)</f>
        <v>570056378187</v>
      </c>
      <c r="E36" s="3" t="str">
        <f>IFERROR(__xludf.DUMMYFUNCTION("""COMPUTED_VALUE""")," সো: ফজল উদ্দীন ")</f>
        <v> সো: ফজল উদ্দীন </v>
      </c>
      <c r="F36" s="3" t="str">
        <f>IFERROR(__xludf.DUMMYFUNCTION("""COMPUTED_VALUE""")," আনোয়ারা খাতুন ")</f>
        <v> আনোয়ারা খাতুন </v>
      </c>
      <c r="G36" s="3" t="str">
        <f>IFERROR(__xludf.DUMMYFUNCTION("""COMPUTED_VALUE""")," ০৮/০৫/১৯৭৯ ")</f>
        <v> ০৮/০৫/১৯৭৯ </v>
      </c>
      <c r="H36" s="3" t="str">
        <f>IFERROR(__xludf.DUMMYFUNCTION("""COMPUTED_VALUE""")," কৃষক ")</f>
        <v> কৃষক </v>
      </c>
      <c r="I36" s="3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37" ht="15.75" customHeight="1">
      <c r="A37" s="3" t="s">
        <v>3174</v>
      </c>
      <c r="B37" s="3">
        <f>IFERROR(__xludf.DUMMYFUNCTION("SPLIT(A37,""|"")"),194.0)</f>
        <v>194</v>
      </c>
      <c r="C37" s="3" t="str">
        <f>IFERROR(__xludf.DUMMYFUNCTION("""COMPUTED_VALUE""")," মো: হানেফ আলী ")</f>
        <v> মো: হানেফ আলী </v>
      </c>
      <c r="D37" s="3">
        <f>IFERROR(__xludf.DUMMYFUNCTION("""COMPUTED_VALUE"""),5.7005637819E11)</f>
        <v>570056378190</v>
      </c>
      <c r="E37" s="3" t="str">
        <f>IFERROR(__xludf.DUMMYFUNCTION("""COMPUTED_VALUE""")," মো: মজিবর রহমান ")</f>
        <v> মো: মজিবর রহমান </v>
      </c>
      <c r="F37" s="3" t="str">
        <f>IFERROR(__xludf.DUMMYFUNCTION("""COMPUTED_VALUE""")," মোছা: মইমনা খাতুন ")</f>
        <v> মোছা: মইমনা খাতুন </v>
      </c>
      <c r="G37" s="3" t="str">
        <f>IFERROR(__xludf.DUMMYFUNCTION("""COMPUTED_VALUE""")," ৩০/০৭/১৯৭৭ ")</f>
        <v> ৩০/০৭/১৯৭৭ </v>
      </c>
      <c r="H37" s="3" t="str">
        <f>IFERROR(__xludf.DUMMYFUNCTION("""COMPUTED_VALUE""")," কৃষক ")</f>
        <v> কৃষক </v>
      </c>
      <c r="I37" s="3" t="str">
        <f>IFERROR(__xludf.DUMMYFUNCTION("""COMPUTED_VALUE""")," জালশুকা, গাংনী, মেহেরপুর ")</f>
        <v> জালশুকা, গাংনী, মেহেরপুর </v>
      </c>
    </row>
    <row r="38" ht="15.75" customHeight="1">
      <c r="A38" s="3" t="s">
        <v>3175</v>
      </c>
      <c r="B38" s="3">
        <f>IFERROR(__xludf.DUMMYFUNCTION("SPLIT(A38,""|"")"),195.0)</f>
        <v>195</v>
      </c>
      <c r="C38" s="3" t="str">
        <f>IFERROR(__xludf.DUMMYFUNCTION("""COMPUTED_VALUE""")," মো: তমছের আলি ")</f>
        <v> মো: তমছের আলি </v>
      </c>
      <c r="D38" s="3">
        <f>IFERROR(__xludf.DUMMYFUNCTION("""COMPUTED_VALUE"""),5.70056378193E11)</f>
        <v>570056378193</v>
      </c>
      <c r="E38" s="3" t="str">
        <f>IFERROR(__xludf.DUMMYFUNCTION("""COMPUTED_VALUE""")," মো: আমীর মন্ডল ")</f>
        <v> মো: আমীর মন্ডল </v>
      </c>
      <c r="F38" s="3" t="str">
        <f>IFERROR(__xludf.DUMMYFUNCTION("""COMPUTED_VALUE""")," জমিরন ")</f>
        <v> জমিরন </v>
      </c>
      <c r="G38" s="3" t="str">
        <f>IFERROR(__xludf.DUMMYFUNCTION("""COMPUTED_VALUE""")," ১১/০৯/১৯৬৭ ")</f>
        <v> ১১/০৯/১৯৬৭ </v>
      </c>
      <c r="H38" s="3" t="str">
        <f>IFERROR(__xludf.DUMMYFUNCTION("""COMPUTED_VALUE""")," কৃষক ")</f>
        <v> কৃষক </v>
      </c>
      <c r="I38" s="3" t="str">
        <f>IFERROR(__xludf.DUMMYFUNCTION("""COMPUTED_VALUE""")," জালশুকা, গাংনী, মেহেরপুর ")</f>
        <v> জালশুকা, গাংনী, মেহেরপুর </v>
      </c>
    </row>
    <row r="39" ht="15.75" customHeight="1">
      <c r="A39" s="3" t="s">
        <v>3176</v>
      </c>
      <c r="B39" s="3">
        <f>IFERROR(__xludf.DUMMYFUNCTION("SPLIT(A39,""|"")"),214.0)</f>
        <v>214</v>
      </c>
      <c r="C39" s="3" t="str">
        <f>IFERROR(__xludf.DUMMYFUNCTION("""COMPUTED_VALUE""")," মো: জাহাঙ্গীর আলম ")</f>
        <v> মো: জাহাঙ্গীর আলম </v>
      </c>
      <c r="D39" s="3">
        <f>IFERROR(__xludf.DUMMYFUNCTION("""COMPUTED_VALUE"""),5.70056378227E11)</f>
        <v>570056378227</v>
      </c>
      <c r="E39" s="3" t="str">
        <f>IFERROR(__xludf.DUMMYFUNCTION("""COMPUTED_VALUE""")," মো: মহসিন আলী ")</f>
        <v> মো: মহসিন আলী </v>
      </c>
      <c r="F39" s="3" t="str">
        <f>IFERROR(__xludf.DUMMYFUNCTION("""COMPUTED_VALUE""")," মোছা: ছামসুন্নাহার ")</f>
        <v> মোছা: ছামসুন্নাহার </v>
      </c>
      <c r="G39" s="3" t="str">
        <f>IFERROR(__xludf.DUMMYFUNCTION("""COMPUTED_VALUE""")," ০১/০১/১৯৮৭ ")</f>
        <v> ০১/০১/১৯৮৭ </v>
      </c>
      <c r="H39" s="3" t="str">
        <f>IFERROR(__xludf.DUMMYFUNCTION("""COMPUTED_VALUE""")," কৃষক ")</f>
        <v> কৃষক </v>
      </c>
      <c r="I39" s="3" t="str">
        <f>IFERROR(__xludf.DUMMYFUNCTION("""COMPUTED_VALUE""")," জালশুকা, গাংনী, মেহেরপুর ")</f>
        <v> জালশুকা, গাংনী, মেহেরপুর </v>
      </c>
    </row>
    <row r="40" ht="15.75" customHeight="1">
      <c r="A40" s="3" t="s">
        <v>3177</v>
      </c>
      <c r="B40" s="3">
        <f>IFERROR(__xludf.DUMMYFUNCTION("SPLIT(A40,""|"")"),215.0)</f>
        <v>215</v>
      </c>
      <c r="C40" s="3" t="str">
        <f>IFERROR(__xludf.DUMMYFUNCTION("""COMPUTED_VALUE""")," মো: রায়তাল হক ")</f>
        <v> মো: রায়তাল হক </v>
      </c>
      <c r="D40" s="3">
        <f>IFERROR(__xludf.DUMMYFUNCTION("""COMPUTED_VALUE"""),5.70056378229E11)</f>
        <v>570056378229</v>
      </c>
      <c r="E40" s="3" t="str">
        <f>IFERROR(__xludf.DUMMYFUNCTION("""COMPUTED_VALUE""")," মো: খেদের আলী ")</f>
        <v> মো: খেদের আলী </v>
      </c>
      <c r="F40" s="3" t="str">
        <f>IFERROR(__xludf.DUMMYFUNCTION("""COMPUTED_VALUE""")," মোছা: সোহাগী ")</f>
        <v> মোছা: সোহাগী </v>
      </c>
      <c r="G40" s="3" t="str">
        <f>IFERROR(__xludf.DUMMYFUNCTION("""COMPUTED_VALUE""")," ২০/০২/১৯৬১ ")</f>
        <v> ২০/০২/১৯৬১ </v>
      </c>
      <c r="H40" s="3" t="str">
        <f>IFERROR(__xludf.DUMMYFUNCTION("""COMPUTED_VALUE""")," কৃষক ")</f>
        <v> কৃষক </v>
      </c>
      <c r="I40" s="3" t="str">
        <f>IFERROR(__xludf.DUMMYFUNCTION("""COMPUTED_VALUE""")," জালশুকা, গাংনী, মেহেরপুর ")</f>
        <v> জালশুকা, গাংনী, মেহেরপুর </v>
      </c>
    </row>
    <row r="41" ht="15.75" customHeight="1">
      <c r="A41" s="3" t="s">
        <v>3178</v>
      </c>
      <c r="B41" s="3">
        <f>IFERROR(__xludf.DUMMYFUNCTION("SPLIT(A41,""|"")"),216.0)</f>
        <v>216</v>
      </c>
      <c r="C41" s="3" t="str">
        <f>IFERROR(__xludf.DUMMYFUNCTION("""COMPUTED_VALUE""")," মো: আ: রাজ্জাক ")</f>
        <v> মো: আ: রাজ্জাক </v>
      </c>
      <c r="D41" s="3">
        <f>IFERROR(__xludf.DUMMYFUNCTION("""COMPUTED_VALUE"""),5.7005637823E11)</f>
        <v>570056378230</v>
      </c>
      <c r="E41" s="3" t="str">
        <f>IFERROR(__xludf.DUMMYFUNCTION("""COMPUTED_VALUE""")," মো: জছের মল্লিক ")</f>
        <v> মো: জছের মল্লিক </v>
      </c>
      <c r="F41" s="3" t="str">
        <f>IFERROR(__xludf.DUMMYFUNCTION("""COMPUTED_VALUE""")," মোছা: ফেলা ")</f>
        <v> মোছা: ফেলা </v>
      </c>
      <c r="G41" s="3" t="str">
        <f>IFERROR(__xludf.DUMMYFUNCTION("""COMPUTED_VALUE""")," ১৭/১০/১৯৬৯ ")</f>
        <v> ১৭/১০/১৯৬৯ </v>
      </c>
      <c r="H41" s="3" t="str">
        <f>IFERROR(__xludf.DUMMYFUNCTION("""COMPUTED_VALUE""")," কৃষক ")</f>
        <v> কৃষক </v>
      </c>
      <c r="I41" s="3" t="str">
        <f>IFERROR(__xludf.DUMMYFUNCTION("""COMPUTED_VALUE""")," জালশুকা, গাংনী, মেহেরপুর ")</f>
        <v> জালশুকা, গাংনী, মেহেরপুর </v>
      </c>
    </row>
    <row r="42" ht="15.75" customHeight="1">
      <c r="A42" s="3" t="s">
        <v>3179</v>
      </c>
      <c r="B42" s="3">
        <f>IFERROR(__xludf.DUMMYFUNCTION("SPLIT(A42,""|"")"),217.0)</f>
        <v>217</v>
      </c>
      <c r="C42" s="3" t="str">
        <f>IFERROR(__xludf.DUMMYFUNCTION("""COMPUTED_VALUE""")," মো: আশরাফুল আলম ")</f>
        <v> মো: আশরাফুল আলম </v>
      </c>
      <c r="D42" s="3">
        <f>IFERROR(__xludf.DUMMYFUNCTION("""COMPUTED_VALUE"""),5.70056378231E11)</f>
        <v>570056378231</v>
      </c>
      <c r="E42" s="3" t="str">
        <f>IFERROR(__xludf.DUMMYFUNCTION("""COMPUTED_VALUE""")," মো: ফজলুল হক ")</f>
        <v> মো: ফজলুল হক </v>
      </c>
      <c r="F42" s="3" t="str">
        <f>IFERROR(__xludf.DUMMYFUNCTION("""COMPUTED_VALUE""")," মোছা: রোকেয়া খাতুন ")</f>
        <v> মোছা: রোকেয়া খাতুন </v>
      </c>
      <c r="G42" s="3" t="str">
        <f>IFERROR(__xludf.DUMMYFUNCTION("""COMPUTED_VALUE""")," ০১/০১/১৯৮৪ ")</f>
        <v> ০১/০১/১৯৮৪ </v>
      </c>
      <c r="H42" s="3" t="str">
        <f>IFERROR(__xludf.DUMMYFUNCTION("""COMPUTED_VALUE""")," কৃষক ")</f>
        <v> কৃষক </v>
      </c>
      <c r="I42" s="3" t="str">
        <f>IFERROR(__xludf.DUMMYFUNCTION("""COMPUTED_VALUE""")," জালশুকা, গাংনী, মেহেরপুর ")</f>
        <v> জালশুকা, গাংনী, মেহেরপুর </v>
      </c>
    </row>
    <row r="43" ht="15.75" customHeight="1">
      <c r="A43" s="3" t="s">
        <v>3180</v>
      </c>
      <c r="B43" s="3">
        <f>IFERROR(__xludf.DUMMYFUNCTION("SPLIT(A43,""|"")"),218.0)</f>
        <v>218</v>
      </c>
      <c r="C43" s="3" t="str">
        <f>IFERROR(__xludf.DUMMYFUNCTION("""COMPUTED_VALUE""")," হামিদুর রহমান ")</f>
        <v> হামিদুর রহমান </v>
      </c>
      <c r="D43" s="3">
        <f>IFERROR(__xludf.DUMMYFUNCTION("""COMPUTED_VALUE"""),5.70056378232E11)</f>
        <v>570056378232</v>
      </c>
      <c r="E43" s="3" t="str">
        <f>IFERROR(__xludf.DUMMYFUNCTION("""COMPUTED_VALUE""")," কায়েমালী ")</f>
        <v> কায়েমালী </v>
      </c>
      <c r="F43" s="3" t="str">
        <f>IFERROR(__xludf.DUMMYFUNCTION("""COMPUTED_VALUE""")," ছমেলা খাতুন ")</f>
        <v> ছমেলা খাতুন </v>
      </c>
      <c r="G43" s="3" t="str">
        <f>IFERROR(__xludf.DUMMYFUNCTION("""COMPUTED_VALUE""")," ২৩/০৯/১৯৬৪ ")</f>
        <v> ২৩/০৯/১৯৬৪ </v>
      </c>
      <c r="H43" s="3" t="str">
        <f>IFERROR(__xludf.DUMMYFUNCTION("""COMPUTED_VALUE""")," কৃষক ")</f>
        <v> কৃষক </v>
      </c>
      <c r="I43" s="3" t="str">
        <f>IFERROR(__xludf.DUMMYFUNCTION("""COMPUTED_VALUE""")," জালশুকা, গাংনী, মেহেরপুর ")</f>
        <v> জালশুকা, গাংনী, মেহেরপুর </v>
      </c>
    </row>
    <row r="44" ht="15.75" customHeight="1">
      <c r="A44" s="3" t="s">
        <v>3181</v>
      </c>
      <c r="B44" s="3">
        <f>IFERROR(__xludf.DUMMYFUNCTION("SPLIT(A44,""|"")"),219.0)</f>
        <v>219</v>
      </c>
      <c r="C44" s="3" t="str">
        <f>IFERROR(__xludf.DUMMYFUNCTION("""COMPUTED_VALUE""")," মো: মতিয়ার রহমান ")</f>
        <v> মো: মতিয়ার রহমান </v>
      </c>
      <c r="D44" s="3">
        <f>IFERROR(__xludf.DUMMYFUNCTION("""COMPUTED_VALUE"""),5.70056378233E11)</f>
        <v>570056378233</v>
      </c>
      <c r="E44" s="3" t="str">
        <f>IFERROR(__xludf.DUMMYFUNCTION("""COMPUTED_VALUE""")," মো: আ: আজিজ ")</f>
        <v> মো: আ: আজিজ </v>
      </c>
      <c r="F44" s="3" t="str">
        <f>IFERROR(__xludf.DUMMYFUNCTION("""COMPUTED_VALUE""")," মোছা: মনোয়ারা খাতুন ")</f>
        <v> মোছা: মনোয়ারা খাতুন </v>
      </c>
      <c r="G44" s="3" t="str">
        <f>IFERROR(__xludf.DUMMYFUNCTION("""COMPUTED_VALUE""")," ০৯/০৫/১৯৭৪ ")</f>
        <v> ০৯/০৫/১৯৭৪ </v>
      </c>
      <c r="H44" s="3" t="str">
        <f>IFERROR(__xludf.DUMMYFUNCTION("""COMPUTED_VALUE""")," কৃষক ")</f>
        <v> কৃষক </v>
      </c>
      <c r="I44" s="3" t="str">
        <f>IFERROR(__xludf.DUMMYFUNCTION("""COMPUTED_VALUE""")," জালশুকা, গাংনী, মেহেরপুর ")</f>
        <v> জালশুকা, গাংনী, মেহেরপুর </v>
      </c>
    </row>
    <row r="45" ht="15.75" customHeight="1">
      <c r="A45" s="3" t="s">
        <v>3182</v>
      </c>
      <c r="B45" s="3">
        <f>IFERROR(__xludf.DUMMYFUNCTION("SPLIT(A45,""|"")"),220.0)</f>
        <v>220</v>
      </c>
      <c r="C45" s="3" t="str">
        <f>IFERROR(__xludf.DUMMYFUNCTION("""COMPUTED_VALUE""")," মো: আ: ওহাব ")</f>
        <v> মো: আ: ওহাব </v>
      </c>
      <c r="D45" s="3">
        <f>IFERROR(__xludf.DUMMYFUNCTION("""COMPUTED_VALUE"""),5.70056378234E11)</f>
        <v>570056378234</v>
      </c>
      <c r="E45" s="3" t="str">
        <f>IFERROR(__xludf.DUMMYFUNCTION("""COMPUTED_VALUE""")," মফেজদ্দী ")</f>
        <v> মফেজদ্দী </v>
      </c>
      <c r="F45" s="3" t="str">
        <f>IFERROR(__xludf.DUMMYFUNCTION("""COMPUTED_VALUE""")," মোছা: রাহেলা খাতুন ")</f>
        <v> মোছা: রাহেলা খাতুন </v>
      </c>
      <c r="G45" s="3" t="str">
        <f>IFERROR(__xludf.DUMMYFUNCTION("""COMPUTED_VALUE""")," ১০/০৭/১৯৭২ ")</f>
        <v> ১০/০৭/১৯৭২ </v>
      </c>
      <c r="H45" s="3" t="str">
        <f>IFERROR(__xludf.DUMMYFUNCTION("""COMPUTED_VALUE""")," কৃষক ")</f>
        <v> কৃষক </v>
      </c>
      <c r="I45" s="3" t="str">
        <f>IFERROR(__xludf.DUMMYFUNCTION("""COMPUTED_VALUE""")," জালশুকা, গাংনী, মেহেরপুর ")</f>
        <v> জালশুকা, গাংনী, মেহেরপুর </v>
      </c>
    </row>
    <row r="46" ht="15.75" customHeight="1">
      <c r="A46" s="3" t="s">
        <v>3183</v>
      </c>
      <c r="B46" s="3">
        <f>IFERROR(__xludf.DUMMYFUNCTION("SPLIT(A46,""|"")"),221.0)</f>
        <v>221</v>
      </c>
      <c r="C46" s="3" t="str">
        <f>IFERROR(__xludf.DUMMYFUNCTION("""COMPUTED_VALUE""")," মো: খাইরুল ইসলাম ")</f>
        <v> মো: খাইরুল ইসলাম </v>
      </c>
      <c r="D46" s="3">
        <f>IFERROR(__xludf.DUMMYFUNCTION("""COMPUTED_VALUE"""),5.70056378236E11)</f>
        <v>570056378236</v>
      </c>
      <c r="E46" s="3" t="str">
        <f>IFERROR(__xludf.DUMMYFUNCTION("""COMPUTED_VALUE""")," মো: ফজল উদ্দীন ")</f>
        <v> মো: ফজল উদ্দীন </v>
      </c>
      <c r="F46" s="3" t="str">
        <f>IFERROR(__xludf.DUMMYFUNCTION("""COMPUTED_VALUE""")," মোছা: আনোয়ারা খাতুন ")</f>
        <v> মোছা: আনোয়ারা খাতুন </v>
      </c>
      <c r="G46" s="3" t="str">
        <f>IFERROR(__xludf.DUMMYFUNCTION("""COMPUTED_VALUE""")," ০১/০৪/১৯৭০ ")</f>
        <v> ০১/০৪/১৯৭০ </v>
      </c>
      <c r="H46" s="3" t="str">
        <f>IFERROR(__xludf.DUMMYFUNCTION("""COMPUTED_VALUE""")," কৃষক ")</f>
        <v> কৃষক </v>
      </c>
      <c r="I46" s="3" t="str">
        <f>IFERROR(__xludf.DUMMYFUNCTION("""COMPUTED_VALUE""")," জালশুকা, গাংনী, মেহেরপুর ")</f>
        <v> জালশুকা, গাংনী, মেহেরপুর </v>
      </c>
    </row>
    <row r="47" ht="15.75" customHeight="1">
      <c r="A47" s="3" t="s">
        <v>3184</v>
      </c>
      <c r="B47" s="3">
        <f>IFERROR(__xludf.DUMMYFUNCTION("SPLIT(A47,""|"")"),222.0)</f>
        <v>222</v>
      </c>
      <c r="C47" s="3" t="str">
        <f>IFERROR(__xludf.DUMMYFUNCTION("""COMPUTED_VALUE""")," মো: বিল্লাল হোসেন ")</f>
        <v> মো: বিল্লাল হোসেন </v>
      </c>
      <c r="D47" s="3">
        <f>IFERROR(__xludf.DUMMYFUNCTION("""COMPUTED_VALUE"""),5.70056378237E11)</f>
        <v>570056378237</v>
      </c>
      <c r="E47" s="3" t="str">
        <f>IFERROR(__xludf.DUMMYFUNCTION("""COMPUTED_VALUE""")," শওকত আলী ")</f>
        <v> শওকত আলী </v>
      </c>
      <c r="F47" s="3" t="str">
        <f>IFERROR(__xludf.DUMMYFUNCTION("""COMPUTED_VALUE""")," রমলা খাতুন ")</f>
        <v> রমলা খাতুন </v>
      </c>
      <c r="G47" s="3" t="str">
        <f>IFERROR(__xludf.DUMMYFUNCTION("""COMPUTED_VALUE""")," ০৯/০৯/১৯৭২ ")</f>
        <v> ০৯/০৯/১৯৭২ </v>
      </c>
      <c r="H47" s="3" t="str">
        <f>IFERROR(__xludf.DUMMYFUNCTION("""COMPUTED_VALUE""")," কৃষক ")</f>
        <v> কৃষক </v>
      </c>
      <c r="I47" s="3" t="str">
        <f>IFERROR(__xludf.DUMMYFUNCTION("""COMPUTED_VALUE""")," জালশুকা, গাংনী, মেহেরপুর ")</f>
        <v> জালশুকা, গাংনী, মেহেরপুর </v>
      </c>
    </row>
    <row r="48" ht="15.75" customHeight="1">
      <c r="A48" s="3" t="s">
        <v>3185</v>
      </c>
      <c r="B48" s="3">
        <f>IFERROR(__xludf.DUMMYFUNCTION("SPLIT(A48,""|"")"),223.0)</f>
        <v>223</v>
      </c>
      <c r="C48" s="3" t="str">
        <f>IFERROR(__xludf.DUMMYFUNCTION("""COMPUTED_VALUE""")," মো: কুতুব উদ্দীন ")</f>
        <v> মো: কুতুব উদ্দীন </v>
      </c>
      <c r="D48" s="3">
        <f>IFERROR(__xludf.DUMMYFUNCTION("""COMPUTED_VALUE"""),5.70056378239E11)</f>
        <v>570056378239</v>
      </c>
      <c r="E48" s="3" t="str">
        <f>IFERROR(__xludf.DUMMYFUNCTION("""COMPUTED_VALUE""")," ছিয়ামদ্দীন ")</f>
        <v> ছিয়ামদ্দীন </v>
      </c>
      <c r="F48" s="3" t="str">
        <f>IFERROR(__xludf.DUMMYFUNCTION("""COMPUTED_VALUE""")," মোছা: নিহারন নেছা ")</f>
        <v> মোছা: নিহারন নেছা </v>
      </c>
      <c r="G48" s="3" t="str">
        <f>IFERROR(__xludf.DUMMYFUNCTION("""COMPUTED_VALUE""")," ০১/০৪/১৯৭১ ")</f>
        <v> ০১/০৪/১৯৭১ </v>
      </c>
      <c r="H48" s="3" t="str">
        <f>IFERROR(__xludf.DUMMYFUNCTION("""COMPUTED_VALUE""")," কৃষক ")</f>
        <v> কৃষক </v>
      </c>
      <c r="I48" s="3" t="str">
        <f>IFERROR(__xludf.DUMMYFUNCTION("""COMPUTED_VALUE""")," জালশুকা, গাংনী, মেহেরপুর ")</f>
        <v> জালশুকা, গাংনী, মেহেরপুর </v>
      </c>
    </row>
    <row r="49" ht="15.75" customHeight="1">
      <c r="A49" s="3" t="s">
        <v>3186</v>
      </c>
      <c r="B49" s="3">
        <f>IFERROR(__xludf.DUMMYFUNCTION("SPLIT(A49,""|"")"),224.0)</f>
        <v>224</v>
      </c>
      <c r="C49" s="3" t="str">
        <f>IFERROR(__xludf.DUMMYFUNCTION("""COMPUTED_VALUE""")," মো: ছলেমান মন্ডল ")</f>
        <v> মো: ছলেমান মন্ডল </v>
      </c>
      <c r="D49" s="3">
        <f>IFERROR(__xludf.DUMMYFUNCTION("""COMPUTED_VALUE"""),5.7005637824E11)</f>
        <v>570056378240</v>
      </c>
      <c r="E49" s="3" t="str">
        <f>IFERROR(__xludf.DUMMYFUNCTION("""COMPUTED_VALUE""")," তেইজদ্দীন ")</f>
        <v> তেইজদ্দীন </v>
      </c>
      <c r="F49" s="3" t="str">
        <f>IFERROR(__xludf.DUMMYFUNCTION("""COMPUTED_VALUE""")," সালেহার ")</f>
        <v> সালেহার </v>
      </c>
      <c r="G49" s="3" t="str">
        <f>IFERROR(__xludf.DUMMYFUNCTION("""COMPUTED_VALUE""")," ২৯/০৬/১৯৩৭ ")</f>
        <v> ২৯/০৬/১৯৩৭ </v>
      </c>
      <c r="H49" s="3" t="str">
        <f>IFERROR(__xludf.DUMMYFUNCTION("""COMPUTED_VALUE""")," কৃষক ")</f>
        <v> কৃষক </v>
      </c>
      <c r="I49" s="3" t="str">
        <f>IFERROR(__xludf.DUMMYFUNCTION("""COMPUTED_VALUE""")," জালশুকা, গাংনী, মেহেরপুর ")</f>
        <v> জালশুকা, গাংনী, মেহেরপুর </v>
      </c>
    </row>
    <row r="50" ht="15.75" customHeight="1">
      <c r="A50" s="3" t="s">
        <v>3187</v>
      </c>
      <c r="B50" s="3">
        <f>IFERROR(__xludf.DUMMYFUNCTION("SPLIT(A50,""|"")"),225.0)</f>
        <v>225</v>
      </c>
      <c r="C50" s="3" t="str">
        <f>IFERROR(__xludf.DUMMYFUNCTION("""COMPUTED_VALUE""")," মো: জামাত আলী ")</f>
        <v> মো: জামাত আলী </v>
      </c>
      <c r="D50" s="3">
        <f>IFERROR(__xludf.DUMMYFUNCTION("""COMPUTED_VALUE"""),5.70056378242E11)</f>
        <v>570056378242</v>
      </c>
      <c r="E50" s="3" t="str">
        <f>IFERROR(__xludf.DUMMYFUNCTION("""COMPUTED_VALUE""")," মো: কোরবান মোল্লা ")</f>
        <v> মো: কোরবান মোল্লা </v>
      </c>
      <c r="F50" s="3" t="str">
        <f>IFERROR(__xludf.DUMMYFUNCTION("""COMPUTED_VALUE""")," হামিদা ")</f>
        <v> হামিদা </v>
      </c>
      <c r="G50" s="3" t="str">
        <f>IFERROR(__xludf.DUMMYFUNCTION("""COMPUTED_VALUE""")," ০১/০১/১৯৮০ ")</f>
        <v> ০১/০১/১৯৮০ </v>
      </c>
      <c r="H50" s="3" t="str">
        <f>IFERROR(__xludf.DUMMYFUNCTION("""COMPUTED_VALUE""")," কৃষক ")</f>
        <v> কৃষক </v>
      </c>
      <c r="I50" s="3" t="str">
        <f>IFERROR(__xludf.DUMMYFUNCTION("""COMPUTED_VALUE""")," জালশুকা, গাংনী, মেহেরপুর ")</f>
        <v> জালশুকা, গাংনী, মেহেরপুর </v>
      </c>
    </row>
    <row r="51" ht="15.75" customHeight="1">
      <c r="A51" s="3" t="s">
        <v>3188</v>
      </c>
      <c r="B51" s="3">
        <f>IFERROR(__xludf.DUMMYFUNCTION("SPLIT(A51,""|"")"),226.0)</f>
        <v>226</v>
      </c>
      <c r="C51" s="3" t="str">
        <f>IFERROR(__xludf.DUMMYFUNCTION("""COMPUTED_VALUE""")," মো: শাবান আলী ")</f>
        <v> মো: শাবান আলী </v>
      </c>
      <c r="D51" s="3">
        <f>IFERROR(__xludf.DUMMYFUNCTION("""COMPUTED_VALUE"""),5.70056378244E11)</f>
        <v>570056378244</v>
      </c>
      <c r="E51" s="3" t="str">
        <f>IFERROR(__xludf.DUMMYFUNCTION("""COMPUTED_VALUE""")," মো: ফজলুল হক ")</f>
        <v> মো: ফজলুল হক </v>
      </c>
      <c r="F51" s="3" t="str">
        <f>IFERROR(__xludf.DUMMYFUNCTION("""COMPUTED_VALUE""")," মোছা: ফরিদা খাতুন ")</f>
        <v> মোছা: ফরিদা খাতুন </v>
      </c>
      <c r="G51" s="3" t="str">
        <f>IFERROR(__xludf.DUMMYFUNCTION("""COMPUTED_VALUE""")," ১০/০৯/১৯৭২ ")</f>
        <v> ১০/০৯/১৯৭২ </v>
      </c>
      <c r="H51" s="3" t="str">
        <f>IFERROR(__xludf.DUMMYFUNCTION("""COMPUTED_VALUE""")," কৃষক ")</f>
        <v> কৃষক </v>
      </c>
      <c r="I51" s="3" t="str">
        <f>IFERROR(__xludf.DUMMYFUNCTION("""COMPUTED_VALUE""")," জালশুকা, গাংনী, মেহেরপুর ")</f>
        <v> জালশুকা, গাংনী, মেহেরপুর </v>
      </c>
    </row>
    <row r="52" ht="15.75" customHeight="1">
      <c r="A52" s="3" t="s">
        <v>3189</v>
      </c>
      <c r="B52" s="3">
        <f>IFERROR(__xludf.DUMMYFUNCTION("SPLIT(A52,""|"")"),227.0)</f>
        <v>227</v>
      </c>
      <c r="C52" s="3" t="str">
        <f>IFERROR(__xludf.DUMMYFUNCTION("""COMPUTED_VALUE""")," মো: আলেক চাঁদ ")</f>
        <v> মো: আলেক চাঁদ </v>
      </c>
      <c r="D52" s="3">
        <f>IFERROR(__xludf.DUMMYFUNCTION("""COMPUTED_VALUE"""),5.70056378245E11)</f>
        <v>570056378245</v>
      </c>
      <c r="E52" s="3" t="str">
        <f>IFERROR(__xludf.DUMMYFUNCTION("""COMPUTED_VALUE""")," ইয়াকুব বিশ্বাস ")</f>
        <v> ইয়াকুব বিশ্বাস </v>
      </c>
      <c r="F52" s="3" t="str">
        <f>IFERROR(__xludf.DUMMYFUNCTION("""COMPUTED_VALUE""")," খাদেজান ")</f>
        <v> খাদেজান </v>
      </c>
      <c r="G52" s="3" t="str">
        <f>IFERROR(__xludf.DUMMYFUNCTION("""COMPUTED_VALUE""")," ০১/০১/১৯৬১ ")</f>
        <v> ০১/০১/১৯৬১ </v>
      </c>
      <c r="H52" s="3" t="str">
        <f>IFERROR(__xludf.DUMMYFUNCTION("""COMPUTED_VALUE""")," কৃষক ")</f>
        <v> কৃষক </v>
      </c>
      <c r="I52" s="3" t="str">
        <f>IFERROR(__xludf.DUMMYFUNCTION("""COMPUTED_VALUE""")," জালশুকা, গাংনী, মেহেরপুর ")</f>
        <v> জালশুকা, গাংনী, মেহেরপুর </v>
      </c>
    </row>
    <row r="53" ht="15.75" customHeight="1">
      <c r="A53" s="3" t="s">
        <v>3190</v>
      </c>
      <c r="B53" s="3">
        <f>IFERROR(__xludf.DUMMYFUNCTION("SPLIT(A53,""|"")"),228.0)</f>
        <v>228</v>
      </c>
      <c r="C53" s="3" t="str">
        <f>IFERROR(__xludf.DUMMYFUNCTION("""COMPUTED_VALUE""")," মো: সেটু মিয়া ")</f>
        <v> মো: সেটু মিয়া </v>
      </c>
      <c r="D53" s="3">
        <f>IFERROR(__xludf.DUMMYFUNCTION("""COMPUTED_VALUE"""),5.70056378246E11)</f>
        <v>570056378246</v>
      </c>
      <c r="E53" s="3" t="str">
        <f>IFERROR(__xludf.DUMMYFUNCTION("""COMPUTED_VALUE""")," মো: হিতাপ আলী ")</f>
        <v> মো: হিতাপ আলী </v>
      </c>
      <c r="F53" s="3" t="str">
        <f>IFERROR(__xludf.DUMMYFUNCTION("""COMPUTED_VALUE""")," মোছা: কহিনুর ")</f>
        <v> মোছা: কহিনুর </v>
      </c>
      <c r="G53" s="3" t="str">
        <f>IFERROR(__xludf.DUMMYFUNCTION("""COMPUTED_VALUE""")," ১০/০২/১৯৮৬ ")</f>
        <v> ১০/০২/১৯৮৬ </v>
      </c>
      <c r="H53" s="3" t="str">
        <f>IFERROR(__xludf.DUMMYFUNCTION("""COMPUTED_VALUE""")," কৃষক ")</f>
        <v> কৃষক </v>
      </c>
      <c r="I53" s="3" t="str">
        <f>IFERROR(__xludf.DUMMYFUNCTION("""COMPUTED_VALUE""")," জালশুকা, গাংনী, মেহেরপুর ")</f>
        <v> জালশুকা, গাংনী, মেহেরপুর </v>
      </c>
    </row>
    <row r="54" ht="15.75" customHeight="1">
      <c r="A54" s="3" t="s">
        <v>3191</v>
      </c>
      <c r="B54" s="3">
        <f>IFERROR(__xludf.DUMMYFUNCTION("SPLIT(A54,""|"")"),229.0)</f>
        <v>229</v>
      </c>
      <c r="C54" s="3" t="str">
        <f>IFERROR(__xludf.DUMMYFUNCTION("""COMPUTED_VALUE""")," মো: বিশারত আলী ")</f>
        <v> মো: বিশারত আলী </v>
      </c>
      <c r="D54" s="3">
        <f>IFERROR(__xludf.DUMMYFUNCTION("""COMPUTED_VALUE"""),5.70056378249E11)</f>
        <v>570056378249</v>
      </c>
      <c r="E54" s="3" t="str">
        <f>IFERROR(__xludf.DUMMYFUNCTION("""COMPUTED_VALUE""")," মো: আত্তাব আলি ")</f>
        <v> মো: আত্তাব আলি </v>
      </c>
      <c r="F54" s="3" t="str">
        <f>IFERROR(__xludf.DUMMYFUNCTION("""COMPUTED_VALUE""")," মোছা: গুলসানারা ")</f>
        <v> মোছা: গুলসানারা </v>
      </c>
      <c r="G54" s="3" t="str">
        <f>IFERROR(__xludf.DUMMYFUNCTION("""COMPUTED_VALUE""")," ০১/০১/১৯৮৩ ")</f>
        <v> ০১/০১/১৯৮৩ </v>
      </c>
      <c r="H54" s="3" t="str">
        <f>IFERROR(__xludf.DUMMYFUNCTION("""COMPUTED_VALUE""")," কৃষক ")</f>
        <v> কৃষক </v>
      </c>
      <c r="I54" s="3" t="str">
        <f>IFERROR(__xludf.DUMMYFUNCTION("""COMPUTED_VALUE""")," জালশুকা, গাংনী, মেহেরপুর ")</f>
        <v> জালশুকা, গাংনী, মেহেরপুর </v>
      </c>
    </row>
    <row r="55" ht="15.75" customHeight="1">
      <c r="A55" s="3" t="s">
        <v>3192</v>
      </c>
      <c r="B55" s="3">
        <f>IFERROR(__xludf.DUMMYFUNCTION("SPLIT(A55,""|"")"),230.0)</f>
        <v>230</v>
      </c>
      <c r="C55" s="3" t="str">
        <f>IFERROR(__xludf.DUMMYFUNCTION("""COMPUTED_VALUE""")," মো: ওসমান আলী ")</f>
        <v> মো: ওসমান আলী </v>
      </c>
      <c r="D55" s="3">
        <f>IFERROR(__xludf.DUMMYFUNCTION("""COMPUTED_VALUE"""),5.7005637825E11)</f>
        <v>570056378250</v>
      </c>
      <c r="E55" s="3" t="str">
        <f>IFERROR(__xludf.DUMMYFUNCTION("""COMPUTED_VALUE""")," মো: উমিদ আলী ")</f>
        <v> মো: উমিদ আলী </v>
      </c>
      <c r="F55" s="3" t="str">
        <f>IFERROR(__xludf.DUMMYFUNCTION("""COMPUTED_VALUE""")," মোছা: বেদানা খাতুন ")</f>
        <v> মোছা: বেদানা খাতুন </v>
      </c>
      <c r="G55" s="3" t="str">
        <f>IFERROR(__xludf.DUMMYFUNCTION("""COMPUTED_VALUE""")," ০১/০১/১৯৮৫ ")</f>
        <v> ০১/০১/১৯৮৫ </v>
      </c>
      <c r="H55" s="3" t="str">
        <f>IFERROR(__xludf.DUMMYFUNCTION("""COMPUTED_VALUE""")," ব্যবসা ")</f>
        <v> ব্যবসা </v>
      </c>
      <c r="I55" s="3" t="str">
        <f>IFERROR(__xludf.DUMMYFUNCTION("""COMPUTED_VALUE""")," জালশুকা, গাংনী, মেহেরপুর ")</f>
        <v> জালশুকা, গাংনী, মেহেরপুর </v>
      </c>
    </row>
    <row r="56" ht="15.75" customHeight="1">
      <c r="A56" s="3" t="s">
        <v>3193</v>
      </c>
      <c r="B56" s="3">
        <f>IFERROR(__xludf.DUMMYFUNCTION("SPLIT(A56,""|"")"),231.0)</f>
        <v>231</v>
      </c>
      <c r="C56" s="3" t="str">
        <f>IFERROR(__xludf.DUMMYFUNCTION("""COMPUTED_VALUE""")," মো: আয়ুব আলী ")</f>
        <v> মো: আয়ুব আলী </v>
      </c>
      <c r="D56" s="3">
        <f>IFERROR(__xludf.DUMMYFUNCTION("""COMPUTED_VALUE"""),5.70056378251E11)</f>
        <v>570056378251</v>
      </c>
      <c r="E56" s="3" t="str">
        <f>IFERROR(__xludf.DUMMYFUNCTION("""COMPUTED_VALUE""")," ছাবদাল বিশ্বাস ")</f>
        <v> ছাবদাল বিশ্বাস </v>
      </c>
      <c r="F56" s="3" t="str">
        <f>IFERROR(__xludf.DUMMYFUNCTION("""COMPUTED_VALUE""")," রাহেলা খাতুন ")</f>
        <v> রাহেলা খাতুন </v>
      </c>
      <c r="G56" s="3" t="str">
        <f>IFERROR(__xludf.DUMMYFUNCTION("""COMPUTED_VALUE""")," ৩০/০৪/১৯৬২ ")</f>
        <v> ৩০/০৪/১৯৬২ </v>
      </c>
      <c r="H56" s="3" t="str">
        <f>IFERROR(__xludf.DUMMYFUNCTION("""COMPUTED_VALUE""")," কৃষক ")</f>
        <v> কৃষক </v>
      </c>
      <c r="I56" s="3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7" ht="15.75" customHeight="1">
      <c r="A57" s="3" t="s">
        <v>3138</v>
      </c>
      <c r="B57" s="3" t="str">
        <f>IFERROR(__xludf.DUMMYFUNCTION("SPLIT(A57,""|"")")," ক্রমিক নং ")</f>
        <v> ক্রমিক নং </v>
      </c>
      <c r="C57" s="3" t="str">
        <f>IFERROR(__xludf.DUMMYFUNCTION("""COMPUTED_VALUE""")," নাম ")</f>
        <v> নাম </v>
      </c>
      <c r="D57" s="3" t="str">
        <f>IFERROR(__xludf.DUMMYFUNCTION("""COMPUTED_VALUE""")," ভোটার নং ")</f>
        <v> ভোটার নং </v>
      </c>
      <c r="E57" s="3" t="str">
        <f>IFERROR(__xludf.DUMMYFUNCTION("""COMPUTED_VALUE""")," পিতা ")</f>
        <v> পিতা </v>
      </c>
      <c r="F57" s="3" t="str">
        <f>IFERROR(__xludf.DUMMYFUNCTION("""COMPUTED_VALUE""")," মাতা ")</f>
        <v> মাতা </v>
      </c>
      <c r="G57" s="3" t="str">
        <f>IFERROR(__xludf.DUMMYFUNCTION("""COMPUTED_VALUE""")," জন্ম তারিখ ")</f>
        <v> জন্ম তারিখ </v>
      </c>
      <c r="H57" s="3" t="str">
        <f>IFERROR(__xludf.DUMMYFUNCTION("""COMPUTED_VALUE""")," পেশা ")</f>
        <v> পেশা </v>
      </c>
      <c r="I57" s="3" t="str">
        <f>IFERROR(__xludf.DUMMYFUNCTION("""COMPUTED_VALUE""")," ঠিকানা ")</f>
        <v> ঠিকানা </v>
      </c>
    </row>
    <row r="58" ht="15.75" customHeight="1">
      <c r="A58" s="3" t="s">
        <v>3139</v>
      </c>
      <c r="B58" s="3" t="str">
        <f>IFERROR(__xludf.DUMMYFUNCTION("SPLIT(A58,""|"")"),"---")</f>
        <v>---</v>
      </c>
      <c r="C58" s="3" t="str">
        <f>IFERROR(__xludf.DUMMYFUNCTION("""COMPUTED_VALUE"""),"---")</f>
        <v>---</v>
      </c>
      <c r="D58" s="3" t="str">
        <f>IFERROR(__xludf.DUMMYFUNCTION("""COMPUTED_VALUE"""),"---")</f>
        <v>---</v>
      </c>
      <c r="E58" s="3" t="str">
        <f>IFERROR(__xludf.DUMMYFUNCTION("""COMPUTED_VALUE"""),"---")</f>
        <v>---</v>
      </c>
      <c r="F58" s="3" t="str">
        <f>IFERROR(__xludf.DUMMYFUNCTION("""COMPUTED_VALUE"""),"---")</f>
        <v>---</v>
      </c>
      <c r="G58" s="3" t="str">
        <f>IFERROR(__xludf.DUMMYFUNCTION("""COMPUTED_VALUE"""),"---")</f>
        <v>---</v>
      </c>
      <c r="H58" s="3" t="str">
        <f>IFERROR(__xludf.DUMMYFUNCTION("""COMPUTED_VALUE"""),"---")</f>
        <v>---</v>
      </c>
      <c r="I58" s="3" t="str">
        <f>IFERROR(__xludf.DUMMYFUNCTION("""COMPUTED_VALUE"""),"---")</f>
        <v>---</v>
      </c>
    </row>
    <row r="59" ht="15.75" customHeight="1">
      <c r="A59" s="3" t="s">
        <v>3194</v>
      </c>
      <c r="B59" s="3">
        <f>IFERROR(__xludf.DUMMYFUNCTION("SPLIT(A59,""|"")"),232.0)</f>
        <v>232</v>
      </c>
      <c r="C59" s="3" t="str">
        <f>IFERROR(__xludf.DUMMYFUNCTION("""COMPUTED_VALUE""")," মোঃ আব্দুস সাত্তার ")</f>
        <v> মোঃ আব্দুস সাত্তার </v>
      </c>
      <c r="D59" s="3">
        <f>IFERROR(__xludf.DUMMYFUNCTION("""COMPUTED_VALUE"""),5.70056378255E11)</f>
        <v>570056378255</v>
      </c>
      <c r="E59" s="3" t="str">
        <f>IFERROR(__xludf.DUMMYFUNCTION("""COMPUTED_VALUE""")," মোঃ ছমিরদ্দীন ")</f>
        <v> মোঃ ছমিরদ্দীন </v>
      </c>
      <c r="F59" s="3" t="str">
        <f>IFERROR(__xludf.DUMMYFUNCTION("""COMPUTED_VALUE""")," মোছাঃ সবজান ")</f>
        <v> মোছাঃ সবজান </v>
      </c>
      <c r="G59" s="3" t="str">
        <f>IFERROR(__xludf.DUMMYFUNCTION("""COMPUTED_VALUE""")," ৩০/০৫/১৯৭৫ ")</f>
        <v> ৩০/০৫/১৯৭৫ </v>
      </c>
      <c r="H59" s="3" t="str">
        <f>IFERROR(__xludf.DUMMYFUNCTION("""COMPUTED_VALUE""")," কৃষক ")</f>
        <v> কৃষক </v>
      </c>
      <c r="I59" s="3" t="str">
        <f>IFERROR(__xludf.DUMMYFUNCTION("""COMPUTED_VALUE""")," জালশুকা, গাংনী, মেহেরপুর ")</f>
        <v> জালশুকা, গাংনী, মেহেরপুর </v>
      </c>
    </row>
    <row r="60" ht="15.75" customHeight="1">
      <c r="A60" s="3" t="s">
        <v>3195</v>
      </c>
      <c r="B60" s="3">
        <f>IFERROR(__xludf.DUMMYFUNCTION("SPLIT(A60,""|"")"),233.0)</f>
        <v>233</v>
      </c>
      <c r="C60" s="3" t="str">
        <f>IFERROR(__xludf.DUMMYFUNCTION("""COMPUTED_VALUE""")," মোঃ জহুরুল ইসলাম ")</f>
        <v> মোঃ জহুরুল ইসলাম </v>
      </c>
      <c r="D60" s="3">
        <f>IFERROR(__xludf.DUMMYFUNCTION("""COMPUTED_VALUE"""),5.70056378257E11)</f>
        <v>570056378257</v>
      </c>
      <c r="E60" s="3" t="str">
        <f>IFERROR(__xludf.DUMMYFUNCTION("""COMPUTED_VALUE""")," মোঃ জানিরুদ্দীন ")</f>
        <v> মোঃ জানিরুদ্দীন </v>
      </c>
      <c r="F60" s="3" t="str">
        <f>IFERROR(__xludf.DUMMYFUNCTION("""COMPUTED_VALUE""")," মোছাঃ হাজেরা বেগম ")</f>
        <v> মোছাঃ হাজেরা বেগম </v>
      </c>
      <c r="G60" s="3" t="str">
        <f>IFERROR(__xludf.DUMMYFUNCTION("""COMPUTED_VALUE""")," ২৮/০৪/১৯৭৩ ")</f>
        <v> ২৮/০৪/১৯৭৩ </v>
      </c>
      <c r="H60" s="3" t="str">
        <f>IFERROR(__xludf.DUMMYFUNCTION("""COMPUTED_VALUE""")," কৃষক ")</f>
        <v> কৃষক </v>
      </c>
      <c r="I60" s="3" t="str">
        <f>IFERROR(__xludf.DUMMYFUNCTION("""COMPUTED_VALUE""")," জালশুকা, গাংনী, মেহেরপুর ")</f>
        <v> জালশুকা, গাংনী, মেহেরপুর </v>
      </c>
    </row>
    <row r="61" ht="15.75" customHeight="1">
      <c r="A61" s="3" t="s">
        <v>3196</v>
      </c>
      <c r="B61" s="3">
        <f>IFERROR(__xludf.DUMMYFUNCTION("SPLIT(A61,""|"")"),234.0)</f>
        <v>234</v>
      </c>
      <c r="C61" s="3" t="str">
        <f>IFERROR(__xludf.DUMMYFUNCTION("""COMPUTED_VALUE""")," মোঃ বিশারত আলী ")</f>
        <v> মোঃ বিশারত আলী </v>
      </c>
      <c r="D61" s="3">
        <f>IFERROR(__xludf.DUMMYFUNCTION("""COMPUTED_VALUE"""),5.70056378258E11)</f>
        <v>570056378258</v>
      </c>
      <c r="E61" s="3" t="str">
        <f>IFERROR(__xludf.DUMMYFUNCTION("""COMPUTED_VALUE""")," আঃ খালেক ")</f>
        <v> আঃ খালেক </v>
      </c>
      <c r="F61" s="3" t="str">
        <f>IFERROR(__xludf.DUMMYFUNCTION("""COMPUTED_VALUE""")," মোছাঃ সিয়তন ")</f>
        <v> মোছাঃ সিয়তন </v>
      </c>
      <c r="G61" s="3" t="str">
        <f>IFERROR(__xludf.DUMMYFUNCTION("""COMPUTED_VALUE""")," ০৪/০৯/১৯৭৫ ")</f>
        <v> ০৪/০৯/১৯৭৫ </v>
      </c>
      <c r="H61" s="3" t="str">
        <f>IFERROR(__xludf.DUMMYFUNCTION("""COMPUTED_VALUE""")," কৃষক ")</f>
        <v> কৃষক </v>
      </c>
      <c r="I61" s="3" t="str">
        <f>IFERROR(__xludf.DUMMYFUNCTION("""COMPUTED_VALUE""")," জালশুকা, গাংনী, মেহেরপুর ")</f>
        <v> জালশুকা, গাংনী, মেহেরপুর </v>
      </c>
    </row>
    <row r="62" ht="15.75" customHeight="1">
      <c r="A62" s="3" t="s">
        <v>3197</v>
      </c>
      <c r="B62" s="3">
        <f>IFERROR(__xludf.DUMMYFUNCTION("SPLIT(A62,""|"")"),235.0)</f>
        <v>235</v>
      </c>
      <c r="C62" s="3" t="str">
        <f>IFERROR(__xludf.DUMMYFUNCTION("""COMPUTED_VALUE""")," মোঃ আশরাফুল ইসলাম ")</f>
        <v> মোঃ আশরাফুল ইসলাম </v>
      </c>
      <c r="D62" s="3">
        <f>IFERROR(__xludf.DUMMYFUNCTION("""COMPUTED_VALUE"""),5.70056378261E11)</f>
        <v>570056378261</v>
      </c>
      <c r="E62" s="3" t="str">
        <f>IFERROR(__xludf.DUMMYFUNCTION("""COMPUTED_VALUE""")," মোঃ আয়ুব আলী ")</f>
        <v> মোঃ আয়ুব আলী </v>
      </c>
      <c r="F62" s="3" t="str">
        <f>IFERROR(__xludf.DUMMYFUNCTION("""COMPUTED_VALUE""")," মোছাঃ মর্জিনা খাতুন ")</f>
        <v> মোছাঃ মর্জিনা খাতুন </v>
      </c>
      <c r="G62" s="3" t="str">
        <f>IFERROR(__xludf.DUMMYFUNCTION("""COMPUTED_VALUE""")," ০৫/০১/১৯৮৪ ")</f>
        <v> ০৫/০১/১৯৮৪ </v>
      </c>
      <c r="H62" s="3" t="str">
        <f>IFERROR(__xludf.DUMMYFUNCTION("""COMPUTED_VALUE""")," কৃষক ")</f>
        <v> কৃষক </v>
      </c>
      <c r="I62" s="3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63" ht="15.75" customHeight="1">
      <c r="A63" s="3" t="s">
        <v>3198</v>
      </c>
      <c r="B63" s="3">
        <f>IFERROR(__xludf.DUMMYFUNCTION("SPLIT(A63,""|"")"),236.0)</f>
        <v>236</v>
      </c>
      <c r="C63" s="3" t="str">
        <f>IFERROR(__xludf.DUMMYFUNCTION("""COMPUTED_VALUE""")," মোঃ আক্তার আলী ")</f>
        <v> মোঃ আক্তার আলী </v>
      </c>
      <c r="D63" s="3">
        <f>IFERROR(__xludf.DUMMYFUNCTION("""COMPUTED_VALUE"""),5.70056378262E11)</f>
        <v>570056378262</v>
      </c>
      <c r="E63" s="3" t="str">
        <f>IFERROR(__xludf.DUMMYFUNCTION("""COMPUTED_VALUE""")," আকবার বিশ্বাস ")</f>
        <v> আকবার বিশ্বাস </v>
      </c>
      <c r="F63" s="3" t="str">
        <f>IFERROR(__xludf.DUMMYFUNCTION("""COMPUTED_VALUE""")," মো: খদেজা খাতুন ")</f>
        <v> মো: খদেজা খাতুন </v>
      </c>
      <c r="G63" s="3" t="str">
        <f>IFERROR(__xludf.DUMMYFUNCTION("""COMPUTED_VALUE""")," ১৬/১১/১৯৮০ ")</f>
        <v> ১৬/১১/১৯৮০ </v>
      </c>
      <c r="H63" s="3" t="str">
        <f>IFERROR(__xludf.DUMMYFUNCTION("""COMPUTED_VALUE""")," কৃষক ")</f>
        <v> কৃষক </v>
      </c>
      <c r="I63" s="3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64" ht="15.75" customHeight="1">
      <c r="A64" s="3" t="s">
        <v>3199</v>
      </c>
      <c r="B64" s="3">
        <f>IFERROR(__xludf.DUMMYFUNCTION("SPLIT(A64,""|"")"),237.0)</f>
        <v>237</v>
      </c>
      <c r="C64" s="3" t="str">
        <f>IFERROR(__xludf.DUMMYFUNCTION("""COMPUTED_VALUE""")," মোঃ নবিরুদ্দীন ")</f>
        <v> মোঃ নবিরুদ্দীন </v>
      </c>
      <c r="D64" s="3">
        <f>IFERROR(__xludf.DUMMYFUNCTION("""COMPUTED_VALUE"""),5.70056378263E11)</f>
        <v>570056378263</v>
      </c>
      <c r="E64" s="3" t="str">
        <f>IFERROR(__xludf.DUMMYFUNCTION("""COMPUTED_VALUE""")," আঃ জলিল ")</f>
        <v> আঃ জলিল </v>
      </c>
      <c r="F64" s="3" t="str">
        <f>IFERROR(__xludf.DUMMYFUNCTION("""COMPUTED_VALUE""")," রমেছা খাতুন ")</f>
        <v> রমেছা খাতুন </v>
      </c>
      <c r="G64" s="3" t="str">
        <f>IFERROR(__xludf.DUMMYFUNCTION("""COMPUTED_VALUE""")," ১২/০৮/১৯৪৭ ")</f>
        <v> ১২/০৮/১৯৪৭ </v>
      </c>
      <c r="H64" s="3" t="str">
        <f>IFERROR(__xludf.DUMMYFUNCTION("""COMPUTED_VALUE""")," কৃষক ")</f>
        <v> কৃষক </v>
      </c>
      <c r="I64" s="3" t="str">
        <f>IFERROR(__xludf.DUMMYFUNCTION("""COMPUTED_VALUE""")," জালশুকা, গাংনী, মেহেরপুর ")</f>
        <v> জালশুকা, গাংনী, মেহেরপুর </v>
      </c>
    </row>
    <row r="65" ht="15.75" customHeight="1">
      <c r="A65" s="3" t="s">
        <v>3200</v>
      </c>
      <c r="B65" s="3">
        <f>IFERROR(__xludf.DUMMYFUNCTION("SPLIT(A65,""|"")"),238.0)</f>
        <v>238</v>
      </c>
      <c r="C65" s="3" t="str">
        <f>IFERROR(__xludf.DUMMYFUNCTION("""COMPUTED_VALUE""")," মোঃ শিলন আলী ")</f>
        <v> মোঃ শিলন আলী </v>
      </c>
      <c r="D65" s="3">
        <f>IFERROR(__xludf.DUMMYFUNCTION("""COMPUTED_VALUE"""),5.70056378264E11)</f>
        <v>570056378264</v>
      </c>
      <c r="E65" s="3" t="str">
        <f>IFERROR(__xludf.DUMMYFUNCTION("""COMPUTED_VALUE""")," মোঃ আয়ুব আলী ")</f>
        <v> মোঃ আয়ুব আলী </v>
      </c>
      <c r="F65" s="3" t="str">
        <f>IFERROR(__xludf.DUMMYFUNCTION("""COMPUTED_VALUE""")," মোছাঃ মর্জিনা ")</f>
        <v> মোছাঃ মর্জিনা </v>
      </c>
      <c r="G65" s="3" t="str">
        <f>IFERROR(__xludf.DUMMYFUNCTION("""COMPUTED_VALUE""")," ১৭/১২/১৯৮৮ ")</f>
        <v> ১৭/১২/১৯৮৮ </v>
      </c>
      <c r="H65" s="3" t="str">
        <f>IFERROR(__xludf.DUMMYFUNCTION("""COMPUTED_VALUE""")," কৃষক ")</f>
        <v> কৃষক </v>
      </c>
      <c r="I65" s="3" t="str">
        <f>IFERROR(__xludf.DUMMYFUNCTION("""COMPUTED_VALUE""")," জালশুকা, গাংনী, মেহেরপুর ")</f>
        <v> জালশুকা, গাংনী, মেহেরপুর </v>
      </c>
    </row>
    <row r="66" ht="15.75" customHeight="1">
      <c r="A66" s="3" t="s">
        <v>3201</v>
      </c>
      <c r="B66" s="3">
        <f>IFERROR(__xludf.DUMMYFUNCTION("SPLIT(A66,""|"")"),239.0)</f>
        <v>239</v>
      </c>
      <c r="C66" s="3" t="str">
        <f>IFERROR(__xludf.DUMMYFUNCTION("""COMPUTED_VALUE""")," মোঃ শুকুর আলী ")</f>
        <v> মোঃ শুকুর আলী </v>
      </c>
      <c r="D66" s="3">
        <f>IFERROR(__xludf.DUMMYFUNCTION("""COMPUTED_VALUE"""),5.70056378269E11)</f>
        <v>570056378269</v>
      </c>
      <c r="E66" s="3" t="str">
        <f>IFERROR(__xludf.DUMMYFUNCTION("""COMPUTED_VALUE""")," খবিরুদ্দীন ")</f>
        <v> খবিরুদ্দীন </v>
      </c>
      <c r="F66" s="3" t="str">
        <f>IFERROR(__xludf.DUMMYFUNCTION("""COMPUTED_VALUE""")," আমিনা খাতুন ")</f>
        <v> আমিনা খাতুন </v>
      </c>
      <c r="G66" s="3" t="str">
        <f>IFERROR(__xludf.DUMMYFUNCTION("""COMPUTED_VALUE""")," ১৯/১২/১৯৫০ ")</f>
        <v> ১৯/১২/১৯৫০ </v>
      </c>
      <c r="H66" s="3" t="str">
        <f>IFERROR(__xludf.DUMMYFUNCTION("""COMPUTED_VALUE""")," কৃষক ")</f>
        <v> কৃষক </v>
      </c>
      <c r="I66" s="3" t="str">
        <f>IFERROR(__xludf.DUMMYFUNCTION("""COMPUTED_VALUE""")," জালশুকা মসজিদপাড়া, গাংনী, মেহেরপুর ")</f>
        <v> জালশুকা মসজিদপাড়া, গাংনী, মেহেরপুর </v>
      </c>
    </row>
    <row r="67" ht="15.75" customHeight="1">
      <c r="A67" s="3" t="s">
        <v>3202</v>
      </c>
      <c r="B67" s="3">
        <f>IFERROR(__xludf.DUMMYFUNCTION("SPLIT(A67,""|"")"),240.0)</f>
        <v>240</v>
      </c>
      <c r="C67" s="3" t="str">
        <f>IFERROR(__xludf.DUMMYFUNCTION("""COMPUTED_VALUE""")," মোঃ জমির উদ্দীন ")</f>
        <v> মোঃ জমির উদ্দীন </v>
      </c>
      <c r="D67" s="3">
        <f>IFERROR(__xludf.DUMMYFUNCTION("""COMPUTED_VALUE"""),5.7005637827E11)</f>
        <v>570056378270</v>
      </c>
      <c r="E67" s="3" t="str">
        <f>IFERROR(__xludf.DUMMYFUNCTION("""COMPUTED_VALUE""")," কাইমালী মন্ডল ")</f>
        <v> কাইমালী মন্ডল </v>
      </c>
      <c r="F67" s="3" t="str">
        <f>IFERROR(__xludf.DUMMYFUNCTION("""COMPUTED_VALUE""")," মোছাঃ ছমেলা খাতুন ")</f>
        <v> মোছাঃ ছমেলা খাতুন </v>
      </c>
      <c r="G67" s="3" t="str">
        <f>IFERROR(__xludf.DUMMYFUNCTION("""COMPUTED_VALUE""")," ০৯/০৭/১৯৫৭ ")</f>
        <v> ০৯/০৭/১৯৫৭ </v>
      </c>
      <c r="H67" s="3" t="str">
        <f>IFERROR(__xludf.DUMMYFUNCTION("""COMPUTED_VALUE""")," কৃষক ")</f>
        <v> কৃষক </v>
      </c>
      <c r="I67" s="3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68" ht="15.75" customHeight="1">
      <c r="A68" s="3" t="s">
        <v>3203</v>
      </c>
      <c r="B68" s="3">
        <f>IFERROR(__xludf.DUMMYFUNCTION("SPLIT(A68,""|"")"),241.0)</f>
        <v>241</v>
      </c>
      <c r="C68" s="3" t="str">
        <f>IFERROR(__xludf.DUMMYFUNCTION("""COMPUTED_VALUE""")," মোঃ উমিদ আলী ")</f>
        <v> মোঃ উমিদ আলী </v>
      </c>
      <c r="D68" s="3">
        <f>IFERROR(__xludf.DUMMYFUNCTION("""COMPUTED_VALUE"""),5.70056378273E11)</f>
        <v>570056378273</v>
      </c>
      <c r="E68" s="3" t="str">
        <f>IFERROR(__xludf.DUMMYFUNCTION("""COMPUTED_VALUE""")," কায়েমালী ")</f>
        <v> কায়েমালী </v>
      </c>
      <c r="F68" s="3" t="str">
        <f>IFERROR(__xludf.DUMMYFUNCTION("""COMPUTED_VALUE""")," ছমেলা খাতুন ")</f>
        <v> ছমেলা খাতুন </v>
      </c>
      <c r="G68" s="3" t="str">
        <f>IFERROR(__xludf.DUMMYFUNCTION("""COMPUTED_VALUE""")," ০৪/০৪/১৯৬৭ ")</f>
        <v> ০৪/০৪/১৯৬৭ </v>
      </c>
      <c r="H68" s="3" t="str">
        <f>IFERROR(__xludf.DUMMYFUNCTION("""COMPUTED_VALUE""")," কৃষক ")</f>
        <v> কৃষক </v>
      </c>
      <c r="I68" s="3" t="str">
        <f>IFERROR(__xludf.DUMMYFUNCTION("""COMPUTED_VALUE""")," জালশুকা, গাংনী, মেহেরপুর ")</f>
        <v> জালশুকা, গাংনী, মেহেরপুর </v>
      </c>
    </row>
    <row r="69" ht="15.75" customHeight="1">
      <c r="A69" s="3" t="s">
        <v>3204</v>
      </c>
      <c r="B69" s="3">
        <f>IFERROR(__xludf.DUMMYFUNCTION("SPLIT(A69,""|"")"),242.0)</f>
        <v>242</v>
      </c>
      <c r="C69" s="3" t="str">
        <f>IFERROR(__xludf.DUMMYFUNCTION("""COMPUTED_VALUE""")," মোঃ শফিরদ্দীন ")</f>
        <v> মোঃ শফিরদ্দীন </v>
      </c>
      <c r="D69" s="3">
        <f>IFERROR(__xludf.DUMMYFUNCTION("""COMPUTED_VALUE"""),5.70056378274E11)</f>
        <v>570056378274</v>
      </c>
      <c r="E69" s="3" t="str">
        <f>IFERROR(__xludf.DUMMYFUNCTION("""COMPUTED_VALUE""")," তাহাজদ্দীন ")</f>
        <v> তাহাজদ্দীন </v>
      </c>
      <c r="F69" s="3" t="str">
        <f>IFERROR(__xludf.DUMMYFUNCTION("""COMPUTED_VALUE""")," সফুরা খাতুন ")</f>
        <v> সফুরা খাতুন </v>
      </c>
      <c r="G69" s="3" t="str">
        <f>IFERROR(__xludf.DUMMYFUNCTION("""COMPUTED_VALUE""")," ১৭/০৯/১৯৫২ ")</f>
        <v> ১৭/০৯/১৯৫২ </v>
      </c>
      <c r="H69" s="3" t="str">
        <f>IFERROR(__xludf.DUMMYFUNCTION("""COMPUTED_VALUE""")," কৃষক ")</f>
        <v> কৃষক </v>
      </c>
      <c r="I69" s="3" t="str">
        <f>IFERROR(__xludf.DUMMYFUNCTION("""COMPUTED_VALUE""")," জালশুকা মসজিদপাড়া, গাংনী, মেহেরপুর ")</f>
        <v> জালশুকা মসজিদপাড়া, গাংনী, মেহেরপুর </v>
      </c>
    </row>
    <row r="70" ht="15.75" customHeight="1">
      <c r="A70" s="3" t="s">
        <v>3205</v>
      </c>
      <c r="B70" s="3">
        <f>IFERROR(__xludf.DUMMYFUNCTION("SPLIT(A70,""|"")"),243.0)</f>
        <v>243</v>
      </c>
      <c r="C70" s="3" t="str">
        <f>IFERROR(__xludf.DUMMYFUNCTION("""COMPUTED_VALUE""")," মোঃ আবুল হোসেন ")</f>
        <v> মোঃ আবুল হোসেন </v>
      </c>
      <c r="D70" s="3">
        <f>IFERROR(__xludf.DUMMYFUNCTION("""COMPUTED_VALUE"""),5.70056378275E11)</f>
        <v>570056378275</v>
      </c>
      <c r="E70" s="3" t="str">
        <f>IFERROR(__xludf.DUMMYFUNCTION("""COMPUTED_VALUE""")," শফিরুদ্দীন ")</f>
        <v> শফিরুদ্দীন </v>
      </c>
      <c r="F70" s="3" t="str">
        <f>IFERROR(__xludf.DUMMYFUNCTION("""COMPUTED_VALUE""")," সুবারন নেছা ")</f>
        <v> সুবারন নেছা </v>
      </c>
      <c r="G70" s="3" t="str">
        <f>IFERROR(__xludf.DUMMYFUNCTION("""COMPUTED_VALUE""")," ২১/০৪/১৯৩৭ ")</f>
        <v> ২১/০৪/১৯৩৭ </v>
      </c>
      <c r="H70" s="3" t="str">
        <f>IFERROR(__xludf.DUMMYFUNCTION("""COMPUTED_VALUE""")," কৃষক ")</f>
        <v> কৃষক </v>
      </c>
      <c r="I70" s="3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71" ht="15.75" customHeight="1">
      <c r="A71" s="3" t="s">
        <v>3206</v>
      </c>
      <c r="B71" s="3">
        <f>IFERROR(__xludf.DUMMYFUNCTION("SPLIT(A71,""|"")"),244.0)</f>
        <v>244</v>
      </c>
      <c r="C71" s="3" t="str">
        <f>IFERROR(__xludf.DUMMYFUNCTION("""COMPUTED_VALUE""")," মোঃ রুহুল আমিন ")</f>
        <v> মোঃ রুহুল আমিন </v>
      </c>
      <c r="D71" s="3">
        <f>IFERROR(__xludf.DUMMYFUNCTION("""COMPUTED_VALUE"""),5.70056378277E11)</f>
        <v>570056378277</v>
      </c>
      <c r="E71" s="3" t="str">
        <f>IFERROR(__xludf.DUMMYFUNCTION("""COMPUTED_VALUE""")," মোঃ দিদার বকস্ ")</f>
        <v> মোঃ দিদার বকস্ </v>
      </c>
      <c r="F71" s="3" t="str">
        <f>IFERROR(__xludf.DUMMYFUNCTION("""COMPUTED_VALUE""")," মোছাঃ নজিরা খাতুন ")</f>
        <v> মোছাঃ নজিরা খাতুন </v>
      </c>
      <c r="G71" s="3" t="str">
        <f>IFERROR(__xludf.DUMMYFUNCTION("""COMPUTED_VALUE""")," ১৯/০৩/১৯৬২ ")</f>
        <v> ১৯/০৩/১৯৬২ </v>
      </c>
      <c r="H71" s="3" t="str">
        <f>IFERROR(__xludf.DUMMYFUNCTION("""COMPUTED_VALUE""")," কৃষক ")</f>
        <v> কৃষক </v>
      </c>
      <c r="I71" s="3" t="str">
        <f>IFERROR(__xludf.DUMMYFUNCTION("""COMPUTED_VALUE""")," জালশুকা মসজিদপাড়া, গাংনী, মেহেরপুর ")</f>
        <v> জালশুকা মসজিদপাড়া, গাংনী, মেহেরপুর </v>
      </c>
    </row>
    <row r="72" ht="15.75" customHeight="1">
      <c r="A72" s="3" t="s">
        <v>3207</v>
      </c>
      <c r="B72" s="3">
        <f>IFERROR(__xludf.DUMMYFUNCTION("SPLIT(A72,""|"")"),245.0)</f>
        <v>245</v>
      </c>
      <c r="C72" s="3" t="str">
        <f>IFERROR(__xludf.DUMMYFUNCTION("""COMPUTED_VALUE""")," মোঃ লিটন আলী ")</f>
        <v> মোঃ লিটন আলী </v>
      </c>
      <c r="D72" s="3">
        <f>IFERROR(__xludf.DUMMYFUNCTION("""COMPUTED_VALUE"""),5.70056378278E11)</f>
        <v>570056378278</v>
      </c>
      <c r="E72" s="3" t="str">
        <f>IFERROR(__xludf.DUMMYFUNCTION("""COMPUTED_VALUE""")," মোঃ আনসার মুন্সি ")</f>
        <v> মোঃ আনসার মুন্সি </v>
      </c>
      <c r="F72" s="3" t="str">
        <f>IFERROR(__xludf.DUMMYFUNCTION("""COMPUTED_VALUE""")," মোছাঃ ভানুআরা ")</f>
        <v> মোছাঃ ভানুআরা </v>
      </c>
      <c r="G72" s="3" t="str">
        <f>IFERROR(__xludf.DUMMYFUNCTION("""COMPUTED_VALUE""")," ২১/০৭/১৯৮৭ ")</f>
        <v> ২১/০৭/১৯৮৭ </v>
      </c>
      <c r="H72" s="3" t="str">
        <f>IFERROR(__xludf.DUMMYFUNCTION("""COMPUTED_VALUE""")," কৃষক ")</f>
        <v> কৃষক </v>
      </c>
      <c r="I72" s="3" t="str">
        <f>IFERROR(__xludf.DUMMYFUNCTION("""COMPUTED_VALUE""")," জালশুকা মসজিদপাড়া, গাংনী, মেহেরপুর ")</f>
        <v> জালশুকা মসজিদপাড়া, গাংনী, মেহেরপুর </v>
      </c>
    </row>
    <row r="73" ht="15.75" customHeight="1">
      <c r="A73" s="3" t="s">
        <v>3208</v>
      </c>
      <c r="B73" s="3">
        <f>IFERROR(__xludf.DUMMYFUNCTION("SPLIT(A73,""|"")"),246.0)</f>
        <v>246</v>
      </c>
      <c r="C73" s="3" t="str">
        <f>IFERROR(__xludf.DUMMYFUNCTION("""COMPUTED_VALUE""")," মোঃ আলমগীর হোসেন ")</f>
        <v> মোঃ আলমগীর হোসেন </v>
      </c>
      <c r="D73" s="3">
        <f>IFERROR(__xludf.DUMMYFUNCTION("""COMPUTED_VALUE"""),5.70056378279E11)</f>
        <v>570056378279</v>
      </c>
      <c r="E73" s="3" t="str">
        <f>IFERROR(__xludf.DUMMYFUNCTION("""COMPUTED_VALUE""")," মোঃ হায়াত আলী ")</f>
        <v> মোঃ হায়াত আলী </v>
      </c>
      <c r="F73" s="3" t="str">
        <f>IFERROR(__xludf.DUMMYFUNCTION("""COMPUTED_VALUE""")," মোছাঃ আশান্নারা ")</f>
        <v> মোছাঃ আশান্নারা </v>
      </c>
      <c r="G73" s="3" t="str">
        <f>IFERROR(__xludf.DUMMYFUNCTION("""COMPUTED_VALUE""")," ২৫/০৫/১৯৮৩ ")</f>
        <v> ২৫/০৫/১৯৮৩ </v>
      </c>
      <c r="H73" s="3" t="str">
        <f>IFERROR(__xludf.DUMMYFUNCTION("""COMPUTED_VALUE""")," কৃষক ")</f>
        <v> কৃষক </v>
      </c>
      <c r="I73" s="3" t="str">
        <f>IFERROR(__xludf.DUMMYFUNCTION("""COMPUTED_VALUE""")," জালশুকা, গাংনী, মেহেরপুর ")</f>
        <v> জালশুকা, গাংনী, মেহেরপুর </v>
      </c>
    </row>
    <row r="74" ht="15.75" customHeight="1">
      <c r="A74" s="3" t="s">
        <v>3209</v>
      </c>
      <c r="B74" s="3">
        <f>IFERROR(__xludf.DUMMYFUNCTION("SPLIT(A74,""|"")"),247.0)</f>
        <v>247</v>
      </c>
      <c r="C74" s="3" t="str">
        <f>IFERROR(__xludf.DUMMYFUNCTION("""COMPUTED_VALUE""")," মোঃ তাহিরুদ্দীন ")</f>
        <v> মোঃ তাহিরুদ্দীন </v>
      </c>
      <c r="D74" s="3">
        <f>IFERROR(__xludf.DUMMYFUNCTION("""COMPUTED_VALUE"""),5.70056378281E11)</f>
        <v>570056378281</v>
      </c>
      <c r="E74" s="3" t="str">
        <f>IFERROR(__xludf.DUMMYFUNCTION("""COMPUTED_VALUE""")," তাহাজুদ্দীন ")</f>
        <v> তাহাজুদ্দীন </v>
      </c>
      <c r="F74" s="3" t="str">
        <f>IFERROR(__xludf.DUMMYFUNCTION("""COMPUTED_VALUE""")," সফুরা খাতুন ")</f>
        <v> সফুরা খাতুন </v>
      </c>
      <c r="G74" s="3" t="str">
        <f>IFERROR(__xludf.DUMMYFUNCTION("""COMPUTED_VALUE""")," ১৭/১১/১৯৬৯ ")</f>
        <v> ১৭/১১/১৯৬৯ </v>
      </c>
      <c r="H74" s="3" t="str">
        <f>IFERROR(__xludf.DUMMYFUNCTION("""COMPUTED_VALUE""")," কৃষক ")</f>
        <v> কৃষক </v>
      </c>
      <c r="I74" s="3" t="str">
        <f>IFERROR(__xludf.DUMMYFUNCTION("""COMPUTED_VALUE""")," জালশুকা মসজিদপাড়া, গাংনী, মেহেরপুর ")</f>
        <v> জালশুকা মসজিদপাড়া, গাংনী, মেহেরপুর </v>
      </c>
    </row>
    <row r="75" ht="15.75" customHeight="1">
      <c r="A75" s="3" t="s">
        <v>3210</v>
      </c>
      <c r="B75" s="3">
        <f>IFERROR(__xludf.DUMMYFUNCTION("SPLIT(A75,""|"")"),248.0)</f>
        <v>248</v>
      </c>
      <c r="C75" s="3" t="str">
        <f>IFERROR(__xludf.DUMMYFUNCTION("""COMPUTED_VALUE""")," মোঃ হাফিজুর রহমান ")</f>
        <v> মোঃ হাফিজুর রহমান </v>
      </c>
      <c r="D75" s="3">
        <f>IFERROR(__xludf.DUMMYFUNCTION("""COMPUTED_VALUE"""),5.70056378282E11)</f>
        <v>570056378282</v>
      </c>
      <c r="E75" s="3" t="str">
        <f>IFERROR(__xludf.DUMMYFUNCTION("""COMPUTED_VALUE""")," মোঃ লুতফর রহমান ")</f>
        <v> মোঃ লুতফর রহমান </v>
      </c>
      <c r="F75" s="3" t="str">
        <f>IFERROR(__xludf.DUMMYFUNCTION("""COMPUTED_VALUE""")," রাবিয়া বেগম ")</f>
        <v> রাবিয়া বেগম </v>
      </c>
      <c r="G75" s="3" t="str">
        <f>IFERROR(__xludf.DUMMYFUNCTION("""COMPUTED_VALUE""")," ১৮/০৭/১৯৬৯ ")</f>
        <v> ১৮/০৭/১৯৬৯ </v>
      </c>
      <c r="H75" s="3" t="str">
        <f>IFERROR(__xludf.DUMMYFUNCTION("""COMPUTED_VALUE""")," কৃষক ")</f>
        <v> কৃষক </v>
      </c>
      <c r="I75" s="3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76" ht="15.75" customHeight="1">
      <c r="A76" s="3" t="s">
        <v>3211</v>
      </c>
      <c r="B76" s="3">
        <f>IFERROR(__xludf.DUMMYFUNCTION("SPLIT(A76,""|"")"),249.0)</f>
        <v>249</v>
      </c>
      <c r="C76" s="3" t="str">
        <f>IFERROR(__xludf.DUMMYFUNCTION("""COMPUTED_VALUE""")," মোঃ বোল্টু মিয়া ")</f>
        <v> মোঃ বোল্টু মিয়া </v>
      </c>
      <c r="D76" s="3">
        <f>IFERROR(__xludf.DUMMYFUNCTION("""COMPUTED_VALUE"""),5.70056378284E11)</f>
        <v>570056378284</v>
      </c>
      <c r="E76" s="3" t="str">
        <f>IFERROR(__xludf.DUMMYFUNCTION("""COMPUTED_VALUE""")," মোঃ সিতাব মন্ডল ")</f>
        <v> মোঃ সিতাব মন্ডল </v>
      </c>
      <c r="F76" s="3" t="str">
        <f>IFERROR(__xludf.DUMMYFUNCTION("""COMPUTED_VALUE""")," মোছাঃ কহিনুর বেগম ")</f>
        <v> মোছাঃ কহিনুর বেগম </v>
      </c>
      <c r="G76" s="3" t="str">
        <f>IFERROR(__xludf.DUMMYFUNCTION("""COMPUTED_VALUE""")," ২২/০১/১৯৮০ ")</f>
        <v> ২২/০১/১৯৮০ </v>
      </c>
      <c r="H76" s="3" t="str">
        <f>IFERROR(__xludf.DUMMYFUNCTION("""COMPUTED_VALUE""")," কৃষক ")</f>
        <v> কৃষক </v>
      </c>
      <c r="I76" s="3" t="str">
        <f>IFERROR(__xludf.DUMMYFUNCTION("""COMPUTED_VALUE""")," জালশুকা, গাংনী, মেহেরপুর ")</f>
        <v> জালশুকা, গাংনী, মেহেরপুর </v>
      </c>
    </row>
    <row r="77" ht="15.75" customHeight="1">
      <c r="A77" s="3" t="s">
        <v>3212</v>
      </c>
      <c r="B77" s="3">
        <f>IFERROR(__xludf.DUMMYFUNCTION("SPLIT(A77,""|"")"),250.0)</f>
        <v>250</v>
      </c>
      <c r="C77" s="3" t="str">
        <f>IFERROR(__xludf.DUMMYFUNCTION("""COMPUTED_VALUE""")," মোঃ ভাযান আলী ")</f>
        <v> মোঃ ভাযান আলী </v>
      </c>
      <c r="D77" s="3">
        <f>IFERROR(__xludf.DUMMYFUNCTION("""COMPUTED_VALUE"""),5.70056378286E11)</f>
        <v>570056378286</v>
      </c>
      <c r="E77" s="3" t="str">
        <f>IFERROR(__xludf.DUMMYFUNCTION("""COMPUTED_VALUE""")," মোঃ আকবর আলী ")</f>
        <v> মোঃ আকবর আলী </v>
      </c>
      <c r="F77" s="3" t="str">
        <f>IFERROR(__xludf.DUMMYFUNCTION("""COMPUTED_VALUE""")," মোছাঃ মনোয়ারা ")</f>
        <v> মোছাঃ মনোয়ারা </v>
      </c>
      <c r="G77" s="3" t="str">
        <f>IFERROR(__xludf.DUMMYFUNCTION("""COMPUTED_VALUE""")," ২২/০৫/১৯৭০ ")</f>
        <v> ২২/০৫/১৯৭০ </v>
      </c>
      <c r="H77" s="3" t="str">
        <f>IFERROR(__xludf.DUMMYFUNCTION("""COMPUTED_VALUE""")," কৃষক ")</f>
        <v> কৃষক </v>
      </c>
      <c r="I77" s="3" t="str">
        <f>IFERROR(__xludf.DUMMYFUNCTION("""COMPUTED_VALUE""")," জালশুকা, গাংনী, মেহেরপুর ")</f>
        <v> জালশুকা, গাংনী, মেহেরপুর </v>
      </c>
    </row>
    <row r="78" ht="15.75" customHeight="1">
      <c r="A78" s="3" t="s">
        <v>3213</v>
      </c>
      <c r="B78" s="3">
        <f>IFERROR(__xludf.DUMMYFUNCTION("SPLIT(A78,""|"")"),251.0)</f>
        <v>251</v>
      </c>
      <c r="C78" s="3" t="str">
        <f>IFERROR(__xludf.DUMMYFUNCTION("""COMPUTED_VALUE""")," মোঃ রুহুল আমিন ")</f>
        <v> মোঃ রুহুল আমিন </v>
      </c>
      <c r="D78" s="3">
        <f>IFERROR(__xludf.DUMMYFUNCTION("""COMPUTED_VALUE"""),5.70056378287E11)</f>
        <v>570056378287</v>
      </c>
      <c r="E78" s="3" t="str">
        <f>IFERROR(__xludf.DUMMYFUNCTION("""COMPUTED_VALUE""")," মোঃ আবুল হোসেন ")</f>
        <v> মোঃ আবুল হোসেন </v>
      </c>
      <c r="F78" s="3" t="str">
        <f>IFERROR(__xludf.DUMMYFUNCTION("""COMPUTED_VALUE""")," মোছাঃ ঈশারন নেছা ")</f>
        <v> মোছাঃ ঈশারন নেছা </v>
      </c>
      <c r="G78" s="3" t="str">
        <f>IFERROR(__xludf.DUMMYFUNCTION("""COMPUTED_VALUE""")," ০২/০৫/১৯৮৭ ")</f>
        <v> ০২/০৫/১৯৮৭ </v>
      </c>
      <c r="H78" s="3" t="str">
        <f>IFERROR(__xludf.DUMMYFUNCTION("""COMPUTED_VALUE""")," কৃষক ")</f>
        <v> কৃষক </v>
      </c>
      <c r="I78" s="3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79" ht="15.75" customHeight="1">
      <c r="A79" s="3" t="s">
        <v>3214</v>
      </c>
      <c r="B79" s="3">
        <f>IFERROR(__xludf.DUMMYFUNCTION("SPLIT(A79,""|"")"),252.0)</f>
        <v>252</v>
      </c>
      <c r="C79" s="3" t="str">
        <f>IFERROR(__xludf.DUMMYFUNCTION("""COMPUTED_VALUE""")," মোঃ নাসির উদ্দীন ")</f>
        <v> মোঃ নাসির উদ্দীন </v>
      </c>
      <c r="D79" s="3">
        <f>IFERROR(__xludf.DUMMYFUNCTION("""COMPUTED_VALUE"""),5.70056378291E11)</f>
        <v>570056378291</v>
      </c>
      <c r="E79" s="3" t="str">
        <f>IFERROR(__xludf.DUMMYFUNCTION("""COMPUTED_VALUE""")," মোঃ তাহাজদ্দীন ")</f>
        <v> মোঃ তাহাজদ্দীন </v>
      </c>
      <c r="F79" s="3" t="str">
        <f>IFERROR(__xludf.DUMMYFUNCTION("""COMPUTED_VALUE""")," মোছাঃ সফুরা খাতুন ")</f>
        <v> মোছাঃ সফুরা খাতুন </v>
      </c>
      <c r="G79" s="3" t="str">
        <f>IFERROR(__xludf.DUMMYFUNCTION("""COMPUTED_VALUE""")," ০৫/০৯/১৯৬৬ ")</f>
        <v> ০৫/০৯/১৯৬৬ </v>
      </c>
      <c r="H79" s="3" t="str">
        <f>IFERROR(__xludf.DUMMYFUNCTION("""COMPUTED_VALUE""")," কৃষক ")</f>
        <v> কৃষক </v>
      </c>
      <c r="I79" s="3" t="str">
        <f>IFERROR(__xludf.DUMMYFUNCTION("""COMPUTED_VALUE""")," জালশুকা, গাংনী, মেহেরপুর ")</f>
        <v> জালশুকা, গাংনী, মেহেরপুর </v>
      </c>
    </row>
    <row r="80" ht="15.75" customHeight="1">
      <c r="A80" s="3" t="s">
        <v>3215</v>
      </c>
      <c r="B80" s="3">
        <f>IFERROR(__xludf.DUMMYFUNCTION("SPLIT(A80,""|"")"),253.0)</f>
        <v>253</v>
      </c>
      <c r="C80" s="3" t="str">
        <f>IFERROR(__xludf.DUMMYFUNCTION("""COMPUTED_VALUE""")," মোঃ মজিবর মন্ডল ")</f>
        <v> মোঃ মজিবর মন্ডল </v>
      </c>
      <c r="D80" s="3">
        <f>IFERROR(__xludf.DUMMYFUNCTION("""COMPUTED_VALUE"""),5.70056378293E11)</f>
        <v>570056378293</v>
      </c>
      <c r="E80" s="3" t="str">
        <f>IFERROR(__xludf.DUMMYFUNCTION("""COMPUTED_VALUE""")," ময়েজ উদ্দীন ")</f>
        <v> ময়েজ উদ্দীন </v>
      </c>
      <c r="F80" s="3" t="str">
        <f>IFERROR(__xludf.DUMMYFUNCTION("""COMPUTED_VALUE""")," বছিরন নেছা ")</f>
        <v> বছিরন নেছা </v>
      </c>
      <c r="G80" s="3" t="str">
        <f>IFERROR(__xludf.DUMMYFUNCTION("""COMPUTED_VALUE""")," ০৫/০৯/১৯২৭ ")</f>
        <v> ০৫/০৯/১৯২৭ </v>
      </c>
      <c r="H80" s="3" t="str">
        <f>IFERROR(__xludf.DUMMYFUNCTION("""COMPUTED_VALUE""")," কৃষক ")</f>
        <v> কৃষক </v>
      </c>
      <c r="I80" s="3" t="str">
        <f>IFERROR(__xludf.DUMMYFUNCTION("""COMPUTED_VALUE""")," জালশুকা, গাংনী, মেহেরপুর ")</f>
        <v> জালশুকা, গাংনী, মেহেরপুর </v>
      </c>
    </row>
    <row r="81" ht="15.75" customHeight="1">
      <c r="A81" s="3" t="s">
        <v>3216</v>
      </c>
      <c r="B81" s="3">
        <f>IFERROR(__xludf.DUMMYFUNCTION("SPLIT(A81,""|"")"),254.0)</f>
        <v>254</v>
      </c>
      <c r="C81" s="3" t="str">
        <f>IFERROR(__xludf.DUMMYFUNCTION("""COMPUTED_VALUE""")," মোঃ আঃ গফুর মন্ডল ")</f>
        <v> মোঃ আঃ গফুর মন্ডল </v>
      </c>
      <c r="D81" s="3">
        <f>IFERROR(__xludf.DUMMYFUNCTION("""COMPUTED_VALUE"""),5.70056378294E11)</f>
        <v>570056378294</v>
      </c>
      <c r="E81" s="3" t="str">
        <f>IFERROR(__xludf.DUMMYFUNCTION("""COMPUTED_VALUE""")," মোঃ গোলাম রসুল মন্ডল ")</f>
        <v> মোঃ গোলাম রসুল মন্ডল </v>
      </c>
      <c r="F81" s="3" t="str">
        <f>IFERROR(__xludf.DUMMYFUNCTION("""COMPUTED_VALUE""")," মোছাঃ জহুরা খাতুন ")</f>
        <v> মোছাঃ জহুরা খাতুন </v>
      </c>
      <c r="G81" s="3" t="str">
        <f>IFERROR(__xludf.DUMMYFUNCTION("""COMPUTED_VALUE""")," ০৩/০৮/১৯৭২ ")</f>
        <v> ০৩/০৮/১৯৭২ </v>
      </c>
      <c r="H81" s="3" t="str">
        <f>IFERROR(__xludf.DUMMYFUNCTION("""COMPUTED_VALUE""")," কৃষক ")</f>
        <v> কৃষক </v>
      </c>
      <c r="I81" s="3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82" ht="15.75" customHeight="1">
      <c r="A82" s="3" t="s">
        <v>3217</v>
      </c>
      <c r="B82" s="3">
        <f>IFERROR(__xludf.DUMMYFUNCTION("SPLIT(A82,""|"")"),255.0)</f>
        <v>255</v>
      </c>
      <c r="C82" s="3" t="str">
        <f>IFERROR(__xludf.DUMMYFUNCTION("""COMPUTED_VALUE""")," মোঃ বাদশা বুলবুল ")</f>
        <v> মোঃ বাদশা বুলবুল </v>
      </c>
      <c r="D82" s="3">
        <f>IFERROR(__xludf.DUMMYFUNCTION("""COMPUTED_VALUE"""),5.70056378298E11)</f>
        <v>570056378298</v>
      </c>
      <c r="E82" s="3" t="str">
        <f>IFERROR(__xludf.DUMMYFUNCTION("""COMPUTED_VALUE""")," মোঃ আমিনুল ইসলাম ")</f>
        <v> মোঃ আমিনুল ইসলাম </v>
      </c>
      <c r="F82" s="3" t="str">
        <f>IFERROR(__xludf.DUMMYFUNCTION("""COMPUTED_VALUE""")," মোছাঃ ছালেহা খাতুন ")</f>
        <v> মোছাঃ ছালেহা খাতুন </v>
      </c>
      <c r="G82" s="3" t="str">
        <f>IFERROR(__xludf.DUMMYFUNCTION("""COMPUTED_VALUE""")," ১৯/০৮/১৯৮৮ ")</f>
        <v> ১৯/০৮/১৯৮৮ </v>
      </c>
      <c r="H82" s="3" t="str">
        <f>IFERROR(__xludf.DUMMYFUNCTION("""COMPUTED_VALUE""")," কৃষক ")</f>
        <v> কৃষক </v>
      </c>
      <c r="I82" s="3" t="str">
        <f>IFERROR(__xludf.DUMMYFUNCTION("""COMPUTED_VALUE""")," জালশুকা উত্তর পাড়া, গাংনী, মেহেরপুর ")</f>
        <v> জালশুকা উত্তর পাড়া, গাংনী, মেহেরপুর </v>
      </c>
    </row>
    <row r="83" ht="15.75" customHeight="1">
      <c r="A83" s="3" t="s">
        <v>3218</v>
      </c>
      <c r="B83" s="3">
        <f>IFERROR(__xludf.DUMMYFUNCTION("SPLIT(A83,""|"")"),256.0)</f>
        <v>256</v>
      </c>
      <c r="C83" s="3" t="str">
        <f>IFERROR(__xludf.DUMMYFUNCTION("""COMPUTED_VALUE""")," মোঃ আবুল কাশেম ")</f>
        <v> মোঃ আবুল কাশেম </v>
      </c>
      <c r="D83" s="3">
        <f>IFERROR(__xludf.DUMMYFUNCTION("""COMPUTED_VALUE"""),5.70056378303E11)</f>
        <v>570056378303</v>
      </c>
      <c r="E83" s="3" t="str">
        <f>IFERROR(__xludf.DUMMYFUNCTION("""COMPUTED_VALUE""")," মোহাঃ আব্দুল আজিজ ")</f>
        <v> মোহাঃ আব্দুল আজিজ </v>
      </c>
      <c r="F83" s="3" t="str">
        <f>IFERROR(__xludf.DUMMYFUNCTION("""COMPUTED_VALUE""")," রোকেয়া খাতুন ")</f>
        <v> রোকেয়া খাতুন </v>
      </c>
      <c r="G83" s="3" t="str">
        <f>IFERROR(__xludf.DUMMYFUNCTION("""COMPUTED_VALUE""")," ১২/১০/১৯৬৪ ")</f>
        <v> ১২/১০/১৯৬৪ </v>
      </c>
      <c r="H83" s="3" t="str">
        <f>IFERROR(__xludf.DUMMYFUNCTION("""COMPUTED_VALUE""")," দিনমজুর ")</f>
        <v> দিনমজুর </v>
      </c>
      <c r="I83" s="3" t="str">
        <f>IFERROR(__xludf.DUMMYFUNCTION("""COMPUTED_VALUE""")," জালশুকা, গাংনী, মেহেরপুর ")</f>
        <v> জালশুকা, গাংনী, মেহেরপুর </v>
      </c>
    </row>
    <row r="84" ht="15.75" customHeight="1">
      <c r="A84" s="3" t="s">
        <v>3219</v>
      </c>
      <c r="B84" s="3">
        <f>IFERROR(__xludf.DUMMYFUNCTION("SPLIT(A84,""|"")"),257.0)</f>
        <v>257</v>
      </c>
      <c r="C84" s="3" t="str">
        <f>IFERROR(__xludf.DUMMYFUNCTION("""COMPUTED_VALUE""")," মোঃ আবুল হাশেম ")</f>
        <v> মোঃ আবুল হাশেম </v>
      </c>
      <c r="D84" s="3">
        <f>IFERROR(__xludf.DUMMYFUNCTION("""COMPUTED_VALUE"""),5.70056378305E11)</f>
        <v>570056378305</v>
      </c>
      <c r="E84" s="3" t="str">
        <f>IFERROR(__xludf.DUMMYFUNCTION("""COMPUTED_VALUE""")," মোহাঃ আব্দুল আজিজ ")</f>
        <v> মোহাঃ আব্দুল আজিজ </v>
      </c>
      <c r="F84" s="3" t="str">
        <f>IFERROR(__xludf.DUMMYFUNCTION("""COMPUTED_VALUE""")," রোকেয়া ")</f>
        <v> রোকেয়া </v>
      </c>
      <c r="G84" s="3" t="str">
        <f>IFERROR(__xludf.DUMMYFUNCTION("""COMPUTED_VALUE""")," ১২/১০/১৯৬৬ ")</f>
        <v> ১২/১০/১৯৬৬ </v>
      </c>
      <c r="H84" s="3" t="str">
        <f>IFERROR(__xludf.DUMMYFUNCTION("""COMPUTED_VALUE""")," দিনমজুর ")</f>
        <v> দিনমজুর </v>
      </c>
      <c r="I84" s="3" t="str">
        <f>IFERROR(__xludf.DUMMYFUNCTION("""COMPUTED_VALUE""")," জালশুকা, গাংনী, মেহেরপুর ")</f>
        <v> জালশুকা, গাংনী, মেহেরপুর </v>
      </c>
    </row>
    <row r="85" ht="15.75" customHeight="1">
      <c r="A85" s="3" t="s">
        <v>3220</v>
      </c>
      <c r="B85" s="3">
        <f>IFERROR(__xludf.DUMMYFUNCTION("SPLIT(A85,""|"")"),258.0)</f>
        <v>258</v>
      </c>
      <c r="C85" s="3" t="str">
        <f>IFERROR(__xludf.DUMMYFUNCTION("""COMPUTED_VALUE""")," মোহাঃ তহিদুল ")</f>
        <v> মোহাঃ তহিদুল </v>
      </c>
      <c r="D85" s="3">
        <f>IFERROR(__xludf.DUMMYFUNCTION("""COMPUTED_VALUE"""),5.70056378307E11)</f>
        <v>570056378307</v>
      </c>
      <c r="E85" s="3" t="str">
        <f>IFERROR(__xludf.DUMMYFUNCTION("""COMPUTED_VALUE""")," মোহাঃ আবুল কাশেম ")</f>
        <v> মোহাঃ আবুল কাশেম </v>
      </c>
      <c r="F85" s="3" t="str">
        <f>IFERROR(__xludf.DUMMYFUNCTION("""COMPUTED_VALUE""")," মোছাঃ মুর্শিদা ")</f>
        <v> মোছাঃ মুর্শিদা </v>
      </c>
      <c r="G85" s="3" t="str">
        <f>IFERROR(__xludf.DUMMYFUNCTION("""COMPUTED_VALUE""")," ০১/০৭/১৯৮৭ ")</f>
        <v> ০১/০৭/১৯৮৭ </v>
      </c>
      <c r="H85" s="3" t="str">
        <f>IFERROR(__xludf.DUMMYFUNCTION("""COMPUTED_VALUE""")," দিনমজুর ")</f>
        <v> দিনমজুর </v>
      </c>
      <c r="I85" s="3" t="str">
        <f>IFERROR(__xludf.DUMMYFUNCTION("""COMPUTED_VALUE""")," জালশুকা, গাংনী, মেহেরপুর ")</f>
        <v> জালশুকা, গাংনী, মেহেরপুর </v>
      </c>
    </row>
    <row r="86" ht="15.75" customHeight="1">
      <c r="A86" s="3" t="s">
        <v>3221</v>
      </c>
      <c r="B86" s="3">
        <f>IFERROR(__xludf.DUMMYFUNCTION("SPLIT(A86,""|"")"),259.0)</f>
        <v>259</v>
      </c>
      <c r="C86" s="3" t="str">
        <f>IFERROR(__xludf.DUMMYFUNCTION("""COMPUTED_VALUE""")," মোহাঃ জিনারুল ")</f>
        <v> মোহাঃ জিনারুল </v>
      </c>
      <c r="D86" s="3">
        <f>IFERROR(__xludf.DUMMYFUNCTION("""COMPUTED_VALUE"""),5.7005637831E11)</f>
        <v>570056378310</v>
      </c>
      <c r="E86" s="3" t="str">
        <f>IFERROR(__xludf.DUMMYFUNCTION("""COMPUTED_VALUE""")," মোঃ মোজাম্মেল হক ")</f>
        <v> মোঃ মোজাম্মেল হক </v>
      </c>
      <c r="F86" s="3" t="str">
        <f>IFERROR(__xludf.DUMMYFUNCTION("""COMPUTED_VALUE""")," মোছাঃ আনজিরা খাতুন ")</f>
        <v> মোছাঃ আনজিরা খাতুন </v>
      </c>
      <c r="G86" s="3" t="str">
        <f>IFERROR(__xludf.DUMMYFUNCTION("""COMPUTED_VALUE""")," ১২/১০/১৯৮২ ")</f>
        <v> ১২/১০/১৯৮২ </v>
      </c>
      <c r="H86" s="3" t="str">
        <f>IFERROR(__xludf.DUMMYFUNCTION("""COMPUTED_VALUE""")," দিনমজুর ")</f>
        <v> দিনমজুর </v>
      </c>
      <c r="I86" s="3" t="str">
        <f>IFERROR(__xludf.DUMMYFUNCTION("""COMPUTED_VALUE""")," জালশুকা, গাংনী, মেহেরপুর ")</f>
        <v> জালশুকা, গাংনী, মেহেরপুর </v>
      </c>
    </row>
    <row r="87" ht="15.75" customHeight="1">
      <c r="A87" s="3" t="s">
        <v>3222</v>
      </c>
      <c r="B87" s="3">
        <f>IFERROR(__xludf.DUMMYFUNCTION("SPLIT(A87,""|"")"),260.0)</f>
        <v>260</v>
      </c>
      <c r="C87" s="3" t="str">
        <f>IFERROR(__xludf.DUMMYFUNCTION("""COMPUTED_VALUE""")," মোঃ আব্দুল কাদের ")</f>
        <v> মোঃ আব্দুল কাদের </v>
      </c>
      <c r="D87" s="3">
        <f>IFERROR(__xludf.DUMMYFUNCTION("""COMPUTED_VALUE"""),5.70056378312E11)</f>
        <v>570056378312</v>
      </c>
      <c r="E87" s="3" t="str">
        <f>IFERROR(__xludf.DUMMYFUNCTION("""COMPUTED_VALUE""")," রুস্তম মন্ডল ")</f>
        <v> রুস্তম মন্ডল </v>
      </c>
      <c r="F87" s="3" t="str">
        <f>IFERROR(__xludf.DUMMYFUNCTION("""COMPUTED_VALUE""")," মোছাঃ তিতু বিবি ")</f>
        <v> মোছাঃ তিতু বিবি </v>
      </c>
      <c r="G87" s="3" t="str">
        <f>IFERROR(__xludf.DUMMYFUNCTION("""COMPUTED_VALUE""")," ১০/০৩/১৯৬২ ")</f>
        <v> ১০/০৩/১৯৬২ </v>
      </c>
      <c r="H87" s="3" t="str">
        <f>IFERROR(__xludf.DUMMYFUNCTION("""COMPUTED_VALUE""")," দিনমজুর ")</f>
        <v> দিনমজুর </v>
      </c>
      <c r="I87" s="3" t="str">
        <f>IFERROR(__xludf.DUMMYFUNCTION("""COMPUTED_VALUE""")," জালশুকা, গাংনী, মেহেরপুর ")</f>
        <v> জালশুকা, গাংনী, মেহেরপুর </v>
      </c>
    </row>
    <row r="88" ht="15.75" customHeight="1">
      <c r="A88" s="3" t="s">
        <v>3223</v>
      </c>
      <c r="B88" s="3">
        <f>IFERROR(__xludf.DUMMYFUNCTION("SPLIT(A88,""|"")"),261.0)</f>
        <v>261</v>
      </c>
      <c r="C88" s="3" t="str">
        <f>IFERROR(__xludf.DUMMYFUNCTION("""COMPUTED_VALUE""")," মোহাঃ বাবর আলী ")</f>
        <v> মোহাঃ বাবর আলী </v>
      </c>
      <c r="D88" s="3">
        <f>IFERROR(__xludf.DUMMYFUNCTION("""COMPUTED_VALUE"""),5.70056378314E11)</f>
        <v>570056378314</v>
      </c>
      <c r="E88" s="3" t="str">
        <f>IFERROR(__xludf.DUMMYFUNCTION("""COMPUTED_VALUE""")," আব্দুল বারী ")</f>
        <v> আব্দুল বারী </v>
      </c>
      <c r="F88" s="3" t="str">
        <f>IFERROR(__xludf.DUMMYFUNCTION("""COMPUTED_VALUE""")," মোছাঃ সাহার বানু ")</f>
        <v> মোছাঃ সাহার বানু </v>
      </c>
      <c r="G88" s="3" t="str">
        <f>IFERROR(__xludf.DUMMYFUNCTION("""COMPUTED_VALUE""")," ১০/০৩/১৯৭৭ ")</f>
        <v> ১০/০৩/১৯৭৭ </v>
      </c>
      <c r="H88" s="3" t="str">
        <f>IFERROR(__xludf.DUMMYFUNCTION("""COMPUTED_VALUE""")," দিনমজুর ")</f>
        <v> দিনমজুর </v>
      </c>
      <c r="I88" s="3" t="str">
        <f>IFERROR(__xludf.DUMMYFUNCTION("""COMPUTED_VALUE""")," জালশুকা, গাংনী, মেহেরপুর ")</f>
        <v> জালশুকা, গাংনী, মেহেরপুর </v>
      </c>
    </row>
    <row r="89" ht="15.75" customHeight="1">
      <c r="A89" s="3" t="s">
        <v>3224</v>
      </c>
      <c r="B89" s="3">
        <f>IFERROR(__xludf.DUMMYFUNCTION("SPLIT(A89,""|"")"),262.0)</f>
        <v>262</v>
      </c>
      <c r="C89" s="3" t="str">
        <f>IFERROR(__xludf.DUMMYFUNCTION("""COMPUTED_VALUE""")," মোঃ শরিফ উদ্দীন ")</f>
        <v> মোঃ শরিফ উদ্দীন </v>
      </c>
      <c r="D89" s="3">
        <f>IFERROR(__xludf.DUMMYFUNCTION("""COMPUTED_VALUE"""),5.70056378317E11)</f>
        <v>570056378317</v>
      </c>
      <c r="E89" s="3" t="str">
        <f>IFERROR(__xludf.DUMMYFUNCTION("""COMPUTED_VALUE""")," মোহাঃ আব্দুল বারী ")</f>
        <v> মোহাঃ আব্দুল বারী </v>
      </c>
      <c r="F89" s="3" t="str">
        <f>IFERROR(__xludf.DUMMYFUNCTION("""COMPUTED_VALUE""")," মোছাঃ সাহার বানু ")</f>
        <v> মোছাঃ সাহার বানু </v>
      </c>
      <c r="G89" s="3" t="str">
        <f>IFERROR(__xludf.DUMMYFUNCTION("""COMPUTED_VALUE""")," ০৫/১১/১৯৮৭ ")</f>
        <v> ০৫/১১/১৯৮৭ </v>
      </c>
      <c r="H89" s="3" t="str">
        <f>IFERROR(__xludf.DUMMYFUNCTION("""COMPUTED_VALUE""")," কৃষক ")</f>
        <v> কৃষক </v>
      </c>
      <c r="I89" s="3" t="str">
        <f>IFERROR(__xludf.DUMMYFUNCTION("""COMPUTED_VALUE""")," জালশুকা, গাংনী, মেহেরপুর ")</f>
        <v> জালশুকা, গাংনী, মেহেরপুর </v>
      </c>
    </row>
    <row r="90" ht="15.75" customHeight="1">
      <c r="A90" s="3" t="s">
        <v>3225</v>
      </c>
      <c r="B90" s="3">
        <f>IFERROR(__xludf.DUMMYFUNCTION("SPLIT(A90,""|"")"),263.0)</f>
        <v>263</v>
      </c>
      <c r="C90" s="3" t="str">
        <f>IFERROR(__xludf.DUMMYFUNCTION("""COMPUTED_VALUE""")," মোঃ আব্দুল বারী ")</f>
        <v> মোঃ আব্দুল বারী </v>
      </c>
      <c r="D90" s="3">
        <f>IFERROR(__xludf.DUMMYFUNCTION("""COMPUTED_VALUE"""),5.70056378319E11)</f>
        <v>570056378319</v>
      </c>
      <c r="E90" s="3" t="str">
        <f>IFERROR(__xludf.DUMMYFUNCTION("""COMPUTED_VALUE""")," সিরাজ সর্দ্দার ")</f>
        <v> সিরাজ সর্দ্দার </v>
      </c>
      <c r="F90" s="3" t="str">
        <f>IFERROR(__xludf.DUMMYFUNCTION("""COMPUTED_VALUE""")," ফুলমতি ")</f>
        <v> ফুলমতি </v>
      </c>
      <c r="G90" s="3" t="str">
        <f>IFERROR(__xludf.DUMMYFUNCTION("""COMPUTED_VALUE""")," ০৪/০৫/১৯৫৮ ")</f>
        <v> ০৪/০৫/১৯৫৮ </v>
      </c>
      <c r="H90" s="3" t="str">
        <f>IFERROR(__xludf.DUMMYFUNCTION("""COMPUTED_VALUE""")," অন্যান্য ")</f>
        <v> অন্যান্য </v>
      </c>
      <c r="I90" s="3" t="str">
        <f>IFERROR(__xludf.DUMMYFUNCTION("""COMPUTED_VALUE""")," জালশুকা, গাংনী, মেহেরপুর ")</f>
        <v> জালশুকা, গাংনী, মেহেরপুর </v>
      </c>
    </row>
    <row r="91" ht="15.75" customHeight="1">
      <c r="A91" s="3" t="s">
        <v>3226</v>
      </c>
      <c r="B91" s="3">
        <f>IFERROR(__xludf.DUMMYFUNCTION("SPLIT(A91,""|"")"),264.0)</f>
        <v>264</v>
      </c>
      <c r="C91" s="3" t="str">
        <f>IFERROR(__xludf.DUMMYFUNCTION("""COMPUTED_VALUE""")," মোঃ আব্দুল মালেক ")</f>
        <v> মোঃ আব্দুল মালেক </v>
      </c>
      <c r="D91" s="3">
        <f>IFERROR(__xludf.DUMMYFUNCTION("""COMPUTED_VALUE"""),5.70056378321E11)</f>
        <v>570056378321</v>
      </c>
      <c r="E91" s="3" t="str">
        <f>IFERROR(__xludf.DUMMYFUNCTION("""COMPUTED_VALUE""")," আবুবকর ")</f>
        <v> আবুবকর </v>
      </c>
      <c r="F91" s="3" t="str">
        <f>IFERROR(__xludf.DUMMYFUNCTION("""COMPUTED_VALUE""")," হালিমা ")</f>
        <v> হালিমা </v>
      </c>
      <c r="G91" s="3" t="str">
        <f>IFERROR(__xludf.DUMMYFUNCTION("""COMPUTED_VALUE""")," ১১/১০/১৯৬৭ ")</f>
        <v> ১১/১০/১৯৬৭ </v>
      </c>
      <c r="H91" s="3" t="str">
        <f>IFERROR(__xludf.DUMMYFUNCTION("""COMPUTED_VALUE""")," কৃষক ")</f>
        <v> কৃষক </v>
      </c>
      <c r="I91" s="3" t="str">
        <f>IFERROR(__xludf.DUMMYFUNCTION("""COMPUTED_VALUE""")," জালশুকা, গাংনী, মেহেরপুর ")</f>
        <v> জালশুকা, গাংনী, মেহেরপুর </v>
      </c>
    </row>
    <row r="92" ht="15.75" customHeight="1">
      <c r="A92" s="3" t="s">
        <v>3227</v>
      </c>
      <c r="B92" s="3">
        <f>IFERROR(__xludf.DUMMYFUNCTION("SPLIT(A92,""|"")"),265.0)</f>
        <v>265</v>
      </c>
      <c r="C92" s="3" t="str">
        <f>IFERROR(__xludf.DUMMYFUNCTION("""COMPUTED_VALUE""")," মোহাঃ আরশেদ আলী ")</f>
        <v> মোহাঃ আরশেদ আলী </v>
      </c>
      <c r="D92" s="3">
        <f>IFERROR(__xludf.DUMMYFUNCTION("""COMPUTED_VALUE"""),5.70056378323E11)</f>
        <v>570056378323</v>
      </c>
      <c r="E92" s="3" t="str">
        <f>IFERROR(__xludf.DUMMYFUNCTION("""COMPUTED_VALUE""")," মোহাঃ আয়ুব আলী ")</f>
        <v> মোহাঃ আয়ুব আলী </v>
      </c>
      <c r="F92" s="3" t="str">
        <f>IFERROR(__xludf.DUMMYFUNCTION("""COMPUTED_VALUE""")," মোছাঃ মর্জিনা খাতুন ")</f>
        <v> মোছাঃ মর্জিনা খাতুন </v>
      </c>
      <c r="G92" s="3" t="str">
        <f>IFERROR(__xludf.DUMMYFUNCTION("""COMPUTED_VALUE""")," ০৫/১২/১৯৮৬ ")</f>
        <v> ০৫/১২/১৯৮৬ </v>
      </c>
      <c r="H92" s="3" t="str">
        <f>IFERROR(__xludf.DUMMYFUNCTION("""COMPUTED_VALUE""")," দিনমজুর ")</f>
        <v> দিনমজুর </v>
      </c>
      <c r="I92" s="3" t="str">
        <f>IFERROR(__xludf.DUMMYFUNCTION("""COMPUTED_VALUE""")," জালশুকা, গাংনী, মেহেরপুর ")</f>
        <v> জালশুকা, গাংনী, মেহেরপুর </v>
      </c>
    </row>
    <row r="93" ht="15.75" customHeight="1">
      <c r="A93" s="3" t="s">
        <v>3228</v>
      </c>
      <c r="B93" s="3">
        <f>IFERROR(__xludf.DUMMYFUNCTION("SPLIT(A93,""|"")"),266.0)</f>
        <v>266</v>
      </c>
      <c r="C93" s="3" t="str">
        <f>IFERROR(__xludf.DUMMYFUNCTION("""COMPUTED_VALUE""")," মোহাঃ এনামুল হক ")</f>
        <v> মোহাঃ এনামুল হক </v>
      </c>
      <c r="D93" s="3">
        <f>IFERROR(__xludf.DUMMYFUNCTION("""COMPUTED_VALUE"""),5.70056378324E11)</f>
        <v>570056378324</v>
      </c>
      <c r="E93" s="3" t="str">
        <f>IFERROR(__xludf.DUMMYFUNCTION("""COMPUTED_VALUE""")," মোহাঃ ফাকের আলী ")</f>
        <v> মোহাঃ ফাকের আলী </v>
      </c>
      <c r="F93" s="3" t="str">
        <f>IFERROR(__xludf.DUMMYFUNCTION("""COMPUTED_VALUE""")," মোছাঃ আজিরন ")</f>
        <v> মোছাঃ আজিরন </v>
      </c>
      <c r="G93" s="3" t="str">
        <f>IFERROR(__xludf.DUMMYFUNCTION("""COMPUTED_VALUE""")," ০৭/০১/১৯৬৮ ")</f>
        <v> ০৭/০১/১৯৬৮ </v>
      </c>
      <c r="H93" s="3" t="str">
        <f>IFERROR(__xludf.DUMMYFUNCTION("""COMPUTED_VALUE""")," কৃষক ")</f>
        <v> কৃষক </v>
      </c>
      <c r="I93" s="3" t="str">
        <f>IFERROR(__xludf.DUMMYFUNCTION("""COMPUTED_VALUE""")," জালশুকা, গাংনী, মেহেরপুর ")</f>
        <v> জালশুকা, গাংনী, মেহেরপুর </v>
      </c>
    </row>
    <row r="94" ht="15.75" customHeight="1">
      <c r="A94" s="3" t="s">
        <v>3229</v>
      </c>
      <c r="B94" s="3">
        <f>IFERROR(__xludf.DUMMYFUNCTION("SPLIT(A94,""|"")"),267.0)</f>
        <v>267</v>
      </c>
      <c r="C94" s="3" t="str">
        <f>IFERROR(__xludf.DUMMYFUNCTION("""COMPUTED_VALUE""")," মোহাঃ শফিকুল ইসলাম ")</f>
        <v> মোহাঃ শফিকুল ইসলাম </v>
      </c>
      <c r="D94" s="3">
        <f>IFERROR(__xludf.DUMMYFUNCTION("""COMPUTED_VALUE"""),5.70056378326E11)</f>
        <v>570056378326</v>
      </c>
      <c r="E94" s="3" t="str">
        <f>IFERROR(__xludf.DUMMYFUNCTION("""COMPUTED_VALUE""")," আব্দুল জলিল ")</f>
        <v> আব্দুল জলিল </v>
      </c>
      <c r="F94" s="3" t="str">
        <f>IFERROR(__xludf.DUMMYFUNCTION("""COMPUTED_VALUE""")," মোছাঃ তহুরা খাতুন ")</f>
        <v> মোছাঃ তহুরা খাতুন </v>
      </c>
      <c r="G94" s="3" t="str">
        <f>IFERROR(__xludf.DUMMYFUNCTION("""COMPUTED_VALUE""")," ০২/০৭/১৯৪৬ ")</f>
        <v> ০২/০৭/১৯৪৬ </v>
      </c>
      <c r="H94" s="3" t="str">
        <f>IFERROR(__xludf.DUMMYFUNCTION("""COMPUTED_VALUE""")," কৃষক ")</f>
        <v> কৃষক </v>
      </c>
      <c r="I94" s="3" t="str">
        <f>IFERROR(__xludf.DUMMYFUNCTION("""COMPUTED_VALUE""")," জালশুকা, গাংনী, মেহেরপুর ")</f>
        <v> জালশুকা, গাংনী, মেহেরপুর </v>
      </c>
    </row>
    <row r="95" ht="15.75" customHeight="1">
      <c r="A95" s="3" t="s">
        <v>3230</v>
      </c>
      <c r="B95" s="3">
        <f>IFERROR(__xludf.DUMMYFUNCTION("SPLIT(A95,""|"")"),268.0)</f>
        <v>268</v>
      </c>
      <c r="C95" s="3" t="str">
        <f>IFERROR(__xludf.DUMMYFUNCTION("""COMPUTED_VALUE""")," মোহাঃ আনোয়ার হোসেন ")</f>
        <v> মোহাঃ আনোয়ার হোসেন </v>
      </c>
      <c r="D95" s="3">
        <f>IFERROR(__xludf.DUMMYFUNCTION("""COMPUTED_VALUE"""),5.70056378328E11)</f>
        <v>570056378328</v>
      </c>
      <c r="E95" s="3" t="str">
        <f>IFERROR(__xludf.DUMMYFUNCTION("""COMPUTED_VALUE""")," মোহাঃ শফিকুল ইসলাম ")</f>
        <v> মোহাঃ শফিকুল ইসলাম </v>
      </c>
      <c r="F95" s="3" t="str">
        <f>IFERROR(__xludf.DUMMYFUNCTION("""COMPUTED_VALUE""")," মোছাঃ ফাতেমা ")</f>
        <v> মোছাঃ ফাতেমা </v>
      </c>
      <c r="G95" s="3" t="str">
        <f>IFERROR(__xludf.DUMMYFUNCTION("""COMPUTED_VALUE""")," ০৫/০৯/১৯৭১ ")</f>
        <v> ০৫/০৯/১৯৭১ </v>
      </c>
      <c r="H95" s="3" t="str">
        <f>IFERROR(__xludf.DUMMYFUNCTION("""COMPUTED_VALUE""")," কৃষক ")</f>
        <v> কৃষক </v>
      </c>
      <c r="I95" s="3" t="str">
        <f>IFERROR(__xludf.DUMMYFUNCTION("""COMPUTED_VALUE""")," জালশুকা, গাংনী, মেহেরপুর ")</f>
        <v> জালশুকা, গাংনী, মেহেরপুর </v>
      </c>
    </row>
    <row r="96" ht="15.75" customHeight="1">
      <c r="A96" s="3" t="s">
        <v>3231</v>
      </c>
      <c r="B96" s="3">
        <f>IFERROR(__xludf.DUMMYFUNCTION("SPLIT(A96,""|"")"),269.0)</f>
        <v>269</v>
      </c>
      <c r="C96" s="3" t="str">
        <f>IFERROR(__xludf.DUMMYFUNCTION("""COMPUTED_VALUE""")," মোঃ রেজাউল ")</f>
        <v> মোঃ রেজাউল </v>
      </c>
      <c r="D96" s="3">
        <f>IFERROR(__xludf.DUMMYFUNCTION("""COMPUTED_VALUE"""),5.70056378329E11)</f>
        <v>570056378329</v>
      </c>
      <c r="E96" s="3" t="str">
        <f>IFERROR(__xludf.DUMMYFUNCTION("""COMPUTED_VALUE""")," জুব্বার ")</f>
        <v> জুব্বার </v>
      </c>
      <c r="F96" s="3" t="str">
        <f>IFERROR(__xludf.DUMMYFUNCTION("""COMPUTED_VALUE""")," ঠান্ডা বুড়ি ")</f>
        <v> ঠান্ডা বুড়ি </v>
      </c>
      <c r="G96" s="3" t="str">
        <f>IFERROR(__xludf.DUMMYFUNCTION("""COMPUTED_VALUE""")," ০১/০৬/১৯৭১ ")</f>
        <v> ০১/০৬/১৯৭১ </v>
      </c>
      <c r="H96" s="3" t="str">
        <f>IFERROR(__xludf.DUMMYFUNCTION("""COMPUTED_VALUE""")," কৃষক ")</f>
        <v> কৃষক </v>
      </c>
      <c r="I96" s="3" t="str">
        <f>IFERROR(__xludf.DUMMYFUNCTION("""COMPUTED_VALUE""")," জালশুকা, গাংনী, মেহেরপুর ")</f>
        <v> জালশুকা, গাংনী, মেহেরপুর </v>
      </c>
    </row>
    <row r="97" ht="15.75" customHeight="1">
      <c r="A97" s="3" t="s">
        <v>3232</v>
      </c>
      <c r="B97" s="3">
        <f>IFERROR(__xludf.DUMMYFUNCTION("SPLIT(A97,""|"")"),270.0)</f>
        <v>270</v>
      </c>
      <c r="C97" s="3" t="str">
        <f>IFERROR(__xludf.DUMMYFUNCTION("""COMPUTED_VALUE""")," মোহাঃ কোরবান আলী ")</f>
        <v> মোহাঃ কোরবান আলী </v>
      </c>
      <c r="D97" s="3">
        <f>IFERROR(__xludf.DUMMYFUNCTION("""COMPUTED_VALUE"""),5.70056378331E11)</f>
        <v>570056378331</v>
      </c>
      <c r="E97" s="3" t="str">
        <f>IFERROR(__xludf.DUMMYFUNCTION("""COMPUTED_VALUE""")," মোহাঃ সফিকুল ")</f>
        <v> মোহাঃ সফিকুল </v>
      </c>
      <c r="F97" s="3" t="str">
        <f>IFERROR(__xludf.DUMMYFUNCTION("""COMPUTED_VALUE""")," মোছাঃ কমেলা ")</f>
        <v> মোছাঃ কমেলা </v>
      </c>
      <c r="G97" s="3" t="str">
        <f>IFERROR(__xludf.DUMMYFUNCTION("""COMPUTED_VALUE""")," ০১/০১/১৯৮৮ ")</f>
        <v> ০১/০১/১৯৮৮ </v>
      </c>
      <c r="H97" s="3" t="str">
        <f>IFERROR(__xludf.DUMMYFUNCTION("""COMPUTED_VALUE""")," কৃষক ")</f>
        <v> কৃষক </v>
      </c>
      <c r="I97" s="3" t="str">
        <f>IFERROR(__xludf.DUMMYFUNCTION("""COMPUTED_VALUE""")," জালশুকা, গাংনী, মেহেরপুর ")</f>
        <v> জালশুকা, গাংনী, মেহেরপুর </v>
      </c>
    </row>
    <row r="98" ht="15.75" customHeight="1">
      <c r="A98" s="3" t="s">
        <v>3233</v>
      </c>
      <c r="B98" s="3">
        <f>IFERROR(__xludf.DUMMYFUNCTION("SPLIT(A98,""|"")"),271.0)</f>
        <v>271</v>
      </c>
      <c r="C98" s="3" t="str">
        <f>IFERROR(__xludf.DUMMYFUNCTION("""COMPUTED_VALUE""")," মোঃ কামাল উদ্দীন ")</f>
        <v> মোঃ কামাল উদ্দীন </v>
      </c>
      <c r="D98" s="3">
        <f>IFERROR(__xludf.DUMMYFUNCTION("""COMPUTED_VALUE"""),5.70056378336E11)</f>
        <v>570056378336</v>
      </c>
      <c r="E98" s="3" t="str">
        <f>IFERROR(__xludf.DUMMYFUNCTION("""COMPUTED_VALUE""")," মোহাঃ আজিজুল হক ")</f>
        <v> মোহাঃ আজিজুল হক </v>
      </c>
      <c r="F98" s="3" t="str">
        <f>IFERROR(__xludf.DUMMYFUNCTION("""COMPUTED_VALUE""")," মোছাঃ হালিমা ")</f>
        <v> মোছাঃ হালিমা </v>
      </c>
      <c r="G98" s="3" t="str">
        <f>IFERROR(__xludf.DUMMYFUNCTION("""COMPUTED_VALUE""")," ১২/১০/১৯৮২ ")</f>
        <v> ১২/১০/১৯৮২ </v>
      </c>
      <c r="H98" s="3" t="str">
        <f>IFERROR(__xludf.DUMMYFUNCTION("""COMPUTED_VALUE""")," কৃষক ")</f>
        <v> কৃষক </v>
      </c>
      <c r="I98" s="3" t="str">
        <f>IFERROR(__xludf.DUMMYFUNCTION("""COMPUTED_VALUE""")," জালশুকা, গাংনী, মেহেরপুর ")</f>
        <v> জালশুকা, গাংনী, মেহেরপুর </v>
      </c>
    </row>
    <row r="99" ht="15.75" customHeight="1">
      <c r="A99" s="3" t="s">
        <v>3234</v>
      </c>
      <c r="B99" s="3">
        <f>IFERROR(__xludf.DUMMYFUNCTION("SPLIT(A99,""|"")"),272.0)</f>
        <v>272</v>
      </c>
      <c r="C99" s="3" t="str">
        <f>IFERROR(__xludf.DUMMYFUNCTION("""COMPUTED_VALUE""")," মোহাঃ আজিবার রহমান ")</f>
        <v> মোহাঃ আজিবার রহমান </v>
      </c>
      <c r="D99" s="3">
        <f>IFERROR(__xludf.DUMMYFUNCTION("""COMPUTED_VALUE"""),5.70056378339E11)</f>
        <v>570056378339</v>
      </c>
      <c r="E99" s="3" t="str">
        <f>IFERROR(__xludf.DUMMYFUNCTION("""COMPUTED_VALUE""")," মোঃ আছিরুদ্দীন ")</f>
        <v> মোঃ আছিরুদ্দীন </v>
      </c>
      <c r="F99" s="3" t="str">
        <f>IFERROR(__xludf.DUMMYFUNCTION("""COMPUTED_VALUE""")," শাহিদুন নেছা ")</f>
        <v> শাহিদুন নেছা </v>
      </c>
      <c r="G99" s="3" t="str">
        <f>IFERROR(__xludf.DUMMYFUNCTION("""COMPUTED_VALUE""")," ০৪/১২/১৯৮৪ ")</f>
        <v> ০৪/১২/১৯৮৪ </v>
      </c>
      <c r="H99" s="3" t="str">
        <f>IFERROR(__xludf.DUMMYFUNCTION("""COMPUTED_VALUE""")," ছাত্র/ছাত্রী ")</f>
        <v> ছাত্র/ছাত্রী </v>
      </c>
      <c r="I99" s="3" t="str">
        <f>IFERROR(__xludf.DUMMYFUNCTION("""COMPUTED_VALUE""")," জালশুকা, গাংনী, মেহেরপুর ")</f>
        <v> জালশুকা, গাংনী, মেহেরপুর </v>
      </c>
    </row>
    <row r="100" ht="15.75" customHeight="1">
      <c r="A100" s="3" t="s">
        <v>3235</v>
      </c>
      <c r="B100" s="3">
        <f>IFERROR(__xludf.DUMMYFUNCTION("SPLIT(A100,""|"")"),273.0)</f>
        <v>273</v>
      </c>
      <c r="C100" s="3" t="str">
        <f>IFERROR(__xludf.DUMMYFUNCTION("""COMPUTED_VALUE""")," মোঃ তোফাজ্জেল ")</f>
        <v> মোঃ তোফাজ্জেল </v>
      </c>
      <c r="D100" s="3">
        <f>IFERROR(__xludf.DUMMYFUNCTION("""COMPUTED_VALUE"""),5.7005637834E11)</f>
        <v>570056378340</v>
      </c>
      <c r="E100" s="3" t="str">
        <f>IFERROR(__xludf.DUMMYFUNCTION("""COMPUTED_VALUE""")," মোহাঃ আলাউদ্দিন ")</f>
        <v> মোহাঃ আলাউদ্দিন </v>
      </c>
      <c r="F100" s="3" t="str">
        <f>IFERROR(__xludf.DUMMYFUNCTION("""COMPUTED_VALUE""")," মোছাঃ শাহিদুন্নেছা ")</f>
        <v> মোছাঃ শাহিদুন্নেছা </v>
      </c>
      <c r="G100" s="3" t="str">
        <f>IFERROR(__xludf.DUMMYFUNCTION("""COMPUTED_VALUE""")," ১৮/১০/১৯৭৮ ")</f>
        <v> ১৮/১০/১৯৭৮ </v>
      </c>
      <c r="H100" s="3" t="str">
        <f>IFERROR(__xludf.DUMMYFUNCTION("""COMPUTED_VALUE""")," শ্রমিক ")</f>
        <v> শ্রমিক </v>
      </c>
      <c r="I100" s="3" t="str">
        <f>IFERROR(__xludf.DUMMYFUNCTION("""COMPUTED_VALUE""")," জালশুকা, গাংনী, মেহেরপুর ")</f>
        <v> জালশুকা, গাংনী, মেহেরপুর </v>
      </c>
    </row>
    <row r="101" ht="15.75" customHeight="1">
      <c r="A101" s="3" t="s">
        <v>3236</v>
      </c>
      <c r="B101" s="3">
        <f>IFERROR(__xludf.DUMMYFUNCTION("SPLIT(A101,""|"")"),274.0)</f>
        <v>274</v>
      </c>
      <c r="C101" s="3" t="str">
        <f>IFERROR(__xludf.DUMMYFUNCTION("""COMPUTED_VALUE""")," মোহাঃ আশাদুল ")</f>
        <v> মোহাঃ আশাদুল </v>
      </c>
      <c r="D101" s="3">
        <f>IFERROR(__xludf.DUMMYFUNCTION("""COMPUTED_VALUE"""),5.7005637835E11)</f>
        <v>570056378350</v>
      </c>
      <c r="E101" s="3" t="str">
        <f>IFERROR(__xludf.DUMMYFUNCTION("""COMPUTED_VALUE""")," ছইরদ্দিন ")</f>
        <v> ছইরদ্দিন </v>
      </c>
      <c r="F101" s="3" t="str">
        <f>IFERROR(__xludf.DUMMYFUNCTION("""COMPUTED_VALUE""")," সোনাভানু ")</f>
        <v> সোনাভানু </v>
      </c>
      <c r="G101" s="3" t="str">
        <f>IFERROR(__xludf.DUMMYFUNCTION("""COMPUTED_VALUE""")," ১০/০৮/১৯৭১ ")</f>
        <v> ১০/০৮/১৯৭১ </v>
      </c>
      <c r="H101" s="3" t="str">
        <f>IFERROR(__xludf.DUMMYFUNCTION("""COMPUTED_VALUE""")," কৃষক ")</f>
        <v> কৃষক </v>
      </c>
      <c r="I101" s="3" t="str">
        <f>IFERROR(__xludf.DUMMYFUNCTION("""COMPUTED_VALUE""")," জালশুকা, গাংনী, মেহেরপুর ")</f>
        <v> জালশুকা, গাংনী, মেহেরপুর </v>
      </c>
    </row>
    <row r="102" ht="15.75" customHeight="1">
      <c r="A102" s="3" t="s">
        <v>3237</v>
      </c>
      <c r="B102" s="3">
        <f>IFERROR(__xludf.DUMMYFUNCTION("SPLIT(A102,""|"")"),275.0)</f>
        <v>275</v>
      </c>
      <c r="C102" s="3" t="str">
        <f>IFERROR(__xludf.DUMMYFUNCTION("""COMPUTED_VALUE""")," মোঃ আম্বাজ আলী ")</f>
        <v> মোঃ আম্বাজ আলী </v>
      </c>
      <c r="D102" s="3">
        <f>IFERROR(__xludf.DUMMYFUNCTION("""COMPUTED_VALUE"""),5.70056378356E11)</f>
        <v>570056378356</v>
      </c>
      <c r="E102" s="3" t="str">
        <f>IFERROR(__xludf.DUMMYFUNCTION("""COMPUTED_VALUE""")," মোহাঃ মজিবর ")</f>
        <v> মোহাঃ মজিবর </v>
      </c>
      <c r="F102" s="3" t="str">
        <f>IFERROR(__xludf.DUMMYFUNCTION("""COMPUTED_VALUE""")," মোছাঃ জোহরা ")</f>
        <v> মোছাঃ জোহরা </v>
      </c>
      <c r="G102" s="3" t="str">
        <f>IFERROR(__xludf.DUMMYFUNCTION("""COMPUTED_VALUE""")," ২০/০৫/১৯৮০ ")</f>
        <v> ২০/০৫/১৯৮০ </v>
      </c>
      <c r="H102" s="3" t="str">
        <f>IFERROR(__xludf.DUMMYFUNCTION("""COMPUTED_VALUE""")," কৃষক ")</f>
        <v> কৃষক </v>
      </c>
      <c r="I102" s="3" t="str">
        <f>IFERROR(__xludf.DUMMYFUNCTION("""COMPUTED_VALUE""")," জালশুকা, গাংনী, মেহেরপুর ")</f>
        <v> জালশুকা, গাংনী, মেহেরপুর </v>
      </c>
    </row>
    <row r="103" ht="15.75" customHeight="1">
      <c r="A103" s="3" t="s">
        <v>3238</v>
      </c>
      <c r="B103" s="3">
        <f>IFERROR(__xludf.DUMMYFUNCTION("SPLIT(A103,""|"")"),276.0)</f>
        <v>276</v>
      </c>
      <c r="C103" s="3" t="str">
        <f>IFERROR(__xludf.DUMMYFUNCTION("""COMPUTED_VALUE""")," মোহাঃ শহিদুল ")</f>
        <v> মোহাঃ শহিদুল </v>
      </c>
      <c r="D103" s="3">
        <f>IFERROR(__xludf.DUMMYFUNCTION("""COMPUTED_VALUE"""),5.70056378355E11)</f>
        <v>570056378355</v>
      </c>
      <c r="E103" s="3" t="str">
        <f>IFERROR(__xludf.DUMMYFUNCTION("""COMPUTED_VALUE""")," মোহাঃ গোলাম রসুল ")</f>
        <v> মোহাঃ গোলাম রসুল </v>
      </c>
      <c r="F103" s="3" t="str">
        <f>IFERROR(__xludf.DUMMYFUNCTION("""COMPUTED_VALUE""")," মোছাঃ জোহরা ")</f>
        <v> মোছাঃ জোহরা </v>
      </c>
      <c r="G103" s="3" t="str">
        <f>IFERROR(__xludf.DUMMYFUNCTION("""COMPUTED_VALUE""")," ১০/১০/১৯৮৬ ")</f>
        <v> ১০/১০/১৯৮৬ </v>
      </c>
      <c r="H103" s="3" t="str">
        <f>IFERROR(__xludf.DUMMYFUNCTION("""COMPUTED_VALUE""")," কৃষক ")</f>
        <v> কৃষক </v>
      </c>
      <c r="I103" s="3" t="str">
        <f>IFERROR(__xludf.DUMMYFUNCTION("""COMPUTED_VALUE""")," জালশুকা, গাংনী, মেহেরপুর ")</f>
        <v> জালশুকা, গাংনী, মেহেরপুর </v>
      </c>
    </row>
    <row r="104" ht="15.75" customHeight="1">
      <c r="A104" s="3" t="s">
        <v>3239</v>
      </c>
      <c r="B104" s="3">
        <f>IFERROR(__xludf.DUMMYFUNCTION("SPLIT(A104,""|"")"),277.0)</f>
        <v>277</v>
      </c>
      <c r="C104" s="3" t="str">
        <f>IFERROR(__xludf.DUMMYFUNCTION("""COMPUTED_VALUE""")," মোহাঃ নওশাদ ")</f>
        <v> মোহাঃ নওশাদ </v>
      </c>
      <c r="D104" s="3">
        <f>IFERROR(__xludf.DUMMYFUNCTION("""COMPUTED_VALUE"""),5.70056378378E11)</f>
        <v>570056378378</v>
      </c>
      <c r="E104" s="3" t="str">
        <f>IFERROR(__xludf.DUMMYFUNCTION("""COMPUTED_VALUE""")," মোহাঃ আবুছিদ্দিক ")</f>
        <v> মোহাঃ আবুছিদ্দিক </v>
      </c>
      <c r="F104" s="3" t="str">
        <f>IFERROR(__xludf.DUMMYFUNCTION("""COMPUTED_VALUE""")," মোছাঃ রহিমা খাতুন ")</f>
        <v> মোছাঃ রহিমা খাতুন </v>
      </c>
      <c r="G104" s="3" t="str">
        <f>IFERROR(__xludf.DUMMYFUNCTION("""COMPUTED_VALUE""")," ১০/০২/১৯৮৪ ")</f>
        <v> ১০/০২/১৯৮৪ </v>
      </c>
      <c r="H104" s="3" t="str">
        <f>IFERROR(__xludf.DUMMYFUNCTION("""COMPUTED_VALUE""")," কৃষক ")</f>
        <v> কৃষক </v>
      </c>
      <c r="I104" s="3" t="str">
        <f>IFERROR(__xludf.DUMMYFUNCTION("""COMPUTED_VALUE""")," জালশুকা, গাংনী, মেহেরপুর ")</f>
        <v> জালশুকা, গাংনী, মেহেরপুর </v>
      </c>
    </row>
    <row r="105" ht="15.75" customHeight="1">
      <c r="A105" s="3" t="s">
        <v>3240</v>
      </c>
      <c r="B105" s="3">
        <f>IFERROR(__xludf.DUMMYFUNCTION("SPLIT(A105,""|"")"),278.0)</f>
        <v>278</v>
      </c>
      <c r="C105" s="3" t="str">
        <f>IFERROR(__xludf.DUMMYFUNCTION("""COMPUTED_VALUE""")," মোহাঃ এনামুল হক ")</f>
        <v> মোহাঃ এনামুল হক </v>
      </c>
      <c r="D105" s="3">
        <f>IFERROR(__xludf.DUMMYFUNCTION("""COMPUTED_VALUE"""),5.70056378392E11)</f>
        <v>570056378392</v>
      </c>
      <c r="E105" s="3" t="str">
        <f>IFERROR(__xludf.DUMMYFUNCTION("""COMPUTED_VALUE""")," এলাহি মন্ডল ")</f>
        <v> এলাহি মন্ডল </v>
      </c>
      <c r="F105" s="3" t="str">
        <f>IFERROR(__xludf.DUMMYFUNCTION("""COMPUTED_VALUE""")," জবেদা খাতুন ")</f>
        <v> জবেদা খাতুন </v>
      </c>
      <c r="G105" s="3" t="str">
        <f>IFERROR(__xludf.DUMMYFUNCTION("""COMPUTED_VALUE""")," ০৭/১১/১৯৭০ ")</f>
        <v> ০৭/১১/১৯৭০ </v>
      </c>
      <c r="H105" s="3" t="str">
        <f>IFERROR(__xludf.DUMMYFUNCTION("""COMPUTED_VALUE""")," কৃষক ")</f>
        <v> কৃষক </v>
      </c>
      <c r="I105" s="3" t="str">
        <f>IFERROR(__xludf.DUMMYFUNCTION("""COMPUTED_VALUE""")," জালশুকা, গাংনী, মেহেরপুর ")</f>
        <v> জালশুকা, গাংনী, মেহেরপুর </v>
      </c>
    </row>
    <row r="106" ht="15.75" customHeight="1">
      <c r="A106" s="3" t="s">
        <v>3241</v>
      </c>
      <c r="B106" s="3">
        <f>IFERROR(__xludf.DUMMYFUNCTION("SPLIT(A106,""|"")"),279.0)</f>
        <v>279</v>
      </c>
      <c r="C106" s="3" t="str">
        <f>IFERROR(__xludf.DUMMYFUNCTION("""COMPUTED_VALUE""")," মো: আ: হাম্নান ")</f>
        <v> মো: আ: হাম্নান </v>
      </c>
      <c r="D106" s="3">
        <f>IFERROR(__xludf.DUMMYFUNCTION("""COMPUTED_VALUE"""),5.70056378394E11)</f>
        <v>570056378394</v>
      </c>
      <c r="E106" s="3" t="str">
        <f>IFERROR(__xludf.DUMMYFUNCTION("""COMPUTED_VALUE""")," উম্মাদ ")</f>
        <v> উম্মাদ </v>
      </c>
      <c r="F106" s="3" t="str">
        <f>IFERROR(__xludf.DUMMYFUNCTION("""COMPUTED_VALUE""")," মোছা: হাবেলা ")</f>
        <v> মোছা: হাবেলা </v>
      </c>
      <c r="G106" s="3" t="str">
        <f>IFERROR(__xludf.DUMMYFUNCTION("""COMPUTED_VALUE""")," ২৩/০১/১৯৫৬ ")</f>
        <v> ২৩/০১/১৯৫৬ </v>
      </c>
      <c r="H106" s="3" t="str">
        <f>IFERROR(__xludf.DUMMYFUNCTION("""COMPUTED_VALUE""")," কৃষক ")</f>
        <v> কৃষক </v>
      </c>
      <c r="I106" s="3" t="str">
        <f>IFERROR(__xludf.DUMMYFUNCTION("""COMPUTED_VALUE""")," জালশুকা, গাংনী, মেহেরপুর ")</f>
        <v> জালশুকা, গাংনী, মেহেরপুর </v>
      </c>
    </row>
    <row r="107" ht="15.75" customHeight="1">
      <c r="A107" s="3" t="s">
        <v>3242</v>
      </c>
      <c r="B107" s="3">
        <f>IFERROR(__xludf.DUMMYFUNCTION("SPLIT(A107,""|"")"),280.0)</f>
        <v>280</v>
      </c>
      <c r="C107" s="3" t="str">
        <f>IFERROR(__xludf.DUMMYFUNCTION("""COMPUTED_VALUE""")," মোহাঃ শামসুল হক ")</f>
        <v> মোহাঃ শামসুল হক </v>
      </c>
      <c r="D107" s="3">
        <f>IFERROR(__xludf.DUMMYFUNCTION("""COMPUTED_VALUE"""),5.70056378401E11)</f>
        <v>570056378401</v>
      </c>
      <c r="E107" s="3" t="str">
        <f>IFERROR(__xludf.DUMMYFUNCTION("""COMPUTED_VALUE""")," জাহাবকস ")</f>
        <v> জাহাবকস </v>
      </c>
      <c r="F107" s="3" t="str">
        <f>IFERROR(__xludf.DUMMYFUNCTION("""COMPUTED_VALUE""")," আনুরা ")</f>
        <v> আনুরা </v>
      </c>
      <c r="G107" s="3" t="str">
        <f>IFERROR(__xludf.DUMMYFUNCTION("""COMPUTED_VALUE""")," ১০/১০/১৯৬৬ ")</f>
        <v> ১০/১০/১৯৬৬ </v>
      </c>
      <c r="H107" s="3" t="str">
        <f>IFERROR(__xludf.DUMMYFUNCTION("""COMPUTED_VALUE""")," কৃষক ")</f>
        <v> কৃষক </v>
      </c>
      <c r="I107" s="3" t="str">
        <f>IFERROR(__xludf.DUMMYFUNCTION("""COMPUTED_VALUE""")," জালশুকা, গাংনী, মেহেরপুর ")</f>
        <v> জালশুকা, গাংনী, মেহেরপুর </v>
      </c>
    </row>
    <row r="108" ht="15.75" customHeight="1">
      <c r="A108" s="3" t="s">
        <v>3243</v>
      </c>
      <c r="B108" s="3">
        <f>IFERROR(__xludf.DUMMYFUNCTION("SPLIT(A108,""|"")"),281.0)</f>
        <v>281</v>
      </c>
      <c r="C108" s="3" t="str">
        <f>IFERROR(__xludf.DUMMYFUNCTION("""COMPUTED_VALUE""")," মোহাঃ মোজাম্মেল হক ")</f>
        <v> মোহাঃ মোজাম্মেল হক </v>
      </c>
      <c r="D108" s="3">
        <f>IFERROR(__xludf.DUMMYFUNCTION("""COMPUTED_VALUE"""),5.70056378402E11)</f>
        <v>570056378402</v>
      </c>
      <c r="E108" s="3" t="str">
        <f>IFERROR(__xludf.DUMMYFUNCTION("""COMPUTED_VALUE""")," মোহাঃ তজিমদ্দিন ")</f>
        <v> মোহাঃ তজিমদ্দিন </v>
      </c>
      <c r="F108" s="3" t="str">
        <f>IFERROR(__xludf.DUMMYFUNCTION("""COMPUTED_VALUE""")," মোছাঃ হালিমা খাতুন ")</f>
        <v> মোছাঃ হালিমা খাতুন </v>
      </c>
      <c r="G108" s="3" t="str">
        <f>IFERROR(__xludf.DUMMYFUNCTION("""COMPUTED_VALUE""")," ০১/০৩/১৯৭২ ")</f>
        <v> ০১/০৩/১৯৭২ </v>
      </c>
      <c r="H108" s="3" t="str">
        <f>IFERROR(__xludf.DUMMYFUNCTION("""COMPUTED_VALUE""")," কৃষক ")</f>
        <v> কৃষক </v>
      </c>
      <c r="I108" s="3" t="str">
        <f>IFERROR(__xludf.DUMMYFUNCTION("""COMPUTED_VALUE""")," জালশুকা, গাংনী, মেহেরপুর ")</f>
        <v> জালশুকা, গাংনী, মেহেরপুর </v>
      </c>
    </row>
    <row r="109" ht="15.75" customHeight="1">
      <c r="A109" s="3" t="s">
        <v>3244</v>
      </c>
      <c r="B109" s="3">
        <f>IFERROR(__xludf.DUMMYFUNCTION("SPLIT(A109,""|"")"),282.0)</f>
        <v>282</v>
      </c>
      <c r="C109" s="3" t="str">
        <f>IFERROR(__xludf.DUMMYFUNCTION("""COMPUTED_VALUE""")," মোহাঃ তৈয়ব আলী ")</f>
        <v> মোহাঃ তৈয়ব আলী </v>
      </c>
      <c r="D109" s="3">
        <f>IFERROR(__xludf.DUMMYFUNCTION("""COMPUTED_VALUE"""),5.70056378403E11)</f>
        <v>570056378403</v>
      </c>
      <c r="E109" s="3" t="str">
        <f>IFERROR(__xludf.DUMMYFUNCTION("""COMPUTED_VALUE""")," আব্দুস সাত্তার ")</f>
        <v> আব্দুস সাত্তার </v>
      </c>
      <c r="F109" s="3" t="str">
        <f>IFERROR(__xludf.DUMMYFUNCTION("""COMPUTED_VALUE""")," মোছাঃ ছপুরা ")</f>
        <v> মোছাঃ ছপুরা </v>
      </c>
      <c r="G109" s="3" t="str">
        <f>IFERROR(__xludf.DUMMYFUNCTION("""COMPUTED_VALUE""")," ১০/০৫/১৯৬১ ")</f>
        <v> ১০/০৫/১৯৬১ </v>
      </c>
      <c r="H109" s="3" t="str">
        <f>IFERROR(__xludf.DUMMYFUNCTION("""COMPUTED_VALUE""")," কৃষক ")</f>
        <v> কৃষক </v>
      </c>
      <c r="I109" s="3" t="str">
        <f>IFERROR(__xludf.DUMMYFUNCTION("""COMPUTED_VALUE""")," জালশুকা, গাংনী, মেহেরপুর ")</f>
        <v> জালশুকা, গাংনী, মেহেরপুর </v>
      </c>
    </row>
    <row r="110" ht="15.75" customHeight="1">
      <c r="A110" s="3" t="s">
        <v>3245</v>
      </c>
      <c r="B110" s="3">
        <f>IFERROR(__xludf.DUMMYFUNCTION("SPLIT(A110,""|"")"),283.0)</f>
        <v>283</v>
      </c>
      <c r="C110" s="3" t="str">
        <f>IFERROR(__xludf.DUMMYFUNCTION("""COMPUTED_VALUE""")," মোহাঃ সেলিম হোসেন ")</f>
        <v> মোহাঃ সেলিম হোসেন </v>
      </c>
      <c r="D110" s="3">
        <f>IFERROR(__xludf.DUMMYFUNCTION("""COMPUTED_VALUE"""),5.70056378406E11)</f>
        <v>570056378406</v>
      </c>
      <c r="E110" s="3" t="str">
        <f>IFERROR(__xludf.DUMMYFUNCTION("""COMPUTED_VALUE""")," মোহাঃ আব্দুল হাম্নান ")</f>
        <v> মোহাঃ আব্দুল হাম্নান </v>
      </c>
      <c r="F110" s="3" t="str">
        <f>IFERROR(__xludf.DUMMYFUNCTION("""COMPUTED_VALUE""")," মোছাঃ রেহেনা বেগম ")</f>
        <v> মোছাঃ রেহেনা বেগম </v>
      </c>
      <c r="G110" s="3" t="str">
        <f>IFERROR(__xludf.DUMMYFUNCTION("""COMPUTED_VALUE""")," ১০/১০/১৯৮৬ ")</f>
        <v> ১০/১০/১৯৮৬ </v>
      </c>
      <c r="H110" s="3" t="str">
        <f>IFERROR(__xludf.DUMMYFUNCTION("""COMPUTED_VALUE""")," শ্রমিক ")</f>
        <v> শ্রমিক </v>
      </c>
      <c r="I110" s="3" t="str">
        <f>IFERROR(__xludf.DUMMYFUNCTION("""COMPUTED_VALUE""")," জালশুকা, গাংনী, মেহেরপুর ")</f>
        <v> জালশুকা, গাংনী, মেহেরপুর </v>
      </c>
    </row>
    <row r="111" ht="15.75" customHeight="1">
      <c r="A111" s="3" t="s">
        <v>3246</v>
      </c>
      <c r="B111" s="3">
        <f>IFERROR(__xludf.DUMMYFUNCTION("SPLIT(A111,""|"")"),284.0)</f>
        <v>284</v>
      </c>
      <c r="C111" s="3" t="str">
        <f>IFERROR(__xludf.DUMMYFUNCTION("""COMPUTED_VALUE""")," মোহাঃ কুদ্দুস আলী ")</f>
        <v> মোহাঃ কুদ্দুস আলী </v>
      </c>
      <c r="D111" s="3">
        <f>IFERROR(__xludf.DUMMYFUNCTION("""COMPUTED_VALUE"""),5.70056378408E11)</f>
        <v>570056378408</v>
      </c>
      <c r="E111" s="3" t="str">
        <f>IFERROR(__xludf.DUMMYFUNCTION("""COMPUTED_VALUE""")," মোহাঃ তজিমদ্দিন ")</f>
        <v> মোহাঃ তজিমদ্দিন </v>
      </c>
      <c r="F111" s="3" t="str">
        <f>IFERROR(__xludf.DUMMYFUNCTION("""COMPUTED_VALUE""")," মোছাঃ হালিমা খাতুন ")</f>
        <v> মোছাঃ হালিমা খাতুন </v>
      </c>
      <c r="G111" s="3" t="str">
        <f>IFERROR(__xludf.DUMMYFUNCTION("""COMPUTED_VALUE""")," ১০/১০/১৯৭৬ ")</f>
        <v> ১০/১০/১৯৭৬ </v>
      </c>
      <c r="H111" s="3" t="str">
        <f>IFERROR(__xludf.DUMMYFUNCTION("""COMPUTED_VALUE""")," কৃষক ")</f>
        <v> কৃষক </v>
      </c>
      <c r="I111" s="3" t="str">
        <f>IFERROR(__xludf.DUMMYFUNCTION("""COMPUTED_VALUE""")," জালশুকা, গাংনী, মেহেরপুর ")</f>
        <v> জালশুকা, গাংনী, মেহেরপুর </v>
      </c>
    </row>
    <row r="112" ht="15.75" customHeight="1">
      <c r="A112" s="3" t="s">
        <v>3247</v>
      </c>
      <c r="B112" s="3">
        <f>IFERROR(__xludf.DUMMYFUNCTION("SPLIT(A112,""|"")"),285.0)</f>
        <v>285</v>
      </c>
      <c r="C112" s="3" t="str">
        <f>IFERROR(__xludf.DUMMYFUNCTION("""COMPUTED_VALUE""")," মোহাঃ মুনছুর আলী ")</f>
        <v> মোহাঃ মুনছুর আলী </v>
      </c>
      <c r="D112" s="3">
        <f>IFERROR(__xludf.DUMMYFUNCTION("""COMPUTED_VALUE"""),5.70056378409E11)</f>
        <v>570056378409</v>
      </c>
      <c r="E112" s="3" t="str">
        <f>IFERROR(__xludf.DUMMYFUNCTION("""COMPUTED_VALUE""")," মোহাঃ তজিমদ্দিন ")</f>
        <v> মোহাঃ তজিমদ্দিন </v>
      </c>
      <c r="F112" s="3" t="str">
        <f>IFERROR(__xludf.DUMMYFUNCTION("""COMPUTED_VALUE""")," মোছাঃ হালিমা ")</f>
        <v> মোছাঃ হালিমা </v>
      </c>
      <c r="G112" s="3" t="str">
        <f>IFERROR(__xludf.DUMMYFUNCTION("""COMPUTED_VALUE""")," ১০/১০/১৯৭৮ ")</f>
        <v> ১০/১০/১৯৭৮ </v>
      </c>
      <c r="H112" s="3" t="str">
        <f>IFERROR(__xludf.DUMMYFUNCTION("""COMPUTED_VALUE""")," কৃষক ")</f>
        <v> কৃষক </v>
      </c>
      <c r="I112" s="3" t="str">
        <f>IFERROR(__xludf.DUMMYFUNCTION("""COMPUTED_VALUE""")," জালশুকা, গাংনী, মেহেরপুর ")</f>
        <v> জালশুকা, গাংনী, মেহেরপুর </v>
      </c>
    </row>
    <row r="113" ht="15.75" customHeight="1">
      <c r="A113" s="3" t="s">
        <v>3138</v>
      </c>
      <c r="B113" s="3" t="str">
        <f>IFERROR(__xludf.DUMMYFUNCTION("SPLIT(A113,""|"")")," ক্রমিক নং ")</f>
        <v> ক্রমিক নং </v>
      </c>
      <c r="C113" s="3" t="str">
        <f>IFERROR(__xludf.DUMMYFUNCTION("""COMPUTED_VALUE""")," নাম ")</f>
        <v> নাম </v>
      </c>
      <c r="D113" s="3" t="str">
        <f>IFERROR(__xludf.DUMMYFUNCTION("""COMPUTED_VALUE""")," ভোটার নং ")</f>
        <v> ভোটার নং </v>
      </c>
      <c r="E113" s="3" t="str">
        <f>IFERROR(__xludf.DUMMYFUNCTION("""COMPUTED_VALUE""")," পিতা ")</f>
        <v> পিতা </v>
      </c>
      <c r="F113" s="3" t="str">
        <f>IFERROR(__xludf.DUMMYFUNCTION("""COMPUTED_VALUE""")," মাতা ")</f>
        <v> মাতা </v>
      </c>
      <c r="G113" s="3" t="str">
        <f>IFERROR(__xludf.DUMMYFUNCTION("""COMPUTED_VALUE""")," জন্ম তারিখ ")</f>
        <v> জন্ম তারিখ </v>
      </c>
      <c r="H113" s="3" t="str">
        <f>IFERROR(__xludf.DUMMYFUNCTION("""COMPUTED_VALUE""")," পেশা ")</f>
        <v> পেশা </v>
      </c>
      <c r="I113" s="3" t="str">
        <f>IFERROR(__xludf.DUMMYFUNCTION("""COMPUTED_VALUE""")," ঠিকানা ")</f>
        <v> ঠিকানা </v>
      </c>
    </row>
    <row r="114" ht="15.75" customHeight="1">
      <c r="A114" s="3" t="s">
        <v>3139</v>
      </c>
      <c r="B114" s="3" t="str">
        <f>IFERROR(__xludf.DUMMYFUNCTION("SPLIT(A114,""|"")"),"---")</f>
        <v>---</v>
      </c>
      <c r="C114" s="3" t="str">
        <f>IFERROR(__xludf.DUMMYFUNCTION("""COMPUTED_VALUE"""),"---")</f>
        <v>---</v>
      </c>
      <c r="D114" s="3" t="str">
        <f>IFERROR(__xludf.DUMMYFUNCTION("""COMPUTED_VALUE"""),"---")</f>
        <v>---</v>
      </c>
      <c r="E114" s="3" t="str">
        <f>IFERROR(__xludf.DUMMYFUNCTION("""COMPUTED_VALUE"""),"---")</f>
        <v>---</v>
      </c>
      <c r="F114" s="3" t="str">
        <f>IFERROR(__xludf.DUMMYFUNCTION("""COMPUTED_VALUE"""),"---")</f>
        <v>---</v>
      </c>
      <c r="G114" s="3" t="str">
        <f>IFERROR(__xludf.DUMMYFUNCTION("""COMPUTED_VALUE"""),"---")</f>
        <v>---</v>
      </c>
      <c r="H114" s="3" t="str">
        <f>IFERROR(__xludf.DUMMYFUNCTION("""COMPUTED_VALUE"""),"---")</f>
        <v>---</v>
      </c>
      <c r="I114" s="3" t="str">
        <f>IFERROR(__xludf.DUMMYFUNCTION("""COMPUTED_VALUE"""),"---")</f>
        <v>---</v>
      </c>
    </row>
    <row r="115" ht="15.75" customHeight="1">
      <c r="A115" s="3" t="s">
        <v>3248</v>
      </c>
      <c r="B115" s="3">
        <f>IFERROR(__xludf.DUMMYFUNCTION("SPLIT(A115,""|"")"),286.0)</f>
        <v>286</v>
      </c>
      <c r="C115" s="3" t="str">
        <f>IFERROR(__xludf.DUMMYFUNCTION("""COMPUTED_VALUE""")," মোহাঃ আব্দুর রহিম ")</f>
        <v> মোহাঃ আব্দুর রহিম </v>
      </c>
      <c r="D115" s="3">
        <f>IFERROR(__xludf.DUMMYFUNCTION("""COMPUTED_VALUE"""),5.7005637841E11)</f>
        <v>570056378410</v>
      </c>
      <c r="E115" s="3" t="str">
        <f>IFERROR(__xludf.DUMMYFUNCTION("""COMPUTED_VALUE""")," মোহাঃ গোলাম রসুল ")</f>
        <v> মোহাঃ গোলাম রসুল </v>
      </c>
      <c r="F115" s="3" t="str">
        <f>IFERROR(__xludf.DUMMYFUNCTION("""COMPUTED_VALUE""")," মোহাঃ জোহরা ")</f>
        <v> মোহাঃ জোহরা </v>
      </c>
      <c r="G115" s="3" t="str">
        <f>IFERROR(__xludf.DUMMYFUNCTION("""COMPUTED_VALUE""")," ০১/০৪/১৯৬৬ ")</f>
        <v> ০১/০৪/১৯৬৬ </v>
      </c>
      <c r="H115" s="3" t="str">
        <f>IFERROR(__xludf.DUMMYFUNCTION("""COMPUTED_VALUE""")," কৃষক ")</f>
        <v> কৃষক </v>
      </c>
      <c r="I115" s="3" t="str">
        <f>IFERROR(__xludf.DUMMYFUNCTION("""COMPUTED_VALUE""")," জালশুকা, গাংনী, মেহেরপুর ")</f>
        <v> জালশুকা, গাংনী, মেহেরপুর </v>
      </c>
    </row>
    <row r="116" ht="15.75" customHeight="1">
      <c r="A116" s="3" t="s">
        <v>3249</v>
      </c>
      <c r="B116" s="3">
        <f>IFERROR(__xludf.DUMMYFUNCTION("SPLIT(A116,""|"")"),287.0)</f>
        <v>287</v>
      </c>
      <c r="C116" s="3" t="str">
        <f>IFERROR(__xludf.DUMMYFUNCTION("""COMPUTED_VALUE""")," মোহাঃ হেলাল উদ্দিন ")</f>
        <v> মোহাঃ হেলাল উদ্দিন </v>
      </c>
      <c r="D116" s="3">
        <f>IFERROR(__xludf.DUMMYFUNCTION("""COMPUTED_VALUE"""),5.70056378411E11)</f>
        <v>570056378411</v>
      </c>
      <c r="E116" s="3" t="str">
        <f>IFERROR(__xludf.DUMMYFUNCTION("""COMPUTED_VALUE""")," মোহাঃ তাজিমুদ্দিন ")</f>
        <v> মোহাঃ তাজিমুদ্দিন </v>
      </c>
      <c r="F116" s="3" t="str">
        <f>IFERROR(__xludf.DUMMYFUNCTION("""COMPUTED_VALUE""")," মোহাঃ হালিমা ")</f>
        <v> মোহাঃ হালিমা </v>
      </c>
      <c r="G116" s="3" t="str">
        <f>IFERROR(__xludf.DUMMYFUNCTION("""COMPUTED_VALUE""")," ১০/১০/১৯৭৪ ")</f>
        <v> ১০/১০/১৯৭৪ </v>
      </c>
      <c r="H116" s="3" t="str">
        <f>IFERROR(__xludf.DUMMYFUNCTION("""COMPUTED_VALUE""")," শ্রমিক ")</f>
        <v> শ্রমিক </v>
      </c>
      <c r="I116" s="3" t="str">
        <f>IFERROR(__xludf.DUMMYFUNCTION("""COMPUTED_VALUE""")," জালশুকা, গাংনী, মেহেরপুর ")</f>
        <v> জালশুকা, গাংনী, মেহেরপুর </v>
      </c>
    </row>
    <row r="117" ht="15.75" customHeight="1">
      <c r="A117" s="3" t="s">
        <v>3250</v>
      </c>
      <c r="B117" s="3">
        <f>IFERROR(__xludf.DUMMYFUNCTION("SPLIT(A117,""|"")"),288.0)</f>
        <v>288</v>
      </c>
      <c r="C117" s="3" t="str">
        <f>IFERROR(__xludf.DUMMYFUNCTION("""COMPUTED_VALUE""")," মোহাঃ উমিদুল ইসলাম ")</f>
        <v> মোহাঃ উমিদুল ইসলাম </v>
      </c>
      <c r="D117" s="3">
        <f>IFERROR(__xludf.DUMMYFUNCTION("""COMPUTED_VALUE"""),5.70056378413E11)</f>
        <v>570056378413</v>
      </c>
      <c r="E117" s="3" t="str">
        <f>IFERROR(__xludf.DUMMYFUNCTION("""COMPUTED_VALUE""")," মোহাঃ গোলাম রসুল ")</f>
        <v> মোহাঃ গোলাম রসুল </v>
      </c>
      <c r="F117" s="3" t="str">
        <f>IFERROR(__xludf.DUMMYFUNCTION("""COMPUTED_VALUE""")," মোহাঃ জহুরা খাতুন ")</f>
        <v> মোহাঃ জহুরা খাতুন </v>
      </c>
      <c r="G117" s="3" t="str">
        <f>IFERROR(__xludf.DUMMYFUNCTION("""COMPUTED_VALUE""")," ১০/১০/১৯৮২ ")</f>
        <v> ১০/১০/১৯৮২ </v>
      </c>
      <c r="H117" s="3" t="str">
        <f>IFERROR(__xludf.DUMMYFUNCTION("""COMPUTED_VALUE""")," শ্রমিক ")</f>
        <v> শ্রমিক </v>
      </c>
      <c r="I117" s="3" t="str">
        <f>IFERROR(__xludf.DUMMYFUNCTION("""COMPUTED_VALUE""")," জালশুকা, গাংনী, মেহেরপুর ")</f>
        <v> জালশুকা, গাংনী, মেহেরপুর </v>
      </c>
    </row>
    <row r="118" ht="15.75" customHeight="1">
      <c r="A118" s="3" t="s">
        <v>3251</v>
      </c>
      <c r="B118" s="3">
        <f>IFERROR(__xludf.DUMMYFUNCTION("SPLIT(A118,""|"")"),289.0)</f>
        <v>289</v>
      </c>
      <c r="C118" s="3" t="str">
        <f>IFERROR(__xludf.DUMMYFUNCTION("""COMPUTED_VALUE""")," মোহাঃ আব্দুল খালেক ")</f>
        <v> মোহাঃ আব্দুল খালেক </v>
      </c>
      <c r="D118" s="3">
        <f>IFERROR(__xludf.DUMMYFUNCTION("""COMPUTED_VALUE"""),5.70056378415E11)</f>
        <v>570056378415</v>
      </c>
      <c r="E118" s="3" t="str">
        <f>IFERROR(__xludf.DUMMYFUNCTION("""COMPUTED_VALUE""")," জহিরদ্দিন মন্ডল ")</f>
        <v> জহিরদ্দিন মন্ডল </v>
      </c>
      <c r="F118" s="3" t="str">
        <f>IFERROR(__xludf.DUMMYFUNCTION("""COMPUTED_VALUE""")," মোহাঃ ছামিরন ")</f>
        <v> মোহাঃ ছামিরন </v>
      </c>
      <c r="G118" s="3" t="str">
        <f>IFERROR(__xludf.DUMMYFUNCTION("""COMPUTED_VALUE""")," ০১/০৩/১৯৭৭ ")</f>
        <v> ০১/০৩/১৯৭৭ </v>
      </c>
      <c r="H118" s="3" t="str">
        <f>IFERROR(__xludf.DUMMYFUNCTION("""COMPUTED_VALUE""")," কৃষক ")</f>
        <v> কৃষক </v>
      </c>
      <c r="I118" s="3" t="str">
        <f>IFERROR(__xludf.DUMMYFUNCTION("""COMPUTED_VALUE""")," জালশুকা, গাংনী, মেহেরপুর ")</f>
        <v> জালশুকা, গাংনী, মেহেরপুর </v>
      </c>
    </row>
    <row r="119" ht="15.75" customHeight="1">
      <c r="A119" s="3" t="s">
        <v>3252</v>
      </c>
      <c r="B119" s="3">
        <f>IFERROR(__xludf.DUMMYFUNCTION("SPLIT(A119,""|"")"),290.0)</f>
        <v>290</v>
      </c>
      <c r="C119" s="3" t="str">
        <f>IFERROR(__xludf.DUMMYFUNCTION("""COMPUTED_VALUE""")," মোহাঃ জাহাঙ্গির আলম ")</f>
        <v> মোহাঃ জাহাঙ্গির আলম </v>
      </c>
      <c r="D119" s="3">
        <f>IFERROR(__xludf.DUMMYFUNCTION("""COMPUTED_VALUE"""),5.70056378416E11)</f>
        <v>570056378416</v>
      </c>
      <c r="E119" s="3" t="str">
        <f>IFERROR(__xludf.DUMMYFUNCTION("""COMPUTED_VALUE""")," মোহাঃ আব্দুল মান্নান ")</f>
        <v> মোহাঃ আব্দুল মান্নান </v>
      </c>
      <c r="F119" s="3" t="str">
        <f>IFERROR(__xludf.DUMMYFUNCTION("""COMPUTED_VALUE""")," মোহাঃ আছিয়া ")</f>
        <v> মোহাঃ আছিয়া </v>
      </c>
      <c r="G119" s="3" t="str">
        <f>IFERROR(__xludf.DUMMYFUNCTION("""COMPUTED_VALUE""")," ১০/১০/১৯৮৪ ")</f>
        <v> ১০/১০/১৯৮৪ </v>
      </c>
      <c r="H119" s="3" t="str">
        <f>IFERROR(__xludf.DUMMYFUNCTION("""COMPUTED_VALUE""")," শ্রমিক ")</f>
        <v> শ্রমিক </v>
      </c>
      <c r="I119" s="3" t="str">
        <f>IFERROR(__xludf.DUMMYFUNCTION("""COMPUTED_VALUE""")," জালশুকা, গাংনী, মেহেরপুর ")</f>
        <v> জালশুকা, গাংনী, মেহেরপুর </v>
      </c>
    </row>
    <row r="120" ht="15.75" customHeight="1">
      <c r="A120" s="3" t="s">
        <v>3253</v>
      </c>
      <c r="B120" s="3">
        <f>IFERROR(__xludf.DUMMYFUNCTION("SPLIT(A120,""|"")"),291.0)</f>
        <v>291</v>
      </c>
      <c r="C120" s="3" t="str">
        <f>IFERROR(__xludf.DUMMYFUNCTION("""COMPUTED_VALUE""")," মোহাঃ আলম চাঁদ ")</f>
        <v> মোহাঃ আলম চাঁদ </v>
      </c>
      <c r="D120" s="3">
        <f>IFERROR(__xludf.DUMMYFUNCTION("""COMPUTED_VALUE"""),5.70056378417E11)</f>
        <v>570056378417</v>
      </c>
      <c r="E120" s="3" t="str">
        <f>IFERROR(__xludf.DUMMYFUNCTION("""COMPUTED_VALUE""")," মোহাঃ আব্দুল হম্মান ")</f>
        <v> মোহাঃ আব্দুল হম্মান </v>
      </c>
      <c r="F120" s="3" t="str">
        <f>IFERROR(__xludf.DUMMYFUNCTION("""COMPUTED_VALUE""")," মোহাঃ আছিয়া ")</f>
        <v> মোহাঃ আছিয়া </v>
      </c>
      <c r="G120" s="3" t="str">
        <f>IFERROR(__xludf.DUMMYFUNCTION("""COMPUTED_VALUE""")," ০১/০১/১৯৯০ ")</f>
        <v> ০১/০১/১৯৯০ </v>
      </c>
      <c r="H120" s="3" t="str">
        <f>IFERROR(__xludf.DUMMYFUNCTION("""COMPUTED_VALUE""")," শ্রমিক ")</f>
        <v> শ্রমিক </v>
      </c>
      <c r="I120" s="3" t="str">
        <f>IFERROR(__xludf.DUMMYFUNCTION("""COMPUTED_VALUE""")," জালশুকা, গাংনী, মেহেরপুর ")</f>
        <v> জালশুকা, গাংনী, মেহেরপুর </v>
      </c>
    </row>
    <row r="121" ht="15.75" customHeight="1">
      <c r="A121" s="3" t="s">
        <v>3254</v>
      </c>
      <c r="B121" s="3">
        <f>IFERROR(__xludf.DUMMYFUNCTION("SPLIT(A121,""|"")"),292.0)</f>
        <v>292</v>
      </c>
      <c r="C121" s="3" t="str">
        <f>IFERROR(__xludf.DUMMYFUNCTION("""COMPUTED_VALUE""")," মোহাঃ সাগর আলী ")</f>
        <v> মোহাঃ সাগর আলী </v>
      </c>
      <c r="D121" s="3">
        <f>IFERROR(__xludf.DUMMYFUNCTION("""COMPUTED_VALUE"""),5.70056378418E11)</f>
        <v>570056378418</v>
      </c>
      <c r="E121" s="3" t="str">
        <f>IFERROR(__xludf.DUMMYFUNCTION("""COMPUTED_VALUE""")," মোহাঃ আহাদ আলী ")</f>
        <v> মোহাঃ আহাদ আলী </v>
      </c>
      <c r="F121" s="3" t="str">
        <f>IFERROR(__xludf.DUMMYFUNCTION("""COMPUTED_VALUE""")," মোহাঃ জহুরা ")</f>
        <v> মোহাঃ জহুরা </v>
      </c>
      <c r="G121" s="3" t="str">
        <f>IFERROR(__xludf.DUMMYFUNCTION("""COMPUTED_VALUE""")," ০১/০১/১৯৮৯ ")</f>
        <v> ০১/০১/১৯৮৯ </v>
      </c>
      <c r="H121" s="3" t="str">
        <f>IFERROR(__xludf.DUMMYFUNCTION("""COMPUTED_VALUE""")," শ্রমিক ")</f>
        <v> শ্রমিক </v>
      </c>
      <c r="I121" s="3" t="str">
        <f>IFERROR(__xludf.DUMMYFUNCTION("""COMPUTED_VALUE""")," জালশুকা, গাংনী, মেহেরপুর ")</f>
        <v> জালশুকা, গাংনী, মেহেরপুর </v>
      </c>
    </row>
    <row r="122" ht="15.75" customHeight="1">
      <c r="A122" s="3" t="s">
        <v>3255</v>
      </c>
      <c r="B122" s="3">
        <f>IFERROR(__xludf.DUMMYFUNCTION("SPLIT(A122,""|"")"),293.0)</f>
        <v>293</v>
      </c>
      <c r="C122" s="3" t="str">
        <f>IFERROR(__xludf.DUMMYFUNCTION("""COMPUTED_VALUE""")," মোহাঃ টোকন ")</f>
        <v> মোহাঃ টোকন </v>
      </c>
      <c r="D122" s="3">
        <f>IFERROR(__xludf.DUMMYFUNCTION("""COMPUTED_VALUE"""),5.70056378419E11)</f>
        <v>570056378419</v>
      </c>
      <c r="E122" s="3" t="str">
        <f>IFERROR(__xludf.DUMMYFUNCTION("""COMPUTED_VALUE""")," মোহাঃ আহাদ আলী ")</f>
        <v> মোহাঃ আহাদ আলী </v>
      </c>
      <c r="F122" s="3" t="str">
        <f>IFERROR(__xludf.DUMMYFUNCTION("""COMPUTED_VALUE""")," মোহাঃ জোহরা বেগম ")</f>
        <v> মোহাঃ জোহরা বেগম </v>
      </c>
      <c r="G122" s="3" t="str">
        <f>IFERROR(__xludf.DUMMYFUNCTION("""COMPUTED_VALUE""")," ০১/০১/১৯৯০ ")</f>
        <v> ০১/০১/১৯৯০ </v>
      </c>
      <c r="H122" s="3" t="str">
        <f>IFERROR(__xludf.DUMMYFUNCTION("""COMPUTED_VALUE""")," শ্রমিক ")</f>
        <v> শ্রমিক </v>
      </c>
      <c r="I122" s="3" t="str">
        <f>IFERROR(__xludf.DUMMYFUNCTION("""COMPUTED_VALUE""")," জালশুকা, গাংনী, মেহেরপুর ")</f>
        <v> জালশুকা, গাংনী, মেহেরপুর </v>
      </c>
    </row>
    <row r="123" ht="15.75" customHeight="1">
      <c r="A123" s="3" t="s">
        <v>3256</v>
      </c>
      <c r="B123" s="3">
        <f>IFERROR(__xludf.DUMMYFUNCTION("SPLIT(A123,""|"")"),294.0)</f>
        <v>294</v>
      </c>
      <c r="C123" s="3" t="str">
        <f>IFERROR(__xludf.DUMMYFUNCTION("""COMPUTED_VALUE""")," মোহাঃ জালাল উদ্দিন ")</f>
        <v> মোহাঃ জালাল উদ্দিন </v>
      </c>
      <c r="D123" s="3">
        <f>IFERROR(__xludf.DUMMYFUNCTION("""COMPUTED_VALUE"""),5.70056378425E11)</f>
        <v>570056378425</v>
      </c>
      <c r="E123" s="3" t="str">
        <f>IFERROR(__xludf.DUMMYFUNCTION("""COMPUTED_VALUE""")," করিম বকস ")</f>
        <v> করিম বকস </v>
      </c>
      <c r="F123" s="3" t="str">
        <f>IFERROR(__xludf.DUMMYFUNCTION("""COMPUTED_VALUE""")," মোহাঃ ছদিমন ")</f>
        <v> মোহাঃ ছদিমন </v>
      </c>
      <c r="G123" s="3" t="str">
        <f>IFERROR(__xludf.DUMMYFUNCTION("""COMPUTED_VALUE""")," ১০/১১/১৯৮২ ")</f>
        <v> ১০/১১/১৯৮২ </v>
      </c>
      <c r="H123" s="3" t="str">
        <f>IFERROR(__xludf.DUMMYFUNCTION("""COMPUTED_VALUE""")," কৃষক ")</f>
        <v> কৃষক </v>
      </c>
      <c r="I123" s="3" t="str">
        <f>IFERROR(__xludf.DUMMYFUNCTION("""COMPUTED_VALUE""")," জালশুকা, গাংনী, মেহেরপুর ")</f>
        <v> জালশুকা, গাংনী, মেহেরপুর </v>
      </c>
    </row>
    <row r="124" ht="15.75" customHeight="1">
      <c r="A124" s="3" t="s">
        <v>3257</v>
      </c>
      <c r="B124" s="3">
        <f>IFERROR(__xludf.DUMMYFUNCTION("SPLIT(A124,""|"")"),295.0)</f>
        <v>295</v>
      </c>
      <c r="C124" s="3" t="str">
        <f>IFERROR(__xludf.DUMMYFUNCTION("""COMPUTED_VALUE""")," মোহাঃ মহিবুল ইসলাম ")</f>
        <v> মোহাঃ মহিবুল ইসলাম </v>
      </c>
      <c r="D124" s="3">
        <f>IFERROR(__xludf.DUMMYFUNCTION("""COMPUTED_VALUE"""),5.70056378433E11)</f>
        <v>570056378433</v>
      </c>
      <c r="E124" s="3" t="str">
        <f>IFERROR(__xludf.DUMMYFUNCTION("""COMPUTED_VALUE""")," মোহাঃ জানু বক্স ")</f>
        <v> মোহাঃ জানু বক্স </v>
      </c>
      <c r="F124" s="3" t="str">
        <f>IFERROR(__xludf.DUMMYFUNCTION("""COMPUTED_VALUE""")," মোহাঃ ইসারন ")</f>
        <v> মোহাঃ ইসারন </v>
      </c>
      <c r="G124" s="3" t="str">
        <f>IFERROR(__xludf.DUMMYFUNCTION("""COMPUTED_VALUE""")," ১০/১০/১৯৭৮ ")</f>
        <v> ১০/১০/১৯৭৮ </v>
      </c>
      <c r="H124" s="3" t="str">
        <f>IFERROR(__xludf.DUMMYFUNCTION("""COMPUTED_VALUE""")," শ্রমিক ")</f>
        <v> শ্রমিক </v>
      </c>
      <c r="I124" s="3" t="str">
        <f>IFERROR(__xludf.DUMMYFUNCTION("""COMPUTED_VALUE""")," জালশুকা, গাংনী, মেহেরপুর ")</f>
        <v> জালশুকা, গাংনী, মেহেরপুর </v>
      </c>
    </row>
    <row r="125" ht="15.75" customHeight="1">
      <c r="A125" s="3" t="s">
        <v>3258</v>
      </c>
      <c r="B125" s="3">
        <f>IFERROR(__xludf.DUMMYFUNCTION("SPLIT(A125,""|"")"),296.0)</f>
        <v>296</v>
      </c>
      <c r="C125" s="3" t="str">
        <f>IFERROR(__xludf.DUMMYFUNCTION("""COMPUTED_VALUE""")," মোহাঃ জালাল উদ্দিন ")</f>
        <v> মোহাঃ জালাল উদ্দিন </v>
      </c>
      <c r="D125" s="3">
        <f>IFERROR(__xludf.DUMMYFUNCTION("""COMPUTED_VALUE"""),5.70056378438E11)</f>
        <v>570056378438</v>
      </c>
      <c r="E125" s="3" t="str">
        <f>IFERROR(__xludf.DUMMYFUNCTION("""COMPUTED_VALUE""")," মোহাঃ তাজিমুদ্দিন ")</f>
        <v> মোহাঃ তাজিমুদ্দিন </v>
      </c>
      <c r="F125" s="3" t="str">
        <f>IFERROR(__xludf.DUMMYFUNCTION("""COMPUTED_VALUE""")," মোহাঃ হালিমা ")</f>
        <v> মোহাঃ হালিমা </v>
      </c>
      <c r="G125" s="3" t="str">
        <f>IFERROR(__xludf.DUMMYFUNCTION("""COMPUTED_VALUE""")," ১০/১০/১৯৭৬ ")</f>
        <v> ১০/১০/১৯৭৬ </v>
      </c>
      <c r="H125" s="3" t="str">
        <f>IFERROR(__xludf.DUMMYFUNCTION("""COMPUTED_VALUE""")," কৃষক ")</f>
        <v> কৃষক </v>
      </c>
      <c r="I125" s="3" t="str">
        <f>IFERROR(__xludf.DUMMYFUNCTION("""COMPUTED_VALUE""")," জালশুকা, গাংনী, মেহেরপুর ")</f>
        <v> জালশুকা, গাংনী, মেহেরপুর </v>
      </c>
    </row>
    <row r="126" ht="15.75" customHeight="1">
      <c r="A126" s="3" t="s">
        <v>3259</v>
      </c>
      <c r="B126" s="3">
        <f>IFERROR(__xludf.DUMMYFUNCTION("SPLIT(A126,""|"")"),297.0)</f>
        <v>297</v>
      </c>
      <c r="C126" s="3" t="str">
        <f>IFERROR(__xludf.DUMMYFUNCTION("""COMPUTED_VALUE""")," মোহাঃ আলামিন ")</f>
        <v> মোহাঃ আলামিন </v>
      </c>
      <c r="D126" s="3">
        <f>IFERROR(__xludf.DUMMYFUNCTION("""COMPUTED_VALUE"""),5.70056378444E11)</f>
        <v>570056378444</v>
      </c>
      <c r="E126" s="3" t="str">
        <f>IFERROR(__xludf.DUMMYFUNCTION("""COMPUTED_VALUE""")," মোহাঃ রায়হান ")</f>
        <v> মোহাঃ রায়হান </v>
      </c>
      <c r="F126" s="3" t="str">
        <f>IFERROR(__xludf.DUMMYFUNCTION("""COMPUTED_VALUE""")," মোহাঃ তাছিরন ")</f>
        <v> মোহাঃ তাছিরন </v>
      </c>
      <c r="G126" s="3" t="str">
        <f>IFERROR(__xludf.DUMMYFUNCTION("""COMPUTED_VALUE""")," ০১/০৬/১৯৮৬ ")</f>
        <v> ০১/০৬/১৯৮৬ </v>
      </c>
      <c r="H126" s="3" t="str">
        <f>IFERROR(__xludf.DUMMYFUNCTION("""COMPUTED_VALUE""")," কৃষক ")</f>
        <v> কৃষক </v>
      </c>
      <c r="I126" s="3" t="str">
        <f>IFERROR(__xludf.DUMMYFUNCTION("""COMPUTED_VALUE""")," জালশুকা, গাংনী, মেহেরপুর ")</f>
        <v> জালশুকা, গাংনী, মেহেরপুর </v>
      </c>
    </row>
    <row r="127" ht="15.75" customHeight="1">
      <c r="A127" s="3" t="s">
        <v>3260</v>
      </c>
      <c r="B127" s="3">
        <f>IFERROR(__xludf.DUMMYFUNCTION("SPLIT(A127,""|"")"),298.0)</f>
        <v>298</v>
      </c>
      <c r="C127" s="3" t="str">
        <f>IFERROR(__xludf.DUMMYFUNCTION("""COMPUTED_VALUE""")," মোহাঃ সাহাবুল ")</f>
        <v> মোহাঃ সাহাবুল </v>
      </c>
      <c r="D127" s="3">
        <f>IFERROR(__xludf.DUMMYFUNCTION("""COMPUTED_VALUE"""),5.70056378451E11)</f>
        <v>570056378451</v>
      </c>
      <c r="E127" s="3" t="str">
        <f>IFERROR(__xludf.DUMMYFUNCTION("""COMPUTED_VALUE""")," মোহাঃ আহাদ আলি ")</f>
        <v> মোহাঃ আহাদ আলি </v>
      </c>
      <c r="F127" s="3" t="str">
        <f>IFERROR(__xludf.DUMMYFUNCTION("""COMPUTED_VALUE""")," মোহাঃ জোহরা ")</f>
        <v> মোহাঃ জোহরা </v>
      </c>
      <c r="G127" s="3" t="str">
        <f>IFERROR(__xludf.DUMMYFUNCTION("""COMPUTED_VALUE""")," ১০/১০/১৯৭৩ ")</f>
        <v> ১০/১০/১৯৭৩ </v>
      </c>
      <c r="H127" s="3" t="str">
        <f>IFERROR(__xludf.DUMMYFUNCTION("""COMPUTED_VALUE""")," দিনমজুর ")</f>
        <v> দিনমজুর </v>
      </c>
      <c r="I127" s="3" t="str">
        <f>IFERROR(__xludf.DUMMYFUNCTION("""COMPUTED_VALUE""")," জালশুকা, গাংনী, মেহেরপুর ")</f>
        <v> জালশুকা, গাংনী, মেহেরপুর </v>
      </c>
    </row>
    <row r="128" ht="15.75" customHeight="1">
      <c r="A128" s="3" t="s">
        <v>3261</v>
      </c>
      <c r="B128" s="3">
        <f>IFERROR(__xludf.DUMMYFUNCTION("SPLIT(A128,""|"")"),299.0)</f>
        <v>299</v>
      </c>
      <c r="C128" s="3" t="str">
        <f>IFERROR(__xludf.DUMMYFUNCTION("""COMPUTED_VALUE""")," মোহাঃ আমিরুল ইসলাম ")</f>
        <v> মোহাঃ আমিরুল ইসলাম </v>
      </c>
      <c r="D128" s="3">
        <f>IFERROR(__xludf.DUMMYFUNCTION("""COMPUTED_VALUE"""),5.70056378452E11)</f>
        <v>570056378452</v>
      </c>
      <c r="E128" s="3" t="str">
        <f>IFERROR(__xludf.DUMMYFUNCTION("""COMPUTED_VALUE""")," আঃ ছাত্তার ")</f>
        <v> আঃ ছাত্তার </v>
      </c>
      <c r="F128" s="3" t="str">
        <f>IFERROR(__xludf.DUMMYFUNCTION("""COMPUTED_VALUE""")," আমেনা খাতুন ")</f>
        <v> আমেনা খাতুন </v>
      </c>
      <c r="G128" s="3" t="str">
        <f>IFERROR(__xludf.DUMMYFUNCTION("""COMPUTED_VALUE""")," ০১/১০/১৯৬৯ ")</f>
        <v> ০১/১০/১৯৬৯ </v>
      </c>
      <c r="H128" s="3" t="str">
        <f>IFERROR(__xludf.DUMMYFUNCTION("""COMPUTED_VALUE""")," কৃষক ")</f>
        <v> কৃষক </v>
      </c>
      <c r="I128" s="3" t="str">
        <f>IFERROR(__xludf.DUMMYFUNCTION("""COMPUTED_VALUE""")," জালশুকা, গাংনী, মেহেরপুর ")</f>
        <v> জালশুকা, গাংনী, মেহেরপুর </v>
      </c>
    </row>
    <row r="129" ht="15.75" customHeight="1">
      <c r="A129" s="3" t="s">
        <v>3262</v>
      </c>
      <c r="B129" s="3">
        <f>IFERROR(__xludf.DUMMYFUNCTION("SPLIT(A129,""|"")"),300.0)</f>
        <v>300</v>
      </c>
      <c r="C129" s="3" t="str">
        <f>IFERROR(__xludf.DUMMYFUNCTION("""COMPUTED_VALUE""")," মোহাঃ মহশিন ")</f>
        <v> মোহাঃ মহশিন </v>
      </c>
      <c r="D129" s="3">
        <f>IFERROR(__xludf.DUMMYFUNCTION("""COMPUTED_VALUE"""),5.70056378454E11)</f>
        <v>570056378454</v>
      </c>
      <c r="E129" s="3" t="str">
        <f>IFERROR(__xludf.DUMMYFUNCTION("""COMPUTED_VALUE""")," মোহাঃ মোবারক ")</f>
        <v> মোহাঃ মোবারক </v>
      </c>
      <c r="F129" s="3" t="str">
        <f>IFERROR(__xludf.DUMMYFUNCTION("""COMPUTED_VALUE""")," মোহাঃ সাহারন ")</f>
        <v> মোহাঃ সাহারন </v>
      </c>
      <c r="G129" s="3" t="str">
        <f>IFERROR(__xludf.DUMMYFUNCTION("""COMPUTED_VALUE""")," ১০/০৮/১৯৮১ ")</f>
        <v> ১০/০৮/১৯৮১ </v>
      </c>
      <c r="H129" s="3" t="str">
        <f>IFERROR(__xludf.DUMMYFUNCTION("""COMPUTED_VALUE""")," কৃষক ")</f>
        <v> কৃষক </v>
      </c>
      <c r="I129" s="3" t="str">
        <f>IFERROR(__xludf.DUMMYFUNCTION("""COMPUTED_VALUE""")," জালশুকা, গাংনী, মেহেরপুর ")</f>
        <v> জালশুকা, গাংনী, মেহেরপুর </v>
      </c>
    </row>
    <row r="130" ht="15.75" customHeight="1">
      <c r="A130" s="3" t="s">
        <v>3263</v>
      </c>
      <c r="B130" s="3">
        <f>IFERROR(__xludf.DUMMYFUNCTION("SPLIT(A130,""|"")"),301.0)</f>
        <v>301</v>
      </c>
      <c r="C130" s="3" t="str">
        <f>IFERROR(__xludf.DUMMYFUNCTION("""COMPUTED_VALUE""")," মোহাঃ সুবারেক ")</f>
        <v> মোহাঃ সুবারেক </v>
      </c>
      <c r="D130" s="3">
        <f>IFERROR(__xludf.DUMMYFUNCTION("""COMPUTED_VALUE"""),5.70056378455E11)</f>
        <v>570056378455</v>
      </c>
      <c r="E130" s="3" t="str">
        <f>IFERROR(__xludf.DUMMYFUNCTION("""COMPUTED_VALUE""")," আইনাল মন্ডল ")</f>
        <v> আইনাল মন্ডল </v>
      </c>
      <c r="F130" s="3" t="str">
        <f>IFERROR(__xludf.DUMMYFUNCTION("""COMPUTED_VALUE""")," মোহাঃ আনুরা খাতুন ")</f>
        <v> মোহাঃ আনুরা খাতুন </v>
      </c>
      <c r="G130" s="3" t="str">
        <f>IFERROR(__xludf.DUMMYFUNCTION("""COMPUTED_VALUE""")," ১০/১১/১৯৫৫ ")</f>
        <v> ১০/১১/১৯৫৫ </v>
      </c>
      <c r="H130" s="3" t="str">
        <f>IFERROR(__xludf.DUMMYFUNCTION("""COMPUTED_VALUE""")," দিনমজুর ")</f>
        <v> দিনমজুর </v>
      </c>
      <c r="I130" s="3" t="str">
        <f>IFERROR(__xludf.DUMMYFUNCTION("""COMPUTED_VALUE""")," জালশুকা, গাংনী, মেহেরপুর ")</f>
        <v> জালশুকা, গাংনী, মেহেরপুর </v>
      </c>
    </row>
    <row r="131" ht="15.75" customHeight="1">
      <c r="A131" s="3" t="s">
        <v>3264</v>
      </c>
      <c r="B131" s="3">
        <f>IFERROR(__xludf.DUMMYFUNCTION("SPLIT(A131,""|"")"),302.0)</f>
        <v>302</v>
      </c>
      <c r="C131" s="3" t="str">
        <f>IFERROR(__xludf.DUMMYFUNCTION("""COMPUTED_VALUE""")," মোহাঃ আব্দুর রাজ্জাক ")</f>
        <v> মোহাঃ আব্দুর রাজ্জাক </v>
      </c>
      <c r="D131" s="3">
        <f>IFERROR(__xludf.DUMMYFUNCTION("""COMPUTED_VALUE"""),5.70056378456E11)</f>
        <v>570056378456</v>
      </c>
      <c r="E131" s="3" t="str">
        <f>IFERROR(__xludf.DUMMYFUNCTION("""COMPUTED_VALUE""")," মোহাঃ খেদের আলী ")</f>
        <v> মোহাঃ খেদের আলী </v>
      </c>
      <c r="F131" s="3" t="str">
        <f>IFERROR(__xludf.DUMMYFUNCTION("""COMPUTED_VALUE""")," মোহাঃ সোহাগী ")</f>
        <v> মোহাঃ সোহাগী </v>
      </c>
      <c r="G131" s="3" t="str">
        <f>IFERROR(__xludf.DUMMYFUNCTION("""COMPUTED_VALUE""")," ০২/১০/১৯৭২ ")</f>
        <v> ০২/১০/১৯৭২ </v>
      </c>
      <c r="H131" s="3" t="str">
        <f>IFERROR(__xludf.DUMMYFUNCTION("""COMPUTED_VALUE""")," দিনমজুর ")</f>
        <v> দিনমজুর </v>
      </c>
      <c r="I131" s="3" t="str">
        <f>IFERROR(__xludf.DUMMYFUNCTION("""COMPUTED_VALUE""")," জালশুকা, গাংনী, মেহেরপুর ")</f>
        <v> জালশুকা, গাংনী, মেহেরপুর </v>
      </c>
    </row>
    <row r="132" ht="15.75" customHeight="1">
      <c r="A132" s="3" t="s">
        <v>3265</v>
      </c>
      <c r="B132" s="3">
        <f>IFERROR(__xludf.DUMMYFUNCTION("SPLIT(A132,""|"")"),303.0)</f>
        <v>303</v>
      </c>
      <c r="C132" s="3" t="str">
        <f>IFERROR(__xludf.DUMMYFUNCTION("""COMPUTED_VALUE""")," মোহাঃ ওয়াসিম ")</f>
        <v> মোহাঃ ওয়াসিম </v>
      </c>
      <c r="D132" s="3">
        <f>IFERROR(__xludf.DUMMYFUNCTION("""COMPUTED_VALUE"""),5.70056378457E11)</f>
        <v>570056378457</v>
      </c>
      <c r="E132" s="3" t="str">
        <f>IFERROR(__xludf.DUMMYFUNCTION("""COMPUTED_VALUE""")," মোহাঃ মান্নান ")</f>
        <v> মোহাঃ মান্নান </v>
      </c>
      <c r="F132" s="3" t="str">
        <f>IFERROR(__xludf.DUMMYFUNCTION("""COMPUTED_VALUE""")," মোহাঃ আনোয়ারা ")</f>
        <v> মোহাঃ আনোয়ারা </v>
      </c>
      <c r="G132" s="3" t="str">
        <f>IFERROR(__xludf.DUMMYFUNCTION("""COMPUTED_VALUE""")," ১০/০৮/১৯৮৭ ")</f>
        <v> ১০/০৮/১৯৮৭ </v>
      </c>
      <c r="H132" s="3" t="str">
        <f>IFERROR(__xludf.DUMMYFUNCTION("""COMPUTED_VALUE""")," কৃষক ")</f>
        <v> কৃষক </v>
      </c>
      <c r="I132" s="3" t="str">
        <f>IFERROR(__xludf.DUMMYFUNCTION("""COMPUTED_VALUE""")," জালশুকা, গাংনী, মেহেরপুর ")</f>
        <v> জালশুকা, গাংনী, মেহেরপুর </v>
      </c>
    </row>
    <row r="133" ht="15.75" customHeight="1">
      <c r="A133" s="3" t="s">
        <v>3266</v>
      </c>
      <c r="B133" s="3">
        <f>IFERROR(__xludf.DUMMYFUNCTION("SPLIT(A133,""|"")"),304.0)</f>
        <v>304</v>
      </c>
      <c r="C133" s="3" t="str">
        <f>IFERROR(__xludf.DUMMYFUNCTION("""COMPUTED_VALUE""")," মোহাঃ একরামুল ")</f>
        <v> মোহাঃ একরামুল </v>
      </c>
      <c r="D133" s="3">
        <f>IFERROR(__xludf.DUMMYFUNCTION("""COMPUTED_VALUE"""),5.70056378458E11)</f>
        <v>570056378458</v>
      </c>
      <c r="E133" s="3" t="str">
        <f>IFERROR(__xludf.DUMMYFUNCTION("""COMPUTED_VALUE""")," মোহাঃ সোনাহার মোল্লা ")</f>
        <v> মোহাঃ সোনাহার মোল্লা </v>
      </c>
      <c r="F133" s="3" t="str">
        <f>IFERROR(__xludf.DUMMYFUNCTION("""COMPUTED_VALUE""")," মোহাঃ খাদিজা ")</f>
        <v> মোহাঃ খাদিজা </v>
      </c>
      <c r="G133" s="3" t="str">
        <f>IFERROR(__xludf.DUMMYFUNCTION("""COMPUTED_VALUE""")," ১১/১১/১৯৭২ ")</f>
        <v> ১১/১১/১৯৭২ </v>
      </c>
      <c r="H133" s="3" t="str">
        <f>IFERROR(__xludf.DUMMYFUNCTION("""COMPUTED_VALUE""")," কৃষক ")</f>
        <v> কৃষক </v>
      </c>
      <c r="I133" s="3" t="str">
        <f>IFERROR(__xludf.DUMMYFUNCTION("""COMPUTED_VALUE""")," জালশুকা, গাংনী, মেহেরপুর ")</f>
        <v> জালশুকা, গাংনী, মেহেরপুর </v>
      </c>
    </row>
    <row r="134" ht="15.75" customHeight="1">
      <c r="A134" s="3" t="s">
        <v>3267</v>
      </c>
      <c r="B134" s="3">
        <f>IFERROR(__xludf.DUMMYFUNCTION("SPLIT(A134,""|"")"),305.0)</f>
        <v>305</v>
      </c>
      <c r="C134" s="3" t="str">
        <f>IFERROR(__xludf.DUMMYFUNCTION("""COMPUTED_VALUE""")," মোহাঃ মুরাদ আলি ")</f>
        <v> মোহাঃ মুরাদ আলি </v>
      </c>
      <c r="D134" s="3">
        <f>IFERROR(__xludf.DUMMYFUNCTION("""COMPUTED_VALUE"""),5.70056378461E11)</f>
        <v>570056378461</v>
      </c>
      <c r="E134" s="3" t="str">
        <f>IFERROR(__xludf.DUMMYFUNCTION("""COMPUTED_VALUE""")," রুস্তম আলি ")</f>
        <v> রুস্তম আলি </v>
      </c>
      <c r="F134" s="3" t="str">
        <f>IFERROR(__xludf.DUMMYFUNCTION("""COMPUTED_VALUE""")," মোহাঃ ভিতু ")</f>
        <v> মোহাঃ ভিতু </v>
      </c>
      <c r="G134" s="3" t="str">
        <f>IFERROR(__xludf.DUMMYFUNCTION("""COMPUTED_VALUE""")," ১২/১০/১৯৭৩ ")</f>
        <v> ১২/১০/১৯৭৩ </v>
      </c>
      <c r="H134" s="3" t="str">
        <f>IFERROR(__xludf.DUMMYFUNCTION("""COMPUTED_VALUE""")," কৃষক ")</f>
        <v> কৃষক </v>
      </c>
      <c r="I134" s="3" t="str">
        <f>IFERROR(__xludf.DUMMYFUNCTION("""COMPUTED_VALUE""")," জালশুকা, গাংনী, মেহেরপুর ")</f>
        <v> জালশুকা, গাংনী, মেহেরপুর </v>
      </c>
    </row>
    <row r="135" ht="15.75" customHeight="1">
      <c r="A135" s="3" t="s">
        <v>3268</v>
      </c>
      <c r="B135" s="3">
        <f>IFERROR(__xludf.DUMMYFUNCTION("SPLIT(A135,""|"")"),306.0)</f>
        <v>306</v>
      </c>
      <c r="C135" s="3" t="str">
        <f>IFERROR(__xludf.DUMMYFUNCTION("""COMPUTED_VALUE""")," মোহাঃ জামাল উদ্দিন ")</f>
        <v> মোহাঃ জামাল উদ্দিন </v>
      </c>
      <c r="D135" s="3">
        <f>IFERROR(__xludf.DUMMYFUNCTION("""COMPUTED_VALUE"""),5.70056378462E11)</f>
        <v>570056378462</v>
      </c>
      <c r="E135" s="3" t="str">
        <f>IFERROR(__xludf.DUMMYFUNCTION("""COMPUTED_VALUE""")," রুস্তম আলি ")</f>
        <v> রুস্তম আলি </v>
      </c>
      <c r="F135" s="3" t="str">
        <f>IFERROR(__xludf.DUMMYFUNCTION("""COMPUTED_VALUE""")," মোহাঃ ভিতু বিবি ")</f>
        <v> মোহাঃ ভিতু বিবি </v>
      </c>
      <c r="G135" s="3" t="str">
        <f>IFERROR(__xludf.DUMMYFUNCTION("""COMPUTED_VALUE""")," ১১/০৫/১৯৮২ ")</f>
        <v> ১১/০৫/১৯৮২ </v>
      </c>
      <c r="H135" s="3" t="str">
        <f>IFERROR(__xludf.DUMMYFUNCTION("""COMPUTED_VALUE""")," কৃষক ")</f>
        <v> কৃষক </v>
      </c>
      <c r="I135" s="3" t="str">
        <f>IFERROR(__xludf.DUMMYFUNCTION("""COMPUTED_VALUE""")," জালশুকা, গাংনী, মেহেরপুর ")</f>
        <v> জালশুকা, গাংনী, মেহেরপুর </v>
      </c>
    </row>
    <row r="136" ht="15.75" customHeight="1">
      <c r="A136" s="3" t="s">
        <v>3269</v>
      </c>
      <c r="B136" s="3">
        <f>IFERROR(__xludf.DUMMYFUNCTION("SPLIT(A136,""|"")"),307.0)</f>
        <v>307</v>
      </c>
      <c r="C136" s="3" t="str">
        <f>IFERROR(__xludf.DUMMYFUNCTION("""COMPUTED_VALUE""")," মোহাঃ লিটন আলি ")</f>
        <v> মোহাঃ লিটন আলি </v>
      </c>
      <c r="D136" s="3">
        <f>IFERROR(__xludf.DUMMYFUNCTION("""COMPUTED_VALUE"""),5.70056378463E11)</f>
        <v>570056378463</v>
      </c>
      <c r="E136" s="3" t="str">
        <f>IFERROR(__xludf.DUMMYFUNCTION("""COMPUTED_VALUE""")," মোহাঃ সুরাত আলি ")</f>
        <v> মোহাঃ সুরাত আলি </v>
      </c>
      <c r="F136" s="3" t="str">
        <f>IFERROR(__xludf.DUMMYFUNCTION("""COMPUTED_VALUE""")," মোহাঃ সফুরা ")</f>
        <v> মোহাঃ সফুরা </v>
      </c>
      <c r="G136" s="3" t="str">
        <f>IFERROR(__xludf.DUMMYFUNCTION("""COMPUTED_VALUE""")," ১০/১০/১৯৭৭ ")</f>
        <v> ১০/১০/১৯৭৭ </v>
      </c>
      <c r="H136" s="3" t="str">
        <f>IFERROR(__xludf.DUMMYFUNCTION("""COMPUTED_VALUE""")," কৃষক ")</f>
        <v> কৃষক </v>
      </c>
      <c r="I136" s="3" t="str">
        <f>IFERROR(__xludf.DUMMYFUNCTION("""COMPUTED_VALUE""")," জালশুকা, গাংনী, মেহেরপুর ")</f>
        <v> জালশুকা, গাংনী, মেহেরপুর </v>
      </c>
    </row>
    <row r="137" ht="15.75" customHeight="1">
      <c r="A137" s="3" t="s">
        <v>3270</v>
      </c>
      <c r="B137" s="3">
        <f>IFERROR(__xludf.DUMMYFUNCTION("SPLIT(A137,""|"")"),309.0)</f>
        <v>309</v>
      </c>
      <c r="C137" s="3" t="str">
        <f>IFERROR(__xludf.DUMMYFUNCTION("""COMPUTED_VALUE""")," মোহাঃ আব্দুল আলিম ")</f>
        <v> মোহাঃ আব্দুল আলিম </v>
      </c>
      <c r="D137" s="3">
        <f>IFERROR(__xludf.DUMMYFUNCTION("""COMPUTED_VALUE"""),5.70056378469E11)</f>
        <v>570056378469</v>
      </c>
      <c r="E137" s="3" t="str">
        <f>IFERROR(__xludf.DUMMYFUNCTION("""COMPUTED_VALUE""")," মোহাঃ ভুলু মুনসি ")</f>
        <v> মোহাঃ ভুলু মুনসি </v>
      </c>
      <c r="F137" s="3" t="str">
        <f>IFERROR(__xludf.DUMMYFUNCTION("""COMPUTED_VALUE""")," মোহাঃ জোহরা ")</f>
        <v> মোহাঃ জোহরা </v>
      </c>
      <c r="G137" s="3" t="str">
        <f>IFERROR(__xludf.DUMMYFUNCTION("""COMPUTED_VALUE""")," ১০/০৫/১৯৮৫ ")</f>
        <v> ১০/০৫/১৯৮৫ </v>
      </c>
      <c r="H137" s="3" t="str">
        <f>IFERROR(__xludf.DUMMYFUNCTION("""COMPUTED_VALUE""")," কৃষক ")</f>
        <v> কৃষক </v>
      </c>
      <c r="I137" s="3" t="str">
        <f>IFERROR(__xludf.DUMMYFUNCTION("""COMPUTED_VALUE""")," জালশুকা, গাংনী, মেহেরপুর ")</f>
        <v> জালশুকা, গাংনী, মেহেরপুর </v>
      </c>
    </row>
    <row r="138" ht="15.75" customHeight="1">
      <c r="A138" s="3" t="s">
        <v>3271</v>
      </c>
      <c r="B138" s="3">
        <f>IFERROR(__xludf.DUMMYFUNCTION("SPLIT(A138,""|"")"),310.0)</f>
        <v>310</v>
      </c>
      <c r="C138" s="3" t="str">
        <f>IFERROR(__xludf.DUMMYFUNCTION("""COMPUTED_VALUE""")," মোহাঃ রায়হান ")</f>
        <v> মোহাঃ রায়হান </v>
      </c>
      <c r="D138" s="3">
        <f>IFERROR(__xludf.DUMMYFUNCTION("""COMPUTED_VALUE"""),5.70056378472E11)</f>
        <v>570056378472</v>
      </c>
      <c r="E138" s="3" t="str">
        <f>IFERROR(__xludf.DUMMYFUNCTION("""COMPUTED_VALUE""")," মজিরদ্দিন মৃধা ")</f>
        <v> মজিরদ্দিন মৃধা </v>
      </c>
      <c r="F138" s="3" t="str">
        <f>IFERROR(__xludf.DUMMYFUNCTION("""COMPUTED_VALUE""")," মোহাঃ কমেলা ")</f>
        <v> মোহাঃ কমেলা </v>
      </c>
      <c r="G138" s="3" t="str">
        <f>IFERROR(__xludf.DUMMYFUNCTION("""COMPUTED_VALUE""")," ১২/১০/১৯৮৭ ")</f>
        <v> ১২/১০/১৯৮৭ </v>
      </c>
      <c r="H138" s="3" t="str">
        <f>IFERROR(__xludf.DUMMYFUNCTION("""COMPUTED_VALUE""")," কৃষক ")</f>
        <v> কৃষক </v>
      </c>
      <c r="I138" s="3" t="str">
        <f>IFERROR(__xludf.DUMMYFUNCTION("""COMPUTED_VALUE""")," জালশুকা, গাংনী, মেহেরপুর ")</f>
        <v> জালশুকা, গাংনী, মেহেরপুর </v>
      </c>
    </row>
    <row r="139" ht="15.75" customHeight="1">
      <c r="A139" s="3" t="s">
        <v>3272</v>
      </c>
      <c r="B139" s="3">
        <f>IFERROR(__xludf.DUMMYFUNCTION("SPLIT(A139,""|"")"),311.0)</f>
        <v>311</v>
      </c>
      <c r="C139" s="3" t="str">
        <f>IFERROR(__xludf.DUMMYFUNCTION("""COMPUTED_VALUE""")," মোহাঃ মিনারুল ")</f>
        <v> মোহাঃ মিনারুল </v>
      </c>
      <c r="D139" s="3">
        <f>IFERROR(__xludf.DUMMYFUNCTION("""COMPUTED_VALUE"""),5.70056378473E11)</f>
        <v>570056378473</v>
      </c>
      <c r="E139" s="3" t="str">
        <f>IFERROR(__xludf.DUMMYFUNCTION("""COMPUTED_VALUE""")," মোহাঃ মওলা বক্স ")</f>
        <v> মোহাঃ মওলা বক্স </v>
      </c>
      <c r="F139" s="3" t="str">
        <f>IFERROR(__xludf.DUMMYFUNCTION("""COMPUTED_VALUE""")," মোহাঃ ফতেমা ")</f>
        <v> মোহাঃ ফতেমা </v>
      </c>
      <c r="G139" s="3" t="str">
        <f>IFERROR(__xludf.DUMMYFUNCTION("""COMPUTED_VALUE""")," ০১/০১/১৯৮৮ ")</f>
        <v> ০১/০১/১৯৮৮ </v>
      </c>
      <c r="H139" s="3" t="str">
        <f>IFERROR(__xludf.DUMMYFUNCTION("""COMPUTED_VALUE""")," কৃষক ")</f>
        <v> কৃষক </v>
      </c>
      <c r="I139" s="3" t="str">
        <f>IFERROR(__xludf.DUMMYFUNCTION("""COMPUTED_VALUE""")," জালশুকা, গাংনী, মেহেরপুর ")</f>
        <v> জালশুকা, গাংনী, মেহেরপুর </v>
      </c>
    </row>
    <row r="140" ht="15.75" customHeight="1">
      <c r="A140" s="3" t="s">
        <v>3273</v>
      </c>
      <c r="B140" s="3">
        <f>IFERROR(__xludf.DUMMYFUNCTION("SPLIT(A140,""|"")"),312.0)</f>
        <v>312</v>
      </c>
      <c r="C140" s="3" t="str">
        <f>IFERROR(__xludf.DUMMYFUNCTION("""COMPUTED_VALUE""")," মোহাঃ মোজাম্মেল ")</f>
        <v> মোহাঃ মোজাম্মেল </v>
      </c>
      <c r="D140" s="3">
        <f>IFERROR(__xludf.DUMMYFUNCTION("""COMPUTED_VALUE"""),5.70056378474E11)</f>
        <v>570056378474</v>
      </c>
      <c r="E140" s="3" t="str">
        <f>IFERROR(__xludf.DUMMYFUNCTION("""COMPUTED_VALUE""")," কিতাব আলী ")</f>
        <v> কিতাব আলী </v>
      </c>
      <c r="F140" s="3" t="str">
        <f>IFERROR(__xludf.DUMMYFUNCTION("""COMPUTED_VALUE""")," মোহাঃ আমেনা খাতুন ")</f>
        <v> মোহাঃ আমেনা খাতুন </v>
      </c>
      <c r="G140" s="3" t="str">
        <f>IFERROR(__xludf.DUMMYFUNCTION("""COMPUTED_VALUE""")," ১০/১০/১৯৮৭ ")</f>
        <v> ১০/১০/১৯৮৭ </v>
      </c>
      <c r="H140" s="3" t="str">
        <f>IFERROR(__xludf.DUMMYFUNCTION("""COMPUTED_VALUE""")," ব্যবসা ")</f>
        <v> ব্যবসা </v>
      </c>
      <c r="I140" s="3" t="str">
        <f>IFERROR(__xludf.DUMMYFUNCTION("""COMPUTED_VALUE""")," জালশুকা, গাংনী, মেহেরপুর ")</f>
        <v> জালশুকা, গাংনী, মেহেরপুর </v>
      </c>
    </row>
    <row r="141" ht="15.75" customHeight="1">
      <c r="A141" s="3" t="s">
        <v>3274</v>
      </c>
      <c r="B141" s="3">
        <f>IFERROR(__xludf.DUMMYFUNCTION("SPLIT(A141,""|"")"),313.0)</f>
        <v>313</v>
      </c>
      <c r="C141" s="3" t="str">
        <f>IFERROR(__xludf.DUMMYFUNCTION("""COMPUTED_VALUE""")," মোহাঃ মোশারেফ ")</f>
        <v> মোহাঃ মোশারেফ </v>
      </c>
      <c r="D141" s="3">
        <f>IFERROR(__xludf.DUMMYFUNCTION("""COMPUTED_VALUE"""),5.70056378477E11)</f>
        <v>570056378477</v>
      </c>
      <c r="E141" s="3" t="str">
        <f>IFERROR(__xludf.DUMMYFUNCTION("""COMPUTED_VALUE""")," মোহাঃ সুরাত আলী ")</f>
        <v> মোহাঃ সুরাত আলী </v>
      </c>
      <c r="F141" s="3" t="str">
        <f>IFERROR(__xludf.DUMMYFUNCTION("""COMPUTED_VALUE""")," মোহাঃ সফুরা ")</f>
        <v> মোহাঃ সফুরা </v>
      </c>
      <c r="G141" s="3" t="str">
        <f>IFERROR(__xludf.DUMMYFUNCTION("""COMPUTED_VALUE""")," ১১/০৪/১৯৮১ ")</f>
        <v> ১১/০৪/১৯৮১ </v>
      </c>
      <c r="H141" s="3" t="str">
        <f>IFERROR(__xludf.DUMMYFUNCTION("""COMPUTED_VALUE""")," কৃষক ")</f>
        <v> কৃষক </v>
      </c>
      <c r="I141" s="3" t="str">
        <f>IFERROR(__xludf.DUMMYFUNCTION("""COMPUTED_VALUE""")," জালশুকা, গাংনী, মেহেরপুর ")</f>
        <v> জালশুকা, গাংনী, মেহেরপুর </v>
      </c>
    </row>
    <row r="142" ht="15.75" customHeight="1">
      <c r="A142" s="3" t="s">
        <v>3275</v>
      </c>
      <c r="B142" s="3">
        <f>IFERROR(__xludf.DUMMYFUNCTION("SPLIT(A142,""|"")"),314.0)</f>
        <v>314</v>
      </c>
      <c r="C142" s="3" t="str">
        <f>IFERROR(__xludf.DUMMYFUNCTION("""COMPUTED_VALUE""")," মোহাঃ তরিকুল ইসলাম ")</f>
        <v> মোহাঃ তরিকুল ইসলাম </v>
      </c>
      <c r="D142" s="3">
        <f>IFERROR(__xludf.DUMMYFUNCTION("""COMPUTED_VALUE"""),5.70056378478E11)</f>
        <v>570056378478</v>
      </c>
      <c r="E142" s="3" t="str">
        <f>IFERROR(__xludf.DUMMYFUNCTION("""COMPUTED_VALUE""")," মজিরদ্দিন মৃধা ")</f>
        <v> মজিরদ্দিন মৃধা </v>
      </c>
      <c r="F142" s="3" t="str">
        <f>IFERROR(__xludf.DUMMYFUNCTION("""COMPUTED_VALUE""")," মোছাঃ কমেলা খাতুন ")</f>
        <v> মোছাঃ কমেলা খাতুন </v>
      </c>
      <c r="G142" s="3" t="str">
        <f>IFERROR(__xludf.DUMMYFUNCTION("""COMPUTED_VALUE""")," ০১/০১/১৯৮১ ")</f>
        <v> ০১/০১/১৯৮১ </v>
      </c>
      <c r="H142" s="3" t="str">
        <f>IFERROR(__xludf.DUMMYFUNCTION("""COMPUTED_VALUE""")," কৃষক ")</f>
        <v> কৃষক </v>
      </c>
      <c r="I142" s="3" t="str">
        <f>IFERROR(__xludf.DUMMYFUNCTION("""COMPUTED_VALUE""")," জালশুকা, গাংনী, মেহেরপুর ")</f>
        <v> জালশুকা, গাংনী, মেহেরপুর </v>
      </c>
    </row>
    <row r="143" ht="15.75" customHeight="1">
      <c r="A143" s="3" t="s">
        <v>3276</v>
      </c>
      <c r="B143" s="3">
        <f>IFERROR(__xludf.DUMMYFUNCTION("SPLIT(A143,""|"")"),315.0)</f>
        <v>315</v>
      </c>
      <c r="C143" s="3" t="str">
        <f>IFERROR(__xludf.DUMMYFUNCTION("""COMPUTED_VALUE""")," মোহাঃ মন্টু ")</f>
        <v> মোহাঃ মন্টু </v>
      </c>
      <c r="D143" s="3">
        <f>IFERROR(__xludf.DUMMYFUNCTION("""COMPUTED_VALUE"""),5.7005637848E11)</f>
        <v>570056378480</v>
      </c>
      <c r="E143" s="3" t="str">
        <f>IFERROR(__xludf.DUMMYFUNCTION("""COMPUTED_VALUE""")," মোহাঃ হামান ")</f>
        <v> মোহাঃ হামান </v>
      </c>
      <c r="F143" s="3" t="str">
        <f>IFERROR(__xludf.DUMMYFUNCTION("""COMPUTED_VALUE""")," মোহাঃ আর্জিনা ")</f>
        <v> মোহাঃ আর্জিনা </v>
      </c>
      <c r="G143" s="3" t="str">
        <f>IFERROR(__xludf.DUMMYFUNCTION("""COMPUTED_VALUE""")," ১০/১০/১৯৮২ ")</f>
        <v> ১০/১০/১৯৮২ </v>
      </c>
      <c r="H143" s="3" t="str">
        <f>IFERROR(__xludf.DUMMYFUNCTION("""COMPUTED_VALUE""")," কৃষক ")</f>
        <v> কৃষক </v>
      </c>
      <c r="I143" s="3" t="str">
        <f>IFERROR(__xludf.DUMMYFUNCTION("""COMPUTED_VALUE""")," জালশুকা, গাংনী, মেহেরপুর ")</f>
        <v> জালশুকা, গাংনী, মেহেরপুর </v>
      </c>
    </row>
    <row r="144" ht="15.75" customHeight="1">
      <c r="A144" s="3" t="s">
        <v>3277</v>
      </c>
      <c r="B144" s="3">
        <f>IFERROR(__xludf.DUMMYFUNCTION("SPLIT(A144,""|"")"),316.0)</f>
        <v>316</v>
      </c>
      <c r="C144" s="3" t="str">
        <f>IFERROR(__xludf.DUMMYFUNCTION("""COMPUTED_VALUE""")," মোহাঃ আব্দুর রহমান ")</f>
        <v> মোহাঃ আব্দুর রহমান </v>
      </c>
      <c r="D144" s="3">
        <f>IFERROR(__xludf.DUMMYFUNCTION("""COMPUTED_VALUE"""),5.70056378481E11)</f>
        <v>570056378481</v>
      </c>
      <c r="E144" s="3" t="str">
        <f>IFERROR(__xludf.DUMMYFUNCTION("""COMPUTED_VALUE""")," মজিরদ্দিন ")</f>
        <v> মজিরদ্দিন </v>
      </c>
      <c r="F144" s="3" t="str">
        <f>IFERROR(__xludf.DUMMYFUNCTION("""COMPUTED_VALUE""")," মোহাঃ কমেলা ")</f>
        <v> মোহাঃ কমেলা </v>
      </c>
      <c r="G144" s="3" t="str">
        <f>IFERROR(__xludf.DUMMYFUNCTION("""COMPUTED_VALUE""")," ১০/০৩/১৯৬৩ ")</f>
        <v> ১০/০৩/১৯৬৩ </v>
      </c>
      <c r="H144" s="3" t="str">
        <f>IFERROR(__xludf.DUMMYFUNCTION("""COMPUTED_VALUE""")," কৃষক ")</f>
        <v> কৃষক </v>
      </c>
      <c r="I144" s="3" t="str">
        <f>IFERROR(__xludf.DUMMYFUNCTION("""COMPUTED_VALUE""")," জালশুকা, গাংনী, মেহেরপুর ")</f>
        <v> জালশুকা, গাংনী, মেহেরপুর </v>
      </c>
    </row>
    <row r="145" ht="15.75" customHeight="1">
      <c r="A145" s="3" t="s">
        <v>3278</v>
      </c>
      <c r="B145" s="3">
        <f>IFERROR(__xludf.DUMMYFUNCTION("SPLIT(A145,""|"")"),317.0)</f>
        <v>317</v>
      </c>
      <c r="C145" s="3" t="str">
        <f>IFERROR(__xludf.DUMMYFUNCTION("""COMPUTED_VALUE""")," মোহাঃ রইছউদ্দিন ")</f>
        <v> মোহাঃ রইছউদ্দিন </v>
      </c>
      <c r="D145" s="3">
        <f>IFERROR(__xludf.DUMMYFUNCTION("""COMPUTED_VALUE"""),5.70056378482E11)</f>
        <v>570056378482</v>
      </c>
      <c r="E145" s="3" t="str">
        <f>IFERROR(__xludf.DUMMYFUNCTION("""COMPUTED_VALUE""")," রবকুল ")</f>
        <v> রবকুল </v>
      </c>
      <c r="F145" s="3" t="str">
        <f>IFERROR(__xludf.DUMMYFUNCTION("""COMPUTED_VALUE""")," মোহাঃ আনোয়ারা ")</f>
        <v> মোহাঃ আনোয়ারা </v>
      </c>
      <c r="G145" s="3" t="str">
        <f>IFERROR(__xludf.DUMMYFUNCTION("""COMPUTED_VALUE""")," ০৪/০৪/১৯৬২ ")</f>
        <v> ০৪/০৪/১৯৬২ </v>
      </c>
      <c r="H145" s="3" t="str">
        <f>IFERROR(__xludf.DUMMYFUNCTION("""COMPUTED_VALUE""")," কৃষক ")</f>
        <v> কৃষক </v>
      </c>
      <c r="I145" s="3" t="str">
        <f>IFERROR(__xludf.DUMMYFUNCTION("""COMPUTED_VALUE""")," জালশুকা, গাংনী, মেহেরপুর ")</f>
        <v> জালশুকা, গাংনী, মেহেরপুর </v>
      </c>
    </row>
    <row r="146" ht="15.75" customHeight="1">
      <c r="A146" s="3" t="s">
        <v>3279</v>
      </c>
      <c r="B146" s="3">
        <f>IFERROR(__xludf.DUMMYFUNCTION("SPLIT(A146,""|"")"),318.0)</f>
        <v>318</v>
      </c>
      <c r="C146" s="3" t="str">
        <f>IFERROR(__xludf.DUMMYFUNCTION("""COMPUTED_VALUE""")," মোহাঃ আব্দুর রহমান ")</f>
        <v> মোহাঃ আব্দুর রহমান </v>
      </c>
      <c r="D146" s="3">
        <f>IFERROR(__xludf.DUMMYFUNCTION("""COMPUTED_VALUE"""),5.70056378486E11)</f>
        <v>570056378486</v>
      </c>
      <c r="E146" s="3" t="str">
        <f>IFERROR(__xludf.DUMMYFUNCTION("""COMPUTED_VALUE""")," মোহাঃ ছলেমান ")</f>
        <v> মোহাঃ ছলেমান </v>
      </c>
      <c r="F146" s="3" t="str">
        <f>IFERROR(__xludf.DUMMYFUNCTION("""COMPUTED_VALUE""")," মোহাঃ রহিমা ")</f>
        <v> মোহাঃ রহিমা </v>
      </c>
      <c r="G146" s="3" t="str">
        <f>IFERROR(__xludf.DUMMYFUNCTION("""COMPUTED_VALUE""")," ১৬/০৬/১৯৭২ ")</f>
        <v> ১৬/০৬/১৯৭২ </v>
      </c>
      <c r="H146" s="3" t="str">
        <f>IFERROR(__xludf.DUMMYFUNCTION("""COMPUTED_VALUE""")," কৃষক ")</f>
        <v> কৃষক </v>
      </c>
      <c r="I146" s="3" t="str">
        <f>IFERROR(__xludf.DUMMYFUNCTION("""COMPUTED_VALUE""")," জালশুকা, গাংনী, মেহেরপুর ")</f>
        <v> জালশুকা, গাংনী, মেহেরপুর </v>
      </c>
    </row>
    <row r="147" ht="15.75" customHeight="1">
      <c r="A147" s="3" t="s">
        <v>3280</v>
      </c>
      <c r="B147" s="3">
        <f>IFERROR(__xludf.DUMMYFUNCTION("SPLIT(A147,""|"")"),319.0)</f>
        <v>319</v>
      </c>
      <c r="C147" s="3" t="str">
        <f>IFERROR(__xludf.DUMMYFUNCTION("""COMPUTED_VALUE""")," মোহাঃ আঃ মমিন ")</f>
        <v> মোহাঃ আঃ মমিন </v>
      </c>
      <c r="D147" s="3">
        <f>IFERROR(__xludf.DUMMYFUNCTION("""COMPUTED_VALUE"""),5.70056378487E11)</f>
        <v>570056378487</v>
      </c>
      <c r="E147" s="3" t="str">
        <f>IFERROR(__xludf.DUMMYFUNCTION("""COMPUTED_VALUE""")," মোহাঃ ফাকের আলী ")</f>
        <v> মোহাঃ ফাকের আলী </v>
      </c>
      <c r="F147" s="3" t="str">
        <f>IFERROR(__xludf.DUMMYFUNCTION("""COMPUTED_VALUE""")," মোহাঃ আজিরন ")</f>
        <v> মোহাঃ আজিরন </v>
      </c>
      <c r="G147" s="3" t="str">
        <f>IFERROR(__xludf.DUMMYFUNCTION("""COMPUTED_VALUE""")," ১২/১০/১৯৫৫ ")</f>
        <v> ১২/১০/১৯৫৫ </v>
      </c>
      <c r="H147" s="3" t="str">
        <f>IFERROR(__xludf.DUMMYFUNCTION("""COMPUTED_VALUE""")," কৃষক ")</f>
        <v> কৃষক </v>
      </c>
      <c r="I147" s="3" t="str">
        <f>IFERROR(__xludf.DUMMYFUNCTION("""COMPUTED_VALUE""")," জালশুকা, গাংনী, মেহেরপুর ")</f>
        <v> জালশুকা, গাংনী, মেহেরপুর </v>
      </c>
    </row>
    <row r="148" ht="15.75" customHeight="1">
      <c r="A148" s="3" t="s">
        <v>3281</v>
      </c>
      <c r="B148" s="3">
        <f>IFERROR(__xludf.DUMMYFUNCTION("SPLIT(A148,""|"")"),320.0)</f>
        <v>320</v>
      </c>
      <c r="C148" s="3" t="str">
        <f>IFERROR(__xludf.DUMMYFUNCTION("""COMPUTED_VALUE""")," মো: ইব্রাহিম ")</f>
        <v> মো: ইব্রাহিম </v>
      </c>
      <c r="D148" s="3">
        <f>IFERROR(__xludf.DUMMYFUNCTION("""COMPUTED_VALUE"""),5.70056378488E11)</f>
        <v>570056378488</v>
      </c>
      <c r="E148" s="3" t="str">
        <f>IFERROR(__xludf.DUMMYFUNCTION("""COMPUTED_VALUE""")," করিম মন্ডল ")</f>
        <v> করিম মন্ডল </v>
      </c>
      <c r="F148" s="3" t="str">
        <f>IFERROR(__xludf.DUMMYFUNCTION("""COMPUTED_VALUE""")," মোহাঃ সাজেদা ")</f>
        <v> মোহাঃ সাজেদা </v>
      </c>
      <c r="G148" s="3" t="str">
        <f>IFERROR(__xludf.DUMMYFUNCTION("""COMPUTED_VALUE""")," ১০/১১/১৯৭১ ")</f>
        <v> ১০/১১/১৯৭১ </v>
      </c>
      <c r="H148" s="3" t="str">
        <f>IFERROR(__xludf.DUMMYFUNCTION("""COMPUTED_VALUE""")," কৃষক ")</f>
        <v> কৃষক </v>
      </c>
      <c r="I148" s="3" t="str">
        <f>IFERROR(__xludf.DUMMYFUNCTION("""COMPUTED_VALUE""")," জালশুকা, গাংনী, মেহেরপুর ")</f>
        <v> জালশুকা, গাংনী, মেহেরপুর </v>
      </c>
    </row>
    <row r="149" ht="15.75" customHeight="1">
      <c r="A149" s="3" t="s">
        <v>3282</v>
      </c>
      <c r="B149" s="3">
        <f>IFERROR(__xludf.DUMMYFUNCTION("SPLIT(A149,""|"")"),321.0)</f>
        <v>321</v>
      </c>
      <c r="C149" s="3" t="str">
        <f>IFERROR(__xludf.DUMMYFUNCTION("""COMPUTED_VALUE""")," মোহাঃ আব্দুল জব্বার ")</f>
        <v> মোহাঃ আব্দুল জব্বার </v>
      </c>
      <c r="D149" s="3">
        <f>IFERROR(__xludf.DUMMYFUNCTION("""COMPUTED_VALUE"""),5.70056378489E11)</f>
        <v>570056378489</v>
      </c>
      <c r="E149" s="3" t="str">
        <f>IFERROR(__xludf.DUMMYFUNCTION("""COMPUTED_VALUE""")," মোহাঃ ফাকের আলী ")</f>
        <v> মোহাঃ ফাকের আলী </v>
      </c>
      <c r="F149" s="3" t="str">
        <f>IFERROR(__xludf.DUMMYFUNCTION("""COMPUTED_VALUE""")," মোহাঃ আজিরন ")</f>
        <v> মোহাঃ আজিরন </v>
      </c>
      <c r="G149" s="3" t="str">
        <f>IFERROR(__xludf.DUMMYFUNCTION("""COMPUTED_VALUE""")," ১০/১১/১৯৬৫ ")</f>
        <v> ১০/১১/১৯৬৫ </v>
      </c>
      <c r="H149" s="3" t="str">
        <f>IFERROR(__xludf.DUMMYFUNCTION("""COMPUTED_VALUE""")," কৃষক ")</f>
        <v> কৃষক </v>
      </c>
      <c r="I149" s="3" t="str">
        <f>IFERROR(__xludf.DUMMYFUNCTION("""COMPUTED_VALUE""")," জালশুকা, গাংনী, মেহেরপুর ")</f>
        <v> জালশুকা, গাংনী, মেহেরপুর </v>
      </c>
    </row>
    <row r="150" ht="15.75" customHeight="1">
      <c r="A150" s="3" t="s">
        <v>3283</v>
      </c>
      <c r="B150" s="3">
        <f>IFERROR(__xludf.DUMMYFUNCTION("SPLIT(A150,""|"")"),322.0)</f>
        <v>322</v>
      </c>
      <c r="C150" s="3" t="str">
        <f>IFERROR(__xludf.DUMMYFUNCTION("""COMPUTED_VALUE""")," মোহাঃ কাউছার ")</f>
        <v> মোহাঃ কাউছার </v>
      </c>
      <c r="D150" s="3">
        <f>IFERROR(__xludf.DUMMYFUNCTION("""COMPUTED_VALUE"""),5.7005637849E11)</f>
        <v>570056378490</v>
      </c>
      <c r="E150" s="3" t="str">
        <f>IFERROR(__xludf.DUMMYFUNCTION("""COMPUTED_VALUE""")," মোহাঃ জব্বার ")</f>
        <v> মোহাঃ জব্বার </v>
      </c>
      <c r="F150" s="3" t="str">
        <f>IFERROR(__xludf.DUMMYFUNCTION("""COMPUTED_VALUE""")," মোহাঃ ছুরাতন ")</f>
        <v> মোহাঃ ছুরাতন </v>
      </c>
      <c r="G150" s="3" t="str">
        <f>IFERROR(__xludf.DUMMYFUNCTION("""COMPUTED_VALUE""")," ০৭/১১/১৯৮৮ ")</f>
        <v> ০৭/১১/১৯৮৮ </v>
      </c>
      <c r="H150" s="3" t="str">
        <f>IFERROR(__xludf.DUMMYFUNCTION("""COMPUTED_VALUE""")," কৃষক ")</f>
        <v> কৃষক </v>
      </c>
      <c r="I150" s="3" t="str">
        <f>IFERROR(__xludf.DUMMYFUNCTION("""COMPUTED_VALUE""")," জালশুকা, গাংনী, মেহেরপুর ")</f>
        <v> জালশুকা, গাংনী, মেহেরপুর </v>
      </c>
    </row>
    <row r="151" ht="15.75" customHeight="1">
      <c r="A151" s="3" t="s">
        <v>3284</v>
      </c>
      <c r="B151" s="3">
        <f>IFERROR(__xludf.DUMMYFUNCTION("SPLIT(A151,""|"")"),323.0)</f>
        <v>323</v>
      </c>
      <c r="C151" s="3" t="str">
        <f>IFERROR(__xludf.DUMMYFUNCTION("""COMPUTED_VALUE""")," মোহাঃ বানারুল ")</f>
        <v> মোহাঃ বানারুল </v>
      </c>
      <c r="D151" s="3">
        <f>IFERROR(__xludf.DUMMYFUNCTION("""COMPUTED_VALUE"""),5.70056378494E11)</f>
        <v>570056378494</v>
      </c>
      <c r="E151" s="3" t="str">
        <f>IFERROR(__xludf.DUMMYFUNCTION("""COMPUTED_VALUE""")," হারুন ")</f>
        <v> হারুন </v>
      </c>
      <c r="F151" s="3" t="str">
        <f>IFERROR(__xludf.DUMMYFUNCTION("""COMPUTED_VALUE""")," মোহাঃ খুকিমন নেছা ")</f>
        <v> মোহাঃ খুকিমন নেছা </v>
      </c>
      <c r="G151" s="3" t="str">
        <f>IFERROR(__xludf.DUMMYFUNCTION("""COMPUTED_VALUE""")," ১০/১১/১৯৬২ ")</f>
        <v> ১০/১১/১৯৬২ </v>
      </c>
      <c r="H151" s="3" t="str">
        <f>IFERROR(__xludf.DUMMYFUNCTION("""COMPUTED_VALUE""")," কৃষক ")</f>
        <v> কৃষক </v>
      </c>
      <c r="I151" s="3" t="str">
        <f>IFERROR(__xludf.DUMMYFUNCTION("""COMPUTED_VALUE""")," জালশুকা, গাংনী, মেহেরপুর ")</f>
        <v> জালশুকা, গাংনী, মেহেরপুর </v>
      </c>
    </row>
    <row r="152" ht="15.75" customHeight="1">
      <c r="A152" s="3" t="s">
        <v>3285</v>
      </c>
      <c r="B152" s="3">
        <f>IFERROR(__xludf.DUMMYFUNCTION("SPLIT(A152,""|"")"),324.0)</f>
        <v>324</v>
      </c>
      <c r="C152" s="3" t="str">
        <f>IFERROR(__xludf.DUMMYFUNCTION("""COMPUTED_VALUE""")," মো: সেলিম হোসেন ")</f>
        <v> মো: সেলিম হোসেন </v>
      </c>
      <c r="D152" s="3">
        <f>IFERROR(__xludf.DUMMYFUNCTION("""COMPUTED_VALUE"""),5.70056378499E11)</f>
        <v>570056378499</v>
      </c>
      <c r="E152" s="3" t="str">
        <f>IFERROR(__xludf.DUMMYFUNCTION("""COMPUTED_VALUE""")," মোহাঃ আত্তাব আলী ")</f>
        <v> মোহাঃ আত্তাব আলী </v>
      </c>
      <c r="F152" s="3" t="str">
        <f>IFERROR(__xludf.DUMMYFUNCTION("""COMPUTED_VALUE""")," মোহাঃ গুলশান আরা ")</f>
        <v> মোহাঃ গুলশান আরা </v>
      </c>
      <c r="G152" s="3" t="str">
        <f>IFERROR(__xludf.DUMMYFUNCTION("""COMPUTED_VALUE""")," ০১/০৫/১৯৭৭ ")</f>
        <v> ০১/০৫/১৯৭৭ </v>
      </c>
      <c r="H152" s="3" t="str">
        <f>IFERROR(__xludf.DUMMYFUNCTION("""COMPUTED_VALUE""")," কৃষক ")</f>
        <v> কৃষক </v>
      </c>
      <c r="I152" s="3" t="str">
        <f>IFERROR(__xludf.DUMMYFUNCTION("""COMPUTED_VALUE""")," জালশুকা, গাংনী, মেহেরপুর ")</f>
        <v> জালশুকা, গাংনী, মেহেরপুর </v>
      </c>
    </row>
    <row r="153" ht="15.75" customHeight="1">
      <c r="A153" s="3" t="s">
        <v>3286</v>
      </c>
      <c r="B153" s="3">
        <f>IFERROR(__xludf.DUMMYFUNCTION("SPLIT(A153,""|"")"),325.0)</f>
        <v>325</v>
      </c>
      <c r="C153" s="3" t="str">
        <f>IFERROR(__xludf.DUMMYFUNCTION("""COMPUTED_VALUE""")," মোহাঃ শহিদুল ইসলাম ")</f>
        <v> মোহাঃ শহিদুল ইসলাম </v>
      </c>
      <c r="D153" s="3">
        <f>IFERROR(__xludf.DUMMYFUNCTION("""COMPUTED_VALUE"""),5.700563785E11)</f>
        <v>570056378500</v>
      </c>
      <c r="E153" s="3" t="str">
        <f>IFERROR(__xludf.DUMMYFUNCTION("""COMPUTED_VALUE""")," আখের আলী ")</f>
        <v> আখের আলী </v>
      </c>
      <c r="F153" s="3" t="str">
        <f>IFERROR(__xludf.DUMMYFUNCTION("""COMPUTED_VALUE""")," মোহাঃ মাহিরন নেছা ")</f>
        <v> মোহাঃ মাহিরন নেছা </v>
      </c>
      <c r="G153" s="3" t="str">
        <f>IFERROR(__xludf.DUMMYFUNCTION("""COMPUTED_VALUE""")," ০৪/১১/১৯৭০ ")</f>
        <v> ০৪/১১/১৯৭০ </v>
      </c>
      <c r="H153" s="3" t="str">
        <f>IFERROR(__xludf.DUMMYFUNCTION("""COMPUTED_VALUE""")," কৃষক ")</f>
        <v> কৃষক </v>
      </c>
      <c r="I153" s="3" t="str">
        <f>IFERROR(__xludf.DUMMYFUNCTION("""COMPUTED_VALUE""")," জালশুকা, গাংনী, মেহেরপুর ")</f>
        <v> জালশুকা, গাংনী, মেহেরপুর </v>
      </c>
    </row>
    <row r="154" ht="15.75" customHeight="1">
      <c r="A154" s="3" t="s">
        <v>3287</v>
      </c>
      <c r="B154" s="3">
        <f>IFERROR(__xludf.DUMMYFUNCTION("SPLIT(A154,""|"")"),326.0)</f>
        <v>326</v>
      </c>
      <c r="C154" s="3" t="str">
        <f>IFERROR(__xludf.DUMMYFUNCTION("""COMPUTED_VALUE""")," মোহাঃ আব্দুর রশিদ ")</f>
        <v> মোহাঃ আব্দুর রশিদ </v>
      </c>
      <c r="D154" s="3">
        <f>IFERROR(__xludf.DUMMYFUNCTION("""COMPUTED_VALUE"""),5.70056378502E11)</f>
        <v>570056378502</v>
      </c>
      <c r="E154" s="3" t="str">
        <f>IFERROR(__xludf.DUMMYFUNCTION("""COMPUTED_VALUE""")," আঃজল ")</f>
        <v> আঃজল </v>
      </c>
      <c r="F154" s="3" t="str">
        <f>IFERROR(__xludf.DUMMYFUNCTION("""COMPUTED_VALUE""")," মোহাঃ আসমা ")</f>
        <v> মোহাঃ আসমা </v>
      </c>
      <c r="G154" s="3" t="str">
        <f>IFERROR(__xludf.DUMMYFUNCTION("""COMPUTED_VALUE""")," ০৩/০১/১৯৬০ ")</f>
        <v> ০৩/০১/১৯৬০ </v>
      </c>
      <c r="H154" s="3" t="str">
        <f>IFERROR(__xludf.DUMMYFUNCTION("""COMPUTED_VALUE""")," শ্রমিক ")</f>
        <v> শ্রমিক </v>
      </c>
      <c r="I154" s="3" t="str">
        <f>IFERROR(__xludf.DUMMYFUNCTION("""COMPUTED_VALUE""")," জালশুকা, গাংনী, মেহেরপুর ")</f>
        <v> জালশুকা, গাংনী, মেহেরপুর </v>
      </c>
    </row>
    <row r="155" ht="15.75" customHeight="1">
      <c r="A155" s="3" t="s">
        <v>3288</v>
      </c>
      <c r="B155" s="3">
        <f>IFERROR(__xludf.DUMMYFUNCTION("SPLIT(A155,""|"")"),327.0)</f>
        <v>327</v>
      </c>
      <c r="C155" s="3" t="str">
        <f>IFERROR(__xludf.DUMMYFUNCTION("""COMPUTED_VALUE""")," মোহাঃ আবু সাঈদ ")</f>
        <v> মোহাঃ আবু সাঈদ </v>
      </c>
      <c r="D155" s="3">
        <f>IFERROR(__xludf.DUMMYFUNCTION("""COMPUTED_VALUE"""),5.70056378504E11)</f>
        <v>570056378504</v>
      </c>
      <c r="E155" s="3" t="str">
        <f>IFERROR(__xludf.DUMMYFUNCTION("""COMPUTED_VALUE""")," মোহাঃ মহশিন ")</f>
        <v> মোহাঃ মহশিন </v>
      </c>
      <c r="F155" s="3" t="str">
        <f>IFERROR(__xludf.DUMMYFUNCTION("""COMPUTED_VALUE""")," মোহাঃ হাজেরা ")</f>
        <v> মোহাঃ হাজেরা </v>
      </c>
      <c r="G155" s="3" t="str">
        <f>IFERROR(__xludf.DUMMYFUNCTION("""COMPUTED_VALUE""")," ১০/১১/১৯৮৭ ")</f>
        <v> ১০/১১/১৯৮৭ </v>
      </c>
      <c r="H155" s="3" t="str">
        <f>IFERROR(__xludf.DUMMYFUNCTION("""COMPUTED_VALUE""")," দিনমজুর ")</f>
        <v> দিনমজুর </v>
      </c>
      <c r="I155" s="3" t="str">
        <f>IFERROR(__xludf.DUMMYFUNCTION("""COMPUTED_VALUE""")," জালশুকা, গাংনী, মেহেরপুর ")</f>
        <v> জালশুকা, গাংনী, মেহেরপুর </v>
      </c>
    </row>
    <row r="156" ht="15.75" customHeight="1">
      <c r="A156" s="3" t="s">
        <v>3289</v>
      </c>
      <c r="B156" s="3">
        <f>IFERROR(__xludf.DUMMYFUNCTION("SPLIT(A156,""|"")"),328.0)</f>
        <v>328</v>
      </c>
      <c r="C156" s="3" t="str">
        <f>IFERROR(__xludf.DUMMYFUNCTION("""COMPUTED_VALUE""")," মোহাঃ সাজজু মিয়া ")</f>
        <v> মোহাঃ সাজজু মিয়া </v>
      </c>
      <c r="D156" s="3">
        <f>IFERROR(__xludf.DUMMYFUNCTION("""COMPUTED_VALUE"""),5.70056378506E11)</f>
        <v>570056378506</v>
      </c>
      <c r="E156" s="3" t="str">
        <f>IFERROR(__xludf.DUMMYFUNCTION("""COMPUTED_VALUE""")," মোহাঃ আবু জাফর ")</f>
        <v> মোহাঃ আবু জাফর </v>
      </c>
      <c r="F156" s="3" t="str">
        <f>IFERROR(__xludf.DUMMYFUNCTION("""COMPUTED_VALUE""")," মোহাঃ রেহেনা ")</f>
        <v> মোহাঃ রেহেনা </v>
      </c>
      <c r="G156" s="3" t="str">
        <f>IFERROR(__xludf.DUMMYFUNCTION("""COMPUTED_VALUE""")," ০১/১০/১৯৮৯ ")</f>
        <v> ০১/১০/১৯৮৯ </v>
      </c>
      <c r="H156" s="3" t="str">
        <f>IFERROR(__xludf.DUMMYFUNCTION("""COMPUTED_VALUE""")," শ্রমিক ")</f>
        <v> শ্রমিক </v>
      </c>
      <c r="I156" s="3" t="str">
        <f>IFERROR(__xludf.DUMMYFUNCTION("""COMPUTED_VALUE""")," জালশুকা, গাংনী, মেহেরপুর ")</f>
        <v> জালশুকা, গাংনী, মেহেরপুর </v>
      </c>
    </row>
    <row r="157" ht="15.75" customHeight="1">
      <c r="A157" s="3" t="s">
        <v>3290</v>
      </c>
      <c r="B157" s="3">
        <f>IFERROR(__xludf.DUMMYFUNCTION("SPLIT(A157,""|"")"),329.0)</f>
        <v>329</v>
      </c>
      <c r="C157" s="3" t="str">
        <f>IFERROR(__xludf.DUMMYFUNCTION("""COMPUTED_VALUE""")," মোহাঃ আলামিন ")</f>
        <v> মোহাঃ আলামিন </v>
      </c>
      <c r="D157" s="3">
        <f>IFERROR(__xludf.DUMMYFUNCTION("""COMPUTED_VALUE"""),5.70056378507E11)</f>
        <v>570056378507</v>
      </c>
      <c r="E157" s="3" t="str">
        <f>IFERROR(__xludf.DUMMYFUNCTION("""COMPUTED_VALUE""")," মোহাঃ আব্দুল মান্নান ")</f>
        <v> মোহাঃ আব্দুল মান্নান </v>
      </c>
      <c r="F157" s="3" t="str">
        <f>IFERROR(__xludf.DUMMYFUNCTION("""COMPUTED_VALUE""")," মোহাঃ আছিয়া ")</f>
        <v> মোহাঃ আছিয়া </v>
      </c>
      <c r="G157" s="3" t="str">
        <f>IFERROR(__xludf.DUMMYFUNCTION("""COMPUTED_VALUE""")," ১০/১০/১৯৮৮ ")</f>
        <v> ১০/১০/১৯৮৮ </v>
      </c>
      <c r="H157" s="3" t="str">
        <f>IFERROR(__xludf.DUMMYFUNCTION("""COMPUTED_VALUE""")," কৃষক ")</f>
        <v> কৃষক </v>
      </c>
      <c r="I157" s="3" t="str">
        <f>IFERROR(__xludf.DUMMYFUNCTION("""COMPUTED_VALUE""")," জালশুকা, গাংনী, মেহেরপুর ")</f>
        <v> জালশুকা, গাংনী, মেহেরপুর </v>
      </c>
    </row>
    <row r="158" ht="15.75" customHeight="1">
      <c r="A158" s="3" t="s">
        <v>3291</v>
      </c>
      <c r="B158" s="3">
        <f>IFERROR(__xludf.DUMMYFUNCTION("SPLIT(A158,""|"")"),330.0)</f>
        <v>330</v>
      </c>
      <c r="C158" s="3" t="str">
        <f>IFERROR(__xludf.DUMMYFUNCTION("""COMPUTED_VALUE""")," মোহাঃ রাকিব হাসান ")</f>
        <v> মোহাঃ রাকিব হাসান </v>
      </c>
      <c r="D158" s="3">
        <f>IFERROR(__xludf.DUMMYFUNCTION("""COMPUTED_VALUE"""),5.70056378508E11)</f>
        <v>570056378508</v>
      </c>
      <c r="E158" s="3" t="str">
        <f>IFERROR(__xludf.DUMMYFUNCTION("""COMPUTED_VALUE""")," মোহাঃ সলিমদ্দিন ")</f>
        <v> মোহাঃ সলিমদ্দিন </v>
      </c>
      <c r="F158" s="3" t="str">
        <f>IFERROR(__xludf.DUMMYFUNCTION("""COMPUTED_VALUE""")," মোহাঃ জরিনা খাতুন ")</f>
        <v> মোহাঃ জরিনা খাতুন </v>
      </c>
      <c r="G158" s="3" t="str">
        <f>IFERROR(__xludf.DUMMYFUNCTION("""COMPUTED_VALUE""")," ২৯/০৬/১৯৮৫ ")</f>
        <v> ২৯/০৬/১৯৮৫ </v>
      </c>
      <c r="H158" s="3" t="str">
        <f>IFERROR(__xludf.DUMMYFUNCTION("""COMPUTED_VALUE""")," ছাত্র/ছাত্রী ")</f>
        <v> ছাত্র/ছাত্রী </v>
      </c>
      <c r="I158" s="3" t="str">
        <f>IFERROR(__xludf.DUMMYFUNCTION("""COMPUTED_VALUE""")," জালশুকা, গাংনী, মেহেরপুর ")</f>
        <v> জালশুকা, গাংনী, মেহেরপুর </v>
      </c>
    </row>
    <row r="159" ht="15.75" customHeight="1">
      <c r="A159" s="3" t="s">
        <v>3292</v>
      </c>
      <c r="B159" s="3">
        <f>IFERROR(__xludf.DUMMYFUNCTION("SPLIT(A159,""|"")"),331.0)</f>
        <v>331</v>
      </c>
      <c r="C159" s="3" t="str">
        <f>IFERROR(__xludf.DUMMYFUNCTION("""COMPUTED_VALUE""")," মো: ইবাদত হোসেন ")</f>
        <v> মো: ইবাদত হোসেন </v>
      </c>
      <c r="D159" s="3">
        <f>IFERROR(__xludf.DUMMYFUNCTION("""COMPUTED_VALUE"""),5.70056378509E11)</f>
        <v>570056378509</v>
      </c>
      <c r="E159" s="3" t="str">
        <f>IFERROR(__xludf.DUMMYFUNCTION("""COMPUTED_VALUE""")," মো: শাহাদত হোসেন ")</f>
        <v> মো: শাহাদত হোসেন </v>
      </c>
      <c r="F159" s="3" t="str">
        <f>IFERROR(__xludf.DUMMYFUNCTION("""COMPUTED_VALUE""")," পানছুরাতুন নেছা ")</f>
        <v> পানছুরাতুন নেছা </v>
      </c>
      <c r="G159" s="3" t="str">
        <f>IFERROR(__xludf.DUMMYFUNCTION("""COMPUTED_VALUE""")," ২২/১১/১৯৮৩ ")</f>
        <v> ২২/১১/১৯৮৩ </v>
      </c>
      <c r="H159" s="3" t="str">
        <f>IFERROR(__xludf.DUMMYFUNCTION("""COMPUTED_VALUE""")," ছাত্র/ছাত্রী ")</f>
        <v> ছাত্র/ছাত্রী </v>
      </c>
      <c r="I159" s="3" t="str">
        <f>IFERROR(__xludf.DUMMYFUNCTION("""COMPUTED_VALUE""")," জালশুকা, গাংনী, মেহেরপুর ")</f>
        <v> জালশুকা, গাংনী, মেহেরপুর </v>
      </c>
    </row>
    <row r="160" ht="15.75" customHeight="1">
      <c r="A160" s="3" t="s">
        <v>3293</v>
      </c>
      <c r="B160" s="3">
        <f>IFERROR(__xludf.DUMMYFUNCTION("SPLIT(A160,""|"")"),332.0)</f>
        <v>332</v>
      </c>
      <c r="C160" s="3" t="str">
        <f>IFERROR(__xludf.DUMMYFUNCTION("""COMPUTED_VALUE""")," মোহাঃ জিল্লুর রহমান ")</f>
        <v> মোহাঃ জিল্লুর রহমান </v>
      </c>
      <c r="D160" s="3">
        <f>IFERROR(__xludf.DUMMYFUNCTION("""COMPUTED_VALUE"""),5.7005637851E11)</f>
        <v>570056378510</v>
      </c>
      <c r="E160" s="3" t="str">
        <f>IFERROR(__xludf.DUMMYFUNCTION("""COMPUTED_VALUE""")," মোহাঃ ফজলুল হক ")</f>
        <v> মোহাঃ ফজলুল হক </v>
      </c>
      <c r="F160" s="3" t="str">
        <f>IFERROR(__xludf.DUMMYFUNCTION("""COMPUTED_VALUE""")," মোহাঃ তাহরুন নেছা ")</f>
        <v> মোহাঃ তাহরুন নেছা </v>
      </c>
      <c r="G160" s="3" t="str">
        <f>IFERROR(__xludf.DUMMYFUNCTION("""COMPUTED_VALUE""")," ০৯/১০/১৯৮৪ ")</f>
        <v> ০৯/১০/১৯৮৪ </v>
      </c>
      <c r="H160" s="3" t="str">
        <f>IFERROR(__xludf.DUMMYFUNCTION("""COMPUTED_VALUE""")," কৃষক ")</f>
        <v> কৃষক </v>
      </c>
      <c r="I160" s="3" t="str">
        <f>IFERROR(__xludf.DUMMYFUNCTION("""COMPUTED_VALUE""")," জালশুকা, গাংনী, মেহেরপুর ")</f>
        <v> জালশুকা, গাংনী, মেহেরপুর </v>
      </c>
    </row>
    <row r="161" ht="15.75" customHeight="1">
      <c r="A161" s="3" t="s">
        <v>3294</v>
      </c>
      <c r="B161" s="3">
        <f>IFERROR(__xludf.DUMMYFUNCTION("SPLIT(A161,""|"")"),333.0)</f>
        <v>333</v>
      </c>
      <c r="C161" s="3" t="str">
        <f>IFERROR(__xludf.DUMMYFUNCTION("""COMPUTED_VALUE""")," মো: মজনু ")</f>
        <v> মো: মজনু </v>
      </c>
      <c r="D161" s="3">
        <f>IFERROR(__xludf.DUMMYFUNCTION("""COMPUTED_VALUE"""),5.70056378514E11)</f>
        <v>570056378514</v>
      </c>
      <c r="E161" s="3" t="str">
        <f>IFERROR(__xludf.DUMMYFUNCTION("""COMPUTED_VALUE""")," মোক্তার ")</f>
        <v> মোক্তার </v>
      </c>
      <c r="F161" s="3" t="str">
        <f>IFERROR(__xludf.DUMMYFUNCTION("""COMPUTED_VALUE""")," মোহাঃ রাবেয়া ")</f>
        <v> মোহাঃ রাবেয়া </v>
      </c>
      <c r="G161" s="3" t="str">
        <f>IFERROR(__xludf.DUMMYFUNCTION("""COMPUTED_VALUE""")," ১০/০৬/১৯৭৭ ")</f>
        <v> ১০/০৬/১৯৭৭ </v>
      </c>
      <c r="H161" s="3" t="str">
        <f>IFERROR(__xludf.DUMMYFUNCTION("""COMPUTED_VALUE""")," কৃষক ")</f>
        <v> কৃষক </v>
      </c>
      <c r="I161" s="3" t="str">
        <f>IFERROR(__xludf.DUMMYFUNCTION("""COMPUTED_VALUE""")," জালশুকা, গাংনী, মেহেরপুর ")</f>
        <v> জালশুকা, গাংনী, মেহেরপুর </v>
      </c>
    </row>
    <row r="162" ht="15.75" customHeight="1">
      <c r="A162" s="3" t="s">
        <v>3295</v>
      </c>
      <c r="B162" s="3">
        <f>IFERROR(__xludf.DUMMYFUNCTION("SPLIT(A162,""|"")"),334.0)</f>
        <v>334</v>
      </c>
      <c r="C162" s="3" t="str">
        <f>IFERROR(__xludf.DUMMYFUNCTION("""COMPUTED_VALUE""")," মোহাঃ মোশারাফ ")</f>
        <v> মোহাঃ মোশারাফ </v>
      </c>
      <c r="D162" s="3">
        <f>IFERROR(__xludf.DUMMYFUNCTION("""COMPUTED_VALUE"""),5.70056378516E11)</f>
        <v>570056378516</v>
      </c>
      <c r="E162" s="3" t="str">
        <f>IFERROR(__xludf.DUMMYFUNCTION("""COMPUTED_VALUE""")," মোক্তার ")</f>
        <v> মোক্তার </v>
      </c>
      <c r="F162" s="3" t="str">
        <f>IFERROR(__xludf.DUMMYFUNCTION("""COMPUTED_VALUE""")," মোহাঃ রাবেয়া খাতুন ")</f>
        <v> মোহাঃ রাবেয়া খাতুন </v>
      </c>
      <c r="G162" s="3" t="str">
        <f>IFERROR(__xludf.DUMMYFUNCTION("""COMPUTED_VALUE""")," ১৫/০৫/১৯৬৩ ")</f>
        <v> ১৫/০৫/১৯৬৩ </v>
      </c>
      <c r="H162" s="3" t="str">
        <f>IFERROR(__xludf.DUMMYFUNCTION("""COMPUTED_VALUE""")," কৃষক ")</f>
        <v> কৃষক </v>
      </c>
      <c r="I162" s="3" t="str">
        <f>IFERROR(__xludf.DUMMYFUNCTION("""COMPUTED_VALUE""")," জালশুকা, গাংনী, মেহেরপুর ")</f>
        <v> জালশুকা, গাংনী, মেহেরপুর </v>
      </c>
    </row>
    <row r="163" ht="15.75" customHeight="1">
      <c r="A163" s="3" t="s">
        <v>3296</v>
      </c>
      <c r="B163" s="3">
        <f>IFERROR(__xludf.DUMMYFUNCTION("SPLIT(A163,""|"")"),335.0)</f>
        <v>335</v>
      </c>
      <c r="C163" s="3" t="str">
        <f>IFERROR(__xludf.DUMMYFUNCTION("""COMPUTED_VALUE""")," মোহাঃ আব্দুল মান্নান ")</f>
        <v> মোহাঃ আব্দুল মান্নান </v>
      </c>
      <c r="D163" s="3">
        <f>IFERROR(__xludf.DUMMYFUNCTION("""COMPUTED_VALUE"""),5.70056378517E11)</f>
        <v>570056378517</v>
      </c>
      <c r="E163" s="3" t="str">
        <f>IFERROR(__xludf.DUMMYFUNCTION("""COMPUTED_VALUE""")," জবেদ আলী ")</f>
        <v> জবেদ আলী </v>
      </c>
      <c r="F163" s="3" t="str">
        <f>IFERROR(__xludf.DUMMYFUNCTION("""COMPUTED_VALUE""")," মোহাঃ আছিয়া ")</f>
        <v> মোহাঃ আছিয়া </v>
      </c>
      <c r="G163" s="3" t="str">
        <f>IFERROR(__xludf.DUMMYFUNCTION("""COMPUTED_VALUE""")," ০৪/০৬/১৯৭১ ")</f>
        <v> ০৪/০৬/১৯৭১ </v>
      </c>
      <c r="H163" s="3" t="str">
        <f>IFERROR(__xludf.DUMMYFUNCTION("""COMPUTED_VALUE""")," দিনমজুর ")</f>
        <v> দিনমজুর </v>
      </c>
      <c r="I163" s="3" t="str">
        <f>IFERROR(__xludf.DUMMYFUNCTION("""COMPUTED_VALUE""")," জালশুকা, গাংনী, মেহেরপুর ")</f>
        <v> জালশুকা, গাংনী, মেহেরপুর </v>
      </c>
    </row>
    <row r="164" ht="15.75" customHeight="1">
      <c r="A164" s="3" t="s">
        <v>3297</v>
      </c>
      <c r="B164" s="3">
        <f>IFERROR(__xludf.DUMMYFUNCTION("SPLIT(A164,""|"")"),336.0)</f>
        <v>336</v>
      </c>
      <c r="C164" s="3" t="str">
        <f>IFERROR(__xludf.DUMMYFUNCTION("""COMPUTED_VALUE""")," মো: রহিমদ্দিন ")</f>
        <v> মো: রহিমদ্দিন </v>
      </c>
      <c r="D164" s="3">
        <f>IFERROR(__xludf.DUMMYFUNCTION("""COMPUTED_VALUE"""),5.70056378522E11)</f>
        <v>570056378522</v>
      </c>
      <c r="E164" s="3" t="str">
        <f>IFERROR(__xludf.DUMMYFUNCTION("""COMPUTED_VALUE""")," মোহাঃ শুকুর আলী ")</f>
        <v> মোহাঃ শুকুর আলী </v>
      </c>
      <c r="F164" s="3" t="str">
        <f>IFERROR(__xludf.DUMMYFUNCTION("""COMPUTED_VALUE""")," মোহাঃ ছামিরন নেছা ")</f>
        <v> মোহাঃ ছামিরন নেছা </v>
      </c>
      <c r="G164" s="3" t="str">
        <f>IFERROR(__xludf.DUMMYFUNCTION("""COMPUTED_VALUE""")," ১০/০৫/১৯৮৭ ")</f>
        <v> ১০/০৫/১৯৮৭ </v>
      </c>
      <c r="H164" s="3" t="str">
        <f>IFERROR(__xludf.DUMMYFUNCTION("""COMPUTED_VALUE""")," দিনমজুর ")</f>
        <v> দিনমজুর </v>
      </c>
      <c r="I164" s="3" t="str">
        <f>IFERROR(__xludf.DUMMYFUNCTION("""COMPUTED_VALUE""")," জালশুকা, গাংনী, মেহেরপুর ")</f>
        <v> জালশুকা, গাংনী, মেহেরপুর </v>
      </c>
    </row>
    <row r="165" ht="15.75" customHeight="1">
      <c r="A165" s="3" t="s">
        <v>3298</v>
      </c>
      <c r="B165" s="3">
        <f>IFERROR(__xludf.DUMMYFUNCTION("SPLIT(A165,""|"")"),337.0)</f>
        <v>337</v>
      </c>
      <c r="C165" s="3" t="str">
        <f>IFERROR(__xludf.DUMMYFUNCTION("""COMPUTED_VALUE""")," মো: সামছুল ")</f>
        <v> মো: সামছুল </v>
      </c>
      <c r="D165" s="3">
        <f>IFERROR(__xludf.DUMMYFUNCTION("""COMPUTED_VALUE"""),5.70056378527E11)</f>
        <v>570056378527</v>
      </c>
      <c r="E165" s="3" t="str">
        <f>IFERROR(__xludf.DUMMYFUNCTION("""COMPUTED_VALUE""")," মো: মোসারফ ")</f>
        <v> মো: মোসারফ </v>
      </c>
      <c r="F165" s="3" t="str">
        <f>IFERROR(__xludf.DUMMYFUNCTION("""COMPUTED_VALUE""")," মোহাঃ তছলিমা ")</f>
        <v> মোহাঃ তছলিমা </v>
      </c>
      <c r="G165" s="3" t="str">
        <f>IFERROR(__xludf.DUMMYFUNCTION("""COMPUTED_VALUE""")," ১০/১০/১৯৮৮ ")</f>
        <v> ১০/১০/১৯৮৮ </v>
      </c>
      <c r="H165" s="3" t="str">
        <f>IFERROR(__xludf.DUMMYFUNCTION("""COMPUTED_VALUE""")," দিনমজুর ")</f>
        <v> দিনমজুর </v>
      </c>
      <c r="I165" s="3" t="str">
        <f>IFERROR(__xludf.DUMMYFUNCTION("""COMPUTED_VALUE""")," জালশুকা, গাংনী, মেহেরপুর ")</f>
        <v> জালশুকা, গাংনী, মেহেরপুর </v>
      </c>
    </row>
    <row r="166" ht="15.75" customHeight="1">
      <c r="A166" s="3" t="s">
        <v>3299</v>
      </c>
      <c r="B166" s="3">
        <f>IFERROR(__xludf.DUMMYFUNCTION("SPLIT(A166,""|"")"),338.0)</f>
        <v>338</v>
      </c>
      <c r="C166" s="3" t="str">
        <f>IFERROR(__xludf.DUMMYFUNCTION("""COMPUTED_VALUE""")," মোহাঃ মিলন ")</f>
        <v> মোহাঃ মিলন </v>
      </c>
      <c r="D166" s="3">
        <f>IFERROR(__xludf.DUMMYFUNCTION("""COMPUTED_VALUE"""),5.70056378528E11)</f>
        <v>570056378528</v>
      </c>
      <c r="E166" s="3" t="str">
        <f>IFERROR(__xludf.DUMMYFUNCTION("""COMPUTED_VALUE""")," মোহাঃ আয়ুব আলী ")</f>
        <v> মোহাঃ আয়ুব আলী </v>
      </c>
      <c r="F166" s="3" t="str">
        <f>IFERROR(__xludf.DUMMYFUNCTION("""COMPUTED_VALUE""")," মোহাঃ মর্জিনা ")</f>
        <v> মোহাঃ মর্জিনা </v>
      </c>
      <c r="G166" s="3" t="str">
        <f>IFERROR(__xludf.DUMMYFUNCTION("""COMPUTED_VALUE""")," ১৭/১২/১৯৮৮ ")</f>
        <v> ১৭/১২/১৯৮৮ </v>
      </c>
      <c r="H166" s="3" t="str">
        <f>IFERROR(__xludf.DUMMYFUNCTION("""COMPUTED_VALUE""")," শ্রমিক ")</f>
        <v> শ্রমিক </v>
      </c>
      <c r="I166" s="3" t="str">
        <f>IFERROR(__xludf.DUMMYFUNCTION("""COMPUTED_VALUE""")," জালশুকা, গাংনী, মেহেরপুর ")</f>
        <v> জালশুকা, গাংনী, মেহেরপুর </v>
      </c>
    </row>
    <row r="167" ht="15.75" customHeight="1">
      <c r="A167" s="3" t="s">
        <v>3300</v>
      </c>
      <c r="B167" s="3">
        <f>IFERROR(__xludf.DUMMYFUNCTION("SPLIT(A167,""|"")"),339.0)</f>
        <v>339</v>
      </c>
      <c r="C167" s="3" t="str">
        <f>IFERROR(__xludf.DUMMYFUNCTION("""COMPUTED_VALUE""")," মো: সাগর ")</f>
        <v> মো: সাগর </v>
      </c>
      <c r="D167" s="3">
        <f>IFERROR(__xludf.DUMMYFUNCTION("""COMPUTED_VALUE"""),5.70056378529E11)</f>
        <v>570056378529</v>
      </c>
      <c r="E167" s="3" t="str">
        <f>IFERROR(__xludf.DUMMYFUNCTION("""COMPUTED_VALUE""")," মোহাঃ আবু তাহের ")</f>
        <v> মোহাঃ আবু তাহের </v>
      </c>
      <c r="F167" s="3" t="str">
        <f>IFERROR(__xludf.DUMMYFUNCTION("""COMPUTED_VALUE""")," মোহাঃ তরিছান ")</f>
        <v> মোহাঃ তরিছান </v>
      </c>
      <c r="G167" s="3" t="str">
        <f>IFERROR(__xludf.DUMMYFUNCTION("""COMPUTED_VALUE""")," ১০/১১/১৯৮৭ ")</f>
        <v> ১০/১১/১৯৮৭ </v>
      </c>
      <c r="H167" s="3" t="str">
        <f>IFERROR(__xludf.DUMMYFUNCTION("""COMPUTED_VALUE""")," শ্রমিক ")</f>
        <v> শ্রমিক </v>
      </c>
      <c r="I167" s="3" t="str">
        <f>IFERROR(__xludf.DUMMYFUNCTION("""COMPUTED_VALUE""")," জালশুকা, গাংনী, মেহেরপুর ")</f>
        <v> জালশুকা, গাংনী, মেহেরপুর </v>
      </c>
    </row>
    <row r="168" ht="15.75" customHeight="1">
      <c r="A168" s="3" t="s">
        <v>3301</v>
      </c>
      <c r="B168" s="3">
        <f>IFERROR(__xludf.DUMMYFUNCTION("SPLIT(A168,""|"")"),340.0)</f>
        <v>340</v>
      </c>
      <c r="C168" s="3" t="str">
        <f>IFERROR(__xludf.DUMMYFUNCTION("""COMPUTED_VALUE""")," মোহাঃ মহশিন আলি ")</f>
        <v> মোহাঃ মহশিন আলি </v>
      </c>
      <c r="D168" s="3">
        <f>IFERROR(__xludf.DUMMYFUNCTION("""COMPUTED_VALUE"""),5.7005637854E11)</f>
        <v>570056378540</v>
      </c>
      <c r="E168" s="3" t="str">
        <f>IFERROR(__xludf.DUMMYFUNCTION("""COMPUTED_VALUE""")," রিয়াজুদ্দিন ")</f>
        <v> রিয়াজুদ্দিন </v>
      </c>
      <c r="F168" s="3" t="str">
        <f>IFERROR(__xludf.DUMMYFUNCTION("""COMPUTED_VALUE""")," মোহাঃ রাহাতন ")</f>
        <v> মোহাঃ রাহাতন </v>
      </c>
      <c r="G168" s="3" t="str">
        <f>IFERROR(__xludf.DUMMYFUNCTION("""COMPUTED_VALUE""")," ১১/০১/১৯৫০ ")</f>
        <v> ১১/০১/১৯৫০ </v>
      </c>
      <c r="H168" s="3" t="str">
        <f>IFERROR(__xludf.DUMMYFUNCTION("""COMPUTED_VALUE""")," কৃষক ")</f>
        <v> কৃষক </v>
      </c>
      <c r="I168" s="3" t="str">
        <f>IFERROR(__xludf.DUMMYFUNCTION("""COMPUTED_VALUE""")," জালশুকা, গাংনী, মেহেরপুর ")</f>
        <v> জালশুকা, গাংনী, মেহেরপুর </v>
      </c>
    </row>
    <row r="169" ht="15.75" customHeight="1">
      <c r="A169" s="3" t="s">
        <v>3302</v>
      </c>
      <c r="B169" s="3">
        <f>IFERROR(__xludf.DUMMYFUNCTION("SPLIT(A169,""|"")"),341.0)</f>
        <v>341</v>
      </c>
      <c r="C169" s="3" t="str">
        <f>IFERROR(__xludf.DUMMYFUNCTION("""COMPUTED_VALUE""")," মোহাঃ বাবর আলি ")</f>
        <v> মোহাঃ বাবর আলি </v>
      </c>
      <c r="D169" s="3">
        <f>IFERROR(__xludf.DUMMYFUNCTION("""COMPUTED_VALUE"""),5.70056378543E11)</f>
        <v>570056378543</v>
      </c>
      <c r="E169" s="3" t="str">
        <f>IFERROR(__xludf.DUMMYFUNCTION("""COMPUTED_VALUE""")," মোহাঃ আলফাজ ")</f>
        <v> মোহাঃ আলফাজ </v>
      </c>
      <c r="F169" s="3" t="str">
        <f>IFERROR(__xludf.DUMMYFUNCTION("""COMPUTED_VALUE""")," মোহাঃ আশানুর ")</f>
        <v> মোহাঃ আশানুর </v>
      </c>
      <c r="G169" s="3" t="str">
        <f>IFERROR(__xludf.DUMMYFUNCTION("""COMPUTED_VALUE""")," ১২/১০/১৯৮০ ")</f>
        <v> ১২/১০/১৯৮০ </v>
      </c>
      <c r="H169" s="3" t="str">
        <f>IFERROR(__xludf.DUMMYFUNCTION("""COMPUTED_VALUE""")," কৃষক ")</f>
        <v> কৃষক </v>
      </c>
      <c r="I169" s="3" t="str">
        <f>IFERROR(__xludf.DUMMYFUNCTION("""COMPUTED_VALUE""")," জালশুকা, গাংনী, মেহেরপুর ")</f>
        <v> জালশুকা, গাংনী, মেহেরপুর </v>
      </c>
    </row>
    <row r="170" ht="15.75" customHeight="1">
      <c r="A170" s="3" t="s">
        <v>3303</v>
      </c>
      <c r="B170" s="3">
        <f>IFERROR(__xludf.DUMMYFUNCTION("SPLIT(A170,""|"")"),342.0)</f>
        <v>342</v>
      </c>
      <c r="C170" s="3" t="str">
        <f>IFERROR(__xludf.DUMMYFUNCTION("""COMPUTED_VALUE""")," মোহাঃ আরিফুল ")</f>
        <v> মোহাঃ আরিফুল </v>
      </c>
      <c r="D170" s="3">
        <f>IFERROR(__xludf.DUMMYFUNCTION("""COMPUTED_VALUE"""),5.70056378545E11)</f>
        <v>570056378545</v>
      </c>
      <c r="E170" s="3" t="str">
        <f>IFERROR(__xludf.DUMMYFUNCTION("""COMPUTED_VALUE""")," মোহাঃ আতাব আলী ")</f>
        <v> মোহাঃ আতাব আলী </v>
      </c>
      <c r="F170" s="3" t="str">
        <f>IFERROR(__xludf.DUMMYFUNCTION("""COMPUTED_VALUE""")," মোহাঃ গুলশানারা ")</f>
        <v> মোহাঃ গুলশানারা </v>
      </c>
      <c r="G170" s="3" t="str">
        <f>IFERROR(__xludf.DUMMYFUNCTION("""COMPUTED_VALUE""")," ১০/০৯/১৯৮৯ ")</f>
        <v> ১০/০৯/১৯৮৯ </v>
      </c>
      <c r="H170" s="3" t="str">
        <f>IFERROR(__xludf.DUMMYFUNCTION("""COMPUTED_VALUE""")," কৃষক ")</f>
        <v> কৃষক </v>
      </c>
      <c r="I170" s="3" t="str">
        <f>IFERROR(__xludf.DUMMYFUNCTION("""COMPUTED_VALUE""")," জালশুকা, গাংনী, মেহেরপুর ")</f>
        <v> জালশুকা, গাংনী, মেহেরপুর </v>
      </c>
    </row>
    <row r="171" ht="15.75" customHeight="1">
      <c r="A171" s="3" t="s">
        <v>3304</v>
      </c>
      <c r="B171" s="3">
        <f>IFERROR(__xludf.DUMMYFUNCTION("SPLIT(A171,""|"")"),343.0)</f>
        <v>343</v>
      </c>
      <c r="C171" s="3" t="str">
        <f>IFERROR(__xludf.DUMMYFUNCTION("""COMPUTED_VALUE""")," মোহাঃ বিল্লাল ")</f>
        <v> মোহাঃ বিল্লাল </v>
      </c>
      <c r="D171" s="3">
        <f>IFERROR(__xludf.DUMMYFUNCTION("""COMPUTED_VALUE"""),5.70056378551E11)</f>
        <v>570056378551</v>
      </c>
      <c r="E171" s="3" t="str">
        <f>IFERROR(__xludf.DUMMYFUNCTION("""COMPUTED_VALUE""")," আনিসদ্দিন ")</f>
        <v> আনিসদ্দিন </v>
      </c>
      <c r="F171" s="3" t="str">
        <f>IFERROR(__xludf.DUMMYFUNCTION("""COMPUTED_VALUE""")," মোহাঃ গৌশমনি ")</f>
        <v> মোহাঃ গৌশমনি </v>
      </c>
      <c r="G171" s="3" t="str">
        <f>IFERROR(__xludf.DUMMYFUNCTION("""COMPUTED_VALUE""")," ১৮/১০/১৯৬৫ ")</f>
        <v> ১৮/১০/১৯৬৫ </v>
      </c>
      <c r="H171" s="3" t="str">
        <f>IFERROR(__xludf.DUMMYFUNCTION("""COMPUTED_VALUE""")," কৃষক ")</f>
        <v> কৃষক </v>
      </c>
      <c r="I171" s="3" t="str">
        <f>IFERROR(__xludf.DUMMYFUNCTION("""COMPUTED_VALUE""")," জালশুকা, গাংনী, মেহেরপুর ")</f>
        <v> জালশুকা, গাংনী, মেহেরপুর </v>
      </c>
    </row>
    <row r="172" ht="15.75" customHeight="1">
      <c r="A172" s="3" t="s">
        <v>3305</v>
      </c>
      <c r="B172" s="3">
        <f>IFERROR(__xludf.DUMMYFUNCTION("SPLIT(A172,""|"")"),344.0)</f>
        <v>344</v>
      </c>
      <c r="C172" s="3" t="str">
        <f>IFERROR(__xludf.DUMMYFUNCTION("""COMPUTED_VALUE""")," মোহাঃ লালচাঁদ ")</f>
        <v> মোহাঃ লালচাঁদ </v>
      </c>
      <c r="D172" s="3">
        <f>IFERROR(__xludf.DUMMYFUNCTION("""COMPUTED_VALUE"""),5.70056378555E11)</f>
        <v>570056378555</v>
      </c>
      <c r="E172" s="3" t="str">
        <f>IFERROR(__xludf.DUMMYFUNCTION("""COMPUTED_VALUE""")," মোহাঃ বিল্লাল ")</f>
        <v> মোহাঃ বিল্লাল </v>
      </c>
      <c r="F172" s="3" t="str">
        <f>IFERROR(__xludf.DUMMYFUNCTION("""COMPUTED_VALUE""")," মোহাঃ তহমিনা ")</f>
        <v> মোহাঃ তহমিনা </v>
      </c>
      <c r="G172" s="3" t="str">
        <f>IFERROR(__xludf.DUMMYFUNCTION("""COMPUTED_VALUE""")," ১০/১০/১৯৮৪ ")</f>
        <v> ১০/১০/১৯৮৪ </v>
      </c>
      <c r="H172" s="3" t="str">
        <f>IFERROR(__xludf.DUMMYFUNCTION("""COMPUTED_VALUE""")," কৃষক ")</f>
        <v> কৃষক </v>
      </c>
      <c r="I172" s="3" t="str">
        <f>IFERROR(__xludf.DUMMYFUNCTION("""COMPUTED_VALUE""")," জালশুকা, গাংনী, মেহেরপুর ")</f>
        <v> জালশুকা, গাংনী, মেহেরপুর </v>
      </c>
    </row>
    <row r="173" ht="15.75" customHeight="1">
      <c r="A173" s="3" t="s">
        <v>3306</v>
      </c>
      <c r="B173" s="3">
        <f>IFERROR(__xludf.DUMMYFUNCTION("SPLIT(A173,""|"")"),345.0)</f>
        <v>345</v>
      </c>
      <c r="C173" s="3" t="str">
        <f>IFERROR(__xludf.DUMMYFUNCTION("""COMPUTED_VALUE""")," মো: রুহুল আমিন ")</f>
        <v> মো: রুহুল আমিন </v>
      </c>
      <c r="D173" s="3">
        <f>IFERROR(__xludf.DUMMYFUNCTION("""COMPUTED_VALUE"""),5.70056378557E11)</f>
        <v>570056378557</v>
      </c>
      <c r="E173" s="3" t="str">
        <f>IFERROR(__xludf.DUMMYFUNCTION("""COMPUTED_VALUE""")," সবদেল বিশ্বাস ")</f>
        <v> সবদেল বিশ্বাস </v>
      </c>
      <c r="F173" s="3" t="str">
        <f>IFERROR(__xludf.DUMMYFUNCTION("""COMPUTED_VALUE""")," মোহাঃ রাহেলা ")</f>
        <v> মোহাঃ রাহেলা </v>
      </c>
      <c r="G173" s="3" t="str">
        <f>IFERROR(__xludf.DUMMYFUNCTION("""COMPUTED_VALUE""")," ১০/০৬/১৯৬৫ ")</f>
        <v> ১০/০৬/১৯৬৫ </v>
      </c>
      <c r="H173" s="3" t="str">
        <f>IFERROR(__xludf.DUMMYFUNCTION("""COMPUTED_VALUE""")," কৃষক ")</f>
        <v> কৃষক </v>
      </c>
      <c r="I173" s="3" t="str">
        <f>IFERROR(__xludf.DUMMYFUNCTION("""COMPUTED_VALUE""")," জালশুকা, গাংনী, মেহেরপুর ")</f>
        <v> জালশুকা, গাংনী, মেহেরপুর </v>
      </c>
    </row>
    <row r="174" ht="15.75" customHeight="1">
      <c r="A174" s="3" t="s">
        <v>3307</v>
      </c>
      <c r="B174" s="3">
        <f>IFERROR(__xludf.DUMMYFUNCTION("SPLIT(A174,""|"")"),346.0)</f>
        <v>346</v>
      </c>
      <c r="C174" s="3" t="str">
        <f>IFERROR(__xludf.DUMMYFUNCTION("""COMPUTED_VALUE""")," মোহাঃ আশাদুল ")</f>
        <v> মোহাঃ আশাদুল </v>
      </c>
      <c r="D174" s="3">
        <f>IFERROR(__xludf.DUMMYFUNCTION("""COMPUTED_VALUE"""),5.70056378558E11)</f>
        <v>570056378558</v>
      </c>
      <c r="E174" s="3" t="str">
        <f>IFERROR(__xludf.DUMMYFUNCTION("""COMPUTED_VALUE""")," মোহাঃ আজিজার রহমান ")</f>
        <v> মোহাঃ আজিজার রহমান </v>
      </c>
      <c r="F174" s="3" t="str">
        <f>IFERROR(__xludf.DUMMYFUNCTION("""COMPUTED_VALUE""")," মোহাঃ জাহিরন নেছা ")</f>
        <v> মোহাঃ জাহিরন নেছা </v>
      </c>
      <c r="G174" s="3" t="str">
        <f>IFERROR(__xludf.DUMMYFUNCTION("""COMPUTED_VALUE""")," ১২/০৯/১৯৬৭ ")</f>
        <v> ১২/০৯/১৯৬৭ </v>
      </c>
      <c r="H174" s="3" t="str">
        <f>IFERROR(__xludf.DUMMYFUNCTION("""COMPUTED_VALUE""")," কৃষক ")</f>
        <v> কৃষক </v>
      </c>
      <c r="I174" s="3" t="str">
        <f>IFERROR(__xludf.DUMMYFUNCTION("""COMPUTED_VALUE""")," জালশুকা, গাংনী, মেহেরপুর ")</f>
        <v> জালশুকা, গাংনী, মেহেরপুর </v>
      </c>
    </row>
    <row r="175" ht="15.75" customHeight="1">
      <c r="A175" s="3" t="s">
        <v>3308</v>
      </c>
      <c r="B175" s="3">
        <f>IFERROR(__xludf.DUMMYFUNCTION("SPLIT(A175,""|"")"),347.0)</f>
        <v>347</v>
      </c>
      <c r="C175" s="3" t="str">
        <f>IFERROR(__xludf.DUMMYFUNCTION("""COMPUTED_VALUE""")," মো: আব্দুর রাজ্জাক ")</f>
        <v> মো: আব্দুর রাজ্জাক </v>
      </c>
      <c r="D175" s="3">
        <f>IFERROR(__xludf.DUMMYFUNCTION("""COMPUTED_VALUE"""),5.70056378559E11)</f>
        <v>570056378559</v>
      </c>
      <c r="E175" s="3" t="str">
        <f>IFERROR(__xludf.DUMMYFUNCTION("""COMPUTED_VALUE""")," মোহাঃ আবু বক্কর ")</f>
        <v> মোহাঃ আবু বক্কর </v>
      </c>
      <c r="F175" s="3" t="str">
        <f>IFERROR(__xludf.DUMMYFUNCTION("""COMPUTED_VALUE""")," মোহাঃ জবেদা ")</f>
        <v> মোহাঃ জবেদা </v>
      </c>
      <c r="G175" s="3" t="str">
        <f>IFERROR(__xludf.DUMMYFUNCTION("""COMPUTED_VALUE""")," ১০/১০/১৯৭১ ")</f>
        <v> ১০/১০/১৯৭১ </v>
      </c>
      <c r="H175" s="3" t="str">
        <f>IFERROR(__xludf.DUMMYFUNCTION("""COMPUTED_VALUE""")," কৃষক ")</f>
        <v> কৃষক </v>
      </c>
      <c r="I175" s="3" t="str">
        <f>IFERROR(__xludf.DUMMYFUNCTION("""COMPUTED_VALUE""")," জালশুকা, গাংনী, মেহেরপুর ")</f>
        <v> জালশুকা, গাংনী, মেহেরপুর </v>
      </c>
    </row>
    <row r="176" ht="15.75" customHeight="1">
      <c r="A176" s="3" t="s">
        <v>3309</v>
      </c>
      <c r="B176" s="3">
        <f>IFERROR(__xludf.DUMMYFUNCTION("SPLIT(A176,""|"")"),348.0)</f>
        <v>348</v>
      </c>
      <c r="C176" s="3" t="str">
        <f>IFERROR(__xludf.DUMMYFUNCTION("""COMPUTED_VALUE""")," মোহাঃ মহাবুল হক ")</f>
        <v> মোহাঃ মহাবুল হক </v>
      </c>
      <c r="D176" s="3">
        <f>IFERROR(__xludf.DUMMYFUNCTION("""COMPUTED_VALUE"""),5.7005637856E11)</f>
        <v>570056378560</v>
      </c>
      <c r="E176" s="3" t="str">
        <f>IFERROR(__xludf.DUMMYFUNCTION("""COMPUTED_VALUE""")," মোহাঃ খেদের বিশ্বাস ")</f>
        <v> মোহাঃ খেদের বিশ্বাস </v>
      </c>
      <c r="F176" s="3" t="str">
        <f>IFERROR(__xludf.DUMMYFUNCTION("""COMPUTED_VALUE""")," মোহাঃ সোহাগী ")</f>
        <v> মোহাঃ সোহাগী </v>
      </c>
      <c r="G176" s="3" t="str">
        <f>IFERROR(__xludf.DUMMYFUNCTION("""COMPUTED_VALUE""")," ১২/১০/১৯৮২ ")</f>
        <v> ১২/১০/১৯৮২ </v>
      </c>
      <c r="H176" s="3" t="str">
        <f>IFERROR(__xludf.DUMMYFUNCTION("""COMPUTED_VALUE""")," কৃষক ")</f>
        <v> কৃষক </v>
      </c>
      <c r="I176" s="3" t="str">
        <f>IFERROR(__xludf.DUMMYFUNCTION("""COMPUTED_VALUE""")," জালশুকা, গাংনী, মেহেরপুর ")</f>
        <v> জালশুকা, গাংনী, মেহেরপুর </v>
      </c>
    </row>
    <row r="177" ht="15.75" customHeight="1">
      <c r="A177" s="3" t="s">
        <v>3310</v>
      </c>
      <c r="B177" s="3">
        <f>IFERROR(__xludf.DUMMYFUNCTION("SPLIT(A177,""|"")"),349.0)</f>
        <v>349</v>
      </c>
      <c r="C177" s="3" t="str">
        <f>IFERROR(__xludf.DUMMYFUNCTION("""COMPUTED_VALUE""")," মোহাঃ মফিজুল ")</f>
        <v> মোহাঃ মফিজুল </v>
      </c>
      <c r="D177" s="3">
        <f>IFERROR(__xludf.DUMMYFUNCTION("""COMPUTED_VALUE"""),5.70056378561E11)</f>
        <v>570056378561</v>
      </c>
      <c r="E177" s="3" t="str">
        <f>IFERROR(__xludf.DUMMYFUNCTION("""COMPUTED_VALUE""")," মোহাঃ খেদের আলী ")</f>
        <v> মোহাঃ খেদের আলী </v>
      </c>
      <c r="F177" s="3" t="str">
        <f>IFERROR(__xludf.DUMMYFUNCTION("""COMPUTED_VALUE""")," মোহাঃ সোহাগী ")</f>
        <v> মোহাঃ সোহাগী </v>
      </c>
      <c r="G177" s="3" t="str">
        <f>IFERROR(__xludf.DUMMYFUNCTION("""COMPUTED_VALUE""")," ১০/১২/১৯৮৯ ")</f>
        <v> ১০/১২/১৯৮৯ </v>
      </c>
      <c r="H177" s="3" t="str">
        <f>IFERROR(__xludf.DUMMYFUNCTION("""COMPUTED_VALUE""")," কৃষক ")</f>
        <v> কৃষক </v>
      </c>
      <c r="I177" s="3" t="str">
        <f>IFERROR(__xludf.DUMMYFUNCTION("""COMPUTED_VALUE""")," জালশুকা, গাংনী, মেহেরপুর ")</f>
        <v> জালশুকা, গাংনী, মেহেরপুর </v>
      </c>
    </row>
    <row r="178" ht="15.75" customHeight="1">
      <c r="A178" s="3" t="s">
        <v>3311</v>
      </c>
      <c r="B178" s="3">
        <f>IFERROR(__xludf.DUMMYFUNCTION("SPLIT(A178,""|"")"),350.0)</f>
        <v>350</v>
      </c>
      <c r="C178" s="3" t="str">
        <f>IFERROR(__xludf.DUMMYFUNCTION("""COMPUTED_VALUE""")," মোহাঃ সাইফুল ")</f>
        <v> মোহাঃ সাইফুল </v>
      </c>
      <c r="D178" s="3">
        <f>IFERROR(__xludf.DUMMYFUNCTION("""COMPUTED_VALUE"""),5.70056378562E11)</f>
        <v>570056378562</v>
      </c>
      <c r="E178" s="3" t="str">
        <f>IFERROR(__xludf.DUMMYFUNCTION("""COMPUTED_VALUE""")," মোহাঃ শাহাদত ")</f>
        <v> মোহাঃ শাহাদত </v>
      </c>
      <c r="F178" s="3" t="str">
        <f>IFERROR(__xludf.DUMMYFUNCTION("""COMPUTED_VALUE""")," মোহাঃ পানছুরাতুন ")</f>
        <v> মোহাঃ পানছুরাতুন </v>
      </c>
      <c r="G178" s="3" t="str">
        <f>IFERROR(__xludf.DUMMYFUNCTION("""COMPUTED_VALUE""")," ১১/১২/১৯৮১ ")</f>
        <v> ১১/১২/১৯৮১ </v>
      </c>
      <c r="H178" s="3" t="str">
        <f>IFERROR(__xludf.DUMMYFUNCTION("""COMPUTED_VALUE""")," শ্রমিক ")</f>
        <v> শ্রমিক </v>
      </c>
      <c r="I178" s="3" t="str">
        <f>IFERROR(__xludf.DUMMYFUNCTION("""COMPUTED_VALUE""")," জালশুকা, গাংনী, মেহেরপুর ")</f>
        <v> জালশুকা, গাংনী, মেহেরপুর </v>
      </c>
    </row>
    <row r="179" ht="15.75" customHeight="1">
      <c r="A179" s="3" t="s">
        <v>3312</v>
      </c>
      <c r="B179" s="3">
        <f>IFERROR(__xludf.DUMMYFUNCTION("SPLIT(A179,""|"")"),351.0)</f>
        <v>351</v>
      </c>
      <c r="C179" s="3" t="str">
        <f>IFERROR(__xludf.DUMMYFUNCTION("""COMPUTED_VALUE""")," মো: শহিদুল ")</f>
        <v> মো: শহিদুল </v>
      </c>
      <c r="D179" s="3">
        <f>IFERROR(__xludf.DUMMYFUNCTION("""COMPUTED_VALUE"""),5.70056378563E11)</f>
        <v>570056378563</v>
      </c>
      <c r="E179" s="3" t="str">
        <f>IFERROR(__xludf.DUMMYFUNCTION("""COMPUTED_VALUE""")," মোহাঃ জাহাবক্স ")</f>
        <v> মোহাঃ জাহাবক্স </v>
      </c>
      <c r="F179" s="3" t="str">
        <f>IFERROR(__xludf.DUMMYFUNCTION("""COMPUTED_VALUE""")," মোহাঃ ইশারন ")</f>
        <v> মোহাঃ ইশারন </v>
      </c>
      <c r="G179" s="3" t="str">
        <f>IFERROR(__xludf.DUMMYFUNCTION("""COMPUTED_VALUE""")," ১২/১০/১৯৬৯ ")</f>
        <v> ১২/১০/১৯৬৯ </v>
      </c>
      <c r="H179" s="3" t="str">
        <f>IFERROR(__xludf.DUMMYFUNCTION("""COMPUTED_VALUE""")," কৃষক ")</f>
        <v> কৃষক </v>
      </c>
      <c r="I179" s="3" t="str">
        <f>IFERROR(__xludf.DUMMYFUNCTION("""COMPUTED_VALUE""")," জালশুকা, গাংনী, মেহেরপুর ")</f>
        <v> জালশুকা, গাংনী, মেহেরপুর </v>
      </c>
    </row>
    <row r="180" ht="15.75" customHeight="1">
      <c r="A180" s="3" t="s">
        <v>3313</v>
      </c>
      <c r="B180" s="3">
        <f>IFERROR(__xludf.DUMMYFUNCTION("SPLIT(A180,""|"")"),352.0)</f>
        <v>352</v>
      </c>
      <c r="C180" s="3" t="str">
        <f>IFERROR(__xludf.DUMMYFUNCTION("""COMPUTED_VALUE""")," মোহাঃ সাহাবুল ")</f>
        <v> মোহাঃ সাহাবুল </v>
      </c>
      <c r="D180" s="3">
        <f>IFERROR(__xludf.DUMMYFUNCTION("""COMPUTED_VALUE"""),5.70056378564E11)</f>
        <v>570056378564</v>
      </c>
      <c r="E180" s="3" t="str">
        <f>IFERROR(__xludf.DUMMYFUNCTION("""COMPUTED_VALUE""")," মোহাঃ সুবারেক ")</f>
        <v> মোহাঃ সুবারেক </v>
      </c>
      <c r="F180" s="3" t="str">
        <f>IFERROR(__xludf.DUMMYFUNCTION("""COMPUTED_VALUE""")," মোহাঃ তহিরা ")</f>
        <v> মোহাঃ তহিরা </v>
      </c>
      <c r="G180" s="3" t="str">
        <f>IFERROR(__xludf.DUMMYFUNCTION("""COMPUTED_VALUE""")," ১০/০৫/১৯৭৩ ")</f>
        <v> ১০/০৫/১৯৭৩ </v>
      </c>
      <c r="H180" s="3" t="str">
        <f>IFERROR(__xludf.DUMMYFUNCTION("""COMPUTED_VALUE""")," শ্রমিক ")</f>
        <v> শ্রমিক </v>
      </c>
      <c r="I180" s="3" t="str">
        <f>IFERROR(__xludf.DUMMYFUNCTION("""COMPUTED_VALUE""")," জালশুকা, গাংনী, মেহেরপুর ")</f>
        <v> জালশুকা, গাংনী, মেহেরপুর </v>
      </c>
    </row>
    <row r="181" ht="15.75" customHeight="1">
      <c r="A181" s="3" t="s">
        <v>3314</v>
      </c>
      <c r="B181" s="3">
        <f>IFERROR(__xludf.DUMMYFUNCTION("SPLIT(A181,""|"")"),353.0)</f>
        <v>353</v>
      </c>
      <c r="C181" s="3" t="str">
        <f>IFERROR(__xludf.DUMMYFUNCTION("""COMPUTED_VALUE""")," মোহাঃ হাশমোতুল্লাহ ")</f>
        <v> মোহাঃ হাশমোতুল্লাহ </v>
      </c>
      <c r="D181" s="3">
        <f>IFERROR(__xludf.DUMMYFUNCTION("""COMPUTED_VALUE"""),5.70056378565E11)</f>
        <v>570056378565</v>
      </c>
      <c r="E181" s="3" t="str">
        <f>IFERROR(__xludf.DUMMYFUNCTION("""COMPUTED_VALUE""")," মোহাঃ জামান উদ্দিন ")</f>
        <v> মোহাঃ জামান উদ্দিন </v>
      </c>
      <c r="F181" s="3" t="str">
        <f>IFERROR(__xludf.DUMMYFUNCTION("""COMPUTED_VALUE""")," মোহাঃ মিনারা ")</f>
        <v> মোহাঃ মিনারা </v>
      </c>
      <c r="G181" s="3" t="str">
        <f>IFERROR(__xludf.DUMMYFUNCTION("""COMPUTED_VALUE""")," ১০/১২/১৯৮৮ ")</f>
        <v> ১০/১২/১৯৮৮ </v>
      </c>
      <c r="H181" s="3" t="str">
        <f>IFERROR(__xludf.DUMMYFUNCTION("""COMPUTED_VALUE""")," কৃষক ")</f>
        <v> কৃষক </v>
      </c>
      <c r="I181" s="3" t="str">
        <f>IFERROR(__xludf.DUMMYFUNCTION("""COMPUTED_VALUE""")," জালশুকা, গাংনী, মেহেরপুর ")</f>
        <v> জালশুকা, গাংনী, মেহেরপুর </v>
      </c>
    </row>
    <row r="182" ht="15.75" customHeight="1">
      <c r="A182" s="3" t="s">
        <v>3315</v>
      </c>
      <c r="B182" s="3">
        <f>IFERROR(__xludf.DUMMYFUNCTION("SPLIT(A182,""|"")"),354.0)</f>
        <v>354</v>
      </c>
      <c r="C182" s="3" t="str">
        <f>IFERROR(__xludf.DUMMYFUNCTION("""COMPUTED_VALUE""")," মোহাঃ তক্কেল ")</f>
        <v> মোহাঃ তক্কেল </v>
      </c>
      <c r="D182" s="3">
        <f>IFERROR(__xludf.DUMMYFUNCTION("""COMPUTED_VALUE"""),5.70056378566E11)</f>
        <v>570056378566</v>
      </c>
      <c r="E182" s="3" t="str">
        <f>IFERROR(__xludf.DUMMYFUNCTION("""COMPUTED_VALUE""")," মো: আবু তালেব মোল্লা ")</f>
        <v> মো: আবু তালেব মোল্লা </v>
      </c>
      <c r="F182" s="3" t="str">
        <f>IFERROR(__xludf.DUMMYFUNCTION("""COMPUTED_VALUE""")," মোহাঃ রিজিয়া খাতুন ")</f>
        <v> মোহাঃ রিজিয়া খাতুন </v>
      </c>
      <c r="G182" s="3" t="str">
        <f>IFERROR(__xludf.DUMMYFUNCTION("""COMPUTED_VALUE""")," ১০/০৪/১৯৭২ ")</f>
        <v> ১০/০৪/১৯৭২ </v>
      </c>
      <c r="H182" s="3" t="str">
        <f>IFERROR(__xludf.DUMMYFUNCTION("""COMPUTED_VALUE""")," দিনমজুর ")</f>
        <v> দিনমজুর </v>
      </c>
      <c r="I182" s="3" t="str">
        <f>IFERROR(__xludf.DUMMYFUNCTION("""COMPUTED_VALUE""")," জালশুকা, গাংনী, মেহেরপুর ")</f>
        <v> জালশুকা, গাংনী, মেহেরপুর </v>
      </c>
    </row>
    <row r="183" ht="15.75" customHeight="1">
      <c r="A183" s="3" t="s">
        <v>3316</v>
      </c>
      <c r="B183" s="3">
        <f>IFERROR(__xludf.DUMMYFUNCTION("SPLIT(A183,""|"")"),355.0)</f>
        <v>355</v>
      </c>
      <c r="C183" s="3" t="str">
        <f>IFERROR(__xludf.DUMMYFUNCTION("""COMPUTED_VALUE""")," মোহাঃ হবিবর ")</f>
        <v> মোহাঃ হবিবর </v>
      </c>
      <c r="D183" s="3">
        <f>IFERROR(__xludf.DUMMYFUNCTION("""COMPUTED_VALUE"""),5.70056378567E11)</f>
        <v>570056378567</v>
      </c>
      <c r="E183" s="3" t="str">
        <f>IFERROR(__xludf.DUMMYFUNCTION("""COMPUTED_VALUE""")," মোহাঃ আবুল হোসেন ")</f>
        <v> মোহাঃ আবুল হোসেন </v>
      </c>
      <c r="F183" s="3" t="str">
        <f>IFERROR(__xludf.DUMMYFUNCTION("""COMPUTED_VALUE""")," মোহাঃ শহিদা খাতুন ")</f>
        <v> মোহাঃ শহিদা খাতুন </v>
      </c>
      <c r="G183" s="3" t="str">
        <f>IFERROR(__xludf.DUMMYFUNCTION("""COMPUTED_VALUE""")," ১০/০৬/১৯৬৭ ")</f>
        <v> ১০/০৬/১৯৬৭ </v>
      </c>
      <c r="H183" s="3" t="str">
        <f>IFERROR(__xludf.DUMMYFUNCTION("""COMPUTED_VALUE""")," কৃষক ")</f>
        <v> কৃষক </v>
      </c>
      <c r="I183" s="3" t="str">
        <f>IFERROR(__xludf.DUMMYFUNCTION("""COMPUTED_VALUE""")," জালশুকা, গাংনী, মেহেরপুর ")</f>
        <v> জালশুকা, গাংনী, মেহেরপুর </v>
      </c>
    </row>
    <row r="184" ht="15.75" customHeight="1">
      <c r="A184" s="3" t="s">
        <v>3317</v>
      </c>
      <c r="B184" s="3">
        <f>IFERROR(__xludf.DUMMYFUNCTION("SPLIT(A184,""|"")"),356.0)</f>
        <v>356</v>
      </c>
      <c r="C184" s="3" t="str">
        <f>IFERROR(__xludf.DUMMYFUNCTION("""COMPUTED_VALUE""")," মোহাঃ সলিমদ্দিন ")</f>
        <v> মোহাঃ সলিমদ্দিন </v>
      </c>
      <c r="D184" s="3">
        <f>IFERROR(__xludf.DUMMYFUNCTION("""COMPUTED_VALUE"""),5.70056378568E11)</f>
        <v>570056378568</v>
      </c>
      <c r="E184" s="3" t="str">
        <f>IFERROR(__xludf.DUMMYFUNCTION("""COMPUTED_VALUE""")," ইছাহক ")</f>
        <v> ইছাহক </v>
      </c>
      <c r="F184" s="3" t="str">
        <f>IFERROR(__xludf.DUMMYFUNCTION("""COMPUTED_VALUE""")," মোহাঃ আমেনা খাতুন ")</f>
        <v> মোহাঃ আমেনা খাতুন </v>
      </c>
      <c r="G184" s="3" t="str">
        <f>IFERROR(__xludf.DUMMYFUNCTION("""COMPUTED_VALUE""")," ২০/০৭/১৯৫৫ ")</f>
        <v> ২০/০৭/১৯৫৫ </v>
      </c>
      <c r="H184" s="3" t="str">
        <f>IFERROR(__xludf.DUMMYFUNCTION("""COMPUTED_VALUE""")," কৃষক ")</f>
        <v> কৃষক </v>
      </c>
      <c r="I184" s="3" t="str">
        <f>IFERROR(__xludf.DUMMYFUNCTION("""COMPUTED_VALUE""")," জালশুকা, গাংনী, মেহেরপুর ")</f>
        <v> জালশুকা, গাংনী, মেহেরপুর </v>
      </c>
    </row>
    <row r="185" ht="15.75" customHeight="1">
      <c r="A185" s="3" t="s">
        <v>3318</v>
      </c>
      <c r="B185" s="3">
        <f>IFERROR(__xludf.DUMMYFUNCTION("SPLIT(A185,""|"")"),357.0)</f>
        <v>357</v>
      </c>
      <c r="C185" s="3" t="str">
        <f>IFERROR(__xludf.DUMMYFUNCTION("""COMPUTED_VALUE""")," মো: আব্দুল মান্নান ")</f>
        <v> মো: আব্দুল মান্নান </v>
      </c>
      <c r="D185" s="3">
        <f>IFERROR(__xludf.DUMMYFUNCTION("""COMPUTED_VALUE"""),5.70056378569E11)</f>
        <v>570056378569</v>
      </c>
      <c r="E185" s="3" t="str">
        <f>IFERROR(__xludf.DUMMYFUNCTION("""COMPUTED_VALUE""")," উম্মদ ")</f>
        <v> উম্মদ </v>
      </c>
      <c r="F185" s="3" t="str">
        <f>IFERROR(__xludf.DUMMYFUNCTION("""COMPUTED_VALUE""")," মোহাঃ হাবেলা ")</f>
        <v> মোহাঃ হাবেলা </v>
      </c>
      <c r="G185" s="3" t="str">
        <f>IFERROR(__xludf.DUMMYFUNCTION("""COMPUTED_VALUE""")," ১০/১১/১৯৬৩ ")</f>
        <v> ১০/১১/১৯৬৩ </v>
      </c>
      <c r="H185" s="3" t="str">
        <f>IFERROR(__xludf.DUMMYFUNCTION("""COMPUTED_VALUE""")," কৃষক ")</f>
        <v> কৃষক </v>
      </c>
      <c r="I185" s="3" t="str">
        <f>IFERROR(__xludf.DUMMYFUNCTION("""COMPUTED_VALUE""")," জালশুকা, গাংনী, মেহেরপুর ")</f>
        <v> জালশুকা, গাংনী, মেহেরপুর </v>
      </c>
    </row>
    <row r="186" ht="15.75" customHeight="1">
      <c r="A186" s="3" t="s">
        <v>3138</v>
      </c>
      <c r="B186" s="3" t="str">
        <f>IFERROR(__xludf.DUMMYFUNCTION("SPLIT(A186,""|"")")," ক্রমিক নং ")</f>
        <v> ক্রমিক নং </v>
      </c>
      <c r="C186" s="3" t="str">
        <f>IFERROR(__xludf.DUMMYFUNCTION("""COMPUTED_VALUE""")," নাম ")</f>
        <v> নাম </v>
      </c>
      <c r="D186" s="3" t="str">
        <f>IFERROR(__xludf.DUMMYFUNCTION("""COMPUTED_VALUE""")," ভোটার নং ")</f>
        <v> ভোটার নং </v>
      </c>
      <c r="E186" s="3" t="str">
        <f>IFERROR(__xludf.DUMMYFUNCTION("""COMPUTED_VALUE""")," পিতা ")</f>
        <v> পিতা </v>
      </c>
      <c r="F186" s="3" t="str">
        <f>IFERROR(__xludf.DUMMYFUNCTION("""COMPUTED_VALUE""")," মাতা ")</f>
        <v> মাতা </v>
      </c>
      <c r="G186" s="3" t="str">
        <f>IFERROR(__xludf.DUMMYFUNCTION("""COMPUTED_VALUE""")," জন্ম তারিখ ")</f>
        <v> জন্ম তারিখ </v>
      </c>
      <c r="H186" s="3" t="str">
        <f>IFERROR(__xludf.DUMMYFUNCTION("""COMPUTED_VALUE""")," পেশা ")</f>
        <v> পেশা </v>
      </c>
      <c r="I186" s="3" t="str">
        <f>IFERROR(__xludf.DUMMYFUNCTION("""COMPUTED_VALUE""")," ঠিকানা ")</f>
        <v> ঠিকানা </v>
      </c>
    </row>
    <row r="187" ht="15.75" customHeight="1">
      <c r="A187" s="3" t="s">
        <v>3139</v>
      </c>
      <c r="B187" s="3" t="str">
        <f>IFERROR(__xludf.DUMMYFUNCTION("SPLIT(A187,""|"")"),"---")</f>
        <v>---</v>
      </c>
      <c r="C187" s="3" t="str">
        <f>IFERROR(__xludf.DUMMYFUNCTION("""COMPUTED_VALUE"""),"---")</f>
        <v>---</v>
      </c>
      <c r="D187" s="3" t="str">
        <f>IFERROR(__xludf.DUMMYFUNCTION("""COMPUTED_VALUE"""),"---")</f>
        <v>---</v>
      </c>
      <c r="E187" s="3" t="str">
        <f>IFERROR(__xludf.DUMMYFUNCTION("""COMPUTED_VALUE"""),"---")</f>
        <v>---</v>
      </c>
      <c r="F187" s="3" t="str">
        <f>IFERROR(__xludf.DUMMYFUNCTION("""COMPUTED_VALUE"""),"---")</f>
        <v>---</v>
      </c>
      <c r="G187" s="3" t="str">
        <f>IFERROR(__xludf.DUMMYFUNCTION("""COMPUTED_VALUE"""),"---")</f>
        <v>---</v>
      </c>
      <c r="H187" s="3" t="str">
        <f>IFERROR(__xludf.DUMMYFUNCTION("""COMPUTED_VALUE"""),"---")</f>
        <v>---</v>
      </c>
      <c r="I187" s="3" t="str">
        <f>IFERROR(__xludf.DUMMYFUNCTION("""COMPUTED_VALUE"""),"---")</f>
        <v>---</v>
      </c>
    </row>
    <row r="188" ht="15.75" customHeight="1">
      <c r="A188" s="3" t="s">
        <v>3319</v>
      </c>
      <c r="B188" s="3">
        <f>IFERROR(__xludf.DUMMYFUNCTION("SPLIT(A188,""|"")"),358.0)</f>
        <v>358</v>
      </c>
      <c r="C188" s="3" t="str">
        <f>IFERROR(__xludf.DUMMYFUNCTION("""COMPUTED_VALUE""")," মোঃ হামিদুল ")</f>
        <v> মোঃ হামিদুল </v>
      </c>
      <c r="D188" s="3">
        <f>IFERROR(__xludf.DUMMYFUNCTION("""COMPUTED_VALUE"""),5.7005637857E11)</f>
        <v>570056378570</v>
      </c>
      <c r="E188" s="3" t="str">
        <f>IFERROR(__xludf.DUMMYFUNCTION("""COMPUTED_VALUE""")," মোঃ মোবারেক ")</f>
        <v> মোঃ মোবারেক </v>
      </c>
      <c r="F188" s="3" t="str">
        <f>IFERROR(__xludf.DUMMYFUNCTION("""COMPUTED_VALUE""")," মোছাঃ ছারু খাতুন ")</f>
        <v> মোছাঃ ছারু খাতুন </v>
      </c>
      <c r="G188" s="3" t="str">
        <f>IFERROR(__xludf.DUMMYFUNCTION("""COMPUTED_VALUE""")," ১৫/১০/১৯৮৫ ")</f>
        <v> ১৫/১০/১৯৮৫ </v>
      </c>
      <c r="H188" s="3" t="str">
        <f>IFERROR(__xludf.DUMMYFUNCTION("""COMPUTED_VALUE""")," কৃষক ")</f>
        <v> কৃষক </v>
      </c>
      <c r="I188" s="3" t="str">
        <f>IFERROR(__xludf.DUMMYFUNCTION("""COMPUTED_VALUE""")," জালতকা, গাংনী, মেহেরপুর ")</f>
        <v> জালতকা, গাংনী, মেহেরপুর </v>
      </c>
    </row>
    <row r="189" ht="15.75" customHeight="1">
      <c r="A189" s="3" t="s">
        <v>3320</v>
      </c>
      <c r="B189" s="3">
        <f>IFERROR(__xludf.DUMMYFUNCTION("SPLIT(A189,""|"")"),359.0)</f>
        <v>359</v>
      </c>
      <c r="C189" s="3" t="str">
        <f>IFERROR(__xludf.DUMMYFUNCTION("""COMPUTED_VALUE""")," মোঃ সাহেবুল ইসলাম ")</f>
        <v> মোঃ সাহেবুল ইসলাম </v>
      </c>
      <c r="D189" s="3">
        <f>IFERROR(__xludf.DUMMYFUNCTION("""COMPUTED_VALUE"""),5.70056378572E11)</f>
        <v>570056378572</v>
      </c>
      <c r="E189" s="3" t="str">
        <f>IFERROR(__xludf.DUMMYFUNCTION("""COMPUTED_VALUE""")," মোহাঃ মোবারেক ")</f>
        <v> মোহাঃ মোবারেক </v>
      </c>
      <c r="F189" s="3" t="str">
        <f>IFERROR(__xludf.DUMMYFUNCTION("""COMPUTED_VALUE""")," মোছাঃ ছাহারন ")</f>
        <v> মোছাঃ ছাহারন </v>
      </c>
      <c r="G189" s="3" t="str">
        <f>IFERROR(__xludf.DUMMYFUNCTION("""COMPUTED_VALUE""")," ১০/০৯/১৯৬৭ ")</f>
        <v> ১০/০৯/১৯৬৭ </v>
      </c>
      <c r="H189" s="3" t="str">
        <f>IFERROR(__xludf.DUMMYFUNCTION("""COMPUTED_VALUE""")," কৃষক ")</f>
        <v> কৃষক </v>
      </c>
      <c r="I189" s="3" t="str">
        <f>IFERROR(__xludf.DUMMYFUNCTION("""COMPUTED_VALUE""")," জালতকা, গাংনী, মেহেরপুর ")</f>
        <v> জালতকা, গাংনী, মেহেরপুর </v>
      </c>
    </row>
    <row r="190" ht="15.75" customHeight="1">
      <c r="A190" s="3" t="s">
        <v>3321</v>
      </c>
      <c r="B190" s="3">
        <f>IFERROR(__xludf.DUMMYFUNCTION("SPLIT(A190,""|"")"),360.0)</f>
        <v>360</v>
      </c>
      <c r="C190" s="3" t="str">
        <f>IFERROR(__xludf.DUMMYFUNCTION("""COMPUTED_VALUE""")," মোহাঃ আবুল কাশেম ")</f>
        <v> মোহাঃ আবুল কাশেম </v>
      </c>
      <c r="D190" s="3">
        <f>IFERROR(__xludf.DUMMYFUNCTION("""COMPUTED_VALUE"""),5.70056378573E11)</f>
        <v>570056378573</v>
      </c>
      <c r="E190" s="3" t="str">
        <f>IFERROR(__xludf.DUMMYFUNCTION("""COMPUTED_VALUE""")," মোহাঃ আছান আলী ")</f>
        <v> মোহাঃ আছান আলী </v>
      </c>
      <c r="F190" s="3" t="str">
        <f>IFERROR(__xludf.DUMMYFUNCTION("""COMPUTED_VALUE""")," আজিরন ")</f>
        <v> আজিরন </v>
      </c>
      <c r="G190" s="3" t="str">
        <f>IFERROR(__xludf.DUMMYFUNCTION("""COMPUTED_VALUE""")," ১০/০৩/১৯৫২ ")</f>
        <v> ১০/০৩/১৯৫২ </v>
      </c>
      <c r="H190" s="3" t="str">
        <f>IFERROR(__xludf.DUMMYFUNCTION("""COMPUTED_VALUE""")," কৃষক ")</f>
        <v> কৃষক </v>
      </c>
      <c r="I190" s="3" t="str">
        <f>IFERROR(__xludf.DUMMYFUNCTION("""COMPUTED_VALUE""")," জালতকা, গাংনী, মেহেরপুর ")</f>
        <v> জালতকা, গাংনী, মেহেরপুর </v>
      </c>
    </row>
    <row r="191" ht="15.75" customHeight="1">
      <c r="A191" s="3" t="s">
        <v>3322</v>
      </c>
      <c r="B191" s="3">
        <f>IFERROR(__xludf.DUMMYFUNCTION("SPLIT(A191,""|"")"),361.0)</f>
        <v>361</v>
      </c>
      <c r="C191" s="3" t="str">
        <f>IFERROR(__xludf.DUMMYFUNCTION("""COMPUTED_VALUE""")," মোঃ নজরুল ইসলাম ")</f>
        <v> মোঃ নজরুল ইসলাম </v>
      </c>
      <c r="D191" s="3">
        <f>IFERROR(__xludf.DUMMYFUNCTION("""COMPUTED_VALUE"""),5.70056378574E11)</f>
        <v>570056378574</v>
      </c>
      <c r="E191" s="3" t="str">
        <f>IFERROR(__xludf.DUMMYFUNCTION("""COMPUTED_VALUE""")," করিম মন্ডল ")</f>
        <v> করিম মন্ডল </v>
      </c>
      <c r="F191" s="3" t="str">
        <f>IFERROR(__xludf.DUMMYFUNCTION("""COMPUTED_VALUE""")," মোছাঃ জিয়াতন নেছা ")</f>
        <v> মোছাঃ জিয়াতন নেছা </v>
      </c>
      <c r="G191" s="3" t="str">
        <f>IFERROR(__xludf.DUMMYFUNCTION("""COMPUTED_VALUE""")," ১০/০৩/১৯৬২ ")</f>
        <v> ১০/০৩/১৯৬২ </v>
      </c>
      <c r="H191" s="3" t="str">
        <f>IFERROR(__xludf.DUMMYFUNCTION("""COMPUTED_VALUE""")," কৃষক ")</f>
        <v> কৃষক </v>
      </c>
      <c r="I191" s="3" t="str">
        <f>IFERROR(__xludf.DUMMYFUNCTION("""COMPUTED_VALUE""")," জালতকা, গাংনী, মেহেরপুর ")</f>
        <v> জালতকা, গাংনী, মেহেরপুর </v>
      </c>
    </row>
    <row r="192" ht="15.75" customHeight="1">
      <c r="A192" s="3" t="s">
        <v>3323</v>
      </c>
      <c r="B192" s="3">
        <f>IFERROR(__xludf.DUMMYFUNCTION("SPLIT(A192,""|"")"),362.0)</f>
        <v>362</v>
      </c>
      <c r="C192" s="3" t="str">
        <f>IFERROR(__xludf.DUMMYFUNCTION("""COMPUTED_VALUE""")," মোহাঃ তৈয়ব আলি ")</f>
        <v> মোহাঃ তৈয়ব আলি </v>
      </c>
      <c r="D192" s="3">
        <f>IFERROR(__xludf.DUMMYFUNCTION("""COMPUTED_VALUE"""),5.70056378577E11)</f>
        <v>570056378577</v>
      </c>
      <c r="E192" s="3" t="str">
        <f>IFERROR(__xludf.DUMMYFUNCTION("""COMPUTED_VALUE""")," ছামছদ্দিন ")</f>
        <v> ছামছদ্দিন </v>
      </c>
      <c r="F192" s="3" t="str">
        <f>IFERROR(__xludf.DUMMYFUNCTION("""COMPUTED_VALUE""")," মোছাঃ ছাহারন ")</f>
        <v> মোছাঃ ছাহারন </v>
      </c>
      <c r="G192" s="3" t="str">
        <f>IFERROR(__xludf.DUMMYFUNCTION("""COMPUTED_VALUE""")," ১৫/০৪/১৯৫৭ ")</f>
        <v> ১৫/০৪/১৯৫৭ </v>
      </c>
      <c r="H192" s="3" t="str">
        <f>IFERROR(__xludf.DUMMYFUNCTION("""COMPUTED_VALUE""")," কৃষক ")</f>
        <v> কৃষক </v>
      </c>
      <c r="I192" s="3" t="str">
        <f>IFERROR(__xludf.DUMMYFUNCTION("""COMPUTED_VALUE""")," জালতকা, গাংনী, মেহেরপুর ")</f>
        <v> জালতকা, গাংনী, মেহেরপুর </v>
      </c>
    </row>
    <row r="193" ht="15.75" customHeight="1">
      <c r="A193" s="3" t="s">
        <v>3324</v>
      </c>
      <c r="B193" s="3">
        <f>IFERROR(__xludf.DUMMYFUNCTION("SPLIT(A193,""|"")"),363.0)</f>
        <v>363</v>
      </c>
      <c r="C193" s="3" t="str">
        <f>IFERROR(__xludf.DUMMYFUNCTION("""COMPUTED_VALUE""")," মোহাঃ আজামেল ")</f>
        <v> মোহাঃ আজামেল </v>
      </c>
      <c r="D193" s="3">
        <f>IFERROR(__xludf.DUMMYFUNCTION("""COMPUTED_VALUE"""),5.70056378578E11)</f>
        <v>570056378578</v>
      </c>
      <c r="E193" s="3" t="str">
        <f>IFERROR(__xludf.DUMMYFUNCTION("""COMPUTED_VALUE""")," ইয়াকুব ")</f>
        <v> ইয়াকুব </v>
      </c>
      <c r="F193" s="3" t="str">
        <f>IFERROR(__xludf.DUMMYFUNCTION("""COMPUTED_VALUE""")," খাতুন ")</f>
        <v> খাতুন </v>
      </c>
      <c r="G193" s="3" t="str">
        <f>IFERROR(__xludf.DUMMYFUNCTION("""COMPUTED_VALUE""")," ১২/০৫/১৯৬৯ ")</f>
        <v> ১২/০৫/১৯৬৯ </v>
      </c>
      <c r="H193" s="3" t="str">
        <f>IFERROR(__xludf.DUMMYFUNCTION("""COMPUTED_VALUE""")," কৃষক ")</f>
        <v> কৃষক </v>
      </c>
      <c r="I193" s="3" t="str">
        <f>IFERROR(__xludf.DUMMYFUNCTION("""COMPUTED_VALUE""")," জালতকা, গাংনী, মেহেরপুর ")</f>
        <v> জালতকা, গাংনী, মেহেরপুর </v>
      </c>
    </row>
    <row r="194" ht="15.75" customHeight="1">
      <c r="A194" s="3" t="s">
        <v>3325</v>
      </c>
      <c r="B194" s="3">
        <f>IFERROR(__xludf.DUMMYFUNCTION("SPLIT(A194,""|"")"),364.0)</f>
        <v>364</v>
      </c>
      <c r="C194" s="3" t="str">
        <f>IFERROR(__xludf.DUMMYFUNCTION("""COMPUTED_VALUE""")," মোহাঃ একলাছুর রহমান ")</f>
        <v> মোহাঃ একলাছুর রহমান </v>
      </c>
      <c r="D194" s="3">
        <f>IFERROR(__xludf.DUMMYFUNCTION("""COMPUTED_VALUE"""),5.70056378579E11)</f>
        <v>570056378579</v>
      </c>
      <c r="E194" s="3" t="str">
        <f>IFERROR(__xludf.DUMMYFUNCTION("""COMPUTED_VALUE""")," মোহাঃ আঃ হামান ")</f>
        <v> মোহাঃ আঃ হামান </v>
      </c>
      <c r="F194" s="3" t="str">
        <f>IFERROR(__xludf.DUMMYFUNCTION("""COMPUTED_VALUE""")," মোছাঃ অর্নজিরা ")</f>
        <v> মোছাঃ অর্নজিরা </v>
      </c>
      <c r="G194" s="3" t="str">
        <f>IFERROR(__xludf.DUMMYFUNCTION("""COMPUTED_VALUE""")," ১২/১১/১৯৮৮ ")</f>
        <v> ১২/১১/১৯৮৮ </v>
      </c>
      <c r="H194" s="3" t="str">
        <f>IFERROR(__xludf.DUMMYFUNCTION("""COMPUTED_VALUE""")," কৃষক ")</f>
        <v> কৃষক </v>
      </c>
      <c r="I194" s="3" t="str">
        <f>IFERROR(__xludf.DUMMYFUNCTION("""COMPUTED_VALUE""")," জালতকা, গাংনী, মেহেরপুর ")</f>
        <v> জালতকা, গাংনী, মেহেরপুর </v>
      </c>
    </row>
    <row r="195" ht="15.75" customHeight="1">
      <c r="A195" s="3" t="s">
        <v>3326</v>
      </c>
      <c r="B195" s="3">
        <f>IFERROR(__xludf.DUMMYFUNCTION("SPLIT(A195,""|"")"),365.0)</f>
        <v>365</v>
      </c>
      <c r="C195" s="3" t="str">
        <f>IFERROR(__xludf.DUMMYFUNCTION("""COMPUTED_VALUE""")," মোহাঃ খবির উদ্দিন ")</f>
        <v> মোহাঃ খবির উদ্দিন </v>
      </c>
      <c r="D195" s="3">
        <f>IFERROR(__xludf.DUMMYFUNCTION("""COMPUTED_VALUE"""),5.70056378581E11)</f>
        <v>570056378581</v>
      </c>
      <c r="E195" s="3" t="str">
        <f>IFERROR(__xludf.DUMMYFUNCTION("""COMPUTED_VALUE""")," বদরদ্দিন ")</f>
        <v> বদরদ্দিন </v>
      </c>
      <c r="F195" s="3" t="str">
        <f>IFERROR(__xludf.DUMMYFUNCTION("""COMPUTED_VALUE""")," হাওয়া খাতুন ")</f>
        <v> হাওয়া খাতুন </v>
      </c>
      <c r="G195" s="3" t="str">
        <f>IFERROR(__xludf.DUMMYFUNCTION("""COMPUTED_VALUE""")," ১২/১০/১৯৬৭ ")</f>
        <v> ১২/১০/১৯৬৭ </v>
      </c>
      <c r="H195" s="3" t="str">
        <f>IFERROR(__xludf.DUMMYFUNCTION("""COMPUTED_VALUE""")," কৃষক ")</f>
        <v> কৃষক </v>
      </c>
      <c r="I195" s="3" t="str">
        <f>IFERROR(__xludf.DUMMYFUNCTION("""COMPUTED_VALUE""")," জালতকা, গাংনী, মেহেরপুর ")</f>
        <v> জালতকা, গাংনী, মেহেরপুর </v>
      </c>
    </row>
    <row r="196" ht="15.75" customHeight="1">
      <c r="A196" s="3" t="s">
        <v>3327</v>
      </c>
      <c r="B196" s="3">
        <f>IFERROR(__xludf.DUMMYFUNCTION("SPLIT(A196,""|"")"),366.0)</f>
        <v>366</v>
      </c>
      <c r="C196" s="3" t="str">
        <f>IFERROR(__xludf.DUMMYFUNCTION("""COMPUTED_VALUE""")," মোহাঃ মুনজুরুণ ")</f>
        <v> মোহাঃ মুনজুরুণ </v>
      </c>
      <c r="D196" s="3">
        <f>IFERROR(__xludf.DUMMYFUNCTION("""COMPUTED_VALUE"""),5.70056378583E11)</f>
        <v>570056378583</v>
      </c>
      <c r="E196" s="3" t="str">
        <f>IFERROR(__xludf.DUMMYFUNCTION("""COMPUTED_VALUE""")," মোহাঃ মজিবর ")</f>
        <v> মোহাঃ মজিবর </v>
      </c>
      <c r="F196" s="3" t="str">
        <f>IFERROR(__xludf.DUMMYFUNCTION("""COMPUTED_VALUE""")," মোছাঃ জোহরা ")</f>
        <v> মোছাঃ জোহরা </v>
      </c>
      <c r="G196" s="3" t="str">
        <f>IFERROR(__xludf.DUMMYFUNCTION("""COMPUTED_VALUE""")," ১০/০৫/১৯৮৪ ")</f>
        <v> ১০/০৫/১৯৮৪ </v>
      </c>
      <c r="H196" s="3" t="str">
        <f>IFERROR(__xludf.DUMMYFUNCTION("""COMPUTED_VALUE""")," কৃষক ")</f>
        <v> কৃষক </v>
      </c>
      <c r="I196" s="3" t="str">
        <f>IFERROR(__xludf.DUMMYFUNCTION("""COMPUTED_VALUE""")," জালতকা, গাংনী, মেহেরপুর ")</f>
        <v> জালতকা, গাংনী, মেহেরপুর </v>
      </c>
    </row>
    <row r="197" ht="15.75" customHeight="1">
      <c r="A197" s="3" t="s">
        <v>3328</v>
      </c>
      <c r="B197" s="3">
        <f>IFERROR(__xludf.DUMMYFUNCTION("SPLIT(A197,""|"")"),367.0)</f>
        <v>367</v>
      </c>
      <c r="C197" s="3" t="str">
        <f>IFERROR(__xludf.DUMMYFUNCTION("""COMPUTED_VALUE""")," মোহাঃ মুজাহক ")</f>
        <v> মোহাঃ মুজাহক </v>
      </c>
      <c r="D197" s="3">
        <f>IFERROR(__xludf.DUMMYFUNCTION("""COMPUTED_VALUE"""),5.70056378584E11)</f>
        <v>570056378584</v>
      </c>
      <c r="E197" s="3" t="str">
        <f>IFERROR(__xludf.DUMMYFUNCTION("""COMPUTED_VALUE""")," মোহাঃ আছিরদ্দিন ")</f>
        <v> মোহাঃ আছিরদ্দিন </v>
      </c>
      <c r="F197" s="3" t="str">
        <f>IFERROR(__xludf.DUMMYFUNCTION("""COMPUTED_VALUE""")," মোছাঃ শাহিদা ")</f>
        <v> মোছাঃ শাহিদা </v>
      </c>
      <c r="G197" s="3" t="str">
        <f>IFERROR(__xludf.DUMMYFUNCTION("""COMPUTED_VALUE""")," ০৫/১০/১৯৭৭ ")</f>
        <v> ০৫/১০/১৯৭৭ </v>
      </c>
      <c r="H197" s="3" t="str">
        <f>IFERROR(__xludf.DUMMYFUNCTION("""COMPUTED_VALUE""")," কৃষক ")</f>
        <v> কৃষক </v>
      </c>
      <c r="I197" s="3" t="str">
        <f>IFERROR(__xludf.DUMMYFUNCTION("""COMPUTED_VALUE""")," জালতকা, গাংনী, মেহেরপুর ")</f>
        <v> জালতকা, গাংনী, মেহেরপুর </v>
      </c>
    </row>
    <row r="198" ht="15.75" customHeight="1">
      <c r="A198" s="3" t="s">
        <v>3329</v>
      </c>
      <c r="B198" s="3">
        <f>IFERROR(__xludf.DUMMYFUNCTION("SPLIT(A198,""|"")"),368.0)</f>
        <v>368</v>
      </c>
      <c r="C198" s="3" t="str">
        <f>IFERROR(__xludf.DUMMYFUNCTION("""COMPUTED_VALUE""")," মোঃ হযরত আলী ")</f>
        <v> মোঃ হযরত আলী </v>
      </c>
      <c r="D198" s="3">
        <f>IFERROR(__xludf.DUMMYFUNCTION("""COMPUTED_VALUE"""),5.70056378585E11)</f>
        <v>570056378585</v>
      </c>
      <c r="E198" s="3" t="str">
        <f>IFERROR(__xludf.DUMMYFUNCTION("""COMPUTED_VALUE""")," মোহাঃ গোলাম রসুল ")</f>
        <v> মোহাঃ গোলাম রসুল </v>
      </c>
      <c r="F198" s="3" t="str">
        <f>IFERROR(__xludf.DUMMYFUNCTION("""COMPUTED_VALUE""")," মোছাঃ জোহরা খাতুন ")</f>
        <v> মোছাঃ জোহরা খাতুন </v>
      </c>
      <c r="G198" s="3" t="str">
        <f>IFERROR(__xludf.DUMMYFUNCTION("""COMPUTED_VALUE""")," ০৪/০৭/১৯৭৩ ")</f>
        <v> ০৪/০৭/১৯৭৩ </v>
      </c>
      <c r="H198" s="3" t="str">
        <f>IFERROR(__xludf.DUMMYFUNCTION("""COMPUTED_VALUE""")," কৃষক ")</f>
        <v> কৃষক </v>
      </c>
      <c r="I198" s="3" t="str">
        <f>IFERROR(__xludf.DUMMYFUNCTION("""COMPUTED_VALUE""")," জালতকা, গাংনী, মেহেরপুর ")</f>
        <v> জালতকা, গাংনী, মেহেরপুর </v>
      </c>
    </row>
    <row r="199" ht="15.75" customHeight="1">
      <c r="A199" s="3" t="s">
        <v>3330</v>
      </c>
      <c r="B199" s="3">
        <f>IFERROR(__xludf.DUMMYFUNCTION("SPLIT(A199,""|"")"),369.0)</f>
        <v>369</v>
      </c>
      <c r="C199" s="3" t="str">
        <f>IFERROR(__xludf.DUMMYFUNCTION("""COMPUTED_VALUE""")," মোহাঃ নুরুল ইসলাম ")</f>
        <v> মোহাঃ নুরুল ইসলাম </v>
      </c>
      <c r="D199" s="3">
        <f>IFERROR(__xludf.DUMMYFUNCTION("""COMPUTED_VALUE"""),5.70056378586E11)</f>
        <v>570056378586</v>
      </c>
      <c r="E199" s="3" t="str">
        <f>IFERROR(__xludf.DUMMYFUNCTION("""COMPUTED_VALUE""")," মোহাঃ ম্য়াবুল হোসেন ")</f>
        <v> মোহাঃ ম্য়াবুল হোসেন </v>
      </c>
      <c r="F199" s="3" t="str">
        <f>IFERROR(__xludf.DUMMYFUNCTION("""COMPUTED_VALUE""")," তিতু নেছা ")</f>
        <v> তিতু নেছা </v>
      </c>
      <c r="G199" s="3" t="str">
        <f>IFERROR(__xludf.DUMMYFUNCTION("""COMPUTED_VALUE""")," ০৬/০৫/১৯৬৭ ")</f>
        <v> ০৬/০৫/১৯৬৭ </v>
      </c>
      <c r="H199" s="3" t="str">
        <f>IFERROR(__xludf.DUMMYFUNCTION("""COMPUTED_VALUE""")," কৃষক ")</f>
        <v> কৃষক </v>
      </c>
      <c r="I199" s="3" t="str">
        <f>IFERROR(__xludf.DUMMYFUNCTION("""COMPUTED_VALUE""")," জালতকা, গাংনী, মেহেরপুর ")</f>
        <v> জালতকা, গাংনী, মেহেরপুর </v>
      </c>
    </row>
    <row r="200" ht="15.75" customHeight="1">
      <c r="A200" s="3" t="s">
        <v>3331</v>
      </c>
      <c r="B200" s="3">
        <f>IFERROR(__xludf.DUMMYFUNCTION("SPLIT(A200,""|"")"),370.0)</f>
        <v>370</v>
      </c>
      <c r="C200" s="3" t="str">
        <f>IFERROR(__xludf.DUMMYFUNCTION("""COMPUTED_VALUE""")," মোহাঃ আলি হোসেন ")</f>
        <v> মোহাঃ আলি হোসেন </v>
      </c>
      <c r="D200" s="3">
        <f>IFERROR(__xludf.DUMMYFUNCTION("""COMPUTED_VALUE"""),5.70056378587E11)</f>
        <v>570056378587</v>
      </c>
      <c r="E200" s="3" t="str">
        <f>IFERROR(__xludf.DUMMYFUNCTION("""COMPUTED_VALUE""")," মোহাঃ সুরাত আলি ")</f>
        <v> মোহাঃ সুরাত আলি </v>
      </c>
      <c r="F200" s="3" t="str">
        <f>IFERROR(__xludf.DUMMYFUNCTION("""COMPUTED_VALUE""")," মোছাঃ ছপুরা ")</f>
        <v> মোছাঃ ছপুরা </v>
      </c>
      <c r="G200" s="3" t="str">
        <f>IFERROR(__xludf.DUMMYFUNCTION("""COMPUTED_VALUE""")," ১১/১২/১৯৮২ ")</f>
        <v> ১১/১২/১৯৮২ </v>
      </c>
      <c r="H200" s="3" t="str">
        <f>IFERROR(__xludf.DUMMYFUNCTION("""COMPUTED_VALUE""")," দিনমজুর ")</f>
        <v> দিনমজুর </v>
      </c>
      <c r="I200" s="3" t="str">
        <f>IFERROR(__xludf.DUMMYFUNCTION("""COMPUTED_VALUE""")," জালতকা, গাংনী, মেহেরপুর ")</f>
        <v> জালতকা, গাংনী, মেহেরপুর </v>
      </c>
    </row>
    <row r="201" ht="15.75" customHeight="1">
      <c r="A201" s="3" t="s">
        <v>3332</v>
      </c>
      <c r="B201" s="3">
        <f>IFERROR(__xludf.DUMMYFUNCTION("SPLIT(A201,""|"")"),371.0)</f>
        <v>371</v>
      </c>
      <c r="C201" s="3" t="str">
        <f>IFERROR(__xludf.DUMMYFUNCTION("""COMPUTED_VALUE""")," মোঃ তাহির আলী ")</f>
        <v> মোঃ তাহির আলী </v>
      </c>
      <c r="D201" s="3">
        <f>IFERROR(__xludf.DUMMYFUNCTION("""COMPUTED_VALUE"""),5.70056378588E11)</f>
        <v>570056378588</v>
      </c>
      <c r="E201" s="3" t="str">
        <f>IFERROR(__xludf.DUMMYFUNCTION("""COMPUTED_VALUE""")," ছইরদ্দিন ")</f>
        <v> ছইরদ্দিন </v>
      </c>
      <c r="F201" s="3" t="str">
        <f>IFERROR(__xludf.DUMMYFUNCTION("""COMPUTED_VALUE""")," সোনাভানু ")</f>
        <v> সোনাভানু </v>
      </c>
      <c r="G201" s="3" t="str">
        <f>IFERROR(__xludf.DUMMYFUNCTION("""COMPUTED_VALUE""")," ০৪/০৫/১৯৮১ ")</f>
        <v> ০৪/০৫/১৯৮১ </v>
      </c>
      <c r="H201" s="3" t="str">
        <f>IFERROR(__xludf.DUMMYFUNCTION("""COMPUTED_VALUE""")," কৃষক ")</f>
        <v> কৃষক </v>
      </c>
      <c r="I201" s="3" t="str">
        <f>IFERROR(__xludf.DUMMYFUNCTION("""COMPUTED_VALUE""")," জালতকা, গাংনী, মেহেরপুর ")</f>
        <v> জালতকা, গাংনী, মেহেরপুর </v>
      </c>
    </row>
    <row r="202" ht="15.75" customHeight="1">
      <c r="A202" s="3" t="s">
        <v>3333</v>
      </c>
      <c r="B202" s="3">
        <f>IFERROR(__xludf.DUMMYFUNCTION("SPLIT(A202,""|"")"),372.0)</f>
        <v>372</v>
      </c>
      <c r="C202" s="3" t="str">
        <f>IFERROR(__xludf.DUMMYFUNCTION("""COMPUTED_VALUE""")," মোঃ আস্তাব আলী ")</f>
        <v> মোঃ আস্তাব আলী </v>
      </c>
      <c r="D202" s="3">
        <f>IFERROR(__xludf.DUMMYFUNCTION("""COMPUTED_VALUE"""),5.70056378592E11)</f>
        <v>570056378592</v>
      </c>
      <c r="E202" s="3" t="str">
        <f>IFERROR(__xludf.DUMMYFUNCTION("""COMPUTED_VALUE""")," ইয়াকুব ")</f>
        <v> ইয়াকুব </v>
      </c>
      <c r="F202" s="3" t="str">
        <f>IFERROR(__xludf.DUMMYFUNCTION("""COMPUTED_VALUE""")," খাতুন ")</f>
        <v> খাতুন </v>
      </c>
      <c r="G202" s="3" t="str">
        <f>IFERROR(__xludf.DUMMYFUNCTION("""COMPUTED_VALUE""")," ০৪/০৫/১৯৫৯ ")</f>
        <v> ০৪/০৫/১৯৫৯ </v>
      </c>
      <c r="H202" s="3" t="str">
        <f>IFERROR(__xludf.DUMMYFUNCTION("""COMPUTED_VALUE""")," কৃষক ")</f>
        <v> কৃষক </v>
      </c>
      <c r="I202" s="3" t="str">
        <f>IFERROR(__xludf.DUMMYFUNCTION("""COMPUTED_VALUE""")," জালতকা, গাংনী, মেহেরপুর ")</f>
        <v> জালতকা, গাংনী, মেহেরপুর </v>
      </c>
    </row>
    <row r="203" ht="15.75" customHeight="1">
      <c r="A203" s="3" t="s">
        <v>3334</v>
      </c>
      <c r="B203" s="3">
        <f>IFERROR(__xludf.DUMMYFUNCTION("SPLIT(A203,""|"")"),373.0)</f>
        <v>373</v>
      </c>
      <c r="C203" s="3" t="str">
        <f>IFERROR(__xludf.DUMMYFUNCTION("""COMPUTED_VALUE""")," মোহাঃ আইনাল হক ")</f>
        <v> মোহাঃ আইনাল হক </v>
      </c>
      <c r="D203" s="3">
        <f>IFERROR(__xludf.DUMMYFUNCTION("""COMPUTED_VALUE"""),5.70056378594E11)</f>
        <v>570056378594</v>
      </c>
      <c r="E203" s="3" t="str">
        <f>IFERROR(__xludf.DUMMYFUNCTION("""COMPUTED_VALUE""")," মোহাঃ দবির উদ্দিন ")</f>
        <v> মোহাঃ দবির উদ্দিন </v>
      </c>
      <c r="F203" s="3" t="str">
        <f>IFERROR(__xludf.DUMMYFUNCTION("""COMPUTED_VALUE""")," মোছাঃ আমেনা খাতুন ")</f>
        <v> মোছাঃ আমেনা খাতুন </v>
      </c>
      <c r="G203" s="3" t="str">
        <f>IFERROR(__xludf.DUMMYFUNCTION("""COMPUTED_VALUE""")," ১০/০৩/১৯৮২ ")</f>
        <v> ১০/০৩/১৯৮২ </v>
      </c>
      <c r="H203" s="3" t="str">
        <f>IFERROR(__xludf.DUMMYFUNCTION("""COMPUTED_VALUE""")," কৃষক ")</f>
        <v> কৃষক </v>
      </c>
      <c r="I203" s="3" t="str">
        <f>IFERROR(__xludf.DUMMYFUNCTION("""COMPUTED_VALUE""")," জালতকা, গাংনী, মেহেরপুর ")</f>
        <v> জালতকা, গাংনী, মেহেরপুর </v>
      </c>
    </row>
    <row r="204" ht="15.75" customHeight="1">
      <c r="A204" s="3" t="s">
        <v>3335</v>
      </c>
      <c r="B204" s="3">
        <f>IFERROR(__xludf.DUMMYFUNCTION("SPLIT(A204,""|"")"),374.0)</f>
        <v>374</v>
      </c>
      <c r="C204" s="3" t="str">
        <f>IFERROR(__xludf.DUMMYFUNCTION("""COMPUTED_VALUE""")," মোঃ আনিছুর রহমান ")</f>
        <v> মোঃ আনিছুর রহমান </v>
      </c>
      <c r="D204" s="3">
        <f>IFERROR(__xludf.DUMMYFUNCTION("""COMPUTED_VALUE"""),5.70056378595E11)</f>
        <v>570056378595</v>
      </c>
      <c r="E204" s="3" t="str">
        <f>IFERROR(__xludf.DUMMYFUNCTION("""COMPUTED_VALUE""")," মোঃ আবুচ্ছদ্দীন ")</f>
        <v> মোঃ আবুচ্ছদ্দীন </v>
      </c>
      <c r="F204" s="3" t="str">
        <f>IFERROR(__xludf.DUMMYFUNCTION("""COMPUTED_VALUE""")," মোছাঃ রমেছা খাতুন ")</f>
        <v> মোছাঃ রমেছা খাতুন </v>
      </c>
      <c r="G204" s="3" t="str">
        <f>IFERROR(__xludf.DUMMYFUNCTION("""COMPUTED_VALUE""")," ২৩/০৩/১৯৮১ ")</f>
        <v> ২৩/০৩/১৯৮১ </v>
      </c>
      <c r="H204" s="3" t="str">
        <f>IFERROR(__xludf.DUMMYFUNCTION("""COMPUTED_VALUE""")," কৃষক ")</f>
        <v> কৃষক </v>
      </c>
      <c r="I204" s="3" t="str">
        <f>IFERROR(__xludf.DUMMYFUNCTION("""COMPUTED_VALUE""")," জালতকা, গাংনী, মেহেরপুর ")</f>
        <v> জালতকা, গাংনী, মেহেরপুর </v>
      </c>
    </row>
    <row r="205" ht="15.75" customHeight="1">
      <c r="A205" s="3" t="s">
        <v>3336</v>
      </c>
      <c r="B205" s="3">
        <f>IFERROR(__xludf.DUMMYFUNCTION("SPLIT(A205,""|"")"),375.0)</f>
        <v>375</v>
      </c>
      <c r="C205" s="3" t="str">
        <f>IFERROR(__xludf.DUMMYFUNCTION("""COMPUTED_VALUE""")," মোঃ রিফাত আলী ")</f>
        <v> মোঃ রিফাত আলী </v>
      </c>
      <c r="D205" s="3">
        <f>IFERROR(__xludf.DUMMYFUNCTION("""COMPUTED_VALUE"""),5.70056378597E11)</f>
        <v>570056378597</v>
      </c>
      <c r="E205" s="3" t="str">
        <f>IFERROR(__xludf.DUMMYFUNCTION("""COMPUTED_VALUE""")," পিতা: দাউদ হোসেন ")</f>
        <v> পিতা: দাউদ হোসেন </v>
      </c>
      <c r="F205" s="3" t="str">
        <f>IFERROR(__xludf.DUMMYFUNCTION("""COMPUTED_VALUE""")," অবেজান ")</f>
        <v> অবেজান </v>
      </c>
      <c r="G205" s="3" t="str">
        <f>IFERROR(__xludf.DUMMYFUNCTION("""COMPUTED_VALUE""")," ১০/০৪/১৯৫২ ")</f>
        <v> ১০/০৪/১৯৫২ </v>
      </c>
      <c r="H205" s="3" t="str">
        <f>IFERROR(__xludf.DUMMYFUNCTION("""COMPUTED_VALUE""")," কৃষক ")</f>
        <v> কৃষক </v>
      </c>
      <c r="I205" s="3" t="str">
        <f>IFERROR(__xludf.DUMMYFUNCTION("""COMPUTED_VALUE""")," জালতকা, গাংনী, মেহেরপুর ")</f>
        <v> জালতকা, গাংনী, মেহেরপুর </v>
      </c>
    </row>
    <row r="206" ht="15.75" customHeight="1">
      <c r="A206" s="3" t="s">
        <v>3337</v>
      </c>
      <c r="B206" s="3">
        <f>IFERROR(__xludf.DUMMYFUNCTION("SPLIT(A206,""|"")"),376.0)</f>
        <v>376</v>
      </c>
      <c r="C206" s="3" t="str">
        <f>IFERROR(__xludf.DUMMYFUNCTION("""COMPUTED_VALUE""")," মোঃ আনারুল ইসলাম ")</f>
        <v> মোঃ আনারুল ইসলাম </v>
      </c>
      <c r="D206" s="3">
        <f>IFERROR(__xludf.DUMMYFUNCTION("""COMPUTED_VALUE"""),5.70056378598E11)</f>
        <v>570056378598</v>
      </c>
      <c r="E206" s="3" t="str">
        <f>IFERROR(__xludf.DUMMYFUNCTION("""COMPUTED_VALUE""")," মোঃ আবুচ্ছদ্দীন ")</f>
        <v> মোঃ আবুচ্ছদ্দীন </v>
      </c>
      <c r="F206" s="3" t="str">
        <f>IFERROR(__xludf.DUMMYFUNCTION("""COMPUTED_VALUE""")," মোছাঃ মর্জিনা খাতুন ")</f>
        <v> মোছাঃ মর্জিনা খাতুন </v>
      </c>
      <c r="G206" s="3" t="str">
        <f>IFERROR(__xludf.DUMMYFUNCTION("""COMPUTED_VALUE""")," ০৮/১০/১৯৮১ ")</f>
        <v> ০৮/১০/১৯৮১ </v>
      </c>
      <c r="H206" s="3" t="str">
        <f>IFERROR(__xludf.DUMMYFUNCTION("""COMPUTED_VALUE""")," কৃষক ")</f>
        <v> কৃষক </v>
      </c>
      <c r="I206" s="3" t="str">
        <f>IFERROR(__xludf.DUMMYFUNCTION("""COMPUTED_VALUE""")," জালতকা, গাংনী, মেহেরপুর ")</f>
        <v> জালতকা, গাংনী, মেহেরপুর </v>
      </c>
    </row>
    <row r="207" ht="15.75" customHeight="1">
      <c r="A207" s="3" t="s">
        <v>3338</v>
      </c>
      <c r="B207" s="3">
        <f>IFERROR(__xludf.DUMMYFUNCTION("SPLIT(A207,""|"")"),377.0)</f>
        <v>377</v>
      </c>
      <c r="C207" s="3" t="str">
        <f>IFERROR(__xludf.DUMMYFUNCTION("""COMPUTED_VALUE""")," মোঃ রুহুল আমিন ")</f>
        <v> মোঃ রুহুল আমিন </v>
      </c>
      <c r="D207" s="3">
        <f>IFERROR(__xludf.DUMMYFUNCTION("""COMPUTED_VALUE"""),5.70056378599E11)</f>
        <v>570056378599</v>
      </c>
      <c r="E207" s="3" t="str">
        <f>IFERROR(__xludf.DUMMYFUNCTION("""COMPUTED_VALUE""")," বদর উদ্দীন ")</f>
        <v> বদর উদ্দীন </v>
      </c>
      <c r="F207" s="3" t="str">
        <f>IFERROR(__xludf.DUMMYFUNCTION("""COMPUTED_VALUE""")," মোছাঃ নিমারি নেছা ")</f>
        <v> মোছাঃ নিমারি নেছা </v>
      </c>
      <c r="G207" s="3" t="str">
        <f>IFERROR(__xludf.DUMMYFUNCTION("""COMPUTED_VALUE""")," ১০/০৬/১৯৫৭ ")</f>
        <v> ১০/০৬/১৯৫৭ </v>
      </c>
      <c r="H207" s="3" t="str">
        <f>IFERROR(__xludf.DUMMYFUNCTION("""COMPUTED_VALUE""")," কৃষক ")</f>
        <v> কৃষক </v>
      </c>
      <c r="I207" s="3" t="str">
        <f>IFERROR(__xludf.DUMMYFUNCTION("""COMPUTED_VALUE""")," জালতকা, গাংনী, মেহেরপুর ")</f>
        <v> জালতকা, গাংনী, মেহেরপুর </v>
      </c>
    </row>
    <row r="208" ht="15.75" customHeight="1">
      <c r="A208" s="3" t="s">
        <v>3339</v>
      </c>
      <c r="B208" s="3">
        <f>IFERROR(__xludf.DUMMYFUNCTION("SPLIT(A208,""|"")"),378.0)</f>
        <v>378</v>
      </c>
      <c r="C208" s="3" t="str">
        <f>IFERROR(__xludf.DUMMYFUNCTION("""COMPUTED_VALUE""")," মোছাঃ হামিদুল ইসলাম ")</f>
        <v> মোছাঃ হামিদুল ইসলাম </v>
      </c>
      <c r="D208" s="3">
        <f>IFERROR(__xludf.DUMMYFUNCTION("""COMPUTED_VALUE"""),5.700563786E11)</f>
        <v>570056378600</v>
      </c>
      <c r="E208" s="3" t="str">
        <f>IFERROR(__xludf.DUMMYFUNCTION("""COMPUTED_VALUE""")," মোঃ গোলাম রসুল ")</f>
        <v> মোঃ গোলাম রসুল </v>
      </c>
      <c r="F208" s="3" t="str">
        <f>IFERROR(__xludf.DUMMYFUNCTION("""COMPUTED_VALUE""")," মোছাঃ জহুরা খাতুন ")</f>
        <v> মোছাঃ জহুরা খাতুন </v>
      </c>
      <c r="G208" s="3" t="str">
        <f>IFERROR(__xludf.DUMMYFUNCTION("""COMPUTED_VALUE""")," ১২/১০/১৯৭৯ ")</f>
        <v> ১২/১০/১৯৭৯ </v>
      </c>
      <c r="H208" s="3" t="str">
        <f>IFERROR(__xludf.DUMMYFUNCTION("""COMPUTED_VALUE""")," কৃষক ")</f>
        <v> কৃষক </v>
      </c>
      <c r="I208" s="3" t="str">
        <f>IFERROR(__xludf.DUMMYFUNCTION("""COMPUTED_VALUE""")," জালতকা, গাংনী, মেহেরপুর ")</f>
        <v> জালতকা, গাংনী, মেহেরপুর </v>
      </c>
    </row>
    <row r="209" ht="15.75" customHeight="1">
      <c r="A209" s="3" t="s">
        <v>3340</v>
      </c>
      <c r="B209" s="3">
        <f>IFERROR(__xludf.DUMMYFUNCTION("SPLIT(A209,""|"")"),379.0)</f>
        <v>379</v>
      </c>
      <c r="C209" s="3" t="str">
        <f>IFERROR(__xludf.DUMMYFUNCTION("""COMPUTED_VALUE""")," মোঃ মন্টু মিয়া ")</f>
        <v> মোঃ মন্টু মিয়া </v>
      </c>
      <c r="D209" s="3">
        <f>IFERROR(__xludf.DUMMYFUNCTION("""COMPUTED_VALUE"""),5.70056378601E11)</f>
        <v>570056378601</v>
      </c>
      <c r="E209" s="3" t="str">
        <f>IFERROR(__xludf.DUMMYFUNCTION("""COMPUTED_VALUE""")," মো: তফেল উদ্দিন ")</f>
        <v> মো: তফেল উদ্দিন </v>
      </c>
      <c r="F209" s="3" t="str">
        <f>IFERROR(__xludf.DUMMYFUNCTION("""COMPUTED_VALUE""")," মোছাঃ সোনা ভানু ")</f>
        <v> মোছাঃ সোনা ভানু </v>
      </c>
      <c r="G209" s="3" t="str">
        <f>IFERROR(__xludf.DUMMYFUNCTION("""COMPUTED_VALUE""")," ০৬/০২/১৯৮২ ")</f>
        <v> ০৬/০২/১৯৮২ </v>
      </c>
      <c r="H209" s="3" t="str">
        <f>IFERROR(__xludf.DUMMYFUNCTION("""COMPUTED_VALUE""")," ব্যবসা ")</f>
        <v> ব্যবসা </v>
      </c>
      <c r="I209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10" ht="15.75" customHeight="1">
      <c r="A210" s="3" t="s">
        <v>3341</v>
      </c>
      <c r="B210" s="3">
        <f>IFERROR(__xludf.DUMMYFUNCTION("SPLIT(A210,""|"")"),380.0)</f>
        <v>380</v>
      </c>
      <c r="C210" s="3" t="str">
        <f>IFERROR(__xludf.DUMMYFUNCTION("""COMPUTED_VALUE""")," মোঃ আসাদুল হক ")</f>
        <v> মোঃ আসাদুল হক </v>
      </c>
      <c r="D210" s="3">
        <f>IFERROR(__xludf.DUMMYFUNCTION("""COMPUTED_VALUE"""),5.70056378604E11)</f>
        <v>570056378604</v>
      </c>
      <c r="E210" s="3" t="str">
        <f>IFERROR(__xludf.DUMMYFUNCTION("""COMPUTED_VALUE""")," মনিরুদ্দিন ")</f>
        <v> মনিরুদ্দিন </v>
      </c>
      <c r="F210" s="3" t="str">
        <f>IFERROR(__xludf.DUMMYFUNCTION("""COMPUTED_VALUE""")," ছমিরন নেছা ")</f>
        <v> ছমিরন নেছা </v>
      </c>
      <c r="G210" s="3" t="str">
        <f>IFERROR(__xludf.DUMMYFUNCTION("""COMPUTED_VALUE""")," ০৪/০৪/১৯৮০ ")</f>
        <v> ০৪/০৪/১৯৮০ </v>
      </c>
      <c r="H210" s="3" t="str">
        <f>IFERROR(__xludf.DUMMYFUNCTION("""COMPUTED_VALUE""")," শ্রমিক ")</f>
        <v> শ্রমিক </v>
      </c>
      <c r="I210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11" ht="15.75" customHeight="1">
      <c r="A211" s="3" t="s">
        <v>3342</v>
      </c>
      <c r="B211" s="3">
        <f>IFERROR(__xludf.DUMMYFUNCTION("SPLIT(A211,""|"")"),381.0)</f>
        <v>381</v>
      </c>
      <c r="C211" s="3" t="str">
        <f>IFERROR(__xludf.DUMMYFUNCTION("""COMPUTED_VALUE""")," মোঃ বিপ্লব হোসেন ")</f>
        <v> মোঃ বিপ্লব হোসেন </v>
      </c>
      <c r="D211" s="3">
        <f>IFERROR(__xludf.DUMMYFUNCTION("""COMPUTED_VALUE"""),5.70056378605E11)</f>
        <v>570056378605</v>
      </c>
      <c r="E211" s="3" t="str">
        <f>IFERROR(__xludf.DUMMYFUNCTION("""COMPUTED_VALUE""")," মোঃ আসাদুল ")</f>
        <v> মোঃ আসাদুল </v>
      </c>
      <c r="F211" s="3" t="str">
        <f>IFERROR(__xludf.DUMMYFUNCTION("""COMPUTED_VALUE""")," মোছাঃ ছবেদা খাতুন ")</f>
        <v> মোছাঃ ছবেদা খাতুন </v>
      </c>
      <c r="G211" s="3" t="str">
        <f>IFERROR(__xludf.DUMMYFUNCTION("""COMPUTED_VALUE""")," ০৮/০৪/১৯৮৫ ")</f>
        <v> ০৮/০৪/১৯৮৫ </v>
      </c>
      <c r="H211" s="3" t="str">
        <f>IFERROR(__xludf.DUMMYFUNCTION("""COMPUTED_VALUE""")," কৃষক ")</f>
        <v> কৃষক </v>
      </c>
      <c r="I211" s="3" t="str">
        <f>IFERROR(__xludf.DUMMYFUNCTION("""COMPUTED_VALUE""")," জালতকা, গাংনী, মেহেরপুর ")</f>
        <v> জালতকা, গাংনী, মেহেরপুর </v>
      </c>
    </row>
    <row r="212" ht="15.75" customHeight="1">
      <c r="A212" s="3" t="s">
        <v>3343</v>
      </c>
      <c r="B212" s="3">
        <f>IFERROR(__xludf.DUMMYFUNCTION("SPLIT(A212,""|"")"),382.0)</f>
        <v>382</v>
      </c>
      <c r="C212" s="3" t="str">
        <f>IFERROR(__xludf.DUMMYFUNCTION("""COMPUTED_VALUE""")," মোঃ আব্দুর রহমান ")</f>
        <v> মোঃ আব্দুর রহমান </v>
      </c>
      <c r="D212" s="3">
        <f>IFERROR(__xludf.DUMMYFUNCTION("""COMPUTED_VALUE"""),5.70056378606E11)</f>
        <v>570056378606</v>
      </c>
      <c r="E212" s="3" t="str">
        <f>IFERROR(__xludf.DUMMYFUNCTION("""COMPUTED_VALUE""")," নবিছদ্দিন ")</f>
        <v> নবিছদ্দিন </v>
      </c>
      <c r="F212" s="3" t="str">
        <f>IFERROR(__xludf.DUMMYFUNCTION("""COMPUTED_VALUE""")," মোছাঃ সকিনা খাতুন ")</f>
        <v> মোছাঃ সকিনা খাতুন </v>
      </c>
      <c r="G212" s="3" t="str">
        <f>IFERROR(__xludf.DUMMYFUNCTION("""COMPUTED_VALUE""")," ০৭/০৫/১৯৫২ ")</f>
        <v> ০৭/০৫/১৯৫২ </v>
      </c>
      <c r="H212" s="3" t="str">
        <f>IFERROR(__xludf.DUMMYFUNCTION("""COMPUTED_VALUE""")," ব্যবসা ")</f>
        <v> ব্যবসা </v>
      </c>
      <c r="I212" s="3" t="str">
        <f>IFERROR(__xludf.DUMMYFUNCTION("""COMPUTED_VALUE""")," জালতকা, বালিয়া পাড়া, গাংনী, মেহেরপুর ")</f>
        <v> জালতকা, বালিয়া পাড়া, গাংনী, মেহেরপুর </v>
      </c>
    </row>
    <row r="213" ht="15.75" customHeight="1">
      <c r="A213" s="3" t="s">
        <v>3344</v>
      </c>
      <c r="B213" s="3">
        <f>IFERROR(__xludf.DUMMYFUNCTION("SPLIT(A213,""|"")"),383.0)</f>
        <v>383</v>
      </c>
      <c r="C213" s="3" t="str">
        <f>IFERROR(__xludf.DUMMYFUNCTION("""COMPUTED_VALUE""")," মোঃ আসাফুল হক ")</f>
        <v> মোঃ আসাফুল হক </v>
      </c>
      <c r="D213" s="3">
        <f>IFERROR(__xludf.DUMMYFUNCTION("""COMPUTED_VALUE"""),5.7005637861E11)</f>
        <v>570056378610</v>
      </c>
      <c r="E213" s="3" t="str">
        <f>IFERROR(__xludf.DUMMYFUNCTION("""COMPUTED_VALUE""")," আব্দুল মলিথা ")</f>
        <v> আব্দুল মলিথা </v>
      </c>
      <c r="F213" s="3" t="str">
        <f>IFERROR(__xludf.DUMMYFUNCTION("""COMPUTED_VALUE""")," মোছাঃ খাদিজা খাতুন ")</f>
        <v> মোছাঃ খাদিজা খাতুন </v>
      </c>
      <c r="G213" s="3" t="str">
        <f>IFERROR(__xludf.DUMMYFUNCTION("""COMPUTED_VALUE""")," ০৮/১০/১৯৭৯ ")</f>
        <v> ০৮/১০/১৯৭৯ </v>
      </c>
      <c r="H213" s="3" t="str">
        <f>IFERROR(__xludf.DUMMYFUNCTION("""COMPUTED_VALUE""")," ব্যবসা ")</f>
        <v> ব্যবসা </v>
      </c>
      <c r="I213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14" ht="15.75" customHeight="1">
      <c r="A214" s="3" t="s">
        <v>3345</v>
      </c>
      <c r="B214" s="3">
        <f>IFERROR(__xludf.DUMMYFUNCTION("SPLIT(A214,""|"")"),384.0)</f>
        <v>384</v>
      </c>
      <c r="C214" s="3" t="str">
        <f>IFERROR(__xludf.DUMMYFUNCTION("""COMPUTED_VALUE""")," মোঃ শাহাদত হোসেন ")</f>
        <v> মোঃ শাহাদত হোসেন </v>
      </c>
      <c r="D214" s="3">
        <f>IFERROR(__xludf.DUMMYFUNCTION("""COMPUTED_VALUE"""),5.70056378611E11)</f>
        <v>570056378611</v>
      </c>
      <c r="E214" s="3" t="str">
        <f>IFERROR(__xludf.DUMMYFUNCTION("""COMPUTED_VALUE""")," মোঃ আহাদ আলী ")</f>
        <v> মোঃ আহাদ আলী </v>
      </c>
      <c r="F214" s="3" t="str">
        <f>IFERROR(__xludf.DUMMYFUNCTION("""COMPUTED_VALUE""")," শাহানারা ")</f>
        <v> শাহানারা </v>
      </c>
      <c r="G214" s="3" t="str">
        <f>IFERROR(__xludf.DUMMYFUNCTION("""COMPUTED_VALUE""")," ০১/০৫/১৯৮২ ")</f>
        <v> ০১/০৫/১৯৮২ </v>
      </c>
      <c r="H214" s="3" t="str">
        <f>IFERROR(__xludf.DUMMYFUNCTION("""COMPUTED_VALUE""")," কৃষক ")</f>
        <v> কৃষক </v>
      </c>
      <c r="I214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15" ht="15.75" customHeight="1">
      <c r="A215" s="3" t="s">
        <v>3346</v>
      </c>
      <c r="B215" s="3">
        <f>IFERROR(__xludf.DUMMYFUNCTION("SPLIT(A215,""|"")"),385.0)</f>
        <v>385</v>
      </c>
      <c r="C215" s="3" t="str">
        <f>IFERROR(__xludf.DUMMYFUNCTION("""COMPUTED_VALUE""")," মোঃ শফিকুল ইসলাম ")</f>
        <v> মোঃ শফিকুল ইসলাম </v>
      </c>
      <c r="D215" s="3">
        <f>IFERROR(__xludf.DUMMYFUNCTION("""COMPUTED_VALUE"""),5.70056378612E11)</f>
        <v>570056378612</v>
      </c>
      <c r="E215" s="3" t="str">
        <f>IFERROR(__xludf.DUMMYFUNCTION("""COMPUTED_VALUE""")," আমালত আলী ")</f>
        <v> আমালত আলী </v>
      </c>
      <c r="F215" s="3" t="str">
        <f>IFERROR(__xludf.DUMMYFUNCTION("""COMPUTED_VALUE""")," মোছাঃ ছইরন নেছা ")</f>
        <v> মোছাঃ ছইরন নেছা </v>
      </c>
      <c r="G215" s="3" t="str">
        <f>IFERROR(__xludf.DUMMYFUNCTION("""COMPUTED_VALUE""")," ০৪/০৩/১৯৬৯ ")</f>
        <v> ০৪/০৩/১৯৬৯ </v>
      </c>
      <c r="H215" s="3" t="str">
        <f>IFERROR(__xludf.DUMMYFUNCTION("""COMPUTED_VALUE""")," কৃষক ")</f>
        <v> কৃষক </v>
      </c>
      <c r="I215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16" ht="15.75" customHeight="1">
      <c r="A216" s="3" t="s">
        <v>3347</v>
      </c>
      <c r="B216" s="3">
        <f>IFERROR(__xludf.DUMMYFUNCTION("SPLIT(A216,""|"")"),386.0)</f>
        <v>386</v>
      </c>
      <c r="C216" s="3" t="str">
        <f>IFERROR(__xludf.DUMMYFUNCTION("""COMPUTED_VALUE""")," মোঃ মিনারুল হক ")</f>
        <v> মোঃ মিনারুল হক </v>
      </c>
      <c r="D216" s="3">
        <f>IFERROR(__xludf.DUMMYFUNCTION("""COMPUTED_VALUE"""),5.70056378613E11)</f>
        <v>570056378613</v>
      </c>
      <c r="E216" s="3" t="str">
        <f>IFERROR(__xludf.DUMMYFUNCTION("""COMPUTED_VALUE""")," মোঃ রবকুল ")</f>
        <v> মোঃ রবকুল </v>
      </c>
      <c r="F216" s="3" t="str">
        <f>IFERROR(__xludf.DUMMYFUNCTION("""COMPUTED_VALUE""")," মোছাঃ হাজেরা খাতুন ")</f>
        <v> মোছাঃ হাজেরা খাতুন </v>
      </c>
      <c r="G216" s="3" t="str">
        <f>IFERROR(__xludf.DUMMYFUNCTION("""COMPUTED_VALUE""")," ০৫/০৩/১৯৮০ ")</f>
        <v> ০৫/০৩/১৯৮০ </v>
      </c>
      <c r="H216" s="3" t="str">
        <f>IFERROR(__xludf.DUMMYFUNCTION("""COMPUTED_VALUE""")," কৃষক ")</f>
        <v> কৃষক </v>
      </c>
      <c r="I216" s="3" t="str">
        <f>IFERROR(__xludf.DUMMYFUNCTION("""COMPUTED_VALUE""")," জালতকা, গাংনী, মেহেরপুর ")</f>
        <v> জালতকা, গাংনী, মেহেরপুর </v>
      </c>
    </row>
    <row r="217" ht="15.75" customHeight="1">
      <c r="A217" s="3" t="s">
        <v>3348</v>
      </c>
      <c r="B217" s="3">
        <f>IFERROR(__xludf.DUMMYFUNCTION("SPLIT(A217,""|"")"),387.0)</f>
        <v>387</v>
      </c>
      <c r="C217" s="3" t="str">
        <f>IFERROR(__xludf.DUMMYFUNCTION("""COMPUTED_VALUE""")," মোঃ আরিফুল হক ")</f>
        <v> মোঃ আরিফুল হক </v>
      </c>
      <c r="D217" s="3">
        <f>IFERROR(__xludf.DUMMYFUNCTION("""COMPUTED_VALUE"""),5.7005637862E11)</f>
        <v>570056378620</v>
      </c>
      <c r="E217" s="3" t="str">
        <f>IFERROR(__xludf.DUMMYFUNCTION("""COMPUTED_VALUE""")," মোঃ বিল্টু মন্ডল ")</f>
        <v> মোঃ বিল্টু মন্ডল </v>
      </c>
      <c r="F217" s="3" t="str">
        <f>IFERROR(__xludf.DUMMYFUNCTION("""COMPUTED_VALUE""")," মোছাঃ ফেরদৌসি খাতুন ")</f>
        <v> মোছাঃ ফেরদৌসি খাতুন </v>
      </c>
      <c r="G217" s="3" t="str">
        <f>IFERROR(__xludf.DUMMYFUNCTION("""COMPUTED_VALUE""")," ০৮/০৯/১৯৮৫ ")</f>
        <v> ০৮/০৯/১৯৮৫ </v>
      </c>
      <c r="H217" s="3" t="str">
        <f>IFERROR(__xludf.DUMMYFUNCTION("""COMPUTED_VALUE""")," কৃষক ")</f>
        <v> কৃষক </v>
      </c>
      <c r="I217" s="3" t="str">
        <f>IFERROR(__xludf.DUMMYFUNCTION("""COMPUTED_VALUE""")," জালতকা, গাংনী, মেহেরপুর ")</f>
        <v> জালতকা, গাংনী, মেহেরপুর </v>
      </c>
    </row>
    <row r="218" ht="15.75" customHeight="1">
      <c r="A218" s="3" t="s">
        <v>3349</v>
      </c>
      <c r="B218" s="3">
        <f>IFERROR(__xludf.DUMMYFUNCTION("SPLIT(A218,""|"")"),388.0)</f>
        <v>388</v>
      </c>
      <c r="C218" s="3" t="str">
        <f>IFERROR(__xludf.DUMMYFUNCTION("""COMPUTED_VALUE""")," মোঃ আব্দুর রহমান ")</f>
        <v> মোঃ আব্দুর রহমান </v>
      </c>
      <c r="D218" s="3">
        <f>IFERROR(__xludf.DUMMYFUNCTION("""COMPUTED_VALUE"""),5.70056378621E11)</f>
        <v>570056378621</v>
      </c>
      <c r="E218" s="3" t="str">
        <f>IFERROR(__xludf.DUMMYFUNCTION("""COMPUTED_VALUE""")," আজিজার রহমান ")</f>
        <v> আজিজার রহমান </v>
      </c>
      <c r="F218" s="3" t="str">
        <f>IFERROR(__xludf.DUMMYFUNCTION("""COMPUTED_VALUE""")," ইজারন নেছা ")</f>
        <v> ইজারন নেছা </v>
      </c>
      <c r="G218" s="3" t="str">
        <f>IFERROR(__xludf.DUMMYFUNCTION("""COMPUTED_VALUE""")," ০৬/০৮/১৯৫৭ ")</f>
        <v> ০৬/০৮/১৯৫৭ </v>
      </c>
      <c r="H218" s="3" t="str">
        <f>IFERROR(__xludf.DUMMYFUNCTION("""COMPUTED_VALUE""")," কৃষক ")</f>
        <v> কৃষক </v>
      </c>
      <c r="I218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19" ht="15.75" customHeight="1">
      <c r="A219" s="3" t="s">
        <v>3350</v>
      </c>
      <c r="B219" s="3">
        <f>IFERROR(__xludf.DUMMYFUNCTION("SPLIT(A219,""|"")"),389.0)</f>
        <v>389</v>
      </c>
      <c r="C219" s="3" t="str">
        <f>IFERROR(__xludf.DUMMYFUNCTION("""COMPUTED_VALUE""")," মোঃ সুবারেক হোসেন ")</f>
        <v> মোঃ সুবারেক হোসেন </v>
      </c>
      <c r="D219" s="3">
        <f>IFERROR(__xludf.DUMMYFUNCTION("""COMPUTED_VALUE"""),5.70056378623E11)</f>
        <v>570056378623</v>
      </c>
      <c r="E219" s="3" t="str">
        <f>IFERROR(__xludf.DUMMYFUNCTION("""COMPUTED_VALUE""")," মোঃ আঃ রহমান ")</f>
        <v> মোঃ আঃ রহমান </v>
      </c>
      <c r="F219" s="3" t="str">
        <f>IFERROR(__xludf.DUMMYFUNCTION("""COMPUTED_VALUE""")," মোছাঃ জাহানারা ")</f>
        <v> মোছাঃ জাহানারা </v>
      </c>
      <c r="G219" s="3" t="str">
        <f>IFERROR(__xludf.DUMMYFUNCTION("""COMPUTED_VALUE""")," ০৮/০৭/১৯৭৯ ")</f>
        <v> ০৮/০৭/১৯৭৯ </v>
      </c>
      <c r="H219" s="3" t="str">
        <f>IFERROR(__xludf.DUMMYFUNCTION("""COMPUTED_VALUE""")," কৃষক ")</f>
        <v> কৃষক </v>
      </c>
      <c r="I219" s="3" t="str">
        <f>IFERROR(__xludf.DUMMYFUNCTION("""COMPUTED_VALUE""")," জালতকা, গাংনী, মেহেরপুর ")</f>
        <v> জালতকা, গাংনী, মেহেরপুর </v>
      </c>
    </row>
    <row r="220" ht="15.75" customHeight="1">
      <c r="A220" s="3" t="s">
        <v>3351</v>
      </c>
      <c r="B220" s="3">
        <f>IFERROR(__xludf.DUMMYFUNCTION("SPLIT(A220,""|"")"),390.0)</f>
        <v>390</v>
      </c>
      <c r="C220" s="3" t="str">
        <f>IFERROR(__xludf.DUMMYFUNCTION("""COMPUTED_VALUE""")," মোঃ জিনারুল ইসলাম ")</f>
        <v> মোঃ জিনারুল ইসলাম </v>
      </c>
      <c r="D220" s="3">
        <f>IFERROR(__xludf.DUMMYFUNCTION("""COMPUTED_VALUE"""),5.70056378625E11)</f>
        <v>570056378625</v>
      </c>
      <c r="E220" s="3" t="str">
        <f>IFERROR(__xludf.DUMMYFUNCTION("""COMPUTED_VALUE""")," মোঃ হায়াত আলী ")</f>
        <v> মোঃ হায়াত আলী </v>
      </c>
      <c r="F220" s="3" t="str">
        <f>IFERROR(__xludf.DUMMYFUNCTION("""COMPUTED_VALUE""")," মো হাঃ রহিমা বেগম ")</f>
        <v> মো হাঃ রহিমা বেগম </v>
      </c>
      <c r="G220" s="3" t="str">
        <f>IFERROR(__xludf.DUMMYFUNCTION("""COMPUTED_VALUE""")," ২৫/০৭/১৯৭৯ ")</f>
        <v> ২৫/০৭/১৯৭৯ </v>
      </c>
      <c r="H220" s="3" t="str">
        <f>IFERROR(__xludf.DUMMYFUNCTION("""COMPUTED_VALUE""")," কূ :কে ")</f>
        <v> কূ :কে </v>
      </c>
      <c r="I220" s="3" t="str">
        <f>IFERROR(__xludf.DUMMYFUNCTION("""COMPUTED_VALUE""")," জালতকা, গাংনী, মেহেরপুর ")</f>
        <v> জালতকা, গাংনী, মেহেরপুর </v>
      </c>
    </row>
    <row r="221" ht="15.75" customHeight="1">
      <c r="A221" s="3" t="s">
        <v>3352</v>
      </c>
      <c r="B221" s="3">
        <f>IFERROR(__xludf.DUMMYFUNCTION("SPLIT(A221,""|"")"),391.0)</f>
        <v>391</v>
      </c>
      <c r="C221" s="3" t="str">
        <f>IFERROR(__xludf.DUMMYFUNCTION("""COMPUTED_VALUE""")," মোঃ মোবারক হোসেন ")</f>
        <v> মোঃ মোবারক হোসেন </v>
      </c>
      <c r="D221" s="3">
        <f>IFERROR(__xludf.DUMMYFUNCTION("""COMPUTED_VALUE"""),5.70056378626E11)</f>
        <v>570056378626</v>
      </c>
      <c r="E221" s="3" t="str">
        <f>IFERROR(__xludf.DUMMYFUNCTION("""COMPUTED_VALUE""")," মোঃ আঃ রহমান ")</f>
        <v> মোঃ আঃ রহমান </v>
      </c>
      <c r="F221" s="3" t="str">
        <f>IFERROR(__xludf.DUMMYFUNCTION("""COMPUTED_VALUE""")," মোছাঃ জাহানুর খাতুন ")</f>
        <v> মোছাঃ জাহানুর খাতুন </v>
      </c>
      <c r="G221" s="3" t="str">
        <f>IFERROR(__xludf.DUMMYFUNCTION("""COMPUTED_VALUE""")," ২০/০৬/১৯৮১ ")</f>
        <v> ২০/০৬/১৯৮১ </v>
      </c>
      <c r="H221" s="3" t="str">
        <f>IFERROR(__xludf.DUMMYFUNCTION("""COMPUTED_VALUE""")," কৃষক ")</f>
        <v> কৃষক </v>
      </c>
      <c r="I221" s="3" t="str">
        <f>IFERROR(__xludf.DUMMYFUNCTION("""COMPUTED_VALUE""")," জালতকা, গাংনী, মেহেরপুর ")</f>
        <v> জালতকা, গাংনী, মেহেরপুর </v>
      </c>
    </row>
    <row r="222" ht="15.75" customHeight="1">
      <c r="A222" s="3" t="s">
        <v>3353</v>
      </c>
      <c r="B222" s="3">
        <f>IFERROR(__xludf.DUMMYFUNCTION("SPLIT(A222,""|"")"),392.0)</f>
        <v>392</v>
      </c>
      <c r="C222" s="3" t="str">
        <f>IFERROR(__xludf.DUMMYFUNCTION("""COMPUTED_VALUE""")," মোঃ রুহুল আমিন ")</f>
        <v> মোঃ রুহুল আমিন </v>
      </c>
      <c r="D222" s="3">
        <f>IFERROR(__xludf.DUMMYFUNCTION("""COMPUTED_VALUE"""),5.70056378632E11)</f>
        <v>570056378632</v>
      </c>
      <c r="E222" s="3" t="str">
        <f>IFERROR(__xludf.DUMMYFUNCTION("""COMPUTED_VALUE""")," অনিরুদ্দিন ")</f>
        <v> অনিরুদ্দিন </v>
      </c>
      <c r="F222" s="3" t="str">
        <f>IFERROR(__xludf.DUMMYFUNCTION("""COMPUTED_VALUE""")," রোকেয়া খাতুন ")</f>
        <v> রোকেয়া খাতুন </v>
      </c>
      <c r="G222" s="3" t="str">
        <f>IFERROR(__xludf.DUMMYFUNCTION("""COMPUTED_VALUE""")," ০৯/০৮/১৯৭৭ ")</f>
        <v> ০৯/০৮/১৯৭৭ </v>
      </c>
      <c r="H222" s="3" t="str">
        <f>IFERROR(__xludf.DUMMYFUNCTION("""COMPUTED_VALUE""")," কৃষক ")</f>
        <v> কৃষক </v>
      </c>
      <c r="I222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23" ht="15.75" customHeight="1">
      <c r="A223" s="3" t="s">
        <v>3354</v>
      </c>
      <c r="B223" s="3">
        <f>IFERROR(__xludf.DUMMYFUNCTION("SPLIT(A223,""|"")"),393.0)</f>
        <v>393</v>
      </c>
      <c r="C223" s="3" t="str">
        <f>IFERROR(__xludf.DUMMYFUNCTION("""COMPUTED_VALUE""")," মোঃ মুকুল হোসেন ")</f>
        <v> মোঃ মুকুল হোসেন </v>
      </c>
      <c r="D223" s="3">
        <f>IFERROR(__xludf.DUMMYFUNCTION("""COMPUTED_VALUE"""),5.70056378633E11)</f>
        <v>570056378633</v>
      </c>
      <c r="E223" s="3" t="str">
        <f>IFERROR(__xludf.DUMMYFUNCTION("""COMPUTED_VALUE""")," মনিরুদ্দিন ")</f>
        <v> মনিরুদ্দিন </v>
      </c>
      <c r="F223" s="3" t="str">
        <f>IFERROR(__xludf.DUMMYFUNCTION("""COMPUTED_VALUE""")," মোছাঃ রোকেয়া খাতুন ")</f>
        <v> মোছাঃ রোকেয়া খাতুন </v>
      </c>
      <c r="G223" s="3" t="str">
        <f>IFERROR(__xludf.DUMMYFUNCTION("""COMPUTED_VALUE""")," ০৯/১০/১৯৭৯ ")</f>
        <v> ০৯/১০/১৯৭৯ </v>
      </c>
      <c r="H223" s="3" t="str">
        <f>IFERROR(__xludf.DUMMYFUNCTION("""COMPUTED_VALUE""")," কৃষক ")</f>
        <v> কৃষক </v>
      </c>
      <c r="I223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24" ht="15.75" customHeight="1">
      <c r="A224" s="3" t="s">
        <v>3355</v>
      </c>
      <c r="B224" s="3">
        <f>IFERROR(__xludf.DUMMYFUNCTION("SPLIT(A224,""|"")"),394.0)</f>
        <v>394</v>
      </c>
      <c r="C224" s="3" t="str">
        <f>IFERROR(__xludf.DUMMYFUNCTION("""COMPUTED_VALUE""")," মোঃ সাজেদুল ইসলাম ")</f>
        <v> মোঃ সাজেদুল ইসলাম </v>
      </c>
      <c r="D224" s="3">
        <f>IFERROR(__xludf.DUMMYFUNCTION("""COMPUTED_VALUE"""),5.70056378634E11)</f>
        <v>570056378634</v>
      </c>
      <c r="E224" s="3" t="str">
        <f>IFERROR(__xludf.DUMMYFUNCTION("""COMPUTED_VALUE""")," মোঃ দুলাল হোসেন ")</f>
        <v> মোঃ দুলাল হোসেন </v>
      </c>
      <c r="F224" s="3" t="str">
        <f>IFERROR(__xludf.DUMMYFUNCTION("""COMPUTED_VALUE""")," মোছাঃ সহিদা খাতুন ")</f>
        <v> মোছাঃ সহিদা খাতুন </v>
      </c>
      <c r="G224" s="3" t="str">
        <f>IFERROR(__xludf.DUMMYFUNCTION("""COMPUTED_VALUE""")," ০৫/০৬/১৯৯৫ ")</f>
        <v> ০৫/০৬/১৯৯৫ </v>
      </c>
      <c r="H224" s="3" t="str">
        <f>IFERROR(__xludf.DUMMYFUNCTION("""COMPUTED_VALUE""")," ব্যবসা ")</f>
        <v> ব্যবসা </v>
      </c>
      <c r="I224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25" ht="15.75" customHeight="1">
      <c r="A225" s="3" t="s">
        <v>3356</v>
      </c>
      <c r="B225" s="3">
        <f>IFERROR(__xludf.DUMMYFUNCTION("SPLIT(A225,""|"")"),395.0)</f>
        <v>395</v>
      </c>
      <c r="C225" s="3" t="str">
        <f>IFERROR(__xludf.DUMMYFUNCTION("""COMPUTED_VALUE""")," বকুল ")</f>
        <v> বকুল </v>
      </c>
      <c r="D225" s="3">
        <f>IFERROR(__xludf.DUMMYFUNCTION("""COMPUTED_VALUE"""),5.70056378635E11)</f>
        <v>570056378635</v>
      </c>
      <c r="E225" s="3" t="str">
        <f>IFERROR(__xludf.DUMMYFUNCTION("""COMPUTED_VALUE""")," মনিরুদ্দিন ")</f>
        <v> মনিরুদ্দিন </v>
      </c>
      <c r="F225" s="3" t="str">
        <f>IFERROR(__xludf.DUMMYFUNCTION("""COMPUTED_VALUE""")," রোকেয়া খাতুন ")</f>
        <v> রোকেয়া খাতুন </v>
      </c>
      <c r="G225" s="3" t="str">
        <f>IFERROR(__xludf.DUMMYFUNCTION("""COMPUTED_VALUE""")," ০১/০১/১৯৮৩ ")</f>
        <v> ০১/০১/১৯৮৩ </v>
      </c>
      <c r="H225" s="3" t="str">
        <f>IFERROR(__xludf.DUMMYFUNCTION("""COMPUTED_VALUE""")," ব্যবসা ")</f>
        <v> ব্যবসা </v>
      </c>
      <c r="I225" s="3" t="str">
        <f>IFERROR(__xludf.DUMMYFUNCTION("""COMPUTED_VALUE""")," জালতকা, গাংনী, মেহেরপুর ")</f>
        <v> জালতকা, গাংনী, মেহেরপুর </v>
      </c>
    </row>
    <row r="226" ht="15.75" customHeight="1">
      <c r="A226" s="3" t="s">
        <v>3357</v>
      </c>
      <c r="B226" s="3">
        <f>IFERROR(__xludf.DUMMYFUNCTION("SPLIT(A226,""|"")"),396.0)</f>
        <v>396</v>
      </c>
      <c r="C226" s="3" t="str">
        <f>IFERROR(__xludf.DUMMYFUNCTION("""COMPUTED_VALUE""")," মোঃ টুটুল আলী ")</f>
        <v> মোঃ টুটুল আলী </v>
      </c>
      <c r="D226" s="3">
        <f>IFERROR(__xludf.DUMMYFUNCTION("""COMPUTED_VALUE"""),5.70056378639E11)</f>
        <v>570056378639</v>
      </c>
      <c r="E226" s="3" t="str">
        <f>IFERROR(__xludf.DUMMYFUNCTION("""COMPUTED_VALUE""")," মনিরুদ্দিন ")</f>
        <v> মনিরুদ্দিন </v>
      </c>
      <c r="F226" s="3" t="str">
        <f>IFERROR(__xludf.DUMMYFUNCTION("""COMPUTED_VALUE""")," মোছাঃ রোকেয়া খাতুন ")</f>
        <v> মোছাঃ রোকেয়া খাতুন </v>
      </c>
      <c r="G226" s="3" t="str">
        <f>IFERROR(__xludf.DUMMYFUNCTION("""COMPUTED_VALUE""")," ০১/১০/১৯৮৫ ")</f>
        <v> ০১/১০/১৯৮৫ </v>
      </c>
      <c r="H226" s="3" t="str">
        <f>IFERROR(__xludf.DUMMYFUNCTION("""COMPUTED_VALUE""")," কৃষক ")</f>
        <v> কৃষক </v>
      </c>
      <c r="I226" s="3" t="str">
        <f>IFERROR(__xludf.DUMMYFUNCTION("""COMPUTED_VALUE""")," জালতকা, গাংনী, মেহেরপুর ")</f>
        <v> জালতকা, গাংনী, মেহেরপুর </v>
      </c>
    </row>
    <row r="227" ht="15.75" customHeight="1">
      <c r="A227" s="3" t="s">
        <v>3358</v>
      </c>
      <c r="B227" s="3">
        <f>IFERROR(__xludf.DUMMYFUNCTION("SPLIT(A227,""|"")"),397.0)</f>
        <v>397</v>
      </c>
      <c r="C227" s="3" t="str">
        <f>IFERROR(__xludf.DUMMYFUNCTION("""COMPUTED_VALUE""")," মোঃ আহাদ আলী ")</f>
        <v> মোঃ আহাদ আলী </v>
      </c>
      <c r="D227" s="3">
        <f>IFERROR(__xludf.DUMMYFUNCTION("""COMPUTED_VALUE"""),5.70056378642E11)</f>
        <v>570056378642</v>
      </c>
      <c r="E227" s="3" t="str">
        <f>IFERROR(__xludf.DUMMYFUNCTION("""COMPUTED_VALUE""")," গোলাম রসুল ")</f>
        <v> গোলাম রসুল </v>
      </c>
      <c r="F227" s="3" t="str">
        <f>IFERROR(__xludf.DUMMYFUNCTION("""COMPUTED_VALUE""")," রত্না খাতুন ")</f>
        <v> রত্না খাতুন </v>
      </c>
      <c r="G227" s="3" t="str">
        <f>IFERROR(__xludf.DUMMYFUNCTION("""COMPUTED_VALUE""")," ০৮/১১/১৯৬৭ ")</f>
        <v> ০৮/১১/১৯৬৭ </v>
      </c>
      <c r="H227" s="3" t="str">
        <f>IFERROR(__xludf.DUMMYFUNCTION("""COMPUTED_VALUE""")," কৃষক ")</f>
        <v> কৃষক </v>
      </c>
      <c r="I227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28" ht="15.75" customHeight="1">
      <c r="A228" s="3" t="s">
        <v>3359</v>
      </c>
      <c r="B228" s="3">
        <f>IFERROR(__xludf.DUMMYFUNCTION("SPLIT(A228,""|"")"),398.0)</f>
        <v>398</v>
      </c>
      <c r="C228" s="3" t="str">
        <f>IFERROR(__xludf.DUMMYFUNCTION("""COMPUTED_VALUE""")," মোঃ ইসরাফ আলী ")</f>
        <v> মোঃ ইসরাফ আলী </v>
      </c>
      <c r="D228" s="3">
        <f>IFERROR(__xludf.DUMMYFUNCTION("""COMPUTED_VALUE"""),5.70056378645E11)</f>
        <v>570056378645</v>
      </c>
      <c r="E228" s="3" t="str">
        <f>IFERROR(__xludf.DUMMYFUNCTION("""COMPUTED_VALUE""")," আক্কেল আলী ")</f>
        <v> আক্কেল আলী </v>
      </c>
      <c r="F228" s="3" t="str">
        <f>IFERROR(__xludf.DUMMYFUNCTION("""COMPUTED_VALUE""")," মোছাঃ খোয়ারী খাতুন ")</f>
        <v> মোছাঃ খোয়ারী খাতুন </v>
      </c>
      <c r="G228" s="3" t="str">
        <f>IFERROR(__xludf.DUMMYFUNCTION("""COMPUTED_VALUE""")," ১৭/১০/১৯৭২ ")</f>
        <v> ১৭/১০/১৯৭২ </v>
      </c>
      <c r="H228" s="3" t="str">
        <f>IFERROR(__xludf.DUMMYFUNCTION("""COMPUTED_VALUE""")," কৃষক ")</f>
        <v> কৃষক </v>
      </c>
      <c r="I228" s="3" t="str">
        <f>IFERROR(__xludf.DUMMYFUNCTION("""COMPUTED_VALUE""")," জালতকা, গাংনী, মেহেরপুর ")</f>
        <v> জালতকা, গাংনী, মেহেরপুর </v>
      </c>
    </row>
    <row r="229" ht="15.75" customHeight="1">
      <c r="A229" s="3" t="s">
        <v>3360</v>
      </c>
      <c r="B229" s="3">
        <f>IFERROR(__xludf.DUMMYFUNCTION("SPLIT(A229,""|"")"),399.0)</f>
        <v>399</v>
      </c>
      <c r="C229" s="3" t="str">
        <f>IFERROR(__xludf.DUMMYFUNCTION("""COMPUTED_VALUE""")," মোঃ রাইতাল হোসেন ")</f>
        <v> মোঃ রাইতাল হোসেন </v>
      </c>
      <c r="D229" s="3">
        <f>IFERROR(__xludf.DUMMYFUNCTION("""COMPUTED_VALUE"""),5.7005637866E11)</f>
        <v>570056378660</v>
      </c>
      <c r="E229" s="3" t="str">
        <f>IFERROR(__xludf.DUMMYFUNCTION("""COMPUTED_VALUE""")," মোঃ জয়নাল আবেদিন ")</f>
        <v> মোঃ জয়নাল আবেদিন </v>
      </c>
      <c r="F229" s="3" t="str">
        <f>IFERROR(__xludf.DUMMYFUNCTION("""COMPUTED_VALUE""")," রাইমন বিবি ")</f>
        <v> রাইমন বিবি </v>
      </c>
      <c r="G229" s="3" t="str">
        <f>IFERROR(__xludf.DUMMYFUNCTION("""COMPUTED_VALUE""")," ০৭/০৯/১৯৬৭ ")</f>
        <v> ০৭/০৯/১৯৬৭ </v>
      </c>
      <c r="H229" s="3" t="str">
        <f>IFERROR(__xludf.DUMMYFUNCTION("""COMPUTED_VALUE""")," কৃষক ")</f>
        <v> কৃষক </v>
      </c>
      <c r="I229" s="3" t="str">
        <f>IFERROR(__xludf.DUMMYFUNCTION("""COMPUTED_VALUE""")," জালতকা, গাংনী, মেহেরপুর ")</f>
        <v> জালতকা, গাংনী, মেহেরপুর </v>
      </c>
    </row>
    <row r="230" ht="15.75" customHeight="1">
      <c r="A230" s="3" t="s">
        <v>3361</v>
      </c>
      <c r="B230" s="3">
        <f>IFERROR(__xludf.DUMMYFUNCTION("SPLIT(A230,""|"")"),400.0)</f>
        <v>400</v>
      </c>
      <c r="C230" s="3" t="str">
        <f>IFERROR(__xludf.DUMMYFUNCTION("""COMPUTED_VALUE""")," মোঃ তারাচাদ মন্ডল ")</f>
        <v> মোঃ তারাচাদ মন্ডল </v>
      </c>
      <c r="D230" s="3">
        <f>IFERROR(__xludf.DUMMYFUNCTION("""COMPUTED_VALUE"""),5.70056378662E11)</f>
        <v>570056378662</v>
      </c>
      <c r="E230" s="3" t="str">
        <f>IFERROR(__xludf.DUMMYFUNCTION("""COMPUTED_VALUE""")," মফেজদ্দিন ")</f>
        <v> মফেজদ্দিন </v>
      </c>
      <c r="F230" s="3" t="str">
        <f>IFERROR(__xludf.DUMMYFUNCTION("""COMPUTED_VALUE""")," বমেলা খাতুন ")</f>
        <v> বমেলা খাতুন </v>
      </c>
      <c r="G230" s="3" t="str">
        <f>IFERROR(__xludf.DUMMYFUNCTION("""COMPUTED_VALUE""")," ০৭/১০/১৯৭২ ")</f>
        <v> ০৭/১০/১৯৭২ </v>
      </c>
      <c r="H230" s="3" t="str">
        <f>IFERROR(__xludf.DUMMYFUNCTION("""COMPUTED_VALUE""")," কৃষক ")</f>
        <v> কৃষক </v>
      </c>
      <c r="I230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31" ht="15.75" customHeight="1">
      <c r="A231" s="3" t="s">
        <v>3362</v>
      </c>
      <c r="B231" s="3">
        <f>IFERROR(__xludf.DUMMYFUNCTION("SPLIT(A231,""|"")"),401.0)</f>
        <v>401</v>
      </c>
      <c r="C231" s="3" t="str">
        <f>IFERROR(__xludf.DUMMYFUNCTION("""COMPUTED_VALUE""")," মোঃ ছুবান আলী ")</f>
        <v> মোঃ ছুবান আলী </v>
      </c>
      <c r="D231" s="3">
        <f>IFERROR(__xludf.DUMMYFUNCTION("""COMPUTED_VALUE"""),5.70056378668E11)</f>
        <v>570056378668</v>
      </c>
      <c r="E231" s="3" t="str">
        <f>IFERROR(__xludf.DUMMYFUNCTION("""COMPUTED_VALUE""")," আজিজার সর্দার ")</f>
        <v> আজিজার সর্দার </v>
      </c>
      <c r="F231" s="3" t="str">
        <f>IFERROR(__xludf.DUMMYFUNCTION("""COMPUTED_VALUE""")," ইজারন নেছা ")</f>
        <v> ইজারন নেছা </v>
      </c>
      <c r="G231" s="3" t="str">
        <f>IFERROR(__xludf.DUMMYFUNCTION("""COMPUTED_VALUE""")," ১০/১২/১৯৭২ ")</f>
        <v> ১০/১২/১৯৭২ </v>
      </c>
      <c r="H231" s="3" t="str">
        <f>IFERROR(__xludf.DUMMYFUNCTION("""COMPUTED_VALUE""")," কৃষক ")</f>
        <v> কৃষক </v>
      </c>
      <c r="I231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32" ht="15.75" customHeight="1">
      <c r="A232" s="3" t="s">
        <v>3363</v>
      </c>
      <c r="B232" s="3">
        <f>IFERROR(__xludf.DUMMYFUNCTION("SPLIT(A232,""|"")"),402.0)</f>
        <v>402</v>
      </c>
      <c r="C232" s="3" t="str">
        <f>IFERROR(__xludf.DUMMYFUNCTION("""COMPUTED_VALUE""")," মোঃ ঝন্টু আলী ")</f>
        <v> মোঃ ঝন্টু আলী </v>
      </c>
      <c r="D232" s="3">
        <f>IFERROR(__xludf.DUMMYFUNCTION("""COMPUTED_VALUE"""),5.70056378673E11)</f>
        <v>570056378673</v>
      </c>
      <c r="E232" s="3" t="str">
        <f>IFERROR(__xludf.DUMMYFUNCTION("""COMPUTED_VALUE""")," মোঃ তফেলদ্দীন ")</f>
        <v> মোঃ তফেলদ্দীন </v>
      </c>
      <c r="F232" s="3" t="str">
        <f>IFERROR(__xludf.DUMMYFUNCTION("""COMPUTED_VALUE""")," মোছাঃ ভানুবিবি ")</f>
        <v> মোছাঃ ভানুবিবি </v>
      </c>
      <c r="G232" s="3" t="str">
        <f>IFERROR(__xludf.DUMMYFUNCTION("""COMPUTED_VALUE""")," ২৩/০৬/১৯৮০ ")</f>
        <v> ২৩/০৬/১৯৮০ </v>
      </c>
      <c r="H232" s="3" t="str">
        <f>IFERROR(__xludf.DUMMYFUNCTION("""COMPUTED_VALUE""")," ব্যবসা ")</f>
        <v> ব্যবসা </v>
      </c>
      <c r="I232" s="3" t="str">
        <f>IFERROR(__xludf.DUMMYFUNCTION("""COMPUTED_VALUE""")," জালতকা, গাংনী, মেহেরপুর ")</f>
        <v> জালতকা, গাংনী, মেহেরপুর </v>
      </c>
    </row>
    <row r="233" ht="15.75" customHeight="1">
      <c r="A233" s="3" t="s">
        <v>3364</v>
      </c>
      <c r="B233" s="3">
        <f>IFERROR(__xludf.DUMMYFUNCTION("SPLIT(A233,""|"")"),403.0)</f>
        <v>403</v>
      </c>
      <c r="C233" s="3" t="str">
        <f>IFERROR(__xludf.DUMMYFUNCTION("""COMPUTED_VALUE""")," মোঃ শাহাবুদ্দীন ")</f>
        <v> মোঃ শাহাবুদ্দীন </v>
      </c>
      <c r="D233" s="3">
        <f>IFERROR(__xludf.DUMMYFUNCTION("""COMPUTED_VALUE"""),5.70056378678E11)</f>
        <v>570056378678</v>
      </c>
      <c r="E233" s="3" t="str">
        <f>IFERROR(__xludf.DUMMYFUNCTION("""COMPUTED_VALUE""")," মোঃ জাফর আলী ")</f>
        <v> মোঃ জাফর আলী </v>
      </c>
      <c r="F233" s="3" t="str">
        <f>IFERROR(__xludf.DUMMYFUNCTION("""COMPUTED_VALUE""")," শাহিদা বেগম ")</f>
        <v> শাহিদা বেগম </v>
      </c>
      <c r="G233" s="3" t="str">
        <f>IFERROR(__xludf.DUMMYFUNCTION("""COMPUTED_VALUE""")," ৩০/১১/১৯৮২ ")</f>
        <v> ৩০/১১/১৯৮২ </v>
      </c>
      <c r="H233" s="3" t="str">
        <f>IFERROR(__xludf.DUMMYFUNCTION("""COMPUTED_VALUE""")," কৃষক ")</f>
        <v> কৃষক </v>
      </c>
      <c r="I233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34" ht="15.75" customHeight="1">
      <c r="A234" s="3" t="s">
        <v>3365</v>
      </c>
      <c r="B234" s="3">
        <f>IFERROR(__xludf.DUMMYFUNCTION("SPLIT(A234,""|"")"),404.0)</f>
        <v>404</v>
      </c>
      <c r="C234" s="3" t="str">
        <f>IFERROR(__xludf.DUMMYFUNCTION("""COMPUTED_VALUE""")," মোঃ উসমান গনি ")</f>
        <v> মোঃ উসমান গনি </v>
      </c>
      <c r="D234" s="3">
        <f>IFERROR(__xludf.DUMMYFUNCTION("""COMPUTED_VALUE"""),5.70056378681E11)</f>
        <v>570056378681</v>
      </c>
      <c r="E234" s="3" t="str">
        <f>IFERROR(__xludf.DUMMYFUNCTION("""COMPUTED_VALUE""")," আক্বাস আলী ")</f>
        <v> আক্বাস আলী </v>
      </c>
      <c r="F234" s="3" t="str">
        <f>IFERROR(__xludf.DUMMYFUNCTION("""COMPUTED_VALUE""")," মোছাঃ খুদারী বেগম ")</f>
        <v> মোছাঃ খুদারী বেগম </v>
      </c>
      <c r="G234" s="3" t="str">
        <f>IFERROR(__xludf.DUMMYFUNCTION("""COMPUTED_VALUE""")," ২৩/০৬/১৯৬০ ")</f>
        <v> ২৩/০৬/১৯৬০ </v>
      </c>
      <c r="H234" s="3" t="str">
        <f>IFERROR(__xludf.DUMMYFUNCTION("""COMPUTED_VALUE""")," কৃষক ")</f>
        <v> কৃষক </v>
      </c>
      <c r="I234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35" ht="15.75" customHeight="1">
      <c r="A235" s="3" t="s">
        <v>3366</v>
      </c>
      <c r="B235" s="3">
        <f>IFERROR(__xludf.DUMMYFUNCTION("SPLIT(A235,""|"")"),405.0)</f>
        <v>405</v>
      </c>
      <c r="C235" s="3" t="str">
        <f>IFERROR(__xludf.DUMMYFUNCTION("""COMPUTED_VALUE""")," মোঃ আঃ মালেক ")</f>
        <v> মোঃ আঃ মালেক </v>
      </c>
      <c r="D235" s="3">
        <f>IFERROR(__xludf.DUMMYFUNCTION("""COMPUTED_VALUE"""),5.70056378682E11)</f>
        <v>570056378682</v>
      </c>
      <c r="E235" s="3" t="str">
        <f>IFERROR(__xludf.DUMMYFUNCTION("""COMPUTED_VALUE""")," মোঃ মজিবর রহমান ")</f>
        <v> মোঃ মজিবর রহমান </v>
      </c>
      <c r="F235" s="3" t="str">
        <f>IFERROR(__xludf.DUMMYFUNCTION("""COMPUTED_VALUE""")," মোছাঃ মইমনা খাতুন ")</f>
        <v> মোছাঃ মইমনা খাতুন </v>
      </c>
      <c r="G235" s="3" t="str">
        <f>IFERROR(__xludf.DUMMYFUNCTION("""COMPUTED_VALUE""")," ২৬/০৬/১৯৭০ ")</f>
        <v> ২৬/০৬/১৯৭০ </v>
      </c>
      <c r="H235" s="3" t="str">
        <f>IFERROR(__xludf.DUMMYFUNCTION("""COMPUTED_VALUE""")," কৃষক ")</f>
        <v> কৃষক </v>
      </c>
      <c r="I235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36" ht="15.75" customHeight="1">
      <c r="A236" s="3" t="s">
        <v>3367</v>
      </c>
      <c r="B236" s="3">
        <f>IFERROR(__xludf.DUMMYFUNCTION("SPLIT(A236,""|"")"),406.0)</f>
        <v>406</v>
      </c>
      <c r="C236" s="3" t="str">
        <f>IFERROR(__xludf.DUMMYFUNCTION("""COMPUTED_VALUE""")," মোঃ হমিজদ্দীন ")</f>
        <v> মোঃ হমিজদ্দীন </v>
      </c>
      <c r="D236" s="3">
        <f>IFERROR(__xludf.DUMMYFUNCTION("""COMPUTED_VALUE"""),5.70056378683E11)</f>
        <v>570056378683</v>
      </c>
      <c r="E236" s="3" t="str">
        <f>IFERROR(__xludf.DUMMYFUNCTION("""COMPUTED_VALUE""")," বক্স মন্ডল ")</f>
        <v> বক্স মন্ডল </v>
      </c>
      <c r="F236" s="3" t="str">
        <f>IFERROR(__xludf.DUMMYFUNCTION("""COMPUTED_VALUE""")," ইজারন খাতুন ")</f>
        <v> ইজারন খাতুন </v>
      </c>
      <c r="G236" s="3" t="str">
        <f>IFERROR(__xludf.DUMMYFUNCTION("""COMPUTED_VALUE""")," ৩০/১২/১৯৬২ ")</f>
        <v> ৩০/১২/১৯৬২ </v>
      </c>
      <c r="H236" s="3" t="str">
        <f>IFERROR(__xludf.DUMMYFUNCTION("""COMPUTED_VALUE""")," ব্যবসা ")</f>
        <v> ব্যবসা </v>
      </c>
      <c r="I236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37" ht="15.75" customHeight="1">
      <c r="A237" s="3" t="s">
        <v>3368</v>
      </c>
      <c r="B237" s="3">
        <f>IFERROR(__xludf.DUMMYFUNCTION("SPLIT(A237,""|"")"),407.0)</f>
        <v>407</v>
      </c>
      <c r="C237" s="3" t="str">
        <f>IFERROR(__xludf.DUMMYFUNCTION("""COMPUTED_VALUE""")," মোঃ নজরুল ইসলাম ")</f>
        <v> মোঃ নজরুল ইসলাম </v>
      </c>
      <c r="D237" s="3">
        <f>IFERROR(__xludf.DUMMYFUNCTION("""COMPUTED_VALUE"""),5.70056378684E11)</f>
        <v>570056378684</v>
      </c>
      <c r="E237" s="3" t="str">
        <f>IFERROR(__xludf.DUMMYFUNCTION("""COMPUTED_VALUE""")," মফিজুদ্দিন ")</f>
        <v> মফিজুদ্দিন </v>
      </c>
      <c r="F237" s="3" t="str">
        <f>IFERROR(__xludf.DUMMYFUNCTION("""COMPUTED_VALUE""")," ওমিলা বেগম ")</f>
        <v> ওমিলা বেগম </v>
      </c>
      <c r="G237" s="3" t="str">
        <f>IFERROR(__xludf.DUMMYFUNCTION("""COMPUTED_VALUE""")," ২২/০৫/১৯৬৭ ")</f>
        <v> ২২/০৫/১৯৬৭ </v>
      </c>
      <c r="H237" s="3" t="str">
        <f>IFERROR(__xludf.DUMMYFUNCTION("""COMPUTED_VALUE""")," কৃষক ")</f>
        <v> কৃষক </v>
      </c>
      <c r="I237" s="3" t="str">
        <f>IFERROR(__xludf.DUMMYFUNCTION("""COMPUTED_VALUE""")," জালতকা, গাংনী, মেহেরপুর ")</f>
        <v> জালতকা, গাংনী, মেহেরপুর </v>
      </c>
    </row>
    <row r="238" ht="15.75" customHeight="1">
      <c r="A238" s="3" t="s">
        <v>3369</v>
      </c>
      <c r="B238" s="3">
        <f>IFERROR(__xludf.DUMMYFUNCTION("SPLIT(A238,""|"")"),408.0)</f>
        <v>408</v>
      </c>
      <c r="C238" s="3" t="str">
        <f>IFERROR(__xludf.DUMMYFUNCTION("""COMPUTED_VALUE""")," মোঃ গোলাম রসুল ")</f>
        <v> মোঃ গোলাম রসুল </v>
      </c>
      <c r="D238" s="3">
        <f>IFERROR(__xludf.DUMMYFUNCTION("""COMPUTED_VALUE"""),5.70056378686E11)</f>
        <v>570056378686</v>
      </c>
      <c r="E238" s="3" t="str">
        <f>IFERROR(__xludf.DUMMYFUNCTION("""COMPUTED_VALUE""")," মোঃ মসলেম আলী ")</f>
        <v> মোঃ মসলেম আলী </v>
      </c>
      <c r="F238" s="3" t="str">
        <f>IFERROR(__xludf.DUMMYFUNCTION("""COMPUTED_VALUE""")," মোছাঃ আনোয়ারা খাতুন ")</f>
        <v> মোছাঃ আনোয়ারা খাতুন </v>
      </c>
      <c r="G238" s="3" t="str">
        <f>IFERROR(__xludf.DUMMYFUNCTION("""COMPUTED_VALUE""")," ২০/০৪/১৯৮০ ")</f>
        <v> ২০/০৪/১৯৮০ </v>
      </c>
      <c r="H238" s="3" t="str">
        <f>IFERROR(__xludf.DUMMYFUNCTION("""COMPUTED_VALUE""")," কৃষক ")</f>
        <v> কৃষক </v>
      </c>
      <c r="I238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39" ht="15.75" customHeight="1">
      <c r="A239" s="3" t="s">
        <v>3370</v>
      </c>
      <c r="B239" s="3">
        <f>IFERROR(__xludf.DUMMYFUNCTION("SPLIT(A239,""|"")"),409.0)</f>
        <v>409</v>
      </c>
      <c r="C239" s="3" t="str">
        <f>IFERROR(__xludf.DUMMYFUNCTION("""COMPUTED_VALUE""")," আহাম্মাদ আলী ")</f>
        <v> আহাম্মাদ আলী </v>
      </c>
      <c r="D239" s="3">
        <f>IFERROR(__xludf.DUMMYFUNCTION("""COMPUTED_VALUE"""),5.70056378687E11)</f>
        <v>570056378687</v>
      </c>
      <c r="E239" s="3" t="str">
        <f>IFERROR(__xludf.DUMMYFUNCTION("""COMPUTED_VALUE""")," কফিলুদ্দিন মন্ডল ")</f>
        <v> কফিলুদ্দিন মন্ডল </v>
      </c>
      <c r="F239" s="3" t="str">
        <f>IFERROR(__xludf.DUMMYFUNCTION("""COMPUTED_VALUE""")," লাল বানু ")</f>
        <v> লাল বানু </v>
      </c>
      <c r="G239" s="3" t="str">
        <f>IFERROR(__xludf.DUMMYFUNCTION("""COMPUTED_VALUE""")," ১১/০৫/১৯৫৭ ")</f>
        <v> ১১/০৫/১৯৫৭ </v>
      </c>
      <c r="H239" s="3" t="str">
        <f>IFERROR(__xludf.DUMMYFUNCTION("""COMPUTED_VALUE""")," কৃষক ")</f>
        <v> কৃষক </v>
      </c>
      <c r="I239" s="3" t="str">
        <f>IFERROR(__xludf.DUMMYFUNCTION("""COMPUTED_VALUE""")," জালতকা, গাংনী, মেহেরপুর ")</f>
        <v> জালতকা, গাংনী, মেহেরপুর </v>
      </c>
    </row>
    <row r="240" ht="15.75" customHeight="1">
      <c r="A240" s="3" t="s">
        <v>3371</v>
      </c>
      <c r="B240" s="3">
        <f>IFERROR(__xludf.DUMMYFUNCTION("SPLIT(A240,""|"")"),410.0)</f>
        <v>410</v>
      </c>
      <c r="C240" s="3" t="str">
        <f>IFERROR(__xludf.DUMMYFUNCTION("""COMPUTED_VALUE""")," মোঃ তফেল উদ্দীন ")</f>
        <v> মোঃ তফেল উদ্দীন </v>
      </c>
      <c r="D240" s="3">
        <f>IFERROR(__xludf.DUMMYFUNCTION("""COMPUTED_VALUE"""),5.70056378688E11)</f>
        <v>570056378688</v>
      </c>
      <c r="E240" s="3" t="str">
        <f>IFERROR(__xludf.DUMMYFUNCTION("""COMPUTED_VALUE""")," মফেজদ্দীন ")</f>
        <v> মফেজদ্দীন </v>
      </c>
      <c r="F240" s="3" t="str">
        <f>IFERROR(__xludf.DUMMYFUNCTION("""COMPUTED_VALUE""")," ওমিলা খাতুন ")</f>
        <v> ওমিলা খাতুন </v>
      </c>
      <c r="G240" s="3" t="str">
        <f>IFERROR(__xludf.DUMMYFUNCTION("""COMPUTED_VALUE""")," ১০/০৫/১৯৫৭ ")</f>
        <v> ১০/০৫/১৯৫৭ </v>
      </c>
      <c r="H240" s="3" t="str">
        <f>IFERROR(__xludf.DUMMYFUNCTION("""COMPUTED_VALUE""")," কৃষক ")</f>
        <v> কৃষক </v>
      </c>
      <c r="I240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41" ht="15.75" customHeight="1">
      <c r="A241" s="3" t="s">
        <v>3372</v>
      </c>
      <c r="B241" s="3">
        <f>IFERROR(__xludf.DUMMYFUNCTION("SPLIT(A241,""|"")"),411.0)</f>
        <v>411</v>
      </c>
      <c r="C241" s="3" t="str">
        <f>IFERROR(__xludf.DUMMYFUNCTION("""COMPUTED_VALUE""")," মোঃ ইয়াছদ্দীন ")</f>
        <v> মোঃ ইয়াছদ্দীন </v>
      </c>
      <c r="D241" s="3">
        <f>IFERROR(__xludf.DUMMYFUNCTION("""COMPUTED_VALUE"""),5.70056378692E11)</f>
        <v>570056378692</v>
      </c>
      <c r="E241" s="3" t="str">
        <f>IFERROR(__xludf.DUMMYFUNCTION("""COMPUTED_VALUE""")," আহাম্মাদ মন্ডল ")</f>
        <v> আহাম্মাদ মন্ডল </v>
      </c>
      <c r="F241" s="3" t="str">
        <f>IFERROR(__xludf.DUMMYFUNCTION("""COMPUTED_VALUE""")," মোছাঃ সুরাতন নেছা ")</f>
        <v> মোছাঃ সুরাতন নেছা </v>
      </c>
      <c r="G241" s="3" t="str">
        <f>IFERROR(__xludf.DUMMYFUNCTION("""COMPUTED_VALUE""")," ০১/০২/১৯৬২ ")</f>
        <v> ০১/০২/১৯৬২ </v>
      </c>
      <c r="H241" s="3" t="str">
        <f>IFERROR(__xludf.DUMMYFUNCTION("""COMPUTED_VALUE""")," কৃষক ")</f>
        <v> কৃষক </v>
      </c>
      <c r="I241" s="3" t="str">
        <f>IFERROR(__xludf.DUMMYFUNCTION("""COMPUTED_VALUE""")," জালতকা, গাংনী, মেহেরপুর ")</f>
        <v> জালতকা, গাংনী, মেহেরপুর </v>
      </c>
    </row>
    <row r="242" ht="15.75" customHeight="1">
      <c r="A242" s="3" t="s">
        <v>3373</v>
      </c>
      <c r="B242" s="3">
        <f>IFERROR(__xludf.DUMMYFUNCTION("SPLIT(A242,""|"")"),412.0)</f>
        <v>412</v>
      </c>
      <c r="C242" s="3" t="str">
        <f>IFERROR(__xludf.DUMMYFUNCTION("""COMPUTED_VALUE""")," মোঃ আঃ খালেক ")</f>
        <v> মোঃ আঃ খালেক </v>
      </c>
      <c r="D242" s="3">
        <f>IFERROR(__xludf.DUMMYFUNCTION("""COMPUTED_VALUE"""),5.70056378693E11)</f>
        <v>570056378693</v>
      </c>
      <c r="E242" s="3" t="str">
        <f>IFERROR(__xludf.DUMMYFUNCTION("""COMPUTED_VALUE""")," ওবেদ আলী ")</f>
        <v> ওবেদ আলী </v>
      </c>
      <c r="F242" s="3" t="str">
        <f>IFERROR(__xludf.DUMMYFUNCTION("""COMPUTED_VALUE""")," মোছাঃ খদেজা খাতুন ")</f>
        <v> মোছাঃ খদেজা খাতুন </v>
      </c>
      <c r="G242" s="3" t="str">
        <f>IFERROR(__xludf.DUMMYFUNCTION("""COMPUTED_VALUE""")," ০৫/১১/১৯৭০ ")</f>
        <v> ০৫/১১/১৯৭০ </v>
      </c>
      <c r="H242" s="3" t="str">
        <f>IFERROR(__xludf.DUMMYFUNCTION("""COMPUTED_VALUE""")," কৃষক ")</f>
        <v> কৃষক </v>
      </c>
      <c r="I242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43" ht="15.75" customHeight="1">
      <c r="A243" s="3" t="s">
        <v>3374</v>
      </c>
      <c r="B243" s="3">
        <f>IFERROR(__xludf.DUMMYFUNCTION("SPLIT(A243,""|"")"),413.0)</f>
        <v>413</v>
      </c>
      <c r="C243" s="3" t="str">
        <f>IFERROR(__xludf.DUMMYFUNCTION("""COMPUTED_VALUE""")," মোঃ হায়াত আলী ")</f>
        <v> মোঃ হায়াত আলী </v>
      </c>
      <c r="D243" s="3">
        <f>IFERROR(__xludf.DUMMYFUNCTION("""COMPUTED_VALUE"""),5.70056378694E11)</f>
        <v>570056378694</v>
      </c>
      <c r="E243" s="3" t="str">
        <f>IFERROR(__xludf.DUMMYFUNCTION("""COMPUTED_VALUE""")," রবকুল মন্ডল ")</f>
        <v> রবকুল মন্ডল </v>
      </c>
      <c r="F243" s="3" t="str">
        <f>IFERROR(__xludf.DUMMYFUNCTION("""COMPUTED_VALUE""")," সুবাসী খাতুন ")</f>
        <v> সুবাসী খাতুন </v>
      </c>
      <c r="G243" s="3" t="str">
        <f>IFERROR(__xludf.DUMMYFUNCTION("""COMPUTED_VALUE""")," ০৫/০৭/১৯৫৬ ")</f>
        <v> ০৫/০৭/১৯৫৬ </v>
      </c>
      <c r="H243" s="3" t="str">
        <f>IFERROR(__xludf.DUMMYFUNCTION("""COMPUTED_VALUE""")," কৃষক ")</f>
        <v> কৃষক </v>
      </c>
      <c r="I243" s="3" t="str">
        <f>IFERROR(__xludf.DUMMYFUNCTION("""COMPUTED_VALUE""")," জালতকা, গাংনী, মেহেরপুর ")</f>
        <v> জালতকা, গাংনী, মেহেরপুর </v>
      </c>
    </row>
    <row r="244" ht="15.75" customHeight="1">
      <c r="A244" s="3" t="s">
        <v>3375</v>
      </c>
      <c r="B244" s="3">
        <f>IFERROR(__xludf.DUMMYFUNCTION("SPLIT(A244,""|"")"),414.0)</f>
        <v>414</v>
      </c>
      <c r="C244" s="3" t="str">
        <f>IFERROR(__xludf.DUMMYFUNCTION("""COMPUTED_VALUE""")," মোঃ নুরুজ্জামান ")</f>
        <v> মোঃ নুরুজ্জামান </v>
      </c>
      <c r="D244" s="3">
        <f>IFERROR(__xludf.DUMMYFUNCTION("""COMPUTED_VALUE"""),5.70056378695E11)</f>
        <v>570056378695</v>
      </c>
      <c r="E244" s="3" t="str">
        <f>IFERROR(__xludf.DUMMYFUNCTION("""COMPUTED_VALUE""")," মোঃ সিরাজ শেখ ")</f>
        <v> মোঃ সিরাজ শেখ </v>
      </c>
      <c r="F244" s="3" t="str">
        <f>IFERROR(__xludf.DUMMYFUNCTION("""COMPUTED_VALUE""")," মোছাঃ হাজেরা খাতুন ")</f>
        <v> মোছাঃ হাজেরা খাতুন </v>
      </c>
      <c r="G244" s="3" t="str">
        <f>IFERROR(__xludf.DUMMYFUNCTION("""COMPUTED_VALUE""")," ০৮/০৪/১৯৭২ ")</f>
        <v> ০৮/০৪/১৯৭২ </v>
      </c>
      <c r="H244" s="3" t="str">
        <f>IFERROR(__xludf.DUMMYFUNCTION("""COMPUTED_VALUE""")," কৃষক ")</f>
        <v> কৃষক </v>
      </c>
      <c r="I244" s="3" t="str">
        <f>IFERROR(__xludf.DUMMYFUNCTION("""COMPUTED_VALUE""")," জালতকা, গাংনী, মেহেরপুর ")</f>
        <v> জালতকা, গাংনী, মেহেরপুর </v>
      </c>
    </row>
    <row r="245" ht="15.75" customHeight="1">
      <c r="A245" s="3" t="s">
        <v>3376</v>
      </c>
      <c r="B245" s="3">
        <f>IFERROR(__xludf.DUMMYFUNCTION("SPLIT(A245,""|"")"),415.0)</f>
        <v>415</v>
      </c>
      <c r="C245" s="3" t="str">
        <f>IFERROR(__xludf.DUMMYFUNCTION("""COMPUTED_VALUE""")," মোঃ জিন্নাত আলী ")</f>
        <v> মোঃ জিন্নাত আলী </v>
      </c>
      <c r="D245" s="3">
        <f>IFERROR(__xludf.DUMMYFUNCTION("""COMPUTED_VALUE"""),5.70056378696E11)</f>
        <v>570056378696</v>
      </c>
      <c r="E245" s="3" t="str">
        <f>IFERROR(__xludf.DUMMYFUNCTION("""COMPUTED_VALUE""")," ইলা বক্স ")</f>
        <v> ইলা বক্স </v>
      </c>
      <c r="F245" s="3" t="str">
        <f>IFERROR(__xludf.DUMMYFUNCTION("""COMPUTED_VALUE""")," মোছাঃ এলেপান বিবি ")</f>
        <v> মোছাঃ এলেপান বিবি </v>
      </c>
      <c r="G245" s="3" t="str">
        <f>IFERROR(__xludf.DUMMYFUNCTION("""COMPUTED_VALUE""")," ০৮/০৫/১৯৭৫ ")</f>
        <v> ০৮/০৫/১৯৭৫ </v>
      </c>
      <c r="H245" s="3" t="str">
        <f>IFERROR(__xludf.DUMMYFUNCTION("""COMPUTED_VALUE""")," কৃষক ")</f>
        <v> কৃষক </v>
      </c>
      <c r="I245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46" ht="15.75" customHeight="1">
      <c r="A246" s="3" t="s">
        <v>3377</v>
      </c>
      <c r="B246" s="3">
        <f>IFERROR(__xludf.DUMMYFUNCTION("SPLIT(A246,""|"")"),416.0)</f>
        <v>416</v>
      </c>
      <c r="C246" s="3" t="str">
        <f>IFERROR(__xludf.DUMMYFUNCTION("""COMPUTED_VALUE""")," মোঃ নওশাদ আলী ")</f>
        <v> মোঃ নওশাদ আলী </v>
      </c>
      <c r="D246" s="3">
        <f>IFERROR(__xludf.DUMMYFUNCTION("""COMPUTED_VALUE"""),5.70056378698E11)</f>
        <v>570056378698</v>
      </c>
      <c r="E246" s="3" t="str">
        <f>IFERROR(__xludf.DUMMYFUNCTION("""COMPUTED_VALUE""")," আহাম্মাদ আলী ")</f>
        <v> আহাম্মাদ আলী </v>
      </c>
      <c r="F246" s="3" t="str">
        <f>IFERROR(__xludf.DUMMYFUNCTION("""COMPUTED_VALUE""")," মোছাঃ বাসিরন নেছা ")</f>
        <v> মোছাঃ বাসিরন নেছা </v>
      </c>
      <c r="G246" s="3" t="str">
        <f>IFERROR(__xludf.DUMMYFUNCTION("""COMPUTED_VALUE""")," ০৪/০৩/১৯৮১ ")</f>
        <v> ০৪/০৩/১৯৮১ </v>
      </c>
      <c r="H246" s="3" t="str">
        <f>IFERROR(__xludf.DUMMYFUNCTION("""COMPUTED_VALUE""")," কৃষক ")</f>
        <v> কৃষক </v>
      </c>
      <c r="I246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47" ht="15.75" customHeight="1">
      <c r="A247" s="3" t="s">
        <v>3378</v>
      </c>
      <c r="B247" s="3">
        <f>IFERROR(__xludf.DUMMYFUNCTION("SPLIT(A247,""|"")"),417.0)</f>
        <v>417</v>
      </c>
      <c r="C247" s="3" t="str">
        <f>IFERROR(__xludf.DUMMYFUNCTION("""COMPUTED_VALUE""")," মোঃ মহসীন আলী ")</f>
        <v> মোঃ মহসীন আলী </v>
      </c>
      <c r="D247" s="3">
        <f>IFERROR(__xludf.DUMMYFUNCTION("""COMPUTED_VALUE"""),5.70056378699E11)</f>
        <v>570056378699</v>
      </c>
      <c r="E247" s="3" t="str">
        <f>IFERROR(__xludf.DUMMYFUNCTION("""COMPUTED_VALUE""")," মোঃ মসলেম আলী ")</f>
        <v> মোঃ মসলেম আলী </v>
      </c>
      <c r="F247" s="3" t="str">
        <f>IFERROR(__xludf.DUMMYFUNCTION("""COMPUTED_VALUE""")," মোছাঃ আনোয়ারা খাতুন ")</f>
        <v> মোছাঃ আনোয়ারা খাতুন </v>
      </c>
      <c r="G247" s="3" t="str">
        <f>IFERROR(__xludf.DUMMYFUNCTION("""COMPUTED_VALUE""")," ১১/১২/১৯৭৩ ")</f>
        <v> ১১/১২/১৯৭৩ </v>
      </c>
      <c r="H247" s="3" t="str">
        <f>IFERROR(__xludf.DUMMYFUNCTION("""COMPUTED_VALUE""")," কৃষক ")</f>
        <v> কৃষক </v>
      </c>
      <c r="I247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48" ht="15.75" customHeight="1">
      <c r="A248" s="3" t="s">
        <v>3379</v>
      </c>
      <c r="B248" s="3">
        <f>IFERROR(__xludf.DUMMYFUNCTION("SPLIT(A248,""|"")"),418.0)</f>
        <v>418</v>
      </c>
      <c r="C248" s="3" t="str">
        <f>IFERROR(__xludf.DUMMYFUNCTION("""COMPUTED_VALUE""")," মোঃ মতিয়ার রহমান ")</f>
        <v> মোঃ মতিয়ার রহমান </v>
      </c>
      <c r="D248" s="3">
        <f>IFERROR(__xludf.DUMMYFUNCTION("""COMPUTED_VALUE"""),5.700563787E11)</f>
        <v>570056378700</v>
      </c>
      <c r="E248" s="3" t="str">
        <f>IFERROR(__xludf.DUMMYFUNCTION("""COMPUTED_VALUE""")," আঃ রহিম ")</f>
        <v> আঃ রহিম </v>
      </c>
      <c r="F248" s="3" t="str">
        <f>IFERROR(__xludf.DUMMYFUNCTION("""COMPUTED_VALUE""")," মোছাঃ রোকিয়া খাতুন ")</f>
        <v> মোছাঃ রোকিয়া খাতুন </v>
      </c>
      <c r="G248" s="3" t="str">
        <f>IFERROR(__xludf.DUMMYFUNCTION("""COMPUTED_VALUE""")," ০৯/০২/১৯৭২ ")</f>
        <v> ০৯/০২/১৯৭২ </v>
      </c>
      <c r="H248" s="3" t="str">
        <f>IFERROR(__xludf.DUMMYFUNCTION("""COMPUTED_VALUE""")," কৃষক ")</f>
        <v> কৃষক </v>
      </c>
      <c r="I248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49" ht="15.75" customHeight="1">
      <c r="A249" s="3" t="s">
        <v>3380</v>
      </c>
      <c r="B249" s="3">
        <f>IFERROR(__xludf.DUMMYFUNCTION("SPLIT(A249,""|"")"),419.0)</f>
        <v>419</v>
      </c>
      <c r="C249" s="3" t="str">
        <f>IFERROR(__xludf.DUMMYFUNCTION("""COMPUTED_VALUE""")," মোঃ আবু তাহের ")</f>
        <v> মোঃ আবু তাহের </v>
      </c>
      <c r="D249" s="3">
        <f>IFERROR(__xludf.DUMMYFUNCTION("""COMPUTED_VALUE"""),5.70056378701E11)</f>
        <v>570056378701</v>
      </c>
      <c r="E249" s="3" t="str">
        <f>IFERROR(__xludf.DUMMYFUNCTION("""COMPUTED_VALUE""")," আজিজার সর্দার ")</f>
        <v> আজিজার সর্দার </v>
      </c>
      <c r="F249" s="3" t="str">
        <f>IFERROR(__xludf.DUMMYFUNCTION("""COMPUTED_VALUE""")," ইজারন নেছা ")</f>
        <v> ইজারন নেছা </v>
      </c>
      <c r="G249" s="3" t="str">
        <f>IFERROR(__xludf.DUMMYFUNCTION("""COMPUTED_VALUE""")," ০৫/০৮/১৯৬৬ ")</f>
        <v> ০৫/০৮/১৯৬৬ </v>
      </c>
      <c r="H249" s="3" t="str">
        <f>IFERROR(__xludf.DUMMYFUNCTION("""COMPUTED_VALUE""")," কৃষক ")</f>
        <v> কৃষক </v>
      </c>
      <c r="I249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50" ht="15.75" customHeight="1">
      <c r="A250" s="3" t="s">
        <v>3381</v>
      </c>
      <c r="B250" s="3">
        <f>IFERROR(__xludf.DUMMYFUNCTION("SPLIT(A250,""|"")"),420.0)</f>
        <v>420</v>
      </c>
      <c r="C250" s="3" t="str">
        <f>IFERROR(__xludf.DUMMYFUNCTION("""COMPUTED_VALUE""")," আব্দুর রাজ্জাক ")</f>
        <v> আব্দুর রাজ্জাক </v>
      </c>
      <c r="D250" s="3">
        <f>IFERROR(__xludf.DUMMYFUNCTION("""COMPUTED_VALUE"""),5.70056378702E11)</f>
        <v>570056378702</v>
      </c>
      <c r="E250" s="3" t="str">
        <f>IFERROR(__xludf.DUMMYFUNCTION("""COMPUTED_VALUE""")," আকবার মন্ডল ")</f>
        <v> আকবার মন্ডল </v>
      </c>
      <c r="F250" s="3" t="str">
        <f>IFERROR(__xludf.DUMMYFUNCTION("""COMPUTED_VALUE""")," মোছাঃ খুকি বিবি ")</f>
        <v> মোছাঃ খুকি বিবি </v>
      </c>
      <c r="G250" s="3" t="str">
        <f>IFERROR(__xludf.DUMMYFUNCTION("""COMPUTED_VALUE""")," ০৮/১০/১৯৬৭ ")</f>
        <v> ০৮/১০/১৯৬৭ </v>
      </c>
      <c r="H250" s="3" t="str">
        <f>IFERROR(__xludf.DUMMYFUNCTION("""COMPUTED_VALUE""")," কৃষক ")</f>
        <v> কৃষক </v>
      </c>
      <c r="I250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51" ht="15.75" customHeight="1">
      <c r="A251" s="3" t="s">
        <v>3382</v>
      </c>
      <c r="B251" s="3">
        <f>IFERROR(__xludf.DUMMYFUNCTION("SPLIT(A251,""|"")"),421.0)</f>
        <v>421</v>
      </c>
      <c r="C251" s="3" t="str">
        <f>IFERROR(__xludf.DUMMYFUNCTION("""COMPUTED_VALUE""")," মোঃ শাহাজান আলী ")</f>
        <v> মোঃ শাহাজান আলী </v>
      </c>
      <c r="D251" s="3">
        <f>IFERROR(__xludf.DUMMYFUNCTION("""COMPUTED_VALUE"""),5.70056378703E11)</f>
        <v>570056378703</v>
      </c>
      <c r="E251" s="3" t="str">
        <f>IFERROR(__xludf.DUMMYFUNCTION("""COMPUTED_VALUE""")," মোঃ দবিরুদ্দীন ")</f>
        <v> মোঃ দবিরুদ্দীন </v>
      </c>
      <c r="F251" s="3" t="str">
        <f>IFERROR(__xludf.DUMMYFUNCTION("""COMPUTED_VALUE""")," মোছাঃ জয়নব খাতুন ")</f>
        <v> মোছাঃ জয়নব খাতুন </v>
      </c>
      <c r="G251" s="3" t="str">
        <f>IFERROR(__xludf.DUMMYFUNCTION("""COMPUTED_VALUE""")," ০৯/০৩/১৯৬৫ ")</f>
        <v> ০৯/০৩/১৯৬৫ </v>
      </c>
      <c r="H251" s="3" t="str">
        <f>IFERROR(__xludf.DUMMYFUNCTION("""COMPUTED_VALUE""")," কৃষক ")</f>
        <v> কৃষক </v>
      </c>
      <c r="I251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52" ht="15.75" customHeight="1">
      <c r="A252" s="3" t="s">
        <v>3383</v>
      </c>
      <c r="B252" s="3">
        <f>IFERROR(__xludf.DUMMYFUNCTION("SPLIT(A252,""|"")"),422.0)</f>
        <v>422</v>
      </c>
      <c r="C252" s="3" t="str">
        <f>IFERROR(__xludf.DUMMYFUNCTION("""COMPUTED_VALUE""")," মোঃ মিনারুল ইসলাম ")</f>
        <v> মোঃ মিনারুল ইসলাম </v>
      </c>
      <c r="D252" s="3">
        <f>IFERROR(__xludf.DUMMYFUNCTION("""COMPUTED_VALUE"""),5.70056378704E11)</f>
        <v>570056378704</v>
      </c>
      <c r="E252" s="3" t="str">
        <f>IFERROR(__xludf.DUMMYFUNCTION("""COMPUTED_VALUE""")," মোঃ হায়াত আলী ")</f>
        <v> মোঃ হায়াত আলী </v>
      </c>
      <c r="F252" s="3" t="str">
        <f>IFERROR(__xludf.DUMMYFUNCTION("""COMPUTED_VALUE""")," মোছাঃ শাহিদা বেগম ")</f>
        <v> মোছাঃ শাহিদা বেগম </v>
      </c>
      <c r="G252" s="3" t="str">
        <f>IFERROR(__xludf.DUMMYFUNCTION("""COMPUTED_VALUE""")," ০৮/১১/১৯৭৭ ")</f>
        <v> ০৮/১১/১৯৭৭ </v>
      </c>
      <c r="H252" s="3" t="str">
        <f>IFERROR(__xludf.DUMMYFUNCTION("""COMPUTED_VALUE""")," কৃষক ")</f>
        <v> কৃষক </v>
      </c>
      <c r="I252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53" ht="15.75" customHeight="1">
      <c r="A253" s="3" t="s">
        <v>3384</v>
      </c>
      <c r="B253" s="3">
        <f>IFERROR(__xludf.DUMMYFUNCTION("SPLIT(A253,""|"")"),423.0)</f>
        <v>423</v>
      </c>
      <c r="C253" s="3" t="str">
        <f>IFERROR(__xludf.DUMMYFUNCTION("""COMPUTED_VALUE""")," মোঃ আক্তারুল হক ")</f>
        <v> মোঃ আক্তারুল হক </v>
      </c>
      <c r="D253" s="3">
        <f>IFERROR(__xludf.DUMMYFUNCTION("""COMPUTED_VALUE"""),5.70056378706E11)</f>
        <v>570056378706</v>
      </c>
      <c r="E253" s="3" t="str">
        <f>IFERROR(__xludf.DUMMYFUNCTION("""COMPUTED_VALUE""")," মোঃ রবকুল মন্ডল ")</f>
        <v> মোঃ রবকুল মন্ডল </v>
      </c>
      <c r="F253" s="3" t="str">
        <f>IFERROR(__xludf.DUMMYFUNCTION("""COMPUTED_VALUE""")," মোছাঃ হাজেরা খাতুন ")</f>
        <v> মোছাঃ হাজেরা খাতুন </v>
      </c>
      <c r="G253" s="3" t="str">
        <f>IFERROR(__xludf.DUMMYFUNCTION("""COMPUTED_VALUE""")," ০৯/০৮/১৯৭৭ ")</f>
        <v> ০৯/০৮/১৯৭৭ </v>
      </c>
      <c r="H253" s="3" t="str">
        <f>IFERROR(__xludf.DUMMYFUNCTION("""COMPUTED_VALUE""")," কৃষক ")</f>
        <v> কৃষক </v>
      </c>
      <c r="I253" s="3" t="str">
        <f>IFERROR(__xludf.DUMMYFUNCTION("""COMPUTED_VALUE""")," জালতকা, গাংনী, মেহেরপুর ")</f>
        <v> জালতকা, গাংনী, মেহেরপুর </v>
      </c>
    </row>
    <row r="254" ht="15.75" customHeight="1">
      <c r="A254" s="3" t="s">
        <v>3385</v>
      </c>
      <c r="B254" s="3">
        <f>IFERROR(__xludf.DUMMYFUNCTION("SPLIT(A254,""|"")"),424.0)</f>
        <v>424</v>
      </c>
      <c r="C254" s="3" t="str">
        <f>IFERROR(__xludf.DUMMYFUNCTION("""COMPUTED_VALUE""")," মোঃ মিকাইল হোসেন ")</f>
        <v> মোঃ মিকাইল হোসেন </v>
      </c>
      <c r="D254" s="3">
        <f>IFERROR(__xludf.DUMMYFUNCTION("""COMPUTED_VALUE"""),5.70056378707E11)</f>
        <v>570056378707</v>
      </c>
      <c r="E254" s="3" t="str">
        <f>IFERROR(__xludf.DUMMYFUNCTION("""COMPUTED_VALUE""")," মোঃ গঞ্জর আলী ")</f>
        <v> মোঃ গঞ্জর আলী </v>
      </c>
      <c r="F254" s="3" t="str">
        <f>IFERROR(__xludf.DUMMYFUNCTION("""COMPUTED_VALUE""")," মোছাঃ জুলেখা খাতুন ")</f>
        <v> মোছাঃ জুলেখা খাতুন </v>
      </c>
      <c r="G254" s="3" t="str">
        <f>IFERROR(__xludf.DUMMYFUNCTION("""COMPUTED_VALUE""")," ০৮/০৬/১৯৮৮ ")</f>
        <v> ০৮/০৬/১৯৮৮ </v>
      </c>
      <c r="H254" s="3" t="str">
        <f>IFERROR(__xludf.DUMMYFUNCTION("""COMPUTED_VALUE""")," কৃষক ")</f>
        <v> কৃষক </v>
      </c>
      <c r="I254" s="3" t="str">
        <f>IFERROR(__xludf.DUMMYFUNCTION("""COMPUTED_VALUE""")," জালতকা, গাংনী, মেহেরপুর ")</f>
        <v> জালতকা, গাংনী, মেহেরপুর </v>
      </c>
    </row>
    <row r="255" ht="15.75" customHeight="1">
      <c r="A255" s="3" t="s">
        <v>3386</v>
      </c>
      <c r="B255" s="3">
        <f>IFERROR(__xludf.DUMMYFUNCTION("SPLIT(A255,""|"")"),425.0)</f>
        <v>425</v>
      </c>
      <c r="C255" s="3" t="str">
        <f>IFERROR(__xludf.DUMMYFUNCTION("""COMPUTED_VALUE""")," মোঃ রবকুল সর্দার ")</f>
        <v> মোঃ রবকুল সর্দার </v>
      </c>
      <c r="D255" s="3">
        <f>IFERROR(__xludf.DUMMYFUNCTION("""COMPUTED_VALUE"""),5.70056378708E11)</f>
        <v>570056378708</v>
      </c>
      <c r="E255" s="3" t="str">
        <f>IFERROR(__xludf.DUMMYFUNCTION("""COMPUTED_VALUE""")," লুৎফল সর্দার ")</f>
        <v> লুৎফল সর্দার </v>
      </c>
      <c r="F255" s="3" t="str">
        <f>IFERROR(__xludf.DUMMYFUNCTION("""COMPUTED_VALUE""")," মহিরন নেছা ")</f>
        <v> মহিরন নেছা </v>
      </c>
      <c r="G255" s="3" t="str">
        <f>IFERROR(__xludf.DUMMYFUNCTION("""COMPUTED_VALUE""")," ০৯/০৬/১৯৩৭ ")</f>
        <v> ০৯/০৬/১৯৩৭ </v>
      </c>
      <c r="H255" s="3" t="str">
        <f>IFERROR(__xludf.DUMMYFUNCTION("""COMPUTED_VALUE""")," কৃষক ")</f>
        <v> কৃষক </v>
      </c>
      <c r="I255" s="3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56" ht="15.75" customHeight="1">
      <c r="A256" s="3" t="s">
        <v>3387</v>
      </c>
      <c r="B256" s="3">
        <f>IFERROR(__xludf.DUMMYFUNCTION("SPLIT(A256,""|"")"),426.0)</f>
        <v>426</v>
      </c>
      <c r="C256" s="3" t="str">
        <f>IFERROR(__xludf.DUMMYFUNCTION("""COMPUTED_VALUE""")," মোঃ ইসরাঈল হোসেন ")</f>
        <v> মোঃ ইসরাঈল হোসেন </v>
      </c>
      <c r="D256" s="3">
        <f>IFERROR(__xludf.DUMMYFUNCTION("""COMPUTED_VALUE"""),5.70056378709E11)</f>
        <v>570056378709</v>
      </c>
      <c r="E256" s="3" t="str">
        <f>IFERROR(__xludf.DUMMYFUNCTION("""COMPUTED_VALUE""")," মোঃ গনজর আলী ")</f>
        <v> মোঃ গনজর আলী </v>
      </c>
      <c r="F256" s="3" t="str">
        <f>IFERROR(__xludf.DUMMYFUNCTION("""COMPUTED_VALUE""")," মোছাঃ জালেমা খাতুন ")</f>
        <v> মোছাঃ জালেমা খাতুন </v>
      </c>
      <c r="G256" s="3" t="str">
        <f>IFERROR(__xludf.DUMMYFUNCTION("""COMPUTED_VALUE""")," ১২/১১/১৯৮০ ")</f>
        <v> ১২/১১/১৯৮০ </v>
      </c>
      <c r="H256" s="3" t="str">
        <f>IFERROR(__xludf.DUMMYFUNCTION("""COMPUTED_VALUE""")," কৃষক ")</f>
        <v> কৃষক </v>
      </c>
      <c r="I256" s="3" t="str">
        <f>IFERROR(__xludf.DUMMYFUNCTION("""COMPUTED_VALUE""")," জালতকা বালিয়া পাড়া, কসবা, গাংনী, মেহেরপুর ")</f>
        <v> জালতকা বালিয়া পাড়া, কসবা, গাংনী, মেহেরপুর </v>
      </c>
    </row>
    <row r="257" ht="15.75" customHeight="1">
      <c r="A257" s="3" t="s">
        <v>3388</v>
      </c>
      <c r="B257" s="3">
        <f>IFERROR(__xludf.DUMMYFUNCTION("SPLIT(A257,""|"")"),427.0)</f>
        <v>427</v>
      </c>
      <c r="C257" s="3" t="str">
        <f>IFERROR(__xludf.DUMMYFUNCTION("""COMPUTED_VALUE""")," মোঃ মতিয়ার রহমান ")</f>
        <v> মোঃ মতিয়ার রহমান </v>
      </c>
      <c r="D257" s="3">
        <f>IFERROR(__xludf.DUMMYFUNCTION("""COMPUTED_VALUE"""),5.70056378712E11)</f>
        <v>570056378712</v>
      </c>
      <c r="E257" s="3" t="str">
        <f>IFERROR(__xludf.DUMMYFUNCTION("""COMPUTED_VALUE""")," মোঃ আঃ রহিম ")</f>
        <v> মোঃ আঃ রহিম </v>
      </c>
      <c r="F257" s="3" t="str">
        <f>IFERROR(__xludf.DUMMYFUNCTION("""COMPUTED_VALUE""")," মোছাঃ তকিরন ")</f>
        <v> মোছাঃ তকিরন </v>
      </c>
      <c r="G257" s="3" t="str">
        <f>IFERROR(__xludf.DUMMYFUNCTION("""COMPUTED_VALUE""")," ০৭/০৪/১৯৮২ ")</f>
        <v> ০৭/০৪/১৯৮২ </v>
      </c>
      <c r="H257" s="3" t="str">
        <f>IFERROR(__xludf.DUMMYFUNCTION("""COMPUTED_VALUE""")," কৃষক ")</f>
        <v> কৃষক </v>
      </c>
      <c r="I257" s="3" t="str">
        <f>IFERROR(__xludf.DUMMYFUNCTION("""COMPUTED_VALUE""")," জালতকা, গাংনী, মেহেরপুর ")</f>
        <v> জালতকা, গাংনী, মেহেরপুর </v>
      </c>
    </row>
    <row r="258" ht="15.75" customHeight="1">
      <c r="A258" s="3" t="s">
        <v>3389</v>
      </c>
      <c r="B258" s="3">
        <f>IFERROR(__xludf.DUMMYFUNCTION("SPLIT(A258,""|"")"),428.0)</f>
        <v>428</v>
      </c>
      <c r="C258" s="3" t="str">
        <f>IFERROR(__xludf.DUMMYFUNCTION("""COMPUTED_VALUE""")," মোঃ বাদল আলী ")</f>
        <v> মোঃ বাদল আলী </v>
      </c>
      <c r="D258" s="3">
        <f>IFERROR(__xludf.DUMMYFUNCTION("""COMPUTED_VALUE"""),5.70056378721E11)</f>
        <v>570056378721</v>
      </c>
      <c r="E258" s="3" t="str">
        <f>IFERROR(__xludf.DUMMYFUNCTION("""COMPUTED_VALUE""")," আকবার আলী ")</f>
        <v> আকবার আলী </v>
      </c>
      <c r="F258" s="3" t="str">
        <f>IFERROR(__xludf.DUMMYFUNCTION("""COMPUTED_VALUE""")," রায়মন ")</f>
        <v> রায়মন </v>
      </c>
      <c r="G258" s="3" t="str">
        <f>IFERROR(__xludf.DUMMYFUNCTION("""COMPUTED_VALUE""")," ১১/০৮/১৯৬৭ ")</f>
        <v> ১১/০৮/১৯৬৭ </v>
      </c>
      <c r="H258" s="3" t="str">
        <f>IFERROR(__xludf.DUMMYFUNCTION("""COMPUTED_VALUE""")," কৃষক ")</f>
        <v> কৃষক </v>
      </c>
      <c r="I258" s="3" t="str">
        <f>IFERROR(__xludf.DUMMYFUNCTION("""COMPUTED_VALUE""")," জালতকা বালিয়া পাড়া, কসবা, গাংনী, মেহেরপুর ")</f>
        <v> জালতকা বালিয়া পাড়া, কসবা, গাংনী, মেহেরপুর </v>
      </c>
    </row>
    <row r="259" ht="15.75" customHeight="1">
      <c r="A259" s="3" t="s">
        <v>3390</v>
      </c>
      <c r="B259" s="3">
        <f>IFERROR(__xludf.DUMMYFUNCTION("SPLIT(A259,""|"")"),429.0)</f>
        <v>429</v>
      </c>
      <c r="C259" s="3" t="str">
        <f>IFERROR(__xludf.DUMMYFUNCTION("""COMPUTED_VALUE""")," মাইগ্রেট হয়েছে ")</f>
        <v> মাইগ্রেট হয়েছে </v>
      </c>
      <c r="D259" s="3" t="str">
        <f>IFERROR(__xludf.DUMMYFUNCTION("""COMPUTED_VALUE"""),"  ")</f>
        <v>  </v>
      </c>
      <c r="E259" s="3" t="str">
        <f>IFERROR(__xludf.DUMMYFUNCTION("""COMPUTED_VALUE"""),"  ")</f>
        <v>  </v>
      </c>
      <c r="F259" s="3" t="str">
        <f>IFERROR(__xludf.DUMMYFUNCTION("""COMPUTED_VALUE"""),"  ")</f>
        <v>  </v>
      </c>
      <c r="G259" s="3" t="str">
        <f>IFERROR(__xludf.DUMMYFUNCTION("""COMPUTED_VALUE"""),"  ")</f>
        <v>  </v>
      </c>
      <c r="H259" s="3" t="str">
        <f>IFERROR(__xludf.DUMMYFUNCTION("""COMPUTED_VALUE"""),"  ")</f>
        <v>  </v>
      </c>
      <c r="I259" s="3" t="str">
        <f>IFERROR(__xludf.DUMMYFUNCTION("""COMPUTED_VALUE"""),"  ")</f>
        <v>  </v>
      </c>
    </row>
    <row r="260" ht="15.75" customHeight="1">
      <c r="A260" s="3" t="s">
        <v>3138</v>
      </c>
      <c r="B260" s="3" t="str">
        <f>IFERROR(__xludf.DUMMYFUNCTION("SPLIT(A260,""|"")")," ক্রমিক নং ")</f>
        <v> ক্রমিক নং </v>
      </c>
      <c r="C260" s="3" t="str">
        <f>IFERROR(__xludf.DUMMYFUNCTION("""COMPUTED_VALUE""")," নাম ")</f>
        <v> নাম </v>
      </c>
      <c r="D260" s="3" t="str">
        <f>IFERROR(__xludf.DUMMYFUNCTION("""COMPUTED_VALUE""")," ভোটার নং ")</f>
        <v> ভোটার নং </v>
      </c>
      <c r="E260" s="3" t="str">
        <f>IFERROR(__xludf.DUMMYFUNCTION("""COMPUTED_VALUE""")," পিতা ")</f>
        <v> পিতা </v>
      </c>
      <c r="F260" s="3" t="str">
        <f>IFERROR(__xludf.DUMMYFUNCTION("""COMPUTED_VALUE""")," মাতা ")</f>
        <v> মাতা </v>
      </c>
      <c r="G260" s="3" t="str">
        <f>IFERROR(__xludf.DUMMYFUNCTION("""COMPUTED_VALUE""")," জন্ম তারিখ ")</f>
        <v> জন্ম তারিখ </v>
      </c>
      <c r="H260" s="3" t="str">
        <f>IFERROR(__xludf.DUMMYFUNCTION("""COMPUTED_VALUE""")," পেশা ")</f>
        <v> পেশা </v>
      </c>
      <c r="I260" s="3" t="str">
        <f>IFERROR(__xludf.DUMMYFUNCTION("""COMPUTED_VALUE""")," ঠিকানা ")</f>
        <v> ঠিকানা </v>
      </c>
    </row>
    <row r="261" ht="15.75" customHeight="1">
      <c r="A261" s="3" t="s">
        <v>3139</v>
      </c>
      <c r="B261" s="3" t="str">
        <f>IFERROR(__xludf.DUMMYFUNCTION("SPLIT(A261,""|"")"),"---")</f>
        <v>---</v>
      </c>
      <c r="C261" s="3" t="str">
        <f>IFERROR(__xludf.DUMMYFUNCTION("""COMPUTED_VALUE"""),"---")</f>
        <v>---</v>
      </c>
      <c r="D261" s="3" t="str">
        <f>IFERROR(__xludf.DUMMYFUNCTION("""COMPUTED_VALUE"""),"---")</f>
        <v>---</v>
      </c>
      <c r="E261" s="3" t="str">
        <f>IFERROR(__xludf.DUMMYFUNCTION("""COMPUTED_VALUE"""),"---")</f>
        <v>---</v>
      </c>
      <c r="F261" s="3" t="str">
        <f>IFERROR(__xludf.DUMMYFUNCTION("""COMPUTED_VALUE"""),"---")</f>
        <v>---</v>
      </c>
      <c r="G261" s="3" t="str">
        <f>IFERROR(__xludf.DUMMYFUNCTION("""COMPUTED_VALUE"""),"---")</f>
        <v>---</v>
      </c>
      <c r="H261" s="3" t="str">
        <f>IFERROR(__xludf.DUMMYFUNCTION("""COMPUTED_VALUE"""),"---")</f>
        <v>---</v>
      </c>
      <c r="I261" s="3" t="str">
        <f>IFERROR(__xludf.DUMMYFUNCTION("""COMPUTED_VALUE"""),"---")</f>
        <v>---</v>
      </c>
    </row>
    <row r="262" ht="15.75" customHeight="1">
      <c r="A262" s="3" t="s">
        <v>3391</v>
      </c>
      <c r="B262" s="3">
        <f>IFERROR(__xludf.DUMMYFUNCTION("SPLIT(A262,""|"")"),430.0)</f>
        <v>430</v>
      </c>
      <c r="C262" s="3" t="str">
        <f>IFERROR(__xludf.DUMMYFUNCTION("""COMPUTED_VALUE""")," মোঃ কামরুল হোসেন ")</f>
        <v> মোঃ কামরুল হোসেন </v>
      </c>
      <c r="D262" s="3">
        <f>IFERROR(__xludf.DUMMYFUNCTION("""COMPUTED_VALUE"""),5.70056378725E11)</f>
        <v>570056378725</v>
      </c>
      <c r="E262" s="3" t="str">
        <f>IFERROR(__xludf.DUMMYFUNCTION("""COMPUTED_VALUE""")," মোঃ আক্কেল আলী ")</f>
        <v> মোঃ আক্কেল আলী </v>
      </c>
      <c r="F262" s="3" t="str">
        <f>IFERROR(__xludf.DUMMYFUNCTION("""COMPUTED_VALUE""")," মোছাঃ হাছিনা খাতুন ")</f>
        <v> মোছাঃ হাছিনা খাতুন </v>
      </c>
      <c r="G262" s="3" t="str">
        <f>IFERROR(__xludf.DUMMYFUNCTION("""COMPUTED_VALUE""")," ২৫/০৪/১৯৭৬ ")</f>
        <v> ২৫/০৪/১৯৭৬ </v>
      </c>
      <c r="H262" s="3" t="str">
        <f>IFERROR(__xludf.DUMMYFUNCTION("""COMPUTED_VALUE""")," কৃষক ")</f>
        <v> কৃষক </v>
      </c>
      <c r="I262" s="3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63" ht="15.75" customHeight="1">
      <c r="A263" s="3" t="s">
        <v>3392</v>
      </c>
      <c r="B263" s="3">
        <f>IFERROR(__xludf.DUMMYFUNCTION("SPLIT(A263,""|"")"),431.0)</f>
        <v>431</v>
      </c>
      <c r="C263" s="3" t="str">
        <f>IFERROR(__xludf.DUMMYFUNCTION("""COMPUTED_VALUE""")," নাম: মোঃ আব্বাস আলী ")</f>
        <v> নাম: মোঃ আব্বাস আলী </v>
      </c>
      <c r="D263" s="3">
        <f>IFERROR(__xludf.DUMMYFUNCTION("""COMPUTED_VALUE"""),5.70056378729E11)</f>
        <v>570056378729</v>
      </c>
      <c r="E263" s="3" t="str">
        <f>IFERROR(__xludf.DUMMYFUNCTION("""COMPUTED_VALUE""")," মোঃ ইব্রাহিম ")</f>
        <v> মোঃ ইব্রাহিম </v>
      </c>
      <c r="F263" s="3" t="str">
        <f>IFERROR(__xludf.DUMMYFUNCTION("""COMPUTED_VALUE""")," শহিদা খাতুন ")</f>
        <v> শহিদা খাতুন </v>
      </c>
      <c r="G263" s="3" t="str">
        <f>IFERROR(__xludf.DUMMYFUNCTION("""COMPUTED_VALUE""")," ১১/০১/১৯৬৩ ")</f>
        <v> ১১/০১/১৯৬৩ </v>
      </c>
      <c r="H263" s="3" t="str">
        <f>IFERROR(__xludf.DUMMYFUNCTION("""COMPUTED_VALUE""")," কৃষক ")</f>
        <v> কৃষক </v>
      </c>
      <c r="I263" s="3" t="str">
        <f>IFERROR(__xludf.DUMMYFUNCTION("""COMPUTED_VALUE""")," জালতকা বালিয়া পাড়া, কসবা, গাংনী, মেহেরপুর ")</f>
        <v> জালতকা বালিয়া পাড়া, কসবা, গাংনী, মেহেরপুর </v>
      </c>
    </row>
    <row r="264" ht="15.75" customHeight="1">
      <c r="A264" s="3" t="s">
        <v>3393</v>
      </c>
      <c r="B264" s="3">
        <f>IFERROR(__xludf.DUMMYFUNCTION("SPLIT(A264,""|"")"),432.0)</f>
        <v>432</v>
      </c>
      <c r="C264" s="3" t="str">
        <f>IFERROR(__xludf.DUMMYFUNCTION("""COMPUTED_VALUE""")," নাম: মোঃ ইয়াছিন আলী ")</f>
        <v> নাম: মোঃ ইয়াছিন আলী </v>
      </c>
      <c r="D264" s="3">
        <f>IFERROR(__xludf.DUMMYFUNCTION("""COMPUTED_VALUE"""),5.70056378732E11)</f>
        <v>570056378732</v>
      </c>
      <c r="E264" s="3" t="str">
        <f>IFERROR(__xludf.DUMMYFUNCTION("""COMPUTED_VALUE""")," হানিফ আলী ")</f>
        <v> হানিফ আলী </v>
      </c>
      <c r="F264" s="3" t="str">
        <f>IFERROR(__xludf.DUMMYFUNCTION("""COMPUTED_VALUE""")," মোছাঃ বানু খাতুন ")</f>
        <v> মোছাঃ বানু খাতুন </v>
      </c>
      <c r="G264" s="3" t="str">
        <f>IFERROR(__xludf.DUMMYFUNCTION("""COMPUTED_VALUE""")," ০২/০১/১৯৭৭ ")</f>
        <v> ০২/০১/১৯৭৭ </v>
      </c>
      <c r="H264" s="3" t="str">
        <f>IFERROR(__xludf.DUMMYFUNCTION("""COMPUTED_VALUE""")," কৃষক ")</f>
        <v> কৃষক </v>
      </c>
      <c r="I264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65" ht="15.75" customHeight="1">
      <c r="A265" s="3" t="s">
        <v>3394</v>
      </c>
      <c r="B265" s="3">
        <f>IFERROR(__xludf.DUMMYFUNCTION("SPLIT(A265,""|"")"),433.0)</f>
        <v>433</v>
      </c>
      <c r="C265" s="3" t="str">
        <f>IFERROR(__xludf.DUMMYFUNCTION("""COMPUTED_VALUE""")," মোঃ ইকলাস আলী ")</f>
        <v> মোঃ ইকলাস আলী </v>
      </c>
      <c r="D265" s="3">
        <f>IFERROR(__xludf.DUMMYFUNCTION("""COMPUTED_VALUE"""),5.70056378735E11)</f>
        <v>570056378735</v>
      </c>
      <c r="E265" s="3" t="str">
        <f>IFERROR(__xludf.DUMMYFUNCTION("""COMPUTED_VALUE""")," মোঃ ছাদিমান ")</f>
        <v> মোঃ ছাদিমান </v>
      </c>
      <c r="F265" s="3" t="str">
        <f>IFERROR(__xludf.DUMMYFUNCTION("""COMPUTED_VALUE""")," মোছাঃ শাহানারা ")</f>
        <v> মোছাঃ শাহানারা </v>
      </c>
      <c r="G265" s="3" t="str">
        <f>IFERROR(__xludf.DUMMYFUNCTION("""COMPUTED_VALUE""")," ০৩/০২/১৯৮৩ ")</f>
        <v> ০৩/০২/১৯৮৩ </v>
      </c>
      <c r="H265" s="3" t="str">
        <f>IFERROR(__xludf.DUMMYFUNCTION("""COMPUTED_VALUE""")," কৃষক ")</f>
        <v> কৃষক </v>
      </c>
      <c r="I265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66" ht="15.75" customHeight="1">
      <c r="A266" s="3" t="s">
        <v>3395</v>
      </c>
      <c r="B266" s="3">
        <f>IFERROR(__xludf.DUMMYFUNCTION("SPLIT(A266,""|"")"),434.0)</f>
        <v>434</v>
      </c>
      <c r="C266" s="3" t="str">
        <f>IFERROR(__xludf.DUMMYFUNCTION("""COMPUTED_VALUE""")," মোঃ ইব্রাহীম আলী ")</f>
        <v> মোঃ ইব্রাহীম আলী </v>
      </c>
      <c r="D266" s="3">
        <f>IFERROR(__xludf.DUMMYFUNCTION("""COMPUTED_VALUE"""),5.70056378738E11)</f>
        <v>570056378738</v>
      </c>
      <c r="E266" s="3" t="str">
        <f>IFERROR(__xludf.DUMMYFUNCTION("""COMPUTED_VALUE""")," শামসুদ্দীন মোল্লাহ ")</f>
        <v> শামসুদ্দীন মোল্লাহ </v>
      </c>
      <c r="F266" s="3" t="str">
        <f>IFERROR(__xludf.DUMMYFUNCTION("""COMPUTED_VALUE""")," মোছাঃ রুবিয়া খাতুন ")</f>
        <v> মোছাঃ রুবিয়া খাতুন </v>
      </c>
      <c r="G266" s="3" t="str">
        <f>IFERROR(__xludf.DUMMYFUNCTION("""COMPUTED_VALUE""")," ০৮/০৬/১৯৬১ ")</f>
        <v> ০৮/০৬/১৯৬১ </v>
      </c>
      <c r="H266" s="3" t="str">
        <f>IFERROR(__xludf.DUMMYFUNCTION("""COMPUTED_VALUE""")," কৃষক ")</f>
        <v> কৃষক </v>
      </c>
      <c r="I266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67" ht="15.75" customHeight="1">
      <c r="A267" s="3" t="s">
        <v>3396</v>
      </c>
      <c r="B267" s="3">
        <f>IFERROR(__xludf.DUMMYFUNCTION("SPLIT(A267,""|"")"),435.0)</f>
        <v>435</v>
      </c>
      <c r="C267" s="3" t="str">
        <f>IFERROR(__xludf.DUMMYFUNCTION("""COMPUTED_VALUE""")," মোঃ ইয়াদুল হক ")</f>
        <v> মোঃ ইয়াদুল হক </v>
      </c>
      <c r="D267" s="3">
        <f>IFERROR(__xludf.DUMMYFUNCTION("""COMPUTED_VALUE"""),5.70056378739E11)</f>
        <v>570056378739</v>
      </c>
      <c r="E267" s="3" t="str">
        <f>IFERROR(__xludf.DUMMYFUNCTION("""COMPUTED_VALUE""")," মোঃ জয়নাল আবেদিন ")</f>
        <v> মোঃ জয়নাল আবেদিন </v>
      </c>
      <c r="F267" s="3" t="str">
        <f>IFERROR(__xludf.DUMMYFUNCTION("""COMPUTED_VALUE""")," রইমন খাতুন ")</f>
        <v> রইমন খাতুন </v>
      </c>
      <c r="G267" s="3" t="str">
        <f>IFERROR(__xludf.DUMMYFUNCTION("""COMPUTED_VALUE""")," ০১/০১/১৯৭৪ ")</f>
        <v> ০১/০১/১৯৭৪ </v>
      </c>
      <c r="H267" s="3" t="str">
        <f>IFERROR(__xludf.DUMMYFUNCTION("""COMPUTED_VALUE""")," কৃষক ")</f>
        <v> কৃষক </v>
      </c>
      <c r="I267" s="3" t="str">
        <f>IFERROR(__xludf.DUMMYFUNCTION("""COMPUTED_VALUE""")," জালতকা, গাংনী, মেহেরপুর ")</f>
        <v> জালতকা, গাংনী, মেহেরপুর </v>
      </c>
    </row>
    <row r="268" ht="15.75" customHeight="1">
      <c r="A268" s="3" t="s">
        <v>3397</v>
      </c>
      <c r="B268" s="3">
        <f>IFERROR(__xludf.DUMMYFUNCTION("SPLIT(A268,""|"")"),436.0)</f>
        <v>436</v>
      </c>
      <c r="C268" s="3" t="str">
        <f>IFERROR(__xludf.DUMMYFUNCTION("""COMPUTED_VALUE""")," মোঃ রতিয়ার রহমান ")</f>
        <v> মোঃ রতিয়ার রহমান </v>
      </c>
      <c r="D268" s="3">
        <f>IFERROR(__xludf.DUMMYFUNCTION("""COMPUTED_VALUE"""),5.70056378744E11)</f>
        <v>570056378744</v>
      </c>
      <c r="E268" s="3" t="str">
        <f>IFERROR(__xludf.DUMMYFUNCTION("""COMPUTED_VALUE""")," আঃ রহিম ")</f>
        <v> আঃ রহিম </v>
      </c>
      <c r="F268" s="3" t="str">
        <f>IFERROR(__xludf.DUMMYFUNCTION("""COMPUTED_VALUE""")," মোছাঃ রোকিয়া খাতুন ")</f>
        <v> মোছাঃ রোকিয়া খাতুন </v>
      </c>
      <c r="G268" s="3" t="str">
        <f>IFERROR(__xludf.DUMMYFUNCTION("""COMPUTED_VALUE""")," ০৬/০৮/১৯৭৩ ")</f>
        <v> ০৬/০৮/১৯৭৩ </v>
      </c>
      <c r="H268" s="3" t="str">
        <f>IFERROR(__xludf.DUMMYFUNCTION("""COMPUTED_VALUE""")," কৃষক ")</f>
        <v> কৃষক </v>
      </c>
      <c r="I268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69" ht="15.75" customHeight="1">
      <c r="A269" s="3" t="s">
        <v>3398</v>
      </c>
      <c r="B269" s="3">
        <f>IFERROR(__xludf.DUMMYFUNCTION("SPLIT(A269,""|"")"),437.0)</f>
        <v>437</v>
      </c>
      <c r="C269" s="3" t="str">
        <f>IFERROR(__xludf.DUMMYFUNCTION("""COMPUTED_VALUE""")," মাইগ্রেট হয়েছে ")</f>
        <v> মাইগ্রেট হয়েছে </v>
      </c>
      <c r="D269" s="3" t="str">
        <f>IFERROR(__xludf.DUMMYFUNCTION("""COMPUTED_VALUE"""),"  ")</f>
        <v>  </v>
      </c>
      <c r="E269" s="3" t="str">
        <f>IFERROR(__xludf.DUMMYFUNCTION("""COMPUTED_VALUE"""),"  ")</f>
        <v>  </v>
      </c>
      <c r="F269" s="3" t="str">
        <f>IFERROR(__xludf.DUMMYFUNCTION("""COMPUTED_VALUE"""),"  ")</f>
        <v>  </v>
      </c>
      <c r="G269" s="3" t="str">
        <f>IFERROR(__xludf.DUMMYFUNCTION("""COMPUTED_VALUE"""),"  ")</f>
        <v>  </v>
      </c>
      <c r="H269" s="3" t="str">
        <f>IFERROR(__xludf.DUMMYFUNCTION("""COMPUTED_VALUE"""),"  ")</f>
        <v>  </v>
      </c>
      <c r="I269" s="3" t="str">
        <f>IFERROR(__xludf.DUMMYFUNCTION("""COMPUTED_VALUE"""),"  ")</f>
        <v>  </v>
      </c>
    </row>
    <row r="270" ht="15.75" customHeight="1">
      <c r="A270" s="3" t="s">
        <v>3399</v>
      </c>
      <c r="B270" s="3">
        <f>IFERROR(__xludf.DUMMYFUNCTION("SPLIT(A270,""|"")"),438.0)</f>
        <v>438</v>
      </c>
      <c r="C270" s="3" t="str">
        <f>IFERROR(__xludf.DUMMYFUNCTION("""COMPUTED_VALUE""")," মোঃ ইয়ার আলী ")</f>
        <v> মোঃ ইয়ার আলী </v>
      </c>
      <c r="D270" s="3">
        <f>IFERROR(__xludf.DUMMYFUNCTION("""COMPUTED_VALUE"""),5.70056378748E11)</f>
        <v>570056378748</v>
      </c>
      <c r="E270" s="3" t="str">
        <f>IFERROR(__xludf.DUMMYFUNCTION("""COMPUTED_VALUE""")," মোঃ দেলবার হোসেন ")</f>
        <v> মোঃ দেলবার হোসেন </v>
      </c>
      <c r="F270" s="3" t="str">
        <f>IFERROR(__xludf.DUMMYFUNCTION("""COMPUTED_VALUE""")," রইমন নেছা ")</f>
        <v> রইমন নেছা </v>
      </c>
      <c r="G270" s="3" t="str">
        <f>IFERROR(__xludf.DUMMYFUNCTION("""COMPUTED_VALUE""")," ০৫/১২/১৯৭৭ ")</f>
        <v> ০৫/১২/১৯৭৭ </v>
      </c>
      <c r="H270" s="3" t="str">
        <f>IFERROR(__xludf.DUMMYFUNCTION("""COMPUTED_VALUE""")," কৃষক ")</f>
        <v> কৃষক </v>
      </c>
      <c r="I270" s="3" t="str">
        <f>IFERROR(__xludf.DUMMYFUNCTION("""COMPUTED_VALUE""")," জালতকা, গাংনী, মেহেরপুর ")</f>
        <v> জালতকা, গাংনী, মেহেরপুর </v>
      </c>
    </row>
    <row r="271" ht="15.75" customHeight="1">
      <c r="A271" s="3" t="s">
        <v>3400</v>
      </c>
      <c r="B271" s="3">
        <f>IFERROR(__xludf.DUMMYFUNCTION("SPLIT(A271,""|"")"),439.0)</f>
        <v>439</v>
      </c>
      <c r="C271" s="3" t="str">
        <f>IFERROR(__xludf.DUMMYFUNCTION("""COMPUTED_VALUE""")," মোঃ শাহজাহান ")</f>
        <v> মোঃ শাহজাহান </v>
      </c>
      <c r="D271" s="3">
        <f>IFERROR(__xludf.DUMMYFUNCTION("""COMPUTED_VALUE"""),5.7005637875E11)</f>
        <v>570056378750</v>
      </c>
      <c r="E271" s="3" t="str">
        <f>IFERROR(__xludf.DUMMYFUNCTION("""COMPUTED_VALUE""")," মোঃ মসলেম আলী ")</f>
        <v> মোঃ মসলেম আলী </v>
      </c>
      <c r="F271" s="3" t="str">
        <f>IFERROR(__xludf.DUMMYFUNCTION("""COMPUTED_VALUE""")," মোছাঃ আনোয়ারা ")</f>
        <v> মোছাঃ আনোয়ারা </v>
      </c>
      <c r="G271" s="3" t="str">
        <f>IFERROR(__xludf.DUMMYFUNCTION("""COMPUTED_VALUE""")," ০৮/০৫/১৯৭৫ ")</f>
        <v> ০৮/০৫/১৯৭৫ </v>
      </c>
      <c r="H271" s="3" t="str">
        <f>IFERROR(__xludf.DUMMYFUNCTION("""COMPUTED_VALUE""")," কৃষক ")</f>
        <v> কৃষক </v>
      </c>
      <c r="I271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72" ht="15.75" customHeight="1">
      <c r="A272" s="3" t="s">
        <v>3401</v>
      </c>
      <c r="B272" s="3">
        <f>IFERROR(__xludf.DUMMYFUNCTION("SPLIT(A272,""|"")"),440.0)</f>
        <v>440</v>
      </c>
      <c r="C272" s="3" t="str">
        <f>IFERROR(__xludf.DUMMYFUNCTION("""COMPUTED_VALUE""")," মোঃ রমছদ্দীন মন্ডল ")</f>
        <v> মোঃ রমছদ্দীন মন্ডল </v>
      </c>
      <c r="D272" s="3">
        <f>IFERROR(__xludf.DUMMYFUNCTION("""COMPUTED_VALUE"""),5.70056378751E11)</f>
        <v>570056378751</v>
      </c>
      <c r="E272" s="3" t="str">
        <f>IFERROR(__xludf.DUMMYFUNCTION("""COMPUTED_VALUE""")," আমালত মন্ডল ")</f>
        <v> আমালত মন্ডল </v>
      </c>
      <c r="F272" s="3" t="str">
        <f>IFERROR(__xludf.DUMMYFUNCTION("""COMPUTED_VALUE""")," মোছাঃ করিমন নেছা ")</f>
        <v> মোছাঃ করিমন নেছা </v>
      </c>
      <c r="G272" s="3" t="str">
        <f>IFERROR(__xludf.DUMMYFUNCTION("""COMPUTED_VALUE""")," ২২/১২/১৯৫৭ ")</f>
        <v> ২২/১২/১৯৫৭ </v>
      </c>
      <c r="H272" s="3" t="str">
        <f>IFERROR(__xludf.DUMMYFUNCTION("""COMPUTED_VALUE""")," কৃষক ")</f>
        <v> কৃষক </v>
      </c>
      <c r="I272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73" ht="15.75" customHeight="1">
      <c r="A273" s="3" t="s">
        <v>3402</v>
      </c>
      <c r="B273" s="3">
        <f>IFERROR(__xludf.DUMMYFUNCTION("SPLIT(A273,""|"")"),441.0)</f>
        <v>441</v>
      </c>
      <c r="C273" s="3" t="str">
        <f>IFERROR(__xludf.DUMMYFUNCTION("""COMPUTED_VALUE""")," মোঃ বাবলু আলী ")</f>
        <v> মোঃ বাবলু আলী </v>
      </c>
      <c r="D273" s="3">
        <f>IFERROR(__xludf.DUMMYFUNCTION("""COMPUTED_VALUE"""),5.70056378755E11)</f>
        <v>570056378755</v>
      </c>
      <c r="E273" s="3" t="str">
        <f>IFERROR(__xludf.DUMMYFUNCTION("""COMPUTED_VALUE""")," মোঃ রতন মন্ডল ")</f>
        <v> মোঃ রতন মন্ডল </v>
      </c>
      <c r="F273" s="3" t="str">
        <f>IFERROR(__xludf.DUMMYFUNCTION("""COMPUTED_VALUE""")," মোছাঃ তরিছন নেছা ")</f>
        <v> মোছাঃ তরিছন নেছা </v>
      </c>
      <c r="G273" s="3" t="str">
        <f>IFERROR(__xludf.DUMMYFUNCTION("""COMPUTED_VALUE""")," ২২/০৭/১৯৮০ ")</f>
        <v> ২২/০৭/১৯৮০ </v>
      </c>
      <c r="H273" s="3" t="str">
        <f>IFERROR(__xludf.DUMMYFUNCTION("""COMPUTED_VALUE""")," কৃষক ")</f>
        <v> কৃষক </v>
      </c>
      <c r="I273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74" ht="15.75" customHeight="1">
      <c r="A274" s="3" t="s">
        <v>3403</v>
      </c>
      <c r="B274" s="3">
        <f>IFERROR(__xludf.DUMMYFUNCTION("SPLIT(A274,""|"")"),442.0)</f>
        <v>442</v>
      </c>
      <c r="C274" s="3" t="str">
        <f>IFERROR(__xludf.DUMMYFUNCTION("""COMPUTED_VALUE""")," মোঃ রতন মন্ডল ")</f>
        <v> মোঃ রতন মন্ডল </v>
      </c>
      <c r="D274" s="3">
        <f>IFERROR(__xludf.DUMMYFUNCTION("""COMPUTED_VALUE"""),5.70056378757E11)</f>
        <v>570056378757</v>
      </c>
      <c r="E274" s="3" t="str">
        <f>IFERROR(__xludf.DUMMYFUNCTION("""COMPUTED_VALUE""")," মুজাফ মন্ডল ")</f>
        <v> মুজাফ মন্ডল </v>
      </c>
      <c r="F274" s="3" t="str">
        <f>IFERROR(__xludf.DUMMYFUNCTION("""COMPUTED_VALUE""")," মাহিরন নেছা ")</f>
        <v> মাহিরন নেছা </v>
      </c>
      <c r="G274" s="3" t="str">
        <f>IFERROR(__xludf.DUMMYFUNCTION("""COMPUTED_VALUE""")," ২২/১২/১৯৪৮ ")</f>
        <v> ২২/১২/১৯৪৮ </v>
      </c>
      <c r="H274" s="3" t="str">
        <f>IFERROR(__xludf.DUMMYFUNCTION("""COMPUTED_VALUE""")," কৃষক ")</f>
        <v> কৃষক </v>
      </c>
      <c r="I274" s="3" t="str">
        <f>IFERROR(__xludf.DUMMYFUNCTION("""COMPUTED_VALUE""")," জালতকা, গাংনী, মেহেরপুর ")</f>
        <v> জালতকা, গাংনী, মেহেরপুর </v>
      </c>
    </row>
    <row r="275" ht="15.75" customHeight="1">
      <c r="A275" s="3" t="s">
        <v>3404</v>
      </c>
      <c r="B275" s="3">
        <f>IFERROR(__xludf.DUMMYFUNCTION("SPLIT(A275,""|"")"),443.0)</f>
        <v>443</v>
      </c>
      <c r="C275" s="3" t="str">
        <f>IFERROR(__xludf.DUMMYFUNCTION("""COMPUTED_VALUE""")," মোঃ মহিরক আলী ")</f>
        <v> মোঃ মহিরক আলী </v>
      </c>
      <c r="D275" s="3">
        <f>IFERROR(__xludf.DUMMYFUNCTION("""COMPUTED_VALUE"""),5.70056378759E11)</f>
        <v>570056378759</v>
      </c>
      <c r="E275" s="3" t="str">
        <f>IFERROR(__xludf.DUMMYFUNCTION("""COMPUTED_VALUE""")," আহাম্মাদ মন্ডল ")</f>
        <v> আহাম্মাদ মন্ডল </v>
      </c>
      <c r="F275" s="3" t="str">
        <f>IFERROR(__xludf.DUMMYFUNCTION("""COMPUTED_VALUE""")," মোছাঃ ছুরাতন নেছা ")</f>
        <v> মোছাঃ ছুরাতন নেছা </v>
      </c>
      <c r="G275" s="3" t="str">
        <f>IFERROR(__xludf.DUMMYFUNCTION("""COMPUTED_VALUE""")," ০৯/০১/১৯৭২ ")</f>
        <v> ০৯/০১/১৯৭২ </v>
      </c>
      <c r="H275" s="3" t="str">
        <f>IFERROR(__xludf.DUMMYFUNCTION("""COMPUTED_VALUE""")," কৃষক ")</f>
        <v> কৃষক </v>
      </c>
      <c r="I275" s="3" t="str">
        <f>IFERROR(__xludf.DUMMYFUNCTION("""COMPUTED_VALUE""")," জালতকা, গাংনী, মেহেরপুর ")</f>
        <v> জালতকা, গাংনী, মেহেরপুর </v>
      </c>
    </row>
    <row r="276" ht="15.75" customHeight="1">
      <c r="A276" s="3" t="s">
        <v>3405</v>
      </c>
      <c r="B276" s="3">
        <f>IFERROR(__xludf.DUMMYFUNCTION("SPLIT(A276,""|"")"),444.0)</f>
        <v>444</v>
      </c>
      <c r="C276" s="3" t="str">
        <f>IFERROR(__xludf.DUMMYFUNCTION("""COMPUTED_VALUE""")," মোঃ হাসিবুল ")</f>
        <v> মোঃ হাসিবুল </v>
      </c>
      <c r="D276" s="3">
        <f>IFERROR(__xludf.DUMMYFUNCTION("""COMPUTED_VALUE"""),5.7005637876E11)</f>
        <v>570056378760</v>
      </c>
      <c r="E276" s="3" t="str">
        <f>IFERROR(__xludf.DUMMYFUNCTION("""COMPUTED_VALUE""")," আহাম্মাদ মন্ডল ")</f>
        <v> আহাম্মাদ মন্ডল </v>
      </c>
      <c r="F276" s="3" t="str">
        <f>IFERROR(__xludf.DUMMYFUNCTION("""COMPUTED_VALUE""")," মোছাঃ সুরাতন ")</f>
        <v> মোছাঃ সুরাতন </v>
      </c>
      <c r="G276" s="3" t="str">
        <f>IFERROR(__xludf.DUMMYFUNCTION("""COMPUTED_VALUE""")," ২২/০৪/১৯৮০ ")</f>
        <v> ২২/০৪/১৯৮০ </v>
      </c>
      <c r="H276" s="3" t="str">
        <f>IFERROR(__xludf.DUMMYFUNCTION("""COMPUTED_VALUE""")," কৃষক ")</f>
        <v> কৃষক </v>
      </c>
      <c r="I276" s="3" t="str">
        <f>IFERROR(__xludf.DUMMYFUNCTION("""COMPUTED_VALUE""")," জালতকা, গাংনী, মেহেরপুর ")</f>
        <v> জালতকা, গাংনী, মেহেরপুর </v>
      </c>
    </row>
    <row r="277" ht="15.75" customHeight="1">
      <c r="A277" s="3" t="s">
        <v>3406</v>
      </c>
      <c r="B277" s="3">
        <f>IFERROR(__xludf.DUMMYFUNCTION("SPLIT(A277,""|"")"),445.0)</f>
        <v>445</v>
      </c>
      <c r="C277" s="3" t="str">
        <f>IFERROR(__xludf.DUMMYFUNCTION("""COMPUTED_VALUE""")," মোঃ মজিবুল হক ")</f>
        <v> মোঃ মজিবুল হক </v>
      </c>
      <c r="D277" s="3">
        <f>IFERROR(__xludf.DUMMYFUNCTION("""COMPUTED_VALUE"""),5.70056378761E11)</f>
        <v>570056378761</v>
      </c>
      <c r="E277" s="3" t="str">
        <f>IFERROR(__xludf.DUMMYFUNCTION("""COMPUTED_VALUE""")," মোঃ রতন মন্ডল ")</f>
        <v> মোঃ রতন মন্ডল </v>
      </c>
      <c r="F277" s="3" t="str">
        <f>IFERROR(__xludf.DUMMYFUNCTION("""COMPUTED_VALUE""")," মোছাঃ তরিছন নেছা ")</f>
        <v> মোছাঃ তরিছন নেছা </v>
      </c>
      <c r="G277" s="3" t="str">
        <f>IFERROR(__xludf.DUMMYFUNCTION("""COMPUTED_VALUE""")," ৩০/০৮/১৯৭৭ ")</f>
        <v> ৩০/০৮/১৯৭৭ </v>
      </c>
      <c r="H277" s="3" t="str">
        <f>IFERROR(__xludf.DUMMYFUNCTION("""COMPUTED_VALUE""")," কৃষক ")</f>
        <v> কৃষক </v>
      </c>
      <c r="I277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78" ht="15.75" customHeight="1">
      <c r="A278" s="3" t="s">
        <v>3407</v>
      </c>
      <c r="B278" s="3">
        <f>IFERROR(__xludf.DUMMYFUNCTION("SPLIT(A278,""|"")"),446.0)</f>
        <v>446</v>
      </c>
      <c r="C278" s="3" t="str">
        <f>IFERROR(__xludf.DUMMYFUNCTION("""COMPUTED_VALUE""")," মোঃ আলমগীর হোসেন ")</f>
        <v> মোঃ আলমগীর হোসেন </v>
      </c>
      <c r="D278" s="3">
        <f>IFERROR(__xludf.DUMMYFUNCTION("""COMPUTED_VALUE"""),5.70056378776E11)</f>
        <v>570056378776</v>
      </c>
      <c r="E278" s="3" t="str">
        <f>IFERROR(__xludf.DUMMYFUNCTION("""COMPUTED_VALUE""")," হিলাল উদ্দীন ")</f>
        <v> হিলাল উদ্দীন </v>
      </c>
      <c r="F278" s="3" t="str">
        <f>IFERROR(__xludf.DUMMYFUNCTION("""COMPUTED_VALUE""")," মোছাঃ কহিনুর খাতুন ")</f>
        <v> মোছাঃ কহিনুর খাতুন </v>
      </c>
      <c r="G278" s="3" t="str">
        <f>IFERROR(__xludf.DUMMYFUNCTION("""COMPUTED_VALUE""")," ১৫/০৬/১৯৮৫ ")</f>
        <v> ১৫/০৬/১৯৮৫ </v>
      </c>
      <c r="H278" s="3" t="str">
        <f>IFERROR(__xludf.DUMMYFUNCTION("""COMPUTED_VALUE""")," বেসরকারী চাকুরী ")</f>
        <v> বেসরকারী চাকুরী </v>
      </c>
      <c r="I278" s="3" t="str">
        <f>IFERROR(__xludf.DUMMYFUNCTION("""COMPUTED_VALUE""")," জালতকা উত্তরপাড়া, গাংনী, মেহেরপুর ")</f>
        <v> জালতকা উত্তরপাড়া, গাংনী, মেহেরপুর </v>
      </c>
    </row>
    <row r="279" ht="15.75" customHeight="1">
      <c r="A279" s="3" t="s">
        <v>3408</v>
      </c>
      <c r="B279" s="3">
        <f>IFERROR(__xludf.DUMMYFUNCTION("SPLIT(A279,""|"")"),447.0)</f>
        <v>447</v>
      </c>
      <c r="C279" s="3" t="str">
        <f>IFERROR(__xludf.DUMMYFUNCTION("""COMPUTED_VALUE""")," মাইগ্রেট হয়েছে ")</f>
        <v> মাইগ্রেট হয়েছে </v>
      </c>
      <c r="D279" s="3" t="str">
        <f>IFERROR(__xludf.DUMMYFUNCTION("""COMPUTED_VALUE"""),"  ")</f>
        <v>  </v>
      </c>
      <c r="E279" s="3" t="str">
        <f>IFERROR(__xludf.DUMMYFUNCTION("""COMPUTED_VALUE"""),"  ")</f>
        <v>  </v>
      </c>
      <c r="F279" s="3" t="str">
        <f>IFERROR(__xludf.DUMMYFUNCTION("""COMPUTED_VALUE"""),"  ")</f>
        <v>  </v>
      </c>
      <c r="G279" s="3" t="str">
        <f>IFERROR(__xludf.DUMMYFUNCTION("""COMPUTED_VALUE"""),"  ")</f>
        <v>  </v>
      </c>
      <c r="H279" s="3" t="str">
        <f>IFERROR(__xludf.DUMMYFUNCTION("""COMPUTED_VALUE"""),"  ")</f>
        <v>  </v>
      </c>
      <c r="I279" s="3" t="str">
        <f>IFERROR(__xludf.DUMMYFUNCTION("""COMPUTED_VALUE"""),"  ")</f>
        <v>  </v>
      </c>
    </row>
    <row r="280" ht="15.75" customHeight="1">
      <c r="A280" s="3" t="s">
        <v>3409</v>
      </c>
      <c r="B280" s="3">
        <f>IFERROR(__xludf.DUMMYFUNCTION("SPLIT(A280,""|"")"),448.0)</f>
        <v>448</v>
      </c>
      <c r="C280" s="3" t="str">
        <f>IFERROR(__xludf.DUMMYFUNCTION("""COMPUTED_VALUE""")," মোঃ রিয়াজ উদ্দীন ")</f>
        <v> মোঃ রিয়াজ উদ্দীন </v>
      </c>
      <c r="D280" s="3">
        <f>IFERROR(__xludf.DUMMYFUNCTION("""COMPUTED_VALUE"""),5.70056378785E11)</f>
        <v>570056378785</v>
      </c>
      <c r="E280" s="3" t="str">
        <f>IFERROR(__xludf.DUMMYFUNCTION("""COMPUTED_VALUE""")," মো দুধু মিয়া ")</f>
        <v> মো দুধু মিয়া </v>
      </c>
      <c r="F280" s="3" t="str">
        <f>IFERROR(__xludf.DUMMYFUNCTION("""COMPUTED_VALUE""")," রহিমা বেগম ")</f>
        <v> রহিমা বেগম </v>
      </c>
      <c r="G280" s="3" t="str">
        <f>IFERROR(__xludf.DUMMYFUNCTION("""COMPUTED_VALUE""")," ০১/০১/১৯৯০ ")</f>
        <v> ০১/০১/১৯৯০ </v>
      </c>
      <c r="H280" s="3" t="str">
        <f>IFERROR(__xludf.DUMMYFUNCTION("""COMPUTED_VALUE""")," ছাত্র/ছাত্রী ")</f>
        <v> ছাত্র/ছাত্রী </v>
      </c>
      <c r="I280" s="3" t="str">
        <f>IFERROR(__xludf.DUMMYFUNCTION("""COMPUTED_VALUE""")," জালতকা, গাংনী, মেহেরপুর ")</f>
        <v> জালতকা, গাংনী, মেহেরপুর </v>
      </c>
    </row>
    <row r="281" ht="15.75" customHeight="1">
      <c r="A281" s="3" t="s">
        <v>3410</v>
      </c>
      <c r="B281" s="3">
        <f>IFERROR(__xludf.DUMMYFUNCTION("SPLIT(A281,""|"")"),449.0)</f>
        <v>449</v>
      </c>
      <c r="C281" s="3" t="str">
        <f>IFERROR(__xludf.DUMMYFUNCTION("""COMPUTED_VALUE""")," মোঃ কাওছার আলী ")</f>
        <v> মোঃ কাওছার আলী </v>
      </c>
      <c r="D281" s="3">
        <f>IFERROR(__xludf.DUMMYFUNCTION("""COMPUTED_VALUE"""),5.70056378786E11)</f>
        <v>570056378786</v>
      </c>
      <c r="E281" s="3" t="str">
        <f>IFERROR(__xludf.DUMMYFUNCTION("""COMPUTED_VALUE""")," মোঃ আবু তালেব ")</f>
        <v> মোঃ আবু তালেব </v>
      </c>
      <c r="F281" s="3" t="str">
        <f>IFERROR(__xludf.DUMMYFUNCTION("""COMPUTED_VALUE""")," মোছাঃ ছাবিন নেছা ")</f>
        <v> মোছাঃ ছাবিন নেছা </v>
      </c>
      <c r="G281" s="3" t="str">
        <f>IFERROR(__xludf.DUMMYFUNCTION("""COMPUTED_VALUE""")," ৩০/০১/১৯৭৩ ")</f>
        <v> ৩০/০১/১৯৭৩ </v>
      </c>
      <c r="H281" s="3" t="str">
        <f>IFERROR(__xludf.DUMMYFUNCTION("""COMPUTED_VALUE""")," কৃষক ")</f>
        <v> কৃষক </v>
      </c>
      <c r="I281" s="3" t="str">
        <f>IFERROR(__xludf.DUMMYFUNCTION("""COMPUTED_VALUE""")," জালতকা উত্তর পাড়া, গাংনী, মেহেরপুর ")</f>
        <v> জালতকা উত্তর পাড়া, গাংনী, মেহেরপুর </v>
      </c>
    </row>
    <row r="282" ht="15.75" customHeight="1">
      <c r="A282" s="3" t="s">
        <v>3411</v>
      </c>
      <c r="B282" s="3">
        <f>IFERROR(__xludf.DUMMYFUNCTION("SPLIT(A282,""|"")"),450.0)</f>
        <v>450</v>
      </c>
      <c r="C282" s="3" t="str">
        <f>IFERROR(__xludf.DUMMYFUNCTION("""COMPUTED_VALUE""")," মোঃ আব্দুল মান্নান ")</f>
        <v> মোঃ আব্দুল মান্নান </v>
      </c>
      <c r="D282" s="3">
        <f>IFERROR(__xludf.DUMMYFUNCTION("""COMPUTED_VALUE"""),5.70056378789E11)</f>
        <v>570056378789</v>
      </c>
      <c r="E282" s="3" t="str">
        <f>IFERROR(__xludf.DUMMYFUNCTION("""COMPUTED_VALUE""")," শওকত মালিথা ")</f>
        <v> শওকত মালিথা </v>
      </c>
      <c r="F282" s="3" t="str">
        <f>IFERROR(__xludf.DUMMYFUNCTION("""COMPUTED_VALUE""")," আতরা খাতুন ")</f>
        <v> আতরা খাতুন </v>
      </c>
      <c r="G282" s="3" t="str">
        <f>IFERROR(__xludf.DUMMYFUNCTION("""COMPUTED_VALUE""")," ১৬/০১/১৯৮০ ")</f>
        <v> ১৬/০১/১৯৮০ </v>
      </c>
      <c r="H282" s="3" t="str">
        <f>IFERROR(__xludf.DUMMYFUNCTION("""COMPUTED_VALUE""")," কৃষক ")</f>
        <v> কৃষক </v>
      </c>
      <c r="I282" s="3" t="str">
        <f>IFERROR(__xludf.DUMMYFUNCTION("""COMPUTED_VALUE""")," জালতকা উত্তর পাড়া, গাংনী, মেহেরপুর ")</f>
        <v> জালতকা উত্তর পাড়া, গাংনী, মেহেরপুর </v>
      </c>
    </row>
    <row r="283" ht="15.75" customHeight="1">
      <c r="A283" s="3" t="s">
        <v>3412</v>
      </c>
      <c r="B283" s="3">
        <f>IFERROR(__xludf.DUMMYFUNCTION("SPLIT(A283,""|"")"),451.0)</f>
        <v>451</v>
      </c>
      <c r="C283" s="3" t="str">
        <f>IFERROR(__xludf.DUMMYFUNCTION("""COMPUTED_VALUE""")," মোঃ ইদ্রিস আলী ")</f>
        <v> মোঃ ইদ্রিস আলী </v>
      </c>
      <c r="D283" s="3">
        <f>IFERROR(__xludf.DUMMYFUNCTION("""COMPUTED_VALUE"""),5.7005637879E11)</f>
        <v>570056378790</v>
      </c>
      <c r="E283" s="3" t="str">
        <f>IFERROR(__xludf.DUMMYFUNCTION("""COMPUTED_VALUE""")," আমিরুদ্দিন ")</f>
        <v> আমিরুদ্দিন </v>
      </c>
      <c r="F283" s="3" t="str">
        <f>IFERROR(__xludf.DUMMYFUNCTION("""COMPUTED_VALUE""")," আলতাবানু ")</f>
        <v> আলতাবানু </v>
      </c>
      <c r="G283" s="3" t="str">
        <f>IFERROR(__xludf.DUMMYFUNCTION("""COMPUTED_VALUE""")," ০৪/০৮/১৯৬২ ")</f>
        <v> ০৪/০৮/১৯৬২ </v>
      </c>
      <c r="H283" s="3" t="str">
        <f>IFERROR(__xludf.DUMMYFUNCTION("""COMPUTED_VALUE""")," কৃষক ")</f>
        <v> কৃষক </v>
      </c>
      <c r="I283" s="3" t="str">
        <f>IFERROR(__xludf.DUMMYFUNCTION("""COMPUTED_VALUE""")," জালতকা উত্তরপাড়া, গাংনী, মেহেরপুর ")</f>
        <v> জালতকা উত্তরপাড়া, গাংনী, মেহেরপুর </v>
      </c>
    </row>
    <row r="284" ht="15.75" customHeight="1">
      <c r="A284" s="3" t="s">
        <v>3413</v>
      </c>
      <c r="B284" s="3">
        <f>IFERROR(__xludf.DUMMYFUNCTION("SPLIT(A284,""|"")"),452.0)</f>
        <v>452</v>
      </c>
      <c r="C284" s="3" t="str">
        <f>IFERROR(__xludf.DUMMYFUNCTION("""COMPUTED_VALUE""")," মোঃ বাবুল আলী ")</f>
        <v> মোঃ বাবুল আলী </v>
      </c>
      <c r="D284" s="3">
        <f>IFERROR(__xludf.DUMMYFUNCTION("""COMPUTED_VALUE"""),5.70056378791E11)</f>
        <v>570056378791</v>
      </c>
      <c r="E284" s="3" t="str">
        <f>IFERROR(__xludf.DUMMYFUNCTION("""COMPUTED_VALUE""")," আমদ আলী ")</f>
        <v> আমদ আলী </v>
      </c>
      <c r="F284" s="3" t="str">
        <f>IFERROR(__xludf.DUMMYFUNCTION("""COMPUTED_VALUE""")," হালিমা খাতুন ")</f>
        <v> হালিমা খাতুন </v>
      </c>
      <c r="G284" s="3" t="str">
        <f>IFERROR(__xludf.DUMMYFUNCTION("""COMPUTED_VALUE""")," ১৭/০৯/১৯৬২ ")</f>
        <v> ১৭/০৯/১৯৬২ </v>
      </c>
      <c r="H284" s="3" t="str">
        <f>IFERROR(__xludf.DUMMYFUNCTION("""COMPUTED_VALUE""")," কৃষক ")</f>
        <v> কৃষক </v>
      </c>
      <c r="I284" s="3" t="str">
        <f>IFERROR(__xludf.DUMMYFUNCTION("""COMPUTED_VALUE""")," জালতকা উত্তর পাড়া, গাংনী, মেহেরপুর ")</f>
        <v> জালতকা উত্তর পাড়া, গাংনী, মেহেরপুর </v>
      </c>
    </row>
    <row r="285" ht="15.75" customHeight="1">
      <c r="A285" s="3" t="s">
        <v>3414</v>
      </c>
      <c r="B285" s="3">
        <f>IFERROR(__xludf.DUMMYFUNCTION("SPLIT(A285,""|"")"),453.0)</f>
        <v>453</v>
      </c>
      <c r="C285" s="3" t="str">
        <f>IFERROR(__xludf.DUMMYFUNCTION("""COMPUTED_VALUE""")," মোঃ বজলুল হক ")</f>
        <v> মোঃ বজলুল হক </v>
      </c>
      <c r="D285" s="3">
        <f>IFERROR(__xludf.DUMMYFUNCTION("""COMPUTED_VALUE"""),5.70056378792E11)</f>
        <v>570056378792</v>
      </c>
      <c r="E285" s="3" t="str">
        <f>IFERROR(__xludf.DUMMYFUNCTION("""COMPUTED_VALUE""")," মাদার শেখ ")</f>
        <v> মাদার শেখ </v>
      </c>
      <c r="F285" s="3" t="str">
        <f>IFERROR(__xludf.DUMMYFUNCTION("""COMPUTED_VALUE""")," মোছাঃ জহুরা খাতুন ")</f>
        <v> মোছাঃ জহুরা খাতুন </v>
      </c>
      <c r="G285" s="3" t="str">
        <f>IFERROR(__xludf.DUMMYFUNCTION("""COMPUTED_VALUE""")," ১৯/০৭/১৯৬৯ ")</f>
        <v> ১৯/০৭/১৯৬৯ </v>
      </c>
      <c r="H285" s="3" t="str">
        <f>IFERROR(__xludf.DUMMYFUNCTION("""COMPUTED_VALUE""")," কৃষক ")</f>
        <v> কৃষক </v>
      </c>
      <c r="I285" s="3" t="str">
        <f>IFERROR(__xludf.DUMMYFUNCTION("""COMPUTED_VALUE""")," জালতকা, গাংনী, মেহেরপুর ")</f>
        <v> জালতকা, গাংনী, মেহেরপুর </v>
      </c>
    </row>
    <row r="286" ht="15.75" customHeight="1">
      <c r="A286" s="3" t="s">
        <v>3415</v>
      </c>
      <c r="B286" s="3">
        <f>IFERROR(__xludf.DUMMYFUNCTION("SPLIT(A286,""|"")"),454.0)</f>
        <v>454</v>
      </c>
      <c r="C286" s="3" t="str">
        <f>IFERROR(__xludf.DUMMYFUNCTION("""COMPUTED_VALUE""")," মোঃ আছলদ্দীণ ")</f>
        <v> মোঃ আছলদ্দীণ </v>
      </c>
      <c r="D286" s="3">
        <f>IFERROR(__xludf.DUMMYFUNCTION("""COMPUTED_VALUE"""),5.70056378797E11)</f>
        <v>570056378797</v>
      </c>
      <c r="E286" s="3" t="str">
        <f>IFERROR(__xludf.DUMMYFUNCTION("""COMPUTED_VALUE""")," মফেজদ্দিন ")</f>
        <v> মফেজদ্দিন </v>
      </c>
      <c r="F286" s="3" t="str">
        <f>IFERROR(__xludf.DUMMYFUNCTION("""COMPUTED_VALUE""")," মোছাঃ রাহেলা খাতুন ")</f>
        <v> মোছাঃ রাহেলা খাতুন </v>
      </c>
      <c r="G286" s="3" t="str">
        <f>IFERROR(__xludf.DUMMYFUNCTION("""COMPUTED_VALUE""")," ২১/০৩/১৯৭৭ ")</f>
        <v> ২১/০৩/১৯৭৭ </v>
      </c>
      <c r="H286" s="3" t="str">
        <f>IFERROR(__xludf.DUMMYFUNCTION("""COMPUTED_VALUE""")," কৃষক ")</f>
        <v> কৃষক </v>
      </c>
      <c r="I286" s="3" t="str">
        <f>IFERROR(__xludf.DUMMYFUNCTION("""COMPUTED_VALUE""")," জালতকা, গাংনী, মেহেরপুর ")</f>
        <v> জালতকা, গাংনী, মেহেরপুর </v>
      </c>
    </row>
    <row r="287" ht="15.75" customHeight="1">
      <c r="A287" s="3" t="s">
        <v>3416</v>
      </c>
      <c r="B287" s="3">
        <f>IFERROR(__xludf.DUMMYFUNCTION("SPLIT(A287,""|"")"),455.0)</f>
        <v>455</v>
      </c>
      <c r="C287" s="3" t="str">
        <f>IFERROR(__xludf.DUMMYFUNCTION("""COMPUTED_VALUE""")," মোঃ সিরাজুল ইসলাম ")</f>
        <v> মোঃ সিরাজুল ইসলাম </v>
      </c>
      <c r="D287" s="3">
        <f>IFERROR(__xludf.DUMMYFUNCTION("""COMPUTED_VALUE"""),5.70056378798E11)</f>
        <v>570056378798</v>
      </c>
      <c r="E287" s="3" t="str">
        <f>IFERROR(__xludf.DUMMYFUNCTION("""COMPUTED_VALUE""")," দুংখি শেখ ")</f>
        <v> দুংখি শেখ </v>
      </c>
      <c r="F287" s="3" t="str">
        <f>IFERROR(__xludf.DUMMYFUNCTION("""COMPUTED_VALUE""")," মোছাঃ রহিমা খাতুন ")</f>
        <v> মোছাঃ রহিমা খাতুন </v>
      </c>
      <c r="G287" s="3" t="str">
        <f>IFERROR(__xludf.DUMMYFUNCTION("""COMPUTED_VALUE""")," ২২/০৯/১৯৬৮ ")</f>
        <v> ২২/০৯/১৯৬৮ </v>
      </c>
      <c r="H287" s="3" t="str">
        <f>IFERROR(__xludf.DUMMYFUNCTION("""COMPUTED_VALUE""")," কৃষক ")</f>
        <v> কৃষক </v>
      </c>
      <c r="I287" s="3" t="str">
        <f>IFERROR(__xludf.DUMMYFUNCTION("""COMPUTED_VALUE""")," জালতকা, গাংনী, মেহেরপুর ")</f>
        <v> জালতকা, গাংনী, মেহেরপুর </v>
      </c>
    </row>
    <row r="288" ht="15.75" customHeight="1">
      <c r="A288" s="3" t="s">
        <v>3417</v>
      </c>
      <c r="B288" s="3">
        <f>IFERROR(__xludf.DUMMYFUNCTION("SPLIT(A288,""|"")"),456.0)</f>
        <v>456</v>
      </c>
      <c r="C288" s="3" t="str">
        <f>IFERROR(__xludf.DUMMYFUNCTION("""COMPUTED_VALUE""")," মোঃ মখলেছুর রহমান ")</f>
        <v> মোঃ মখলেছুর রহমান </v>
      </c>
      <c r="D288" s="3">
        <f>IFERROR(__xludf.DUMMYFUNCTION("""COMPUTED_VALUE"""),5.700563788E11)</f>
        <v>570056378800</v>
      </c>
      <c r="E288" s="3" t="str">
        <f>IFERROR(__xludf.DUMMYFUNCTION("""COMPUTED_VALUE""")," মোঃ সাদিমান ")</f>
        <v> মোঃ সাদিমান </v>
      </c>
      <c r="F288" s="3" t="str">
        <f>IFERROR(__xludf.DUMMYFUNCTION("""COMPUTED_VALUE""")," মোছাঃ শাহানারা ")</f>
        <v> মোছাঃ শাহানারা </v>
      </c>
      <c r="G288" s="3" t="str">
        <f>IFERROR(__xludf.DUMMYFUNCTION("""COMPUTED_VALUE""")," ২২/০৪/১৯৮৯ ")</f>
        <v> ২২/০৪/১৯৮৯ </v>
      </c>
      <c r="H288" s="3" t="str">
        <f>IFERROR(__xludf.DUMMYFUNCTION("""COMPUTED_VALUE""")," কৃষক ")</f>
        <v> কৃষক </v>
      </c>
      <c r="I288" s="3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89" ht="15.75" customHeight="1">
      <c r="A289" s="3" t="s">
        <v>3418</v>
      </c>
      <c r="B289" s="3">
        <f>IFERROR(__xludf.DUMMYFUNCTION("SPLIT(A289,""|"")"),457.0)</f>
        <v>457</v>
      </c>
      <c r="C289" s="3" t="str">
        <f>IFERROR(__xludf.DUMMYFUNCTION("""COMPUTED_VALUE""")," মোঃ আবুল কাশেম ")</f>
        <v> মোঃ আবুল কাশেম </v>
      </c>
      <c r="D289" s="3">
        <f>IFERROR(__xludf.DUMMYFUNCTION("""COMPUTED_VALUE"""),5.70056378802E11)</f>
        <v>570056378802</v>
      </c>
      <c r="E289" s="3" t="str">
        <f>IFERROR(__xludf.DUMMYFUNCTION("""COMPUTED_VALUE""")," মফেজদ্দিন ")</f>
        <v> মফেজদ্দিন </v>
      </c>
      <c r="F289" s="3" t="str">
        <f>IFERROR(__xludf.DUMMYFUNCTION("""COMPUTED_VALUE""")," মোছাঃ রাহেলা খাতুন ")</f>
        <v> মোছাঃ রাহেলা খাতুন </v>
      </c>
      <c r="G289" s="3" t="str">
        <f>IFERROR(__xludf.DUMMYFUNCTION("""COMPUTED_VALUE""")," ০৫/০৭/১৯৬৫ ")</f>
        <v> ০৫/০৭/১৯৬৫ </v>
      </c>
      <c r="H289" s="3" t="str">
        <f>IFERROR(__xludf.DUMMYFUNCTION("""COMPUTED_VALUE""")," কৃষক ")</f>
        <v> কৃষক </v>
      </c>
      <c r="I289" s="3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90" ht="15.75" customHeight="1">
      <c r="A290" s="3" t="s">
        <v>3419</v>
      </c>
      <c r="B290" s="3">
        <f>IFERROR(__xludf.DUMMYFUNCTION("SPLIT(A290,""|"")"),458.0)</f>
        <v>458</v>
      </c>
      <c r="C290" s="3" t="str">
        <f>IFERROR(__xludf.DUMMYFUNCTION("""COMPUTED_VALUE""")," মোঃ হাবিবুর রহমান ")</f>
        <v> মোঃ হাবিবুর রহমান </v>
      </c>
      <c r="D290" s="3">
        <f>IFERROR(__xludf.DUMMYFUNCTION("""COMPUTED_VALUE"""),5.70056378807E11)</f>
        <v>570056378807</v>
      </c>
      <c r="E290" s="3" t="str">
        <f>IFERROR(__xludf.DUMMYFUNCTION("""COMPUTED_VALUE""")," মোঃ আফিলুদ্দীন ")</f>
        <v> মোঃ আফিলুদ্দীন </v>
      </c>
      <c r="F290" s="3" t="str">
        <f>IFERROR(__xludf.DUMMYFUNCTION("""COMPUTED_VALUE""")," মোছাঃ রেজিয়া খাতুন ")</f>
        <v> মোছাঃ রেজিয়া খাতুন </v>
      </c>
      <c r="G290" s="3" t="str">
        <f>IFERROR(__xludf.DUMMYFUNCTION("""COMPUTED_VALUE""")," ০৭/০৯/১৯৭৫ ")</f>
        <v> ০৭/০৯/১৯৭৫ </v>
      </c>
      <c r="H290" s="3" t="str">
        <f>IFERROR(__xludf.DUMMYFUNCTION("""COMPUTED_VALUE""")," কৃষক ")</f>
        <v> কৃষক </v>
      </c>
      <c r="I290" s="3" t="str">
        <f>IFERROR(__xludf.DUMMYFUNCTION("""COMPUTED_VALUE""")," জালতকা, গাংনী, মেহেরপুর ")</f>
        <v> জালতকা, গাংনী, মেহেরপুর </v>
      </c>
    </row>
    <row r="291" ht="15.75" customHeight="1">
      <c r="A291" s="3" t="s">
        <v>3420</v>
      </c>
      <c r="B291" s="3">
        <f>IFERROR(__xludf.DUMMYFUNCTION("SPLIT(A291,""|"")"),459.0)</f>
        <v>459</v>
      </c>
      <c r="C291" s="3" t="str">
        <f>IFERROR(__xludf.DUMMYFUNCTION("""COMPUTED_VALUE""")," মোঃ শামিম হোসেন ")</f>
        <v> মোঃ শামিম হোসেন </v>
      </c>
      <c r="D291" s="3">
        <f>IFERROR(__xludf.DUMMYFUNCTION("""COMPUTED_VALUE"""),5.70056378808E11)</f>
        <v>570056378808</v>
      </c>
      <c r="E291" s="3" t="str">
        <f>IFERROR(__xludf.DUMMYFUNCTION("""COMPUTED_VALUE""")," মাদার শেখ ")</f>
        <v> মাদার শেখ </v>
      </c>
      <c r="F291" s="3" t="str">
        <f>IFERROR(__xludf.DUMMYFUNCTION("""COMPUTED_VALUE""")," মোছাঃ জহুরা খাতুন ")</f>
        <v> মোছাঃ জহুরা খাতুন </v>
      </c>
      <c r="G291" s="3" t="str">
        <f>IFERROR(__xludf.DUMMYFUNCTION("""COMPUTED_VALUE""")," ১৩/০৪/১৯৮১ ")</f>
        <v> ১৩/০৪/১৯৮১ </v>
      </c>
      <c r="H291" s="3" t="str">
        <f>IFERROR(__xludf.DUMMYFUNCTION("""COMPUTED_VALUE""")," কৃষক ")</f>
        <v> কৃষক </v>
      </c>
      <c r="I291" s="3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92" ht="15.75" customHeight="1">
      <c r="A292" s="3" t="s">
        <v>3421</v>
      </c>
      <c r="B292" s="3">
        <f>IFERROR(__xludf.DUMMYFUNCTION("SPLIT(A292,""|"")"),460.0)</f>
        <v>460</v>
      </c>
      <c r="C292" s="3" t="str">
        <f>IFERROR(__xludf.DUMMYFUNCTION("""COMPUTED_VALUE""")," মোঃ তক্কেল আলী ")</f>
        <v> মোঃ তক্কেল আলী </v>
      </c>
      <c r="D292" s="3">
        <f>IFERROR(__xludf.DUMMYFUNCTION("""COMPUTED_VALUE"""),5.7005637881E11)</f>
        <v>570056378810</v>
      </c>
      <c r="E292" s="3" t="str">
        <f>IFERROR(__xludf.DUMMYFUNCTION("""COMPUTED_VALUE""")," শামসুদ্দীন মালিথা ")</f>
        <v> শামসুদ্দীন মালিথা </v>
      </c>
      <c r="F292" s="3" t="str">
        <f>IFERROR(__xludf.DUMMYFUNCTION("""COMPUTED_VALUE""")," আইজান নেছা ")</f>
        <v> আইজান নেছা </v>
      </c>
      <c r="G292" s="3" t="str">
        <f>IFERROR(__xludf.DUMMYFUNCTION("""COMPUTED_VALUE""")," ০৫/০৩/১৯৬২ ")</f>
        <v> ০৫/০৩/১৯৬২ </v>
      </c>
      <c r="H292" s="3" t="str">
        <f>IFERROR(__xludf.DUMMYFUNCTION("""COMPUTED_VALUE""")," কৃষক ")</f>
        <v> কৃষক </v>
      </c>
      <c r="I292" s="3" t="str">
        <f>IFERROR(__xludf.DUMMYFUNCTION("""COMPUTED_VALUE""")," জালতকা, গাংনী, মেহেরপুর ")</f>
        <v> জালতকা, গাংনী, মেহেরপুর </v>
      </c>
    </row>
    <row r="293" ht="15.75" customHeight="1">
      <c r="A293" s="3" t="s">
        <v>3422</v>
      </c>
      <c r="B293" s="3">
        <f>IFERROR(__xludf.DUMMYFUNCTION("SPLIT(A293,""|"")"),461.0)</f>
        <v>461</v>
      </c>
      <c r="C293" s="3" t="str">
        <f>IFERROR(__xludf.DUMMYFUNCTION("""COMPUTED_VALUE""")," মোঃ আঃ সামাদ ")</f>
        <v> মোঃ আঃ সামাদ </v>
      </c>
      <c r="D293" s="3">
        <f>IFERROR(__xludf.DUMMYFUNCTION("""COMPUTED_VALUE"""),5.70056378815E11)</f>
        <v>570056378815</v>
      </c>
      <c r="E293" s="3" t="str">
        <f>IFERROR(__xludf.DUMMYFUNCTION("""COMPUTED_VALUE""")," মোঃ দবিরুদ্দীন ")</f>
        <v> মোঃ দবিরুদ্দীন </v>
      </c>
      <c r="F293" s="3" t="str">
        <f>IFERROR(__xludf.DUMMYFUNCTION("""COMPUTED_VALUE""")," মোছাঃ আমিনা ")</f>
        <v> মোছাঃ আমিনা </v>
      </c>
      <c r="G293" s="3" t="str">
        <f>IFERROR(__xludf.DUMMYFUNCTION("""COMPUTED_VALUE""")," ২২/০৩/১৯৭২ ")</f>
        <v> ২২/০৩/১৯৭২ </v>
      </c>
      <c r="H293" s="3" t="str">
        <f>IFERROR(__xludf.DUMMYFUNCTION("""COMPUTED_VALUE""")," কৃষক ")</f>
        <v> কৃষক </v>
      </c>
      <c r="I293" s="3" t="str">
        <f>IFERROR(__xludf.DUMMYFUNCTION("""COMPUTED_VALUE""")," জালতকা মসজিদপাড়া, গাংনী, মেহেরপুর ")</f>
        <v> জালতকা মসজিদপাড়া, গাংনী, মেহেরপুর </v>
      </c>
    </row>
    <row r="294" ht="15.75" customHeight="1">
      <c r="A294" s="3" t="s">
        <v>3423</v>
      </c>
      <c r="B294" s="3">
        <f>IFERROR(__xludf.DUMMYFUNCTION("SPLIT(A294,""|"")"),462.0)</f>
        <v>462</v>
      </c>
      <c r="C294" s="3" t="str">
        <f>IFERROR(__xludf.DUMMYFUNCTION("""COMPUTED_VALUE""")," মোঃ আবুছদ্দিন মন্ডল ")</f>
        <v> মোঃ আবুছদ্দিন মন্ডল </v>
      </c>
      <c r="D294" s="3">
        <f>IFERROR(__xludf.DUMMYFUNCTION("""COMPUTED_VALUE"""),5.70056378816E11)</f>
        <v>570056378816</v>
      </c>
      <c r="E294" s="3" t="str">
        <f>IFERROR(__xludf.DUMMYFUNCTION("""COMPUTED_VALUE""")," আহাম্মাদ আলী ")</f>
        <v> আহাম্মাদ আলী </v>
      </c>
      <c r="F294" s="3" t="str">
        <f>IFERROR(__xludf.DUMMYFUNCTION("""COMPUTED_VALUE""")," মোছাঃ সুরাতন নেছা ")</f>
        <v> মোছাঃ সুরাতন নেছা </v>
      </c>
      <c r="G294" s="3" t="str">
        <f>IFERROR(__xludf.DUMMYFUNCTION("""COMPUTED_VALUE""")," ৩০/০৪/১৯৫২ ")</f>
        <v> ৩০/০৪/১৯৫২ </v>
      </c>
      <c r="H294" s="3" t="str">
        <f>IFERROR(__xludf.DUMMYFUNCTION("""COMPUTED_VALUE""")," কৃষক ")</f>
        <v> কৃষক </v>
      </c>
      <c r="I294" s="3" t="str">
        <f>IFERROR(__xludf.DUMMYFUNCTION("""COMPUTED_VALUE""")," জালতকা, গাংনী, মেহেরপুর ")</f>
        <v> জালতকা, গাংনী, মেহেরপুর </v>
      </c>
    </row>
    <row r="295" ht="15.75" customHeight="1">
      <c r="A295" s="3" t="s">
        <v>3424</v>
      </c>
      <c r="B295" s="3">
        <f>IFERROR(__xludf.DUMMYFUNCTION("SPLIT(A295,""|"")"),463.0)</f>
        <v>463</v>
      </c>
      <c r="C295" s="3" t="str">
        <f>IFERROR(__xludf.DUMMYFUNCTION("""COMPUTED_VALUE""")," মোঃ রমজান আলী ")</f>
        <v> মোঃ রমজান আলী </v>
      </c>
      <c r="D295" s="3">
        <f>IFERROR(__xludf.DUMMYFUNCTION("""COMPUTED_VALUE"""),5.70056378819E11)</f>
        <v>570056378819</v>
      </c>
      <c r="E295" s="3" t="str">
        <f>IFERROR(__xludf.DUMMYFUNCTION("""COMPUTED_VALUE""")," মোঃ খেদের আলী ")</f>
        <v> মোঃ খেদের আলী </v>
      </c>
      <c r="F295" s="3" t="str">
        <f>IFERROR(__xludf.DUMMYFUNCTION("""COMPUTED_VALUE""")," মোছাঃ সোহাগী ")</f>
        <v> মোছাঃ সোহাগী </v>
      </c>
      <c r="G295" s="3" t="str">
        <f>IFERROR(__xludf.DUMMYFUNCTION("""COMPUTED_VALUE""")," ২২/০৪/১৯৭৩ ")</f>
        <v> ২২/০৪/১৯৭৩ </v>
      </c>
      <c r="H295" s="3" t="str">
        <f>IFERROR(__xludf.DUMMYFUNCTION("""COMPUTED_VALUE""")," কৃষক ")</f>
        <v> কৃষক </v>
      </c>
      <c r="I295" s="3" t="str">
        <f>IFERROR(__xludf.DUMMYFUNCTION("""COMPUTED_VALUE""")," জালতকা, গাংনী, মেহেরপুর ")</f>
        <v> জালতকা, গাংনী, মেহেরপুর </v>
      </c>
    </row>
    <row r="296" ht="15.75" customHeight="1">
      <c r="A296" s="3" t="s">
        <v>3425</v>
      </c>
      <c r="B296" s="3">
        <f>IFERROR(__xludf.DUMMYFUNCTION("SPLIT(A296,""|"")"),464.0)</f>
        <v>464</v>
      </c>
      <c r="C296" s="3" t="str">
        <f>IFERROR(__xludf.DUMMYFUNCTION("""COMPUTED_VALUE""")," মোঃ আক্তারুল ")</f>
        <v> মোঃ আক্তারুল </v>
      </c>
      <c r="D296" s="3">
        <f>IFERROR(__xludf.DUMMYFUNCTION("""COMPUTED_VALUE"""),5.70056378822E11)</f>
        <v>570056378822</v>
      </c>
      <c r="E296" s="3" t="str">
        <f>IFERROR(__xludf.DUMMYFUNCTION("""COMPUTED_VALUE""")," মোঃ বানু মন্ডল ")</f>
        <v> মোঃ বানু মন্ডল </v>
      </c>
      <c r="F296" s="3" t="str">
        <f>IFERROR(__xludf.DUMMYFUNCTION("""COMPUTED_VALUE""")," আহাজান নেছা ")</f>
        <v> আহাজান নেছা </v>
      </c>
      <c r="G296" s="3" t="str">
        <f>IFERROR(__xludf.DUMMYFUNCTION("""COMPUTED_VALUE""")," ১০/০৬/১৯৭৮ ")</f>
        <v> ১০/০৬/১৯৭৮ </v>
      </c>
      <c r="H296" s="3" t="str">
        <f>IFERROR(__xludf.DUMMYFUNCTION("""COMPUTED_VALUE""")," কৃষক ")</f>
        <v> কৃষক </v>
      </c>
      <c r="I296" s="3" t="str">
        <f>IFERROR(__xludf.DUMMYFUNCTION("""COMPUTED_VALUE""")," জালতকা, গাংনী, মেহেরপুর ")</f>
        <v> জালতকা, গাংনী, মেহেরপুর </v>
      </c>
    </row>
    <row r="297" ht="15.75" customHeight="1">
      <c r="A297" s="3" t="s">
        <v>3426</v>
      </c>
      <c r="B297" s="3">
        <f>IFERROR(__xludf.DUMMYFUNCTION("SPLIT(A297,""|"")"),465.0)</f>
        <v>465</v>
      </c>
      <c r="C297" s="3" t="str">
        <f>IFERROR(__xludf.DUMMYFUNCTION("""COMPUTED_VALUE""")," মোঃ হাবিবুর রহমান ")</f>
        <v> মোঃ হাবিবুর রহমান </v>
      </c>
      <c r="D297" s="3">
        <f>IFERROR(__xludf.DUMMYFUNCTION("""COMPUTED_VALUE"""),5.70056378823E11)</f>
        <v>570056378823</v>
      </c>
      <c r="E297" s="3" t="str">
        <f>IFERROR(__xludf.DUMMYFUNCTION("""COMPUTED_VALUE""")," মোঃ দবিরুদ্দিন ")</f>
        <v> মোঃ দবিরুদ্দিন </v>
      </c>
      <c r="F297" s="3" t="str">
        <f>IFERROR(__xludf.DUMMYFUNCTION("""COMPUTED_VALUE""")," মোছাঃ আমিনা ")</f>
        <v> মোছাঃ আমিনা </v>
      </c>
      <c r="G297" s="3" t="str">
        <f>IFERROR(__xludf.DUMMYFUNCTION("""COMPUTED_VALUE""")," ১১/০৭/১৯৬৭ ")</f>
        <v> ১১/০৭/১৯৬৭ </v>
      </c>
      <c r="H297" s="3" t="str">
        <f>IFERROR(__xludf.DUMMYFUNCTION("""COMPUTED_VALUE""")," কৃষক ")</f>
        <v> কৃষক </v>
      </c>
      <c r="I297" s="3" t="str">
        <f>IFERROR(__xludf.DUMMYFUNCTION("""COMPUTED_VALUE""")," জালতকা মসজিদপাড়া, গাংনী, মেহেরপুর ")</f>
        <v> জালতকা মসজিদপাড়া, গাংনী, মেহেরপুর </v>
      </c>
    </row>
    <row r="298" ht="15.75" customHeight="1">
      <c r="A298" s="3" t="s">
        <v>3427</v>
      </c>
      <c r="B298" s="3">
        <f>IFERROR(__xludf.DUMMYFUNCTION("SPLIT(A298,""|"")"),466.0)</f>
        <v>466</v>
      </c>
      <c r="C298" s="3" t="str">
        <f>IFERROR(__xludf.DUMMYFUNCTION("""COMPUTED_VALUE""")," মোঃ বানু মন্ডল ")</f>
        <v> মোঃ বানু মন্ডল </v>
      </c>
      <c r="D298" s="3">
        <f>IFERROR(__xludf.DUMMYFUNCTION("""COMPUTED_VALUE"""),5.70056378824E11)</f>
        <v>570056378824</v>
      </c>
      <c r="E298" s="3" t="str">
        <f>IFERROR(__xludf.DUMMYFUNCTION("""COMPUTED_VALUE""")," অলি বক্স ")</f>
        <v> অলি বক্স </v>
      </c>
      <c r="F298" s="3" t="str">
        <f>IFERROR(__xludf.DUMMYFUNCTION("""COMPUTED_VALUE""")," রমেছা খাতুন ")</f>
        <v> রমেছা খাতুন </v>
      </c>
      <c r="G298" s="3" t="str">
        <f>IFERROR(__xludf.DUMMYFUNCTION("""COMPUTED_VALUE""")," ১৭/০৪/১৯৩৫ ")</f>
        <v> ১৭/০৪/১৯৩৫ </v>
      </c>
      <c r="H298" s="3" t="str">
        <f>IFERROR(__xludf.DUMMYFUNCTION("""COMPUTED_VALUE""")," কৃষক ")</f>
        <v> কৃষক </v>
      </c>
      <c r="I298" s="3" t="str">
        <f>IFERROR(__xludf.DUMMYFUNCTION("""COMPUTED_VALUE""")," জালতকা মসজিদপাড়া, গাংনী, মেহেরপুর ")</f>
        <v> জালতকা মসজিদপাড়া, গাংনী, মেহেরপুর </v>
      </c>
    </row>
    <row r="299" ht="15.75" customHeight="1">
      <c r="A299" s="3" t="s">
        <v>3428</v>
      </c>
      <c r="B299" s="3">
        <f>IFERROR(__xludf.DUMMYFUNCTION("SPLIT(A299,""|"")"),467.0)</f>
        <v>467</v>
      </c>
      <c r="C299" s="3" t="str">
        <f>IFERROR(__xludf.DUMMYFUNCTION("""COMPUTED_VALUE""")," মোঃ আক্কাস আলী ")</f>
        <v> মোঃ আক্কাস আলী </v>
      </c>
      <c r="D299" s="3">
        <f>IFERROR(__xludf.DUMMYFUNCTION("""COMPUTED_VALUE"""),5.70056378826E11)</f>
        <v>570056378826</v>
      </c>
      <c r="E299" s="3" t="str">
        <f>IFERROR(__xludf.DUMMYFUNCTION("""COMPUTED_VALUE""")," শামসুদ্দীন ")</f>
        <v> শামসুদ্দীন </v>
      </c>
      <c r="F299" s="3" t="str">
        <f>IFERROR(__xludf.DUMMYFUNCTION("""COMPUTED_VALUE""")," আইজান নেছা ")</f>
        <v> আইজান নেছা </v>
      </c>
      <c r="G299" s="3" t="str">
        <f>IFERROR(__xludf.DUMMYFUNCTION("""COMPUTED_VALUE""")," ১৯/০৫/১৯৫২ ")</f>
        <v> ১৯/০৫/১৯৫২ </v>
      </c>
      <c r="H299" s="3" t="str">
        <f>IFERROR(__xludf.DUMMYFUNCTION("""COMPUTED_VALUE""")," কৃষক ")</f>
        <v> কৃষক </v>
      </c>
      <c r="I299" s="3" t="str">
        <f>IFERROR(__xludf.DUMMYFUNCTION("""COMPUTED_VALUE""")," জালতকা, গাংনী, মেহেরপুর ")</f>
        <v> জালতকা, গাংনী, মেহেরপুর </v>
      </c>
    </row>
    <row r="300" ht="15.75" customHeight="1">
      <c r="A300" s="3" t="s">
        <v>3429</v>
      </c>
      <c r="B300" s="3">
        <f>IFERROR(__xludf.DUMMYFUNCTION("SPLIT(A300,""|"")"),468.0)</f>
        <v>468</v>
      </c>
      <c r="C300" s="3" t="str">
        <f>IFERROR(__xludf.DUMMYFUNCTION("""COMPUTED_VALUE""")," মোঃ ইয়ামিন হোসেন ")</f>
        <v> মোঃ ইয়ামিন হোসেন </v>
      </c>
      <c r="D300" s="3">
        <f>IFERROR(__xludf.DUMMYFUNCTION("""COMPUTED_VALUE"""),5.70056378829E11)</f>
        <v>570056378829</v>
      </c>
      <c r="E300" s="3" t="str">
        <f>IFERROR(__xludf.DUMMYFUNCTION("""COMPUTED_VALUE""")," মোঃ তক্কেল আলী ")</f>
        <v> মোঃ তক্কেল আলী </v>
      </c>
      <c r="F300" s="3" t="str">
        <f>IFERROR(__xludf.DUMMYFUNCTION("""COMPUTED_VALUE""")," মোছাঃ কহিনুর বেগম ")</f>
        <v> মোছাঃ কহিনুর বেগম </v>
      </c>
      <c r="G300" s="3" t="str">
        <f>IFERROR(__xludf.DUMMYFUNCTION("""COMPUTED_VALUE""")," ০৯/০৮/১৯৮২ ")</f>
        <v> ০৯/০৮/১৯৮২ </v>
      </c>
      <c r="H300" s="3" t="str">
        <f>IFERROR(__xludf.DUMMYFUNCTION("""COMPUTED_VALUE""")," কৃষক ")</f>
        <v> কৃষক </v>
      </c>
      <c r="I300" s="3" t="str">
        <f>IFERROR(__xludf.DUMMYFUNCTION("""COMPUTED_VALUE""")," জালতকা, গাংনী, মেহেরপুর ")</f>
        <v> জালতকা, গাংনী, মেহেরপুর </v>
      </c>
    </row>
    <row r="301" ht="15.75" customHeight="1">
      <c r="A301" s="3" t="s">
        <v>3430</v>
      </c>
      <c r="B301" s="3">
        <f>IFERROR(__xludf.DUMMYFUNCTION("SPLIT(A301,""|"")"),469.0)</f>
        <v>469</v>
      </c>
      <c r="C301" s="3" t="str">
        <f>IFERROR(__xludf.DUMMYFUNCTION("""COMPUTED_VALUE""")," মোঃ রুহুল আমিন ")</f>
        <v> মোঃ রুহুল আমিন </v>
      </c>
      <c r="D301" s="3">
        <f>IFERROR(__xludf.DUMMYFUNCTION("""COMPUTED_VALUE"""),5.7005637883E11)</f>
        <v>570056378830</v>
      </c>
      <c r="E301" s="3" t="str">
        <f>IFERROR(__xludf.DUMMYFUNCTION("""COMPUTED_VALUE""")," মোঃ তক্কেল আলী ")</f>
        <v> মোঃ তক্কেল আলী </v>
      </c>
      <c r="F301" s="3" t="str">
        <f>IFERROR(__xludf.DUMMYFUNCTION("""COMPUTED_VALUE""")," মোছাঃ কহিনুর বেগম ")</f>
        <v> মোছাঃ কহিনুর বেগম </v>
      </c>
      <c r="G301" s="3" t="str">
        <f>IFERROR(__xludf.DUMMYFUNCTION("""COMPUTED_VALUE""")," ০৮/০৪/১৯৭৯ ")</f>
        <v> ০৮/০৪/১৯৭৯ </v>
      </c>
      <c r="H301" s="3" t="str">
        <f>IFERROR(__xludf.DUMMYFUNCTION("""COMPUTED_VALUE""")," কৃষক ")</f>
        <v> কৃষক </v>
      </c>
      <c r="I301" s="3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02" ht="15.75" customHeight="1">
      <c r="A302" s="3" t="s">
        <v>3431</v>
      </c>
      <c r="B302" s="3">
        <f>IFERROR(__xludf.DUMMYFUNCTION("SPLIT(A302,""|"")"),470.0)</f>
        <v>470</v>
      </c>
      <c r="C302" s="3" t="str">
        <f>IFERROR(__xludf.DUMMYFUNCTION("""COMPUTED_VALUE""")," মোঃ মহিবুল হক ")</f>
        <v> মোঃ মহিবুল হক </v>
      </c>
      <c r="D302" s="3">
        <f>IFERROR(__xludf.DUMMYFUNCTION("""COMPUTED_VALUE"""),5.70056378832E11)</f>
        <v>570056378832</v>
      </c>
      <c r="E302" s="3" t="str">
        <f>IFERROR(__xludf.DUMMYFUNCTION("""COMPUTED_VALUE""")," মোঃ নজরুল ইসলাম ")</f>
        <v> মোঃ নজরুল ইসলাম </v>
      </c>
      <c r="F302" s="3" t="str">
        <f>IFERROR(__xludf.DUMMYFUNCTION("""COMPUTED_VALUE""")," মোছাঃ মহিলা খাতুন ")</f>
        <v> মোছাঃ মহিলা খাতুন </v>
      </c>
      <c r="G302" s="3" t="str">
        <f>IFERROR(__xludf.DUMMYFUNCTION("""COMPUTED_VALUE""")," ১০/০৫/১৯৮০ ")</f>
        <v> ১০/০৫/১৯৮০ </v>
      </c>
      <c r="H302" s="3" t="str">
        <f>IFERROR(__xludf.DUMMYFUNCTION("""COMPUTED_VALUE""")," কৃষক ")</f>
        <v> কৃষক </v>
      </c>
      <c r="I302" s="3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03" ht="15.75" customHeight="1">
      <c r="A303" s="3" t="s">
        <v>3432</v>
      </c>
      <c r="B303" s="3">
        <f>IFERROR(__xludf.DUMMYFUNCTION("SPLIT(A303,""|"")"),471.0)</f>
        <v>471</v>
      </c>
      <c r="C303" s="3" t="str">
        <f>IFERROR(__xludf.DUMMYFUNCTION("""COMPUTED_VALUE""")," মোঃ আরমান আলী ")</f>
        <v> মোঃ আরমান আলী </v>
      </c>
      <c r="D303" s="3">
        <f>IFERROR(__xludf.DUMMYFUNCTION("""COMPUTED_VALUE"""),5.70056378833E11)</f>
        <v>570056378833</v>
      </c>
      <c r="E303" s="3" t="str">
        <f>IFERROR(__xludf.DUMMYFUNCTION("""COMPUTED_VALUE""")," মফেজদ্দিন ")</f>
        <v> মফেজদ্দিন </v>
      </c>
      <c r="F303" s="3" t="str">
        <f>IFERROR(__xludf.DUMMYFUNCTION("""COMPUTED_VALUE""")," মোছাঃ রমেলা খাতুন ")</f>
        <v> মোছাঃ রমেলা খাতুন </v>
      </c>
      <c r="G303" s="3" t="str">
        <f>IFERROR(__xludf.DUMMYFUNCTION("""COMPUTED_VALUE""")," ১৮/০৪/১৯৭১ ")</f>
        <v> ১৮/০৪/১৯৭১ </v>
      </c>
      <c r="H303" s="3" t="str">
        <f>IFERROR(__xludf.DUMMYFUNCTION("""COMPUTED_VALUE""")," কৃষক ")</f>
        <v> কৃষক </v>
      </c>
      <c r="I303" s="3" t="str">
        <f>IFERROR(__xludf.DUMMYFUNCTION("""COMPUTED_VALUE""")," জালতকা মসজিদপাড়া, গাংনী, মেহেরপুর ")</f>
        <v> জালতকা মসজিদপাড়া, গাংনী, মেহেরপুর </v>
      </c>
    </row>
    <row r="304" ht="15.75" customHeight="1">
      <c r="A304" s="3" t="s">
        <v>3433</v>
      </c>
      <c r="B304" s="3">
        <f>IFERROR(__xludf.DUMMYFUNCTION("SPLIT(A304,""|"")"),472.0)</f>
        <v>472</v>
      </c>
      <c r="C304" s="3" t="str">
        <f>IFERROR(__xludf.DUMMYFUNCTION("""COMPUTED_VALUE""")," মোঃ আনছারদ্দিন ")</f>
        <v> মোঃ আনছারদ্দিন </v>
      </c>
      <c r="D304" s="3">
        <f>IFERROR(__xludf.DUMMYFUNCTION("""COMPUTED_VALUE"""),5.70056378835E11)</f>
        <v>570056378835</v>
      </c>
      <c r="E304" s="3" t="str">
        <f>IFERROR(__xludf.DUMMYFUNCTION("""COMPUTED_VALUE""")," আহাম্মাদ আলী ")</f>
        <v> আহাম্মাদ আলী </v>
      </c>
      <c r="F304" s="3" t="str">
        <f>IFERROR(__xludf.DUMMYFUNCTION("""COMPUTED_VALUE""")," মোছাঃ সুরাতন নেছা ")</f>
        <v> মোছাঃ সুরাতন নেছা </v>
      </c>
      <c r="G304" s="3" t="str">
        <f>IFERROR(__xludf.DUMMYFUNCTION("""COMPUTED_VALUE""")," ১১/০৪/১৯৭৬ ")</f>
        <v> ১১/০৪/১৯৭৬ </v>
      </c>
      <c r="H304" s="3" t="str">
        <f>IFERROR(__xludf.DUMMYFUNCTION("""COMPUTED_VALUE""")," কৃষক ")</f>
        <v> কৃষক </v>
      </c>
      <c r="I304" s="3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05" ht="15.75" customHeight="1">
      <c r="A305" s="3" t="s">
        <v>3434</v>
      </c>
      <c r="B305" s="3">
        <f>IFERROR(__xludf.DUMMYFUNCTION("SPLIT(A305,""|"")"),473.0)</f>
        <v>473</v>
      </c>
      <c r="C305" s="3" t="str">
        <f>IFERROR(__xludf.DUMMYFUNCTION("""COMPUTED_VALUE""")," মোঃ গিয়াস উদ্দীন ")</f>
        <v> মোঃ গিয়াস উদ্দীন </v>
      </c>
      <c r="D305" s="3">
        <f>IFERROR(__xludf.DUMMYFUNCTION("""COMPUTED_VALUE"""),5.70056378836E11)</f>
        <v>570056378836</v>
      </c>
      <c r="E305" s="3" t="str">
        <f>IFERROR(__xludf.DUMMYFUNCTION("""COMPUTED_VALUE""")," আহাম্মাদ আলী ")</f>
        <v> আহাম্মাদ আলী </v>
      </c>
      <c r="F305" s="3" t="str">
        <f>IFERROR(__xludf.DUMMYFUNCTION("""COMPUTED_VALUE""")," মোছাঃ ছুরাতন নেছা ")</f>
        <v> মোছাঃ ছুরাতন নেছা </v>
      </c>
      <c r="G305" s="3" t="str">
        <f>IFERROR(__xludf.DUMMYFUNCTION("""COMPUTED_VALUE""")," ২৫/০২/১৯৭৪ ")</f>
        <v> ২৫/০২/১৯৭৪ </v>
      </c>
      <c r="H305" s="3" t="str">
        <f>IFERROR(__xludf.DUMMYFUNCTION("""COMPUTED_VALUE""")," শিক্ষক ")</f>
        <v> শিক্ষক </v>
      </c>
      <c r="I305" s="3" t="str">
        <f>IFERROR(__xludf.DUMMYFUNCTION("""COMPUTED_VALUE""")," জালতকা, গাংনী, মেহেরপুর ")</f>
        <v> জালতকা, গাংনী, মেহেরপুর </v>
      </c>
    </row>
    <row r="306" ht="15.75" customHeight="1">
      <c r="A306" s="3" t="s">
        <v>3435</v>
      </c>
      <c r="B306" s="3">
        <f>IFERROR(__xludf.DUMMYFUNCTION("SPLIT(A306,""|"")"),474.0)</f>
        <v>474</v>
      </c>
      <c r="C306" s="3" t="str">
        <f>IFERROR(__xludf.DUMMYFUNCTION("""COMPUTED_VALUE""")," মোঃ মুন্তাজ আলী ")</f>
        <v> মোঃ মুন্তাজ আলী </v>
      </c>
      <c r="D306" s="3">
        <f>IFERROR(__xludf.DUMMYFUNCTION("""COMPUTED_VALUE"""),5.70056378838E11)</f>
        <v>570056378838</v>
      </c>
      <c r="E306" s="3" t="str">
        <f>IFERROR(__xludf.DUMMYFUNCTION("""COMPUTED_VALUE""")," মোঃ দুল্লপ মালিথা ")</f>
        <v> মোঃ দুল্লপ মালিথা </v>
      </c>
      <c r="F306" s="3" t="str">
        <f>IFERROR(__xludf.DUMMYFUNCTION("""COMPUTED_VALUE""")," মোছাঃ ওহেদান ")</f>
        <v> মোছাঃ ওহেদান </v>
      </c>
      <c r="G306" s="3" t="str">
        <f>IFERROR(__xludf.DUMMYFUNCTION("""COMPUTED_VALUE""")," ০২/০৩/১৯৬২ ")</f>
        <v> ০২/০৩/১৯৬২ </v>
      </c>
      <c r="H306" s="3" t="str">
        <f>IFERROR(__xludf.DUMMYFUNCTION("""COMPUTED_VALUE""")," কৃষক ")</f>
        <v> কৃষক </v>
      </c>
      <c r="I306" s="3" t="str">
        <f>IFERROR(__xludf.DUMMYFUNCTION("""COMPUTED_VALUE""")," জালতকা মসজিদপাড়া, গাংনী, মেহেরপুর ")</f>
        <v> জালতকা মসজিদপাড়া, গাংনী, মেহেরপুর </v>
      </c>
    </row>
    <row r="307" ht="15.75" customHeight="1">
      <c r="A307" s="3" t="s">
        <v>3436</v>
      </c>
      <c r="B307" s="3">
        <f>IFERROR(__xludf.DUMMYFUNCTION("SPLIT(A307,""|"")"),475.0)</f>
        <v>475</v>
      </c>
      <c r="C307" s="3" t="str">
        <f>IFERROR(__xludf.DUMMYFUNCTION("""COMPUTED_VALUE""")," মোঃ ফজলুল হক ")</f>
        <v> মোঃ ফজলুল হক </v>
      </c>
      <c r="D307" s="3">
        <f>IFERROR(__xludf.DUMMYFUNCTION("""COMPUTED_VALUE"""),5.7005637884E11)</f>
        <v>570056378840</v>
      </c>
      <c r="E307" s="3" t="str">
        <f>IFERROR(__xludf.DUMMYFUNCTION("""COMPUTED_VALUE""")," আঃ লতিফ ")</f>
        <v> আঃ লতিফ </v>
      </c>
      <c r="F307" s="3" t="str">
        <f>IFERROR(__xludf.DUMMYFUNCTION("""COMPUTED_VALUE""")," রোমেলা খাতুন ")</f>
        <v> রোমেলা খাতুন </v>
      </c>
      <c r="G307" s="3" t="str">
        <f>IFERROR(__xludf.DUMMYFUNCTION("""COMPUTED_VALUE""")," ০৫/০৩/১৯৬১ ")</f>
        <v> ০৫/০৩/১৯৬১ </v>
      </c>
      <c r="H307" s="3" t="str">
        <f>IFERROR(__xludf.DUMMYFUNCTION("""COMPUTED_VALUE""")," কৃষক ")</f>
        <v> কৃষক </v>
      </c>
      <c r="I307" s="3" t="str">
        <f>IFERROR(__xludf.DUMMYFUNCTION("""COMPUTED_VALUE""")," জালতকা, গাংনী, মেহেরপুর ")</f>
        <v> জালতকা, গাংনী, মেহেরপুর </v>
      </c>
    </row>
    <row r="308" ht="15.75" customHeight="1">
      <c r="A308" s="3" t="s">
        <v>3437</v>
      </c>
      <c r="B308" s="3">
        <f>IFERROR(__xludf.DUMMYFUNCTION("SPLIT(A308,""|"")"),476.0)</f>
        <v>476</v>
      </c>
      <c r="C308" s="3" t="str">
        <f>IFERROR(__xludf.DUMMYFUNCTION("""COMPUTED_VALUE""")," মোঃ বজলুল হক ")</f>
        <v> মোঃ বজলুল হক </v>
      </c>
      <c r="D308" s="3">
        <f>IFERROR(__xludf.DUMMYFUNCTION("""COMPUTED_VALUE"""),5.70056378842E11)</f>
        <v>570056378842</v>
      </c>
      <c r="E308" s="3" t="str">
        <f>IFERROR(__xludf.DUMMYFUNCTION("""COMPUTED_VALUE""")," আঃ লতিফ বিশ্বাস ")</f>
        <v> আঃ লতিফ বিশ্বাস </v>
      </c>
      <c r="F308" s="3" t="str">
        <f>IFERROR(__xludf.DUMMYFUNCTION("""COMPUTED_VALUE""")," মৃত রমেলা খাতুন ")</f>
        <v> মৃত রমেলা খাতুন </v>
      </c>
      <c r="G308" s="3" t="str">
        <f>IFERROR(__xludf.DUMMYFUNCTION("""COMPUTED_VALUE""")," ১৭/০৪/১৯৬৩ ")</f>
        <v> ১৭/০৪/১৯৬৩ </v>
      </c>
      <c r="H308" s="3" t="str">
        <f>IFERROR(__xludf.DUMMYFUNCTION("""COMPUTED_VALUE""")," কৃষক ")</f>
        <v> কৃষক </v>
      </c>
      <c r="I308" s="3" t="str">
        <f>IFERROR(__xludf.DUMMYFUNCTION("""COMPUTED_VALUE""")," জালতকা মসজিদপাড়া, গাংনী, মেহেরপুর ")</f>
        <v> জালতকা মসজিদপাড়া, গাংনী, মেহেরপুর </v>
      </c>
    </row>
    <row r="309" ht="15.75" customHeight="1">
      <c r="A309" s="3" t="s">
        <v>3438</v>
      </c>
      <c r="B309" s="3">
        <f>IFERROR(__xludf.DUMMYFUNCTION("SPLIT(A309,""|"")"),477.0)</f>
        <v>477</v>
      </c>
      <c r="C309" s="3" t="str">
        <f>IFERROR(__xludf.DUMMYFUNCTION("""COMPUTED_VALUE""")," মোঃ শামসুল হক ")</f>
        <v> মোঃ শামসুল হক </v>
      </c>
      <c r="D309" s="3">
        <f>IFERROR(__xludf.DUMMYFUNCTION("""COMPUTED_VALUE"""),5.70056378861E11)</f>
        <v>570056378861</v>
      </c>
      <c r="E309" s="3" t="str">
        <f>IFERROR(__xludf.DUMMYFUNCTION("""COMPUTED_VALUE""")," মোঃ আজিমুদ্দীন ")</f>
        <v> মোঃ আজিমুদ্দীন </v>
      </c>
      <c r="F309" s="3" t="str">
        <f>IFERROR(__xludf.DUMMYFUNCTION("""COMPUTED_VALUE""")," মোছাঃ বানুয়ারা খাতুন ")</f>
        <v> মোছাঃ বানুয়ারা খাতুন </v>
      </c>
      <c r="G309" s="3" t="str">
        <f>IFERROR(__xludf.DUMMYFUNCTION("""COMPUTED_VALUE""")," ১০/০১/১৯৫৯ ")</f>
        <v> ১০/০১/১৯৫৯ </v>
      </c>
      <c r="H309" s="3" t="str">
        <f>IFERROR(__xludf.DUMMYFUNCTION("""COMPUTED_VALUE""")," কৃষক ")</f>
        <v> কৃষক </v>
      </c>
      <c r="I309" s="3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10" ht="15.75" customHeight="1">
      <c r="A310" s="3" t="s">
        <v>3439</v>
      </c>
      <c r="B310" s="3">
        <f>IFERROR(__xludf.DUMMYFUNCTION("SPLIT(A310,""|"")"),478.0)</f>
        <v>478</v>
      </c>
      <c r="C310" s="3" t="str">
        <f>IFERROR(__xludf.DUMMYFUNCTION("""COMPUTED_VALUE""")," মোঃ সাজেদুল ইসলাম ")</f>
        <v> মোঃ সাজেদুল ইসলাম </v>
      </c>
      <c r="D310" s="3">
        <f>IFERROR(__xludf.DUMMYFUNCTION("""COMPUTED_VALUE"""),5.70056378872E11)</f>
        <v>570056378872</v>
      </c>
      <c r="E310" s="3" t="str">
        <f>IFERROR(__xludf.DUMMYFUNCTION("""COMPUTED_VALUE""")," মোঃ সিরাজুল ইসলাম ")</f>
        <v> মোঃ সিরাজুল ইসলাম </v>
      </c>
      <c r="F310" s="3" t="str">
        <f>IFERROR(__xludf.DUMMYFUNCTION("""COMPUTED_VALUE""")," মোছাঃ সুরাতন নেছা ")</f>
        <v> মোছাঃ সুরাতন নেছা </v>
      </c>
      <c r="G310" s="3" t="str">
        <f>IFERROR(__xludf.DUMMYFUNCTION("""COMPUTED_VALUE""")," ২০/০৮/১৯৭৯ ")</f>
        <v> ২০/০৮/১৯৭৯ </v>
      </c>
      <c r="H310" s="3" t="str">
        <f>IFERROR(__xludf.DUMMYFUNCTION("""COMPUTED_VALUE""")," কৃষক ")</f>
        <v> কৃষক </v>
      </c>
      <c r="I310" s="3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11" ht="15.75" customHeight="1">
      <c r="A311" s="3" t="s">
        <v>3440</v>
      </c>
      <c r="B311" s="3">
        <f>IFERROR(__xludf.DUMMYFUNCTION("SPLIT(A311,""|"")"),479.0)</f>
        <v>479</v>
      </c>
      <c r="C311" s="3" t="str">
        <f>IFERROR(__xludf.DUMMYFUNCTION("""COMPUTED_VALUE""")," মোঃ জিনারুল ইসলাম ")</f>
        <v> মোঃ জিনারুল ইসলাম </v>
      </c>
      <c r="D311" s="3">
        <f>IFERROR(__xludf.DUMMYFUNCTION("""COMPUTED_VALUE"""),5.70056378875E11)</f>
        <v>570056378875</v>
      </c>
      <c r="E311" s="3" t="str">
        <f>IFERROR(__xludf.DUMMYFUNCTION("""COMPUTED_VALUE""")," মোঃ আঃ হামান ")</f>
        <v> মোঃ আঃ হামান </v>
      </c>
      <c r="F311" s="3" t="str">
        <f>IFERROR(__xludf.DUMMYFUNCTION("""COMPUTED_VALUE""")," মোছাঃ মনোয়ারা ")</f>
        <v> মোছাঃ মনোয়ারা </v>
      </c>
      <c r="G311" s="3" t="str">
        <f>IFERROR(__xludf.DUMMYFUNCTION("""COMPUTED_VALUE""")," ০৫/০৭/১৯৭৫ ")</f>
        <v> ০৫/০৭/১৯৭৫ </v>
      </c>
      <c r="H311" s="3" t="str">
        <f>IFERROR(__xludf.DUMMYFUNCTION("""COMPUTED_VALUE""")," রিক্সা/ভ্যান চালক ")</f>
        <v> রিক্সা/ভ্যান চালক </v>
      </c>
      <c r="I311" s="3" t="str">
        <f>IFERROR(__xludf.DUMMYFUNCTION("""COMPUTED_VALUE""")," জালতকা, গাংনী, মেহেরপুর ")</f>
        <v> জালতকা, গাংনী, মেহেরপুর </v>
      </c>
    </row>
    <row r="312" ht="15.75" customHeight="1">
      <c r="A312" s="3" t="s">
        <v>3441</v>
      </c>
      <c r="B312" s="3">
        <f>IFERROR(__xludf.DUMMYFUNCTION("SPLIT(A312,""|"")"),480.0)</f>
        <v>480</v>
      </c>
      <c r="C312" s="3" t="str">
        <f>IFERROR(__xludf.DUMMYFUNCTION("""COMPUTED_VALUE""")," মোঃ আব্বাস আলী ")</f>
        <v> মোঃ আব্বাস আলী </v>
      </c>
      <c r="D312" s="3">
        <f>IFERROR(__xludf.DUMMYFUNCTION("""COMPUTED_VALUE"""),5.70056378879E11)</f>
        <v>570056378879</v>
      </c>
      <c r="E312" s="3" t="str">
        <f>IFERROR(__xludf.DUMMYFUNCTION("""COMPUTED_VALUE""")," আঃ কুদ্দুস ")</f>
        <v> আঃ কুদ্দুস </v>
      </c>
      <c r="F312" s="3" t="str">
        <f>IFERROR(__xludf.DUMMYFUNCTION("""COMPUTED_VALUE""")," মোছাঃ সুবারন ")</f>
        <v> মোছাঃ সুবারন </v>
      </c>
      <c r="G312" s="3" t="str">
        <f>IFERROR(__xludf.DUMMYFUNCTION("""COMPUTED_VALUE""")," ০৯/০৭/১৯৮২ ")</f>
        <v> ০৯/০৭/১৯৮২ </v>
      </c>
      <c r="H312" s="3" t="str">
        <f>IFERROR(__xludf.DUMMYFUNCTION("""COMPUTED_VALUE""")," কৃষক ")</f>
        <v> কৃষক </v>
      </c>
      <c r="I312" s="3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13" ht="15.75" customHeight="1">
      <c r="A313" s="3" t="s">
        <v>3442</v>
      </c>
      <c r="B313" s="3">
        <f>IFERROR(__xludf.DUMMYFUNCTION("SPLIT(A313,""|"")"),481.0)</f>
        <v>481</v>
      </c>
      <c r="C313" s="3" t="str">
        <f>IFERROR(__xludf.DUMMYFUNCTION("""COMPUTED_VALUE""")," মোঃ শাহাবুল ")</f>
        <v> মোঃ শাহাবুল </v>
      </c>
      <c r="D313" s="3">
        <f>IFERROR(__xludf.DUMMYFUNCTION("""COMPUTED_VALUE"""),5.70056378884E11)</f>
        <v>570056378884</v>
      </c>
      <c r="E313" s="3" t="str">
        <f>IFERROR(__xludf.DUMMYFUNCTION("""COMPUTED_VALUE""")," মোঃ দবির উদ্দীন ")</f>
        <v> মোঃ দবির উদ্দীন </v>
      </c>
      <c r="F313" s="3" t="str">
        <f>IFERROR(__xludf.DUMMYFUNCTION("""COMPUTED_VALUE""")," মোছাঃ জয়নব বিবি ")</f>
        <v> মোছাঃ জয়নব বিবি </v>
      </c>
      <c r="G313" s="3" t="str">
        <f>IFERROR(__xludf.DUMMYFUNCTION("""COMPUTED_VALUE""")," ১২/০৮/১৯৭৭ ")</f>
        <v> ১২/০৮/১৯৭৭ </v>
      </c>
      <c r="H313" s="3" t="str">
        <f>IFERROR(__xludf.DUMMYFUNCTION("""COMPUTED_VALUE""")," কৃষক ")</f>
        <v> কৃষক </v>
      </c>
      <c r="I313" s="3" t="str">
        <f>IFERROR(__xludf.DUMMYFUNCTION("""COMPUTED_VALUE""")," জালতকা, গাংনী, মেহেরপুর ")</f>
        <v> জালতকা, গাংনী, মেহেরপুর </v>
      </c>
    </row>
    <row r="314" ht="15.75" customHeight="1">
      <c r="A314" s="3" t="s">
        <v>3443</v>
      </c>
      <c r="B314" s="3">
        <f>IFERROR(__xludf.DUMMYFUNCTION("SPLIT(A314,""|"")"),482.0)</f>
        <v>482</v>
      </c>
      <c r="C314" s="3" t="str">
        <f>IFERROR(__xludf.DUMMYFUNCTION("""COMPUTED_VALUE""")," মোঃ হাসান আলী ")</f>
        <v> মোঃ হাসান আলী </v>
      </c>
      <c r="D314" s="3">
        <f>IFERROR(__xludf.DUMMYFUNCTION("""COMPUTED_VALUE"""),5.70056378885E11)</f>
        <v>570056378885</v>
      </c>
      <c r="E314" s="3" t="str">
        <f>IFERROR(__xludf.DUMMYFUNCTION("""COMPUTED_VALUE""")," উকিল মন্ডল ")</f>
        <v> উকিল মন্ডল </v>
      </c>
      <c r="F314" s="3" t="str">
        <f>IFERROR(__xludf.DUMMYFUNCTION("""COMPUTED_VALUE""")," মোছাঃ হামিনা ")</f>
        <v> মোছাঃ হামিনা </v>
      </c>
      <c r="G314" s="3" t="str">
        <f>IFERROR(__xludf.DUMMYFUNCTION("""COMPUTED_VALUE""")," ২৮/০৪/১৯৭৭ ")</f>
        <v> ২৮/০৪/১৯৭৭ </v>
      </c>
      <c r="H314" s="3" t="str">
        <f>IFERROR(__xludf.DUMMYFUNCTION("""COMPUTED_VALUE""")," কৃষক ")</f>
        <v> কৃষক </v>
      </c>
      <c r="I314" s="3" t="str">
        <f>IFERROR(__xludf.DUMMYFUNCTION("""COMPUTED_VALUE""")," জালতকা, গাংনী, মেহেরপুর ")</f>
        <v> জালতকা, গাংনী, মেহেরপুর </v>
      </c>
    </row>
    <row r="315" ht="15.75" customHeight="1">
      <c r="A315" s="3" t="s">
        <v>3444</v>
      </c>
      <c r="B315" s="3">
        <f>IFERROR(__xludf.DUMMYFUNCTION("SPLIT(A315,""|"")"),483.0)</f>
        <v>483</v>
      </c>
      <c r="C315" s="3" t="str">
        <f>IFERROR(__xludf.DUMMYFUNCTION("""COMPUTED_VALUE""")," মোঃ সাজদার হোসেন ")</f>
        <v> মোঃ সাজদার হোসেন </v>
      </c>
      <c r="D315" s="3">
        <f>IFERROR(__xludf.DUMMYFUNCTION("""COMPUTED_VALUE"""),5.70056378886E11)</f>
        <v>570056378886</v>
      </c>
      <c r="E315" s="3" t="str">
        <f>IFERROR(__xludf.DUMMYFUNCTION("""COMPUTED_VALUE""")," ছাদেক আলী ")</f>
        <v> ছাদেক আলী </v>
      </c>
      <c r="F315" s="3" t="str">
        <f>IFERROR(__xludf.DUMMYFUNCTION("""COMPUTED_VALUE""")," মোছাঃ আমিনা ")</f>
        <v> মোছাঃ আমিনা </v>
      </c>
      <c r="G315" s="3" t="str">
        <f>IFERROR(__xludf.DUMMYFUNCTION("""COMPUTED_VALUE""")," ২৭/০৩/১৯৬৬ ")</f>
        <v> ২৭/০৩/১৯৬৬ </v>
      </c>
      <c r="H315" s="3" t="str">
        <f>IFERROR(__xludf.DUMMYFUNCTION("""COMPUTED_VALUE""")," কৃষক ")</f>
        <v> কৃষক </v>
      </c>
      <c r="I315" s="3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316" ht="15.75" customHeight="1">
      <c r="A316" s="3" t="s">
        <v>3445</v>
      </c>
      <c r="B316" s="3">
        <f>IFERROR(__xludf.DUMMYFUNCTION("SPLIT(A316,""|"")"),484.0)</f>
        <v>484</v>
      </c>
      <c r="C316" s="3" t="str">
        <f>IFERROR(__xludf.DUMMYFUNCTION("""COMPUTED_VALUE""")," মোঃ বাবলু হোসেন ")</f>
        <v> মোঃ বাবলু হোসেন </v>
      </c>
      <c r="D316" s="3">
        <f>IFERROR(__xludf.DUMMYFUNCTION("""COMPUTED_VALUE"""),5.70056378887E11)</f>
        <v>570056378887</v>
      </c>
      <c r="E316" s="3" t="str">
        <f>IFERROR(__xludf.DUMMYFUNCTION("""COMPUTED_VALUE""")," ছাদেক আলী ")</f>
        <v> ছাদেক আলী </v>
      </c>
      <c r="F316" s="3" t="str">
        <f>IFERROR(__xludf.DUMMYFUNCTION("""COMPUTED_VALUE""")," আমিনা খাতুন ")</f>
        <v> আমিনা খাতুন </v>
      </c>
      <c r="G316" s="3" t="str">
        <f>IFERROR(__xludf.DUMMYFUNCTION("""COMPUTED_VALUE""")," ০১/০১/১৯৮২ ")</f>
        <v> ০১/০১/১৯৮২ </v>
      </c>
      <c r="H316" s="3" t="str">
        <f>IFERROR(__xludf.DUMMYFUNCTION("""COMPUTED_VALUE""")," কৃষক ")</f>
        <v> কৃষক </v>
      </c>
      <c r="I316" s="3" t="str">
        <f>IFERROR(__xludf.DUMMYFUNCTION("""COMPUTED_VALUE""")," জালতকা, গাংনী, মেহেরপুর ")</f>
        <v> জালতকা, গাংনী, মেহেরপুর </v>
      </c>
    </row>
    <row r="317" ht="15.75" customHeight="1">
      <c r="A317" s="3" t="s">
        <v>3446</v>
      </c>
      <c r="B317" s="3">
        <f>IFERROR(__xludf.DUMMYFUNCTION("SPLIT(A317,""|"")"),485.0)</f>
        <v>485</v>
      </c>
      <c r="C317" s="3" t="str">
        <f>IFERROR(__xludf.DUMMYFUNCTION("""COMPUTED_VALUE""")," মোঃ মহিবুল ইসলাম ")</f>
        <v> মোঃ মহিবুল ইসলাম </v>
      </c>
      <c r="D317" s="3">
        <f>IFERROR(__xludf.DUMMYFUNCTION("""COMPUTED_VALUE"""),5.70056378888E11)</f>
        <v>570056378888</v>
      </c>
      <c r="E317" s="3" t="str">
        <f>IFERROR(__xludf.DUMMYFUNCTION("""COMPUTED_VALUE""")," মোঃ পিজিরুদ্দীন ")</f>
        <v> মোঃ পিজিরুদ্দীন </v>
      </c>
      <c r="F317" s="3" t="str">
        <f>IFERROR(__xludf.DUMMYFUNCTION("""COMPUTED_VALUE""")," মোছাঃ নুরজাহান ")</f>
        <v> মোছাঃ নুরজাহান </v>
      </c>
      <c r="G317" s="3" t="str">
        <f>IFERROR(__xludf.DUMMYFUNCTION("""COMPUTED_VALUE""")," ২৩/০৯/১৯৬৭ ")</f>
        <v> ২৩/০৯/১৯৬৭ </v>
      </c>
      <c r="H317" s="3" t="str">
        <f>IFERROR(__xludf.DUMMYFUNCTION("""COMPUTED_VALUE""")," কৃষক ")</f>
        <v> কৃষক </v>
      </c>
      <c r="I317" s="3" t="str">
        <f>IFERROR(__xludf.DUMMYFUNCTION("""COMPUTED_VALUE""")," জালতকা মসজিদপাড়া, গাংনী, মেহেরপুর ")</f>
        <v> জালতকা মসজিদপাড়া, গাংনী, মেহেরপুর </v>
      </c>
    </row>
    <row r="318" ht="15.75" customHeight="1">
      <c r="A318" s="3" t="s">
        <v>3447</v>
      </c>
      <c r="B318" s="3">
        <f>IFERROR(__xludf.DUMMYFUNCTION("SPLIT(A318,""|"")"),486.0)</f>
        <v>486</v>
      </c>
      <c r="C318" s="3" t="str">
        <f>IFERROR(__xludf.DUMMYFUNCTION("""COMPUTED_VALUE""")," মোঃ শহিদুল ইসলাম ")</f>
        <v> মোঃ শহিদুল ইসলাম </v>
      </c>
      <c r="D318" s="3">
        <f>IFERROR(__xludf.DUMMYFUNCTION("""COMPUTED_VALUE"""),5.70056378892E11)</f>
        <v>570056378892</v>
      </c>
      <c r="E318" s="3" t="str">
        <f>IFERROR(__xludf.DUMMYFUNCTION("""COMPUTED_VALUE""")," মোঃ দুল্লপ মালিথা ")</f>
        <v> মোঃ দুল্লপ মালিথা </v>
      </c>
      <c r="F318" s="3" t="str">
        <f>IFERROR(__xludf.DUMMYFUNCTION("""COMPUTED_VALUE""")," মোছাঃ ওহেজান ")</f>
        <v> মোছাঃ ওহেজান </v>
      </c>
      <c r="G318" s="3" t="str">
        <f>IFERROR(__xludf.DUMMYFUNCTION("""COMPUTED_VALUE""")," ২৩/০১/১৯৬৯ ")</f>
        <v> ২৩/০১/১৯৬৯ </v>
      </c>
      <c r="H318" s="3" t="str">
        <f>IFERROR(__xludf.DUMMYFUNCTION("""COMPUTED_VALUE""")," কৃষক ")</f>
        <v> কৃষক </v>
      </c>
      <c r="I318" s="3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19" ht="15.75" customHeight="1">
      <c r="A319" s="3" t="s">
        <v>3448</v>
      </c>
      <c r="B319" s="3">
        <f>IFERROR(__xludf.DUMMYFUNCTION("SPLIT(A319,""|"")"),487.0)</f>
        <v>487</v>
      </c>
      <c r="C319" s="3" t="str">
        <f>IFERROR(__xludf.DUMMYFUNCTION("""COMPUTED_VALUE""")," মোঃ আঃ কুদ্দুস ")</f>
        <v> মোঃ আঃ কুদ্দুস </v>
      </c>
      <c r="D319" s="3">
        <f>IFERROR(__xludf.DUMMYFUNCTION("""COMPUTED_VALUE"""),5.70056378897E11)</f>
        <v>570056378897</v>
      </c>
      <c r="E319" s="3" t="str">
        <f>IFERROR(__xludf.DUMMYFUNCTION("""COMPUTED_VALUE""")," জয়নাল ")</f>
        <v> জয়নাল </v>
      </c>
      <c r="F319" s="3" t="str">
        <f>IFERROR(__xludf.DUMMYFUNCTION("""COMPUTED_VALUE""")," মাহিরন ")</f>
        <v> মাহিরন </v>
      </c>
      <c r="G319" s="3" t="str">
        <f>IFERROR(__xludf.DUMMYFUNCTION("""COMPUTED_VALUE""")," ১১/০১/১৯৫৯ ")</f>
        <v> ১১/০১/১৯৫৯ </v>
      </c>
      <c r="H319" s="3" t="str">
        <f>IFERROR(__xludf.DUMMYFUNCTION("""COMPUTED_VALUE""")," কৃষক ")</f>
        <v> কৃষক </v>
      </c>
      <c r="I319" s="3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20" ht="15.75" customHeight="1">
      <c r="A320" s="3" t="s">
        <v>3449</v>
      </c>
      <c r="B320" s="3">
        <f>IFERROR(__xludf.DUMMYFUNCTION("SPLIT(A320,""|"")"),488.0)</f>
        <v>488</v>
      </c>
      <c r="C320" s="3" t="str">
        <f>IFERROR(__xludf.DUMMYFUNCTION("""COMPUTED_VALUE""")," মোঃ আয়ুব আলী ")</f>
        <v> মোঃ আয়ুব আলী </v>
      </c>
      <c r="D320" s="3">
        <f>IFERROR(__xludf.DUMMYFUNCTION("""COMPUTED_VALUE"""),5.70056378898E11)</f>
        <v>570056378898</v>
      </c>
      <c r="E320" s="3" t="str">
        <f>IFERROR(__xludf.DUMMYFUNCTION("""COMPUTED_VALUE""")," মোঃ দেলবার ")</f>
        <v> মোঃ দেলবার </v>
      </c>
      <c r="F320" s="3" t="str">
        <f>IFERROR(__xludf.DUMMYFUNCTION("""COMPUTED_VALUE""")," মোছাঃ রহিমা খাতুন ")</f>
        <v> মোছাঃ রহিমা খাতুন </v>
      </c>
      <c r="G320" s="3" t="str">
        <f>IFERROR(__xludf.DUMMYFUNCTION("""COMPUTED_VALUE""")," ২৭/০৯/১৯৫৯ ")</f>
        <v> ২৭/০৯/১৯৫৯ </v>
      </c>
      <c r="H320" s="3" t="str">
        <f>IFERROR(__xludf.DUMMYFUNCTION("""COMPUTED_VALUE""")," কৃষক ")</f>
        <v> কৃষক </v>
      </c>
      <c r="I320" s="3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21" ht="15.75" customHeight="1">
      <c r="A321" s="3" t="s">
        <v>3450</v>
      </c>
      <c r="B321" s="3">
        <f>IFERROR(__xludf.DUMMYFUNCTION("SPLIT(A321,""|"")"),489.0)</f>
        <v>489</v>
      </c>
      <c r="C321" s="3" t="str">
        <f>IFERROR(__xludf.DUMMYFUNCTION("""COMPUTED_VALUE""")," মোঃ নজির আলী ")</f>
        <v> মোঃ নজির আলী </v>
      </c>
      <c r="D321" s="3">
        <f>IFERROR(__xludf.DUMMYFUNCTION("""COMPUTED_VALUE"""),5.70056378899E11)</f>
        <v>570056378899</v>
      </c>
      <c r="E321" s="3" t="str">
        <f>IFERROR(__xludf.DUMMYFUNCTION("""COMPUTED_VALUE""")," ছাদেক আলী ")</f>
        <v> ছাদেক আলী </v>
      </c>
      <c r="F321" s="3" t="str">
        <f>IFERROR(__xludf.DUMMYFUNCTION("""COMPUTED_VALUE""")," আমিনা খাতুন ")</f>
        <v> আমিনা খাতুন </v>
      </c>
      <c r="G321" s="3" t="str">
        <f>IFERROR(__xludf.DUMMYFUNCTION("""COMPUTED_VALUE""")," ২২/১১/১৯৮২ ")</f>
        <v> ২২/১১/১৯৮২ </v>
      </c>
      <c r="H321" s="3" t="str">
        <f>IFERROR(__xludf.DUMMYFUNCTION("""COMPUTED_VALUE""")," কৃষক ")</f>
        <v> কৃষক </v>
      </c>
      <c r="I321" s="3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22" ht="15.75" customHeight="1">
      <c r="A322" s="3" t="s">
        <v>3451</v>
      </c>
      <c r="B322" s="3">
        <f>IFERROR(__xludf.DUMMYFUNCTION("SPLIT(A322,""|"")"),490.0)</f>
        <v>490</v>
      </c>
      <c r="C322" s="3" t="str">
        <f>IFERROR(__xludf.DUMMYFUNCTION("""COMPUTED_VALUE""")," মোঃ আলমগীর হোসেন ")</f>
        <v> মোঃ আলমগীর হোসেন </v>
      </c>
      <c r="D322" s="3">
        <f>IFERROR(__xludf.DUMMYFUNCTION("""COMPUTED_VALUE"""),5.700563789E11)</f>
        <v>570056378900</v>
      </c>
      <c r="E322" s="3" t="str">
        <f>IFERROR(__xludf.DUMMYFUNCTION("""COMPUTED_VALUE""")," মোঃ আয়ুব আলী ")</f>
        <v> মোঃ আয়ুব আলী </v>
      </c>
      <c r="F322" s="3" t="str">
        <f>IFERROR(__xludf.DUMMYFUNCTION("""COMPUTED_VALUE""")," মোছাঃ সুফিয়া খাতুন ")</f>
        <v> মোছাঃ সুফিয়া খাতুন </v>
      </c>
      <c r="G322" s="3" t="str">
        <f>IFERROR(__xludf.DUMMYFUNCTION("""COMPUTED_VALUE""")," ০৯/০২/১৯৮৭ ")</f>
        <v> ০৯/০২/১৯৮৭ </v>
      </c>
      <c r="H322" s="3" t="str">
        <f>IFERROR(__xludf.DUMMYFUNCTION("""COMPUTED_VALUE""")," কৃষক ")</f>
        <v> কৃষক </v>
      </c>
      <c r="I322" s="3" t="str">
        <f>IFERROR(__xludf.DUMMYFUNCTION("""COMPUTED_VALUE""")," জালতকা, গাংনী, মেহেরপুর ")</f>
        <v> জালতকা, গাংনী, মেহেরপুর </v>
      </c>
    </row>
    <row r="323" ht="15.75" customHeight="1">
      <c r="A323" s="3" t="s">
        <v>3452</v>
      </c>
      <c r="B323" s="3">
        <f>IFERROR(__xludf.DUMMYFUNCTION("SPLIT(A323,""|"")"),491.0)</f>
        <v>491</v>
      </c>
      <c r="C323" s="3" t="str">
        <f>IFERROR(__xludf.DUMMYFUNCTION("""COMPUTED_VALUE""")," মোঃ ওমর আলী ")</f>
        <v> মোঃ ওমর আলী </v>
      </c>
      <c r="D323" s="3">
        <f>IFERROR(__xludf.DUMMYFUNCTION("""COMPUTED_VALUE"""),5.70056378902E11)</f>
        <v>570056378902</v>
      </c>
      <c r="E323" s="3" t="str">
        <f>IFERROR(__xludf.DUMMYFUNCTION("""COMPUTED_VALUE""")," তালুক মন্ডল ")</f>
        <v> তালুক মন্ডল </v>
      </c>
      <c r="F323" s="3" t="str">
        <f>IFERROR(__xludf.DUMMYFUNCTION("""COMPUTED_VALUE""")," মোছাঃ ইনছান বেওয়া ")</f>
        <v> মোছাঃ ইনছান বেওয়া </v>
      </c>
      <c r="G323" s="3" t="str">
        <f>IFERROR(__xludf.DUMMYFUNCTION("""COMPUTED_VALUE""")," ০৩/০৫/১৯৫২ ")</f>
        <v> ০৩/০৫/১৯৫২ </v>
      </c>
      <c r="H323" s="3" t="str">
        <f>IFERROR(__xludf.DUMMYFUNCTION("""COMPUTED_VALUE""")," কৃষক ")</f>
        <v> কৃষক </v>
      </c>
      <c r="I323" s="3" t="str">
        <f>IFERROR(__xludf.DUMMYFUNCTION("""COMPUTED_VALUE""")," জালতকা, গাংনী, মেহেরপুর ")</f>
        <v> জালতকা, গাংনী, মেহেরপুর </v>
      </c>
    </row>
    <row r="324" ht="15.75" customHeight="1">
      <c r="A324" s="3" t="s">
        <v>3453</v>
      </c>
      <c r="B324" s="3">
        <f>IFERROR(__xludf.DUMMYFUNCTION("SPLIT(A324,""|"")"),492.0)</f>
        <v>492</v>
      </c>
      <c r="C324" s="3" t="str">
        <f>IFERROR(__xludf.DUMMYFUNCTION("""COMPUTED_VALUE""")," মোঃ সিরাজুল ইসলাম ")</f>
        <v> মোঃ সিরাজুল ইসলাম </v>
      </c>
      <c r="D324" s="3">
        <f>IFERROR(__xludf.DUMMYFUNCTION("""COMPUTED_VALUE"""),5.70056378905E11)</f>
        <v>570056378905</v>
      </c>
      <c r="E324" s="3" t="str">
        <f>IFERROR(__xludf.DUMMYFUNCTION("""COMPUTED_VALUE""")," মোঃ ওমর আলী ")</f>
        <v> মোঃ ওমর আলী </v>
      </c>
      <c r="F324" s="3" t="str">
        <f>IFERROR(__xludf.DUMMYFUNCTION("""COMPUTED_VALUE""")," মোছাঃ ছারেজান নেছা ")</f>
        <v> মোছাঃ ছারেজান নেছা </v>
      </c>
      <c r="G324" s="3" t="str">
        <f>IFERROR(__xludf.DUMMYFUNCTION("""COMPUTED_VALUE""")," ০১/০৬/১৯৮৯ ")</f>
        <v> ০১/০৬/১৯৮৯ </v>
      </c>
      <c r="H324" s="3" t="str">
        <f>IFERROR(__xludf.DUMMYFUNCTION("""COMPUTED_VALUE""")," কৃষক ")</f>
        <v> কৃষক </v>
      </c>
      <c r="I324" s="3" t="str">
        <f>IFERROR(__xludf.DUMMYFUNCTION("""COMPUTED_VALUE""")," জালতকা, গাংনী, মেহেরপুর ")</f>
        <v> জালতকা, গাংনী, মেহেরপুর </v>
      </c>
    </row>
    <row r="325" ht="15.75" customHeight="1">
      <c r="A325" s="3" t="s">
        <v>3454</v>
      </c>
      <c r="B325" s="3">
        <f>IFERROR(__xludf.DUMMYFUNCTION("SPLIT(A325,""|"")"),493.0)</f>
        <v>493</v>
      </c>
      <c r="C325" s="3" t="str">
        <f>IFERROR(__xludf.DUMMYFUNCTION("""COMPUTED_VALUE""")," মোঃ শহিদুল ইসলাম ")</f>
        <v> মোঃ শহিদুল ইসলাম </v>
      </c>
      <c r="D325" s="3">
        <f>IFERROR(__xludf.DUMMYFUNCTION("""COMPUTED_VALUE"""),5.70056378909E11)</f>
        <v>570056378909</v>
      </c>
      <c r="E325" s="3" t="str">
        <f>IFERROR(__xludf.DUMMYFUNCTION("""COMPUTED_VALUE""")," আজিজার বিশ্বাস ")</f>
        <v> আজিজার বিশ্বাস </v>
      </c>
      <c r="F325" s="3" t="str">
        <f>IFERROR(__xludf.DUMMYFUNCTION("""COMPUTED_VALUE""")," মোছাঃ জাহানারা ")</f>
        <v> মোছাঃ জাহানারা </v>
      </c>
      <c r="G325" s="3" t="str">
        <f>IFERROR(__xludf.DUMMYFUNCTION("""COMPUTED_VALUE""")," ০৮/০১/১৯৭১ ")</f>
        <v> ০৮/০১/১৯৭১ </v>
      </c>
      <c r="H325" s="3" t="str">
        <f>IFERROR(__xludf.DUMMYFUNCTION("""COMPUTED_VALUE""")," ব্যবসা ")</f>
        <v> ব্যবসা </v>
      </c>
      <c r="I325" s="3" t="str">
        <f>IFERROR(__xludf.DUMMYFUNCTION("""COMPUTED_VALUE""")," জালতকা, গাংনী, মেহেরপুর ")</f>
        <v> জালতকা, গাংনী, মেহেরপুর </v>
      </c>
    </row>
    <row r="326" ht="15.75" customHeight="1">
      <c r="A326" s="3" t="s">
        <v>3455</v>
      </c>
      <c r="B326" s="3">
        <f>IFERROR(__xludf.DUMMYFUNCTION("SPLIT(A326,""|"")"),494.0)</f>
        <v>494</v>
      </c>
      <c r="C326" s="3" t="str">
        <f>IFERROR(__xludf.DUMMYFUNCTION("""COMPUTED_VALUE""")," মোঃ বাবলু হোসেন ")</f>
        <v> মোঃ বাবলু হোসেন </v>
      </c>
      <c r="D326" s="3">
        <f>IFERROR(__xludf.DUMMYFUNCTION("""COMPUTED_VALUE"""),5.70056378913E11)</f>
        <v>570056378913</v>
      </c>
      <c r="E326" s="3" t="str">
        <f>IFERROR(__xludf.DUMMYFUNCTION("""COMPUTED_VALUE""")," মোঃ ছইরদ্দিন ")</f>
        <v> মোঃ ছইরদ্দিন </v>
      </c>
      <c r="F326" s="3" t="str">
        <f>IFERROR(__xludf.DUMMYFUNCTION("""COMPUTED_VALUE""")," মোছাঃ খুদিমন নেছা ")</f>
        <v> মোছাঃ খুদিমন নেছা </v>
      </c>
      <c r="G326" s="3" t="str">
        <f>IFERROR(__xludf.DUMMYFUNCTION("""COMPUTED_VALUE""")," ২২/০৭/১৯৬২ ")</f>
        <v> ২২/০৭/১৯৬২ </v>
      </c>
      <c r="H326" s="3" t="str">
        <f>IFERROR(__xludf.DUMMYFUNCTION("""COMPUTED_VALUE""")," ব্যবসা ")</f>
        <v> ব্যবসা </v>
      </c>
      <c r="I326" s="3" t="str">
        <f>IFERROR(__xludf.DUMMYFUNCTION("""COMPUTED_VALUE""")," জালতকা, গাংনী, মেহেরপুর ")</f>
        <v> জালতকা, গাংনী, মেহেরপুর </v>
      </c>
    </row>
    <row r="327" ht="15.75" customHeight="1">
      <c r="A327" s="3" t="s">
        <v>3456</v>
      </c>
      <c r="B327" s="3">
        <f>IFERROR(__xludf.DUMMYFUNCTION("SPLIT(A327,""|"")"),495.0)</f>
        <v>495</v>
      </c>
      <c r="C327" s="3" t="str">
        <f>IFERROR(__xludf.DUMMYFUNCTION("""COMPUTED_VALUE""")," মোঃ সাহিদুল ইসলাম ")</f>
        <v> মোঃ সাহিদুল ইসলাম </v>
      </c>
      <c r="D327" s="3">
        <f>IFERROR(__xludf.DUMMYFUNCTION("""COMPUTED_VALUE"""),5.70056378917E11)</f>
        <v>570056378917</v>
      </c>
      <c r="E327" s="3" t="str">
        <f>IFERROR(__xludf.DUMMYFUNCTION("""COMPUTED_VALUE""")," মোঃ মিরাজুল হক ")</f>
        <v> মোঃ মিরাজুল হক </v>
      </c>
      <c r="F327" s="3" t="str">
        <f>IFERROR(__xludf.DUMMYFUNCTION("""COMPUTED_VALUE""")," মোছাঃ ছালেহা খাতুন ")</f>
        <v> মোছাঃ ছালেহা খাতুন </v>
      </c>
      <c r="G327" s="3" t="str">
        <f>IFERROR(__xludf.DUMMYFUNCTION("""COMPUTED_VALUE""")," ০৩/০৭/১৯৭৭ ")</f>
        <v> ০৩/০৭/১৯৭৭ </v>
      </c>
      <c r="H327" s="3" t="str">
        <f>IFERROR(__xludf.DUMMYFUNCTION("""COMPUTED_VALUE""")," ব্যবসা ")</f>
        <v> ব্যবসা </v>
      </c>
      <c r="I327" s="3" t="str">
        <f>IFERROR(__xludf.DUMMYFUNCTION("""COMPUTED_VALUE""")," জালতকা, গাংনী, মেহেরপুর ")</f>
        <v> জালতকা, গাংনী, মেহেরপুর </v>
      </c>
    </row>
    <row r="328" ht="15.75" customHeight="1">
      <c r="A328" s="3" t="s">
        <v>3457</v>
      </c>
      <c r="B328" s="3">
        <f>IFERROR(__xludf.DUMMYFUNCTION("SPLIT(A328,""|"")"),496.0)</f>
        <v>496</v>
      </c>
      <c r="C328" s="3" t="str">
        <f>IFERROR(__xludf.DUMMYFUNCTION("""COMPUTED_VALUE""")," মোঃ মিরাজুল হক ")</f>
        <v> মোঃ মিরাজুল হক </v>
      </c>
      <c r="D328" s="3">
        <f>IFERROR(__xludf.DUMMYFUNCTION("""COMPUTED_VALUE"""),5.70056378918E11)</f>
        <v>570056378918</v>
      </c>
      <c r="E328" s="3" t="str">
        <f>IFERROR(__xludf.DUMMYFUNCTION("""COMPUTED_VALUE""")," আব্দুল জব্বার ")</f>
        <v> আব্দুল জব্বার </v>
      </c>
      <c r="F328" s="3" t="str">
        <f>IFERROR(__xludf.DUMMYFUNCTION("""COMPUTED_VALUE""")," চাঁদমনি ")</f>
        <v> চাঁদমনি </v>
      </c>
      <c r="G328" s="3" t="str">
        <f>IFERROR(__xludf.DUMMYFUNCTION("""COMPUTED_VALUE""")," ০৩/০৫/১৯৫২ ")</f>
        <v> ০৩/০৫/১৯৫২ </v>
      </c>
      <c r="H328" s="3" t="str">
        <f>IFERROR(__xludf.DUMMYFUNCTION("""COMPUTED_VALUE""")," কৃষক ")</f>
        <v> কৃষক </v>
      </c>
      <c r="I328" s="3" t="str">
        <f>IFERROR(__xludf.DUMMYFUNCTION("""COMPUTED_VALUE""")," জালতকা, গাংনী, মেহেরপুর ")</f>
        <v> জালতকা, গাংনী, মেহেরপুর </v>
      </c>
    </row>
    <row r="329" ht="15.75" customHeight="1">
      <c r="A329" s="3" t="s">
        <v>3458</v>
      </c>
      <c r="B329" s="3">
        <f>IFERROR(__xludf.DUMMYFUNCTION("SPLIT(A329,""|"")"),497.0)</f>
        <v>497</v>
      </c>
      <c r="C329" s="3" t="str">
        <f>IFERROR(__xludf.DUMMYFUNCTION("""COMPUTED_VALUE""")," মোঃ নাজমুল হুদা ")</f>
        <v> মোঃ নাজমুল হুদা </v>
      </c>
      <c r="D329" s="3">
        <f>IFERROR(__xludf.DUMMYFUNCTION("""COMPUTED_VALUE"""),5.70056378929E11)</f>
        <v>570056378929</v>
      </c>
      <c r="E329" s="3" t="str">
        <f>IFERROR(__xludf.DUMMYFUNCTION("""COMPUTED_VALUE""")," মোঃ আব্দুর রাজ্জাক ")</f>
        <v> মোঃ আব্দুর রাজ্জাক </v>
      </c>
      <c r="F329" s="3" t="str">
        <f>IFERROR(__xludf.DUMMYFUNCTION("""COMPUTED_VALUE""")," মোছাঃ ফিরোজা খাতুন ")</f>
        <v> মোছাঃ ফিরোজা খাতুন </v>
      </c>
      <c r="G329" s="3" t="str">
        <f>IFERROR(__xludf.DUMMYFUNCTION("""COMPUTED_VALUE""")," ২৮/০৬/১৯৮৬ ")</f>
        <v> ২৮/০৬/১৯৮৬ </v>
      </c>
      <c r="H329" s="3" t="str">
        <f>IFERROR(__xludf.DUMMYFUNCTION("""COMPUTED_VALUE""")," কৃষক ")</f>
        <v> কৃষক </v>
      </c>
      <c r="I329" s="3" t="str">
        <f>IFERROR(__xludf.DUMMYFUNCTION("""COMPUTED_VALUE""")," জালতকা, গাংনী, মেহেরপুর ")</f>
        <v> জালতকা, গাংনী, মেহেরপুর </v>
      </c>
    </row>
    <row r="330" ht="15.75" customHeight="1">
      <c r="A330" s="3" t="s">
        <v>3459</v>
      </c>
      <c r="B330" s="3">
        <f>IFERROR(__xludf.DUMMYFUNCTION("SPLIT(A330,""|"")"),498.0)</f>
        <v>498</v>
      </c>
      <c r="C330" s="3" t="str">
        <f>IFERROR(__xludf.DUMMYFUNCTION("""COMPUTED_VALUE""")," মোঃ আব্দুল মজিদ ")</f>
        <v> মোঃ আব্দুল মজিদ </v>
      </c>
      <c r="D330" s="3">
        <f>IFERROR(__xludf.DUMMYFUNCTION("""COMPUTED_VALUE"""),5.70056378932E11)</f>
        <v>570056378932</v>
      </c>
      <c r="E330" s="3" t="str">
        <f>IFERROR(__xludf.DUMMYFUNCTION("""COMPUTED_VALUE""")," খোদা বক্স ")</f>
        <v> খোদা বক্স </v>
      </c>
      <c r="F330" s="3" t="str">
        <f>IFERROR(__xludf.DUMMYFUNCTION("""COMPUTED_VALUE""")," মোছাঃ ওকিরন নেছা ")</f>
        <v> মোছাঃ ওকিরন নেছা </v>
      </c>
      <c r="G330" s="3" t="str">
        <f>IFERROR(__xludf.DUMMYFUNCTION("""COMPUTED_VALUE""")," ১৪/০২/১৯৮২ ")</f>
        <v> ১৪/০২/১৯৮২ </v>
      </c>
      <c r="H330" s="3" t="str">
        <f>IFERROR(__xludf.DUMMYFUNCTION("""COMPUTED_VALUE""")," ব্যবসা ")</f>
        <v> ব্যবসা </v>
      </c>
      <c r="I330" s="3" t="str">
        <f>IFERROR(__xludf.DUMMYFUNCTION("""COMPUTED_VALUE""")," জালতকা, গাংনী, মেহেরপুর ")</f>
        <v> জালতকা, গাংনী, মেহেরপুর </v>
      </c>
    </row>
    <row r="331" ht="15.75" customHeight="1">
      <c r="A331" s="3" t="s">
        <v>3460</v>
      </c>
      <c r="B331" s="3">
        <f>IFERROR(__xludf.DUMMYFUNCTION("SPLIT(A331,""|"")"),499.0)</f>
        <v>499</v>
      </c>
      <c r="C331" s="3" t="str">
        <f>IFERROR(__xludf.DUMMYFUNCTION("""COMPUTED_VALUE""")," মোঃ আমিন উল্লাহ ")</f>
        <v> মোঃ আমিন উল্লাহ </v>
      </c>
      <c r="D331" s="3">
        <f>IFERROR(__xludf.DUMMYFUNCTION("""COMPUTED_VALUE"""),5.70056378935E11)</f>
        <v>570056378935</v>
      </c>
      <c r="E331" s="3" t="str">
        <f>IFERROR(__xludf.DUMMYFUNCTION("""COMPUTED_VALUE""")," মোঃ ফাকের আলী মন্ডল ")</f>
        <v> মোঃ ফাকের আলী মন্ডল </v>
      </c>
      <c r="F331" s="3" t="str">
        <f>IFERROR(__xludf.DUMMYFUNCTION("""COMPUTED_VALUE""")," মোছাঃ আজিরন নেছা ")</f>
        <v> মোছাঃ আজিরন নেছা </v>
      </c>
      <c r="G331" s="3" t="str">
        <f>IFERROR(__xludf.DUMMYFUNCTION("""COMPUTED_VALUE""")," ০১/০৩/১৯৫২ ")</f>
        <v> ০১/০৩/১৯৫২ </v>
      </c>
      <c r="H331" s="3" t="str">
        <f>IFERROR(__xludf.DUMMYFUNCTION("""COMPUTED_VALUE""")," কৃষক ")</f>
        <v> কৃষক </v>
      </c>
      <c r="I331" s="3" t="str">
        <f>IFERROR(__xludf.DUMMYFUNCTION("""COMPUTED_VALUE""")," জালতকা, গাংনী, মেহেরপুর ")</f>
        <v> জালতকা, গাংনী, মেহেরপুর </v>
      </c>
    </row>
    <row r="332" ht="15.75" customHeight="1">
      <c r="A332" s="3" t="s">
        <v>3461</v>
      </c>
      <c r="B332" s="3">
        <f>IFERROR(__xludf.DUMMYFUNCTION("SPLIT(A332,""|"")"),500.0)</f>
        <v>500</v>
      </c>
      <c r="C332" s="3" t="str">
        <f>IFERROR(__xludf.DUMMYFUNCTION("""COMPUTED_VALUE""")," মোঃ আব্বাস আলী ")</f>
        <v> মোঃ আব্বাস আলী </v>
      </c>
      <c r="D332" s="3">
        <f>IFERROR(__xludf.DUMMYFUNCTION("""COMPUTED_VALUE"""),5.70056378936E11)</f>
        <v>570056378936</v>
      </c>
      <c r="E332" s="3" t="str">
        <f>IFERROR(__xludf.DUMMYFUNCTION("""COMPUTED_VALUE""")," মোঃ ঠান্ডু শেখ ")</f>
        <v> মোঃ ঠান্ডু শেখ </v>
      </c>
      <c r="F332" s="3" t="str">
        <f>IFERROR(__xludf.DUMMYFUNCTION("""COMPUTED_VALUE""")," মোছাঃ কাইনুর ")</f>
        <v> মোছাঃ কাইনুর </v>
      </c>
      <c r="G332" s="3" t="str">
        <f>IFERROR(__xludf.DUMMYFUNCTION("""COMPUTED_VALUE""")," ০৩/০২/১৯৮২ ")</f>
        <v> ০৩/০২/১৯৮২ </v>
      </c>
      <c r="H332" s="3" t="str">
        <f>IFERROR(__xludf.DUMMYFUNCTION("""COMPUTED_VALUE""")," দিনমজুর ")</f>
        <v> দিনমজুর </v>
      </c>
      <c r="I332" s="3" t="str">
        <f>IFERROR(__xludf.DUMMYFUNCTION("""COMPUTED_VALUE""")," জালতকা, গাংনী, মেহেরপুর ")</f>
        <v> জালতকা, গাংনী, মেহেরপুর </v>
      </c>
    </row>
    <row r="333" ht="15.75" customHeight="1">
      <c r="A333" s="3" t="s">
        <v>3462</v>
      </c>
      <c r="B333" s="3">
        <f>IFERROR(__xludf.DUMMYFUNCTION("SPLIT(A333,""|"")"),501.0)</f>
        <v>501</v>
      </c>
      <c r="C333" s="3" t="str">
        <f>IFERROR(__xludf.DUMMYFUNCTION("""COMPUTED_VALUE""")," মোঃ আখতারুজ্জামান ")</f>
        <v> মোঃ আখতারুজ্জামান </v>
      </c>
      <c r="D333" s="3">
        <f>IFERROR(__xludf.DUMMYFUNCTION("""COMPUTED_VALUE"""),5.70056378942E11)</f>
        <v>570056378942</v>
      </c>
      <c r="E333" s="3" t="str">
        <f>IFERROR(__xludf.DUMMYFUNCTION("""COMPUTED_VALUE""")," মোঃ জামাল উদ্দীন ")</f>
        <v> মোঃ জামাল উদ্দীন </v>
      </c>
      <c r="F333" s="3" t="str">
        <f>IFERROR(__xludf.DUMMYFUNCTION("""COMPUTED_VALUE""")," মোছাঃ মালেকা খাতুন ")</f>
        <v> মোছাঃ মালেকা খাতুন </v>
      </c>
      <c r="G333" s="3" t="str">
        <f>IFERROR(__xludf.DUMMYFUNCTION("""COMPUTED_VALUE""")," ০১/০১/১৯৯০ ")</f>
        <v> ০১/০১/১৯৯০ </v>
      </c>
      <c r="H333" s="3" t="str">
        <f>IFERROR(__xludf.DUMMYFUNCTION("""COMPUTED_VALUE""")," ছাত্র/ছাত্রী ")</f>
        <v> ছাত্র/ছাত্রী </v>
      </c>
      <c r="I333" s="3" t="str">
        <f>IFERROR(__xludf.DUMMYFUNCTION("""COMPUTED_VALUE""")," জালতকা, গাংনী, মেহেরপুর ")</f>
        <v> জালতকা, গাংনী, মেহেরপুর </v>
      </c>
    </row>
    <row r="334" ht="15.75" customHeight="1">
      <c r="A334" s="3" t="s">
        <v>3138</v>
      </c>
      <c r="B334" s="3" t="str">
        <f>IFERROR(__xludf.DUMMYFUNCTION("SPLIT(A334,""|"")")," ক্রমিক নং ")</f>
        <v> ক্রমিক নং </v>
      </c>
      <c r="C334" s="3" t="str">
        <f>IFERROR(__xludf.DUMMYFUNCTION("""COMPUTED_VALUE""")," নাম ")</f>
        <v> নাম </v>
      </c>
      <c r="D334" s="3" t="str">
        <f>IFERROR(__xludf.DUMMYFUNCTION("""COMPUTED_VALUE""")," ভোটার নং ")</f>
        <v> ভোটার নং </v>
      </c>
      <c r="E334" s="3" t="str">
        <f>IFERROR(__xludf.DUMMYFUNCTION("""COMPUTED_VALUE""")," পিতা ")</f>
        <v> পিতা </v>
      </c>
      <c r="F334" s="3" t="str">
        <f>IFERROR(__xludf.DUMMYFUNCTION("""COMPUTED_VALUE""")," মাতা ")</f>
        <v> মাতা </v>
      </c>
      <c r="G334" s="3" t="str">
        <f>IFERROR(__xludf.DUMMYFUNCTION("""COMPUTED_VALUE""")," জন্ম তারিখ ")</f>
        <v> জন্ম তারিখ </v>
      </c>
      <c r="H334" s="3" t="str">
        <f>IFERROR(__xludf.DUMMYFUNCTION("""COMPUTED_VALUE""")," পেশা ")</f>
        <v> পেশা </v>
      </c>
      <c r="I334" s="3" t="str">
        <f>IFERROR(__xludf.DUMMYFUNCTION("""COMPUTED_VALUE""")," ঠিকানা ")</f>
        <v> ঠিকানা </v>
      </c>
    </row>
    <row r="335" ht="15.75" customHeight="1">
      <c r="A335" s="3" t="s">
        <v>3139</v>
      </c>
      <c r="B335" s="3" t="str">
        <f>IFERROR(__xludf.DUMMYFUNCTION("SPLIT(A335,""|"")"),"---")</f>
        <v>---</v>
      </c>
      <c r="C335" s="3" t="str">
        <f>IFERROR(__xludf.DUMMYFUNCTION("""COMPUTED_VALUE"""),"---")</f>
        <v>---</v>
      </c>
      <c r="D335" s="3" t="str">
        <f>IFERROR(__xludf.DUMMYFUNCTION("""COMPUTED_VALUE"""),"---")</f>
        <v>---</v>
      </c>
      <c r="E335" s="3" t="str">
        <f>IFERROR(__xludf.DUMMYFUNCTION("""COMPUTED_VALUE"""),"---")</f>
        <v>---</v>
      </c>
      <c r="F335" s="3" t="str">
        <f>IFERROR(__xludf.DUMMYFUNCTION("""COMPUTED_VALUE"""),"---")</f>
        <v>---</v>
      </c>
      <c r="G335" s="3" t="str">
        <f>IFERROR(__xludf.DUMMYFUNCTION("""COMPUTED_VALUE"""),"---")</f>
        <v>---</v>
      </c>
      <c r="H335" s="3" t="str">
        <f>IFERROR(__xludf.DUMMYFUNCTION("""COMPUTED_VALUE"""),"---")</f>
        <v>---</v>
      </c>
      <c r="I335" s="3" t="str">
        <f>IFERROR(__xludf.DUMMYFUNCTION("""COMPUTED_VALUE"""),"---")</f>
        <v>---</v>
      </c>
    </row>
    <row r="336" ht="15.75" customHeight="1">
      <c r="A336" s="3" t="s">
        <v>3463</v>
      </c>
      <c r="B336" s="3">
        <f>IFERROR(__xludf.DUMMYFUNCTION("SPLIT(A336,""|"")"),502.0)</f>
        <v>502</v>
      </c>
      <c r="C336" s="3" t="str">
        <f>IFERROR(__xludf.DUMMYFUNCTION("""COMPUTED_VALUE""")," নাম: মোঃ রুহুল আমিন ")</f>
        <v> নাম: মোঃ রুহুল আমিন </v>
      </c>
      <c r="D336" s="3">
        <f>IFERROR(__xludf.DUMMYFUNCTION("""COMPUTED_VALUE"""),5.70056378945E11)</f>
        <v>570056378945</v>
      </c>
      <c r="E336" s="3" t="str">
        <f>IFERROR(__xludf.DUMMYFUNCTION("""COMPUTED_VALUE""")," শাবদাল বিশ্বাস ")</f>
        <v> শাবদাল বিশ্বাস </v>
      </c>
      <c r="F336" s="3" t="str">
        <f>IFERROR(__xludf.DUMMYFUNCTION("""COMPUTED_VALUE""")," মোছাঃ রহিমা খাতুন ")</f>
        <v> মোছাঃ রহিমা খাতুন </v>
      </c>
      <c r="G336" s="3" t="str">
        <f>IFERROR(__xludf.DUMMYFUNCTION("""COMPUTED_VALUE""")," ১০/০৫/১৯৫০ ")</f>
        <v> ১০/০৫/১৯৫০ </v>
      </c>
      <c r="H336" s="3" t="str">
        <f>IFERROR(__xludf.DUMMYFUNCTION("""COMPUTED_VALUE""")," কৃষক ")</f>
        <v> কৃষক </v>
      </c>
      <c r="I336" s="3" t="str">
        <f>IFERROR(__xludf.DUMMYFUNCTION("""COMPUTED_VALUE""")," জালতকা, গাংনী, মেহেরপুর ")</f>
        <v> জালতকা, গাংনী, মেহেরপুর </v>
      </c>
    </row>
    <row r="337" ht="15.75" customHeight="1">
      <c r="A337" s="3" t="s">
        <v>3464</v>
      </c>
      <c r="B337" s="3">
        <f>IFERROR(__xludf.DUMMYFUNCTION("SPLIT(A337,""|"")"),503.0)</f>
        <v>503</v>
      </c>
      <c r="C337" s="3" t="str">
        <f>IFERROR(__xludf.DUMMYFUNCTION("""COMPUTED_VALUE""")," নাম: মোঃ জামিরুল ইসলাম ")</f>
        <v> নাম: মোঃ জামিরুল ইসলাম </v>
      </c>
      <c r="D337" s="3">
        <f>IFERROR(__xludf.DUMMYFUNCTION("""COMPUTED_VALUE"""),5.70056378954E11)</f>
        <v>570056378954</v>
      </c>
      <c r="E337" s="3" t="str">
        <f>IFERROR(__xludf.DUMMYFUNCTION("""COMPUTED_VALUE""")," মোঃ মোশাররফ হোসেন ")</f>
        <v> মোঃ মোশাররফ হোসেন </v>
      </c>
      <c r="F337" s="3" t="str">
        <f>IFERROR(__xludf.DUMMYFUNCTION("""COMPUTED_VALUE""")," মোছাঃ রসুলা খাতুন ")</f>
        <v> মোছাঃ রসুলা খাতুন </v>
      </c>
      <c r="G337" s="3" t="str">
        <f>IFERROR(__xludf.DUMMYFUNCTION("""COMPUTED_VALUE""")," ০১/০১/১৯৭৬ ")</f>
        <v> ০১/০১/১৯৭৬ </v>
      </c>
      <c r="H337" s="3" t="str">
        <f>IFERROR(__xludf.DUMMYFUNCTION("""COMPUTED_VALUE""")," দিনমজুর ")</f>
        <v> দিনমজুর </v>
      </c>
      <c r="I337" s="3" t="str">
        <f>IFERROR(__xludf.DUMMYFUNCTION("""COMPUTED_VALUE""")," জালতকা, গাংনী, মেহেরপুর ")</f>
        <v> জালতকা, গাংনী, মেহেরপুর </v>
      </c>
    </row>
    <row r="338" ht="15.75" customHeight="1">
      <c r="A338" s="3" t="s">
        <v>3465</v>
      </c>
      <c r="B338" s="3">
        <f>IFERROR(__xludf.DUMMYFUNCTION("SPLIT(A338,""|"")"),504.0)</f>
        <v>504</v>
      </c>
      <c r="C338" s="3" t="str">
        <f>IFERROR(__xludf.DUMMYFUNCTION("""COMPUTED_VALUE""")," নাম: মোঃ জামাল উদ্দীন ")</f>
        <v> নাম: মোঃ জামাল উদ্দীন </v>
      </c>
      <c r="D338" s="3">
        <f>IFERROR(__xludf.DUMMYFUNCTION("""COMPUTED_VALUE"""),5.70056378959E11)</f>
        <v>570056378959</v>
      </c>
      <c r="E338" s="3" t="str">
        <f>IFERROR(__xludf.DUMMYFUNCTION("""COMPUTED_VALUE""")," মোঃ আজিজুল হক ")</f>
        <v> মোঃ আজিজুল হক </v>
      </c>
      <c r="F338" s="3" t="str">
        <f>IFERROR(__xludf.DUMMYFUNCTION("""COMPUTED_VALUE""")," মোছাঃ হালিমা খাতুন ")</f>
        <v> মোছাঃ হালিমা খাতুন </v>
      </c>
      <c r="G338" s="3" t="str">
        <f>IFERROR(__xludf.DUMMYFUNCTION("""COMPUTED_VALUE""")," ০১/০১/১৯৬৩ ")</f>
        <v> ০১/০১/১৯৬৩ </v>
      </c>
      <c r="H338" s="3" t="str">
        <f>IFERROR(__xludf.DUMMYFUNCTION("""COMPUTED_VALUE""")," কৃষক ")</f>
        <v> কৃষক </v>
      </c>
      <c r="I338" s="3" t="str">
        <f>IFERROR(__xludf.DUMMYFUNCTION("""COMPUTED_VALUE""")," জালতকা, গাংনী, মেহেরপুর ")</f>
        <v> জালতকা, গাংনী, মেহেরপুর </v>
      </c>
    </row>
    <row r="339" ht="15.75" customHeight="1">
      <c r="A339" s="3" t="s">
        <v>3466</v>
      </c>
      <c r="B339" s="3">
        <f>IFERROR(__xludf.DUMMYFUNCTION("SPLIT(A339,""|"")"),505.0)</f>
        <v>505</v>
      </c>
      <c r="C339" s="3" t="str">
        <f>IFERROR(__xludf.DUMMYFUNCTION("""COMPUTED_VALUE""")," নাম: মোঃ ঠান্ডু শেখ ")</f>
        <v> নাম: মোঃ ঠান্ডু শেখ </v>
      </c>
      <c r="D339" s="3">
        <f>IFERROR(__xludf.DUMMYFUNCTION("""COMPUTED_VALUE"""),5.70056378956E11)</f>
        <v>570056378956</v>
      </c>
      <c r="E339" s="3" t="str">
        <f>IFERROR(__xludf.DUMMYFUNCTION("""COMPUTED_VALUE""")," ইজ্জত আলী ")</f>
        <v> ইজ্জত আলী </v>
      </c>
      <c r="F339" s="3" t="str">
        <f>IFERROR(__xludf.DUMMYFUNCTION("""COMPUTED_VALUE""")," মাতা: নুরজাহান নেছা ")</f>
        <v> মাতা: নুরজাহান নেছা </v>
      </c>
      <c r="G339" s="3" t="str">
        <f>IFERROR(__xludf.DUMMYFUNCTION("""COMPUTED_VALUE""")," ২০/০৪/১৯৪২ ")</f>
        <v> ২০/০৪/১৯৪২ </v>
      </c>
      <c r="H339" s="3" t="str">
        <f>IFERROR(__xludf.DUMMYFUNCTION("""COMPUTED_VALUE""")," কৃষক ")</f>
        <v> কৃষক </v>
      </c>
      <c r="I339" s="3" t="str">
        <f>IFERROR(__xludf.DUMMYFUNCTION("""COMPUTED_VALUE""")," জালতকা, গাংনী, মেহেরপুর ")</f>
        <v> জালতকা, গাংনী, মেহেরপুর </v>
      </c>
    </row>
    <row r="340" ht="15.75" customHeight="1">
      <c r="A340" s="3" t="s">
        <v>3467</v>
      </c>
      <c r="B340" s="3">
        <f>IFERROR(__xludf.DUMMYFUNCTION("SPLIT(A340,""|"")"),506.0)</f>
        <v>506</v>
      </c>
      <c r="C340" s="3" t="str">
        <f>IFERROR(__xludf.DUMMYFUNCTION("""COMPUTED_VALUE""")," নাম: মোঃ ইউসুফ আলী ")</f>
        <v> নাম: মোঃ ইউসুফ আলী </v>
      </c>
      <c r="D340" s="3">
        <f>IFERROR(__xludf.DUMMYFUNCTION("""COMPUTED_VALUE"""),5.70056378958E11)</f>
        <v>570056378958</v>
      </c>
      <c r="E340" s="3" t="str">
        <f>IFERROR(__xludf.DUMMYFUNCTION("""COMPUTED_VALUE""")," তুরাফ বিশ্বাস ")</f>
        <v> তুরাফ বিশ্বাস </v>
      </c>
      <c r="F340" s="3" t="str">
        <f>IFERROR(__xludf.DUMMYFUNCTION("""COMPUTED_VALUE""")," আজিরন নেছা ")</f>
        <v> আজিরন নেছা </v>
      </c>
      <c r="G340" s="3" t="str">
        <f>IFERROR(__xludf.DUMMYFUNCTION("""COMPUTED_VALUE""")," ২০/০৪/১৯৩৯ ")</f>
        <v> ২০/০৪/১৯৩৯ </v>
      </c>
      <c r="H340" s="3" t="str">
        <f>IFERROR(__xludf.DUMMYFUNCTION("""COMPUTED_VALUE""")," কৃষক ")</f>
        <v> কৃষক </v>
      </c>
      <c r="I340" s="3" t="str">
        <f>IFERROR(__xludf.DUMMYFUNCTION("""COMPUTED_VALUE""")," জালতকা, গাংনী, মেহেরপুর ")</f>
        <v> জালতকা, গাংনী, মেহেরপুর </v>
      </c>
    </row>
    <row r="341" ht="15.75" customHeight="1">
      <c r="A341" s="3" t="s">
        <v>3468</v>
      </c>
      <c r="B341" s="3">
        <f>IFERROR(__xludf.DUMMYFUNCTION("SPLIT(A341,""|"")"),507.0)</f>
        <v>507</v>
      </c>
      <c r="C341" s="3" t="str">
        <f>IFERROR(__xludf.DUMMYFUNCTION("""COMPUTED_VALUE""")," নাম: মোঃ মনসুরুল ইসলাম ")</f>
        <v> নাম: মোঃ মনসুরুল ইসলাম </v>
      </c>
      <c r="D341" s="3">
        <f>IFERROR(__xludf.DUMMYFUNCTION("""COMPUTED_VALUE"""),5.70056378959E11)</f>
        <v>570056378959</v>
      </c>
      <c r="E341" s="3" t="str">
        <f>IFERROR(__xludf.DUMMYFUNCTION("""COMPUTED_VALUE""")," মোঃ ইউসুফ আলি ")</f>
        <v> মোঃ ইউসুফ আলি </v>
      </c>
      <c r="F341" s="3" t="str">
        <f>IFERROR(__xludf.DUMMYFUNCTION("""COMPUTED_VALUE""")," মোছাঃ জাহিদা খাতুন ")</f>
        <v> মোছাঃ জাহিদা খাতুন </v>
      </c>
      <c r="G341" s="3" t="str">
        <f>IFERROR(__xludf.DUMMYFUNCTION("""COMPUTED_VALUE""")," ০৬/১০/১৯৮৯ ")</f>
        <v> ০৬/১০/১৯৮৯ </v>
      </c>
      <c r="H341" s="3" t="str">
        <f>IFERROR(__xludf.DUMMYFUNCTION("""COMPUTED_VALUE""")," বেকার ")</f>
        <v> বেকার </v>
      </c>
      <c r="I341" s="3" t="str">
        <f>IFERROR(__xludf.DUMMYFUNCTION("""COMPUTED_VALUE""")," জালতকা, গাংনী, মেহেরপুর ")</f>
        <v> জালতকা, গাংনী, মেহেরপুর </v>
      </c>
    </row>
    <row r="342" ht="15.75" customHeight="1">
      <c r="A342" s="3" t="s">
        <v>3469</v>
      </c>
      <c r="B342" s="3">
        <f>IFERROR(__xludf.DUMMYFUNCTION("SPLIT(A342,""|"")"),508.0)</f>
        <v>508</v>
      </c>
      <c r="C342" s="3" t="str">
        <f>IFERROR(__xludf.DUMMYFUNCTION("""COMPUTED_VALUE""")," নাম: মোঃ আনোয়ার হোসাইন ")</f>
        <v> নাম: মোঃ আনোয়ার হোসাইন </v>
      </c>
      <c r="D342" s="3">
        <f>IFERROR(__xludf.DUMMYFUNCTION("""COMPUTED_VALUE"""),5.7005637896E11)</f>
        <v>570056378960</v>
      </c>
      <c r="E342" s="3" t="str">
        <f>IFERROR(__xludf.DUMMYFUNCTION("""COMPUTED_VALUE""")," মোঃ ইলিয়াস হোসেন ")</f>
        <v> মোঃ ইলিয়াস হোসেন </v>
      </c>
      <c r="F342" s="3" t="str">
        <f>IFERROR(__xludf.DUMMYFUNCTION("""COMPUTED_VALUE""")," মোছা ফাহিমা খাতুন ")</f>
        <v> মোছা ফাহিমা খাতুন </v>
      </c>
      <c r="G342" s="3" t="str">
        <f>IFERROR(__xludf.DUMMYFUNCTION("""COMPUTED_VALUE""")," ০৪/১০/১৯৮৪ ")</f>
        <v> ০৪/১০/১৯৮৪ </v>
      </c>
      <c r="H342" s="3" t="str">
        <f>IFERROR(__xludf.DUMMYFUNCTION("""COMPUTED_VALUE""")," কৃষক ")</f>
        <v> কৃষক </v>
      </c>
      <c r="I342" s="3" t="str">
        <f>IFERROR(__xludf.DUMMYFUNCTION("""COMPUTED_VALUE""")," জালতকা, গাংনী, মেহেরপুর ")</f>
        <v> জালতকা, গাংনী, মেহেরপুর </v>
      </c>
    </row>
    <row r="343" ht="15.75" customHeight="1">
      <c r="A343" s="3" t="s">
        <v>3470</v>
      </c>
      <c r="B343" s="3">
        <f>IFERROR(__xludf.DUMMYFUNCTION("SPLIT(A343,""|"")"),509.0)</f>
        <v>509</v>
      </c>
      <c r="C343" s="3" t="str">
        <f>IFERROR(__xludf.DUMMYFUNCTION("""COMPUTED_VALUE""")," নাম: মোঃ ইলিয়াছ হোসেন ")</f>
        <v> নাম: মোঃ ইলিয়াছ হোসেন </v>
      </c>
      <c r="D343" s="3">
        <f>IFERROR(__xludf.DUMMYFUNCTION("""COMPUTED_VALUE"""),5.70056378961E11)</f>
        <v>570056378961</v>
      </c>
      <c r="E343" s="3" t="str">
        <f>IFERROR(__xludf.DUMMYFUNCTION("""COMPUTED_VALUE""")," মাহাতাব উদ্দীন ")</f>
        <v> মাহাতাব উদ্দীন </v>
      </c>
      <c r="F343" s="3" t="str">
        <f>IFERROR(__xludf.DUMMYFUNCTION("""COMPUTED_VALUE""")," মোছাঃ সাজেদা খাতুন ")</f>
        <v> মোছাঃ সাজেদা খাতুন </v>
      </c>
      <c r="G343" s="3" t="str">
        <f>IFERROR(__xludf.DUMMYFUNCTION("""COMPUTED_VALUE""")," ১২/০১/১৯৬০ ")</f>
        <v> ১২/০১/১৯৬০ </v>
      </c>
      <c r="H343" s="3" t="str">
        <f>IFERROR(__xludf.DUMMYFUNCTION("""COMPUTED_VALUE""")," কৃষক ")</f>
        <v> কৃষক </v>
      </c>
      <c r="I343" s="3" t="str">
        <f>IFERROR(__xludf.DUMMYFUNCTION("""COMPUTED_VALUE""")," জালতকা, গাংনী, মেহেরপুর ")</f>
        <v> জালতকা, গাংনী, মেহেরপুর </v>
      </c>
    </row>
    <row r="344" ht="15.75" customHeight="1">
      <c r="A344" s="3" t="s">
        <v>3471</v>
      </c>
      <c r="B344" s="3">
        <f>IFERROR(__xludf.DUMMYFUNCTION("SPLIT(A344,""|"")"),510.0)</f>
        <v>510</v>
      </c>
      <c r="C344" s="3" t="str">
        <f>IFERROR(__xludf.DUMMYFUNCTION("""COMPUTED_VALUE""")," নাম: মোঃ মাসদুর রহমান ")</f>
        <v> নাম: মোঃ মাসদুর রহমান </v>
      </c>
      <c r="D344" s="3">
        <f>IFERROR(__xludf.DUMMYFUNCTION("""COMPUTED_VALUE"""),5.70056378963E11)</f>
        <v>570056378963</v>
      </c>
      <c r="E344" s="3" t="str">
        <f>IFERROR(__xludf.DUMMYFUNCTION("""COMPUTED_VALUE""")," মোঃ ইউসুফ বিশ্বাস ")</f>
        <v> মোঃ ইউসুফ বিশ্বাস </v>
      </c>
      <c r="F344" s="3" t="str">
        <f>IFERROR(__xludf.DUMMYFUNCTION("""COMPUTED_VALUE""")," মোছাঃ জায়েদা খাতুন ")</f>
        <v> মোছাঃ জায়েদা খাতুন </v>
      </c>
      <c r="G344" s="3" t="str">
        <f>IFERROR(__xludf.DUMMYFUNCTION("""COMPUTED_VALUE""")," ০২/০১/১৯৭০ ")</f>
        <v> ০২/০১/১৯৭০ </v>
      </c>
      <c r="H344" s="3" t="str">
        <f>IFERROR(__xludf.DUMMYFUNCTION("""COMPUTED_VALUE""")," কৃষক ")</f>
        <v> কৃষক </v>
      </c>
      <c r="I344" s="3" t="str">
        <f>IFERROR(__xludf.DUMMYFUNCTION("""COMPUTED_VALUE""")," জালতকা, গাংনী, মেহেরপুর ")</f>
        <v> জালতকা, গাংনী, মেহেরপুর </v>
      </c>
    </row>
    <row r="345" ht="15.75" customHeight="1">
      <c r="A345" s="3" t="s">
        <v>3472</v>
      </c>
      <c r="B345" s="3">
        <f>IFERROR(__xludf.DUMMYFUNCTION("SPLIT(A345,""|"")"),511.0)</f>
        <v>511</v>
      </c>
      <c r="C345" s="3" t="str">
        <f>IFERROR(__xludf.DUMMYFUNCTION("""COMPUTED_VALUE""")," নাম: মোঃ ইয়াছিন আলী ")</f>
        <v> নাম: মোঃ ইয়াছিন আলী </v>
      </c>
      <c r="D345" s="3">
        <f>IFERROR(__xludf.DUMMYFUNCTION("""COMPUTED_VALUE"""),5.70056378964E11)</f>
        <v>570056378964</v>
      </c>
      <c r="E345" s="3" t="str">
        <f>IFERROR(__xludf.DUMMYFUNCTION("""COMPUTED_VALUE""")," মাহাতাব উদ্দীন ")</f>
        <v> মাহাতাব উদ্দীন </v>
      </c>
      <c r="F345" s="3" t="str">
        <f>IFERROR(__xludf.DUMMYFUNCTION("""COMPUTED_VALUE""")," মোছাঃ সাজেদা খাতুন ")</f>
        <v> মোছাঃ সাজেদা খাতুন </v>
      </c>
      <c r="G345" s="3" t="str">
        <f>IFERROR(__xludf.DUMMYFUNCTION("""COMPUTED_VALUE""")," ০৬/০৯/১৯৬৭ ")</f>
        <v> ০৬/০৯/১৯৬৭ </v>
      </c>
      <c r="H345" s="3" t="str">
        <f>IFERROR(__xludf.DUMMYFUNCTION("""COMPUTED_VALUE""")," কৃষক ")</f>
        <v> কৃষক </v>
      </c>
      <c r="I345" s="3" t="str">
        <f>IFERROR(__xludf.DUMMYFUNCTION("""COMPUTED_VALUE""")," জালতকা, গাংনী, মেহেরপুর ")</f>
        <v> জালতকা, গাংনী, মেহেরপুর </v>
      </c>
    </row>
    <row r="346" ht="15.75" customHeight="1">
      <c r="A346" s="3" t="s">
        <v>3473</v>
      </c>
      <c r="B346" s="3">
        <f>IFERROR(__xludf.DUMMYFUNCTION("SPLIT(A346,""|"")"),512.0)</f>
        <v>512</v>
      </c>
      <c r="C346" s="3" t="str">
        <f>IFERROR(__xludf.DUMMYFUNCTION("""COMPUTED_VALUE""")," নাম: মোঃ মনিরুল ইসলাম ")</f>
        <v> নাম: মোঃ মনিরুল ইসলাম </v>
      </c>
      <c r="D346" s="3">
        <f>IFERROR(__xludf.DUMMYFUNCTION("""COMPUTED_VALUE"""),5.70056378966E11)</f>
        <v>570056378966</v>
      </c>
      <c r="E346" s="3" t="str">
        <f>IFERROR(__xludf.DUMMYFUNCTION("""COMPUTED_VALUE""")," আ: সাত্তার ")</f>
        <v> আ: সাত্তার </v>
      </c>
      <c r="F346" s="3" t="str">
        <f>IFERROR(__xludf.DUMMYFUNCTION("""COMPUTED_VALUE""")," মোছাঃ রওশনরা ")</f>
        <v> মোছাঃ রওশনরা </v>
      </c>
      <c r="G346" s="3" t="str">
        <f>IFERROR(__xludf.DUMMYFUNCTION("""COMPUTED_VALUE""")," ০২/০৪/১৯৬৫ ")</f>
        <v> ০২/০৪/১৯৬৫ </v>
      </c>
      <c r="H346" s="3" t="str">
        <f>IFERROR(__xludf.DUMMYFUNCTION("""COMPUTED_VALUE""")," কৃষক ")</f>
        <v> কৃষক </v>
      </c>
      <c r="I346" s="3" t="str">
        <f>IFERROR(__xludf.DUMMYFUNCTION("""COMPUTED_VALUE""")," জালতকা, গাংনী, মেহেরপুর ")</f>
        <v> জালতকা, গাংনী, মেহেরপুর </v>
      </c>
    </row>
    <row r="347" ht="15.75" customHeight="1">
      <c r="A347" s="3" t="s">
        <v>3474</v>
      </c>
      <c r="B347" s="3">
        <f>IFERROR(__xludf.DUMMYFUNCTION("SPLIT(A347,""|"")"),513.0)</f>
        <v>513</v>
      </c>
      <c r="C347" s="3" t="str">
        <f>IFERROR(__xludf.DUMMYFUNCTION("""COMPUTED_VALUE""")," নাম: মোঃ শহিদুল ইসলাম ")</f>
        <v> নাম: মোঃ শহিদুল ইসলাম </v>
      </c>
      <c r="D347" s="3">
        <f>IFERROR(__xludf.DUMMYFUNCTION("""COMPUTED_VALUE"""),5.7005637897E11)</f>
        <v>570056378970</v>
      </c>
      <c r="E347" s="3" t="str">
        <f>IFERROR(__xludf.DUMMYFUNCTION("""COMPUTED_VALUE""")," আ: সাত্তার ")</f>
        <v> আ: সাত্তার </v>
      </c>
      <c r="F347" s="3" t="str">
        <f>IFERROR(__xludf.DUMMYFUNCTION("""COMPUTED_VALUE""")," মোছাঃ রওশনরা ")</f>
        <v> মোছাঃ রওশনরা </v>
      </c>
      <c r="G347" s="3" t="str">
        <f>IFERROR(__xludf.DUMMYFUNCTION("""COMPUTED_VALUE""")," ০৫/০৮/১৯৪৭ ")</f>
        <v> ০৫/০৮/১৯৪৭ </v>
      </c>
      <c r="H347" s="3" t="str">
        <f>IFERROR(__xludf.DUMMYFUNCTION("""COMPUTED_VALUE""")," কৃষক ")</f>
        <v> কৃষক </v>
      </c>
      <c r="I347" s="3" t="str">
        <f>IFERROR(__xludf.DUMMYFUNCTION("""COMPUTED_VALUE""")," জালতকা, গাংনী, মেহেরপুর ")</f>
        <v> জালতকা, গাংনী, মেহেরপুর </v>
      </c>
    </row>
    <row r="348" ht="15.75" customHeight="1">
      <c r="A348" s="3" t="s">
        <v>3475</v>
      </c>
      <c r="B348" s="3">
        <f>IFERROR(__xludf.DUMMYFUNCTION("SPLIT(A348,""|"")"),514.0)</f>
        <v>514</v>
      </c>
      <c r="C348" s="3" t="str">
        <f>IFERROR(__xludf.DUMMYFUNCTION("""COMPUTED_VALUE""")," নাম: মোঃ খলিলুর রহমান ")</f>
        <v> নাম: মোঃ খলিলুর রহমান </v>
      </c>
      <c r="D348" s="3">
        <f>IFERROR(__xludf.DUMMYFUNCTION("""COMPUTED_VALUE"""),5.70056378972E11)</f>
        <v>570056378972</v>
      </c>
      <c r="E348" s="3" t="str">
        <f>IFERROR(__xludf.DUMMYFUNCTION("""COMPUTED_VALUE""")," মাহাতাব উদ্দীন ")</f>
        <v> মাহাতাব উদ্দীন </v>
      </c>
      <c r="F348" s="3" t="str">
        <f>IFERROR(__xludf.DUMMYFUNCTION("""COMPUTED_VALUE""")," মোছাঃ সাজেদা খাতুন ")</f>
        <v> মোছাঃ সাজেদা খাতুন </v>
      </c>
      <c r="G348" s="3" t="str">
        <f>IFERROR(__xludf.DUMMYFUNCTION("""COMPUTED_VALUE""")," ১৬/০৫/১৯৬২ ")</f>
        <v> ১৬/০৫/১৯৬২ </v>
      </c>
      <c r="H348" s="3" t="str">
        <f>IFERROR(__xludf.DUMMYFUNCTION("""COMPUTED_VALUE""")," ব্যবসা ")</f>
        <v> ব্যবসা </v>
      </c>
      <c r="I348" s="3" t="str">
        <f>IFERROR(__xludf.DUMMYFUNCTION("""COMPUTED_VALUE""")," জালতকা, গাংনী, মেহেরপুর ")</f>
        <v> জালতকা, গাংনী, মেহেরপুর </v>
      </c>
    </row>
    <row r="349" ht="15.75" customHeight="1">
      <c r="A349" s="3" t="s">
        <v>3476</v>
      </c>
      <c r="B349" s="3">
        <f>IFERROR(__xludf.DUMMYFUNCTION("SPLIT(A349,""|"")"),515.0)</f>
        <v>515</v>
      </c>
      <c r="C349" s="3" t="str">
        <f>IFERROR(__xludf.DUMMYFUNCTION("""COMPUTED_VALUE""")," নাম: মোঃ ইসরাইল হোসেন ")</f>
        <v> নাম: মোঃ ইসরাইল হোসেন </v>
      </c>
      <c r="D349" s="3">
        <f>IFERROR(__xludf.DUMMYFUNCTION("""COMPUTED_VALUE"""),5.70056378977E11)</f>
        <v>570056378977</v>
      </c>
      <c r="E349" s="3" t="str">
        <f>IFERROR(__xludf.DUMMYFUNCTION("""COMPUTED_VALUE""")," মাহাতাব উদ্দীন ")</f>
        <v> মাহাতাব উদ্দীন </v>
      </c>
      <c r="F349" s="3" t="str">
        <f>IFERROR(__xludf.DUMMYFUNCTION("""COMPUTED_VALUE""")," মোছাঃ সাজেদা খাতুন ")</f>
        <v> মোছাঃ সাজেদা খাতুন </v>
      </c>
      <c r="G349" s="3" t="str">
        <f>IFERROR(__xludf.DUMMYFUNCTION("""COMPUTED_VALUE""")," ২২/০৭/১৯৬৫ ")</f>
        <v> ২২/০৭/১৯৬৫ </v>
      </c>
      <c r="H349" s="3" t="str">
        <f>IFERROR(__xludf.DUMMYFUNCTION("""COMPUTED_VALUE""")," কৃষক ")</f>
        <v> কৃষক </v>
      </c>
      <c r="I349" s="3" t="str">
        <f>IFERROR(__xludf.DUMMYFUNCTION("""COMPUTED_VALUE""")," জালতকা, গাংনী, মেহেরপুর ")</f>
        <v> জালতকা, গাংনী, মেহেরপুর </v>
      </c>
    </row>
    <row r="350" ht="15.75" customHeight="1">
      <c r="A350" s="3" t="s">
        <v>3477</v>
      </c>
      <c r="B350" s="3">
        <f>IFERROR(__xludf.DUMMYFUNCTION("SPLIT(A350,""|"")"),516.0)</f>
        <v>516</v>
      </c>
      <c r="C350" s="3" t="str">
        <f>IFERROR(__xludf.DUMMYFUNCTION("""COMPUTED_VALUE""")," নাম: মোঃ আমিরুল ইসলাম ")</f>
        <v> নাম: মোঃ আমিরুল ইসলাম </v>
      </c>
      <c r="D350" s="3">
        <f>IFERROR(__xludf.DUMMYFUNCTION("""COMPUTED_VALUE"""),5.7005637898E11)</f>
        <v>570056378980</v>
      </c>
      <c r="E350" s="3" t="str">
        <f>IFERROR(__xludf.DUMMYFUNCTION("""COMPUTED_VALUE""")," মাহাতাব উদ্দীন ")</f>
        <v> মাহাতাব উদ্দীন </v>
      </c>
      <c r="F350" s="3" t="str">
        <f>IFERROR(__xludf.DUMMYFUNCTION("""COMPUTED_VALUE""")," মোছাঃ সাজেদা খাতুন ")</f>
        <v> মোছাঃ সাজেদা খাতুন </v>
      </c>
      <c r="G350" s="3" t="str">
        <f>IFERROR(__xludf.DUMMYFUNCTION("""COMPUTED_VALUE""")," ০২/০৩/১৯৭৫ ")</f>
        <v> ০২/০৩/১৯৭৫ </v>
      </c>
      <c r="H350" s="3" t="str">
        <f>IFERROR(__xludf.DUMMYFUNCTION("""COMPUTED_VALUE""")," ব্যবসা ")</f>
        <v> ব্যবসা </v>
      </c>
      <c r="I350" s="3" t="str">
        <f>IFERROR(__xludf.DUMMYFUNCTION("""COMPUTED_VALUE""")," জালতকা, গাংনী, মেহেরপুর ")</f>
        <v> জালতকা, গাংনী, মেহেরপুর </v>
      </c>
    </row>
    <row r="351" ht="15.75" customHeight="1">
      <c r="A351" s="3" t="s">
        <v>3478</v>
      </c>
      <c r="B351" s="3">
        <f>IFERROR(__xludf.DUMMYFUNCTION("SPLIT(A351,""|"")"),517.0)</f>
        <v>517</v>
      </c>
      <c r="C351" s="3" t="str">
        <f>IFERROR(__xludf.DUMMYFUNCTION("""COMPUTED_VALUE""")," নাম: মোঃ জালাল উদ্দীন ")</f>
        <v> নাম: মোঃ জালাল উদ্দীন </v>
      </c>
      <c r="D351" s="3">
        <f>IFERROR(__xludf.DUMMYFUNCTION("""COMPUTED_VALUE"""),5.70056378981E11)</f>
        <v>570056378981</v>
      </c>
      <c r="E351" s="3" t="str">
        <f>IFERROR(__xludf.DUMMYFUNCTION("""COMPUTED_VALUE""")," মোঃ ইদ্রিস আলী ")</f>
        <v> মোঃ ইদ্রিস আলী </v>
      </c>
      <c r="F351" s="3" t="str">
        <f>IFERROR(__xludf.DUMMYFUNCTION("""COMPUTED_VALUE""")," মোছাঃ রোকেয়া ")</f>
        <v> মোছাঃ রোকেয়া </v>
      </c>
      <c r="G351" s="3" t="str">
        <f>IFERROR(__xludf.DUMMYFUNCTION("""COMPUTED_VALUE""")," ০৩/০১/১৯৭৪ ")</f>
        <v> ০৩/০১/১৯৭৪ </v>
      </c>
      <c r="H351" s="3" t="str">
        <f>IFERROR(__xludf.DUMMYFUNCTION("""COMPUTED_VALUE""")," ব্যবসা ")</f>
        <v> ব্যবসা </v>
      </c>
      <c r="I351" s="3" t="str">
        <f>IFERROR(__xludf.DUMMYFUNCTION("""COMPUTED_VALUE""")," জালতকা, গাংনী, মেহেরপুর ")</f>
        <v> জালতকা, গাংনী, মেহেরপুর </v>
      </c>
    </row>
    <row r="352" ht="15.75" customHeight="1">
      <c r="A352" s="3" t="s">
        <v>3479</v>
      </c>
      <c r="B352" s="3">
        <f>IFERROR(__xludf.DUMMYFUNCTION("SPLIT(A352,""|"")"),518.0)</f>
        <v>518</v>
      </c>
      <c r="C352" s="3" t="str">
        <f>IFERROR(__xludf.DUMMYFUNCTION("""COMPUTED_VALUE""")," নাম: মোঃ আবু আল মামুন ")</f>
        <v> নাম: মোঃ আবু আল মামুন </v>
      </c>
      <c r="D352" s="3">
        <f>IFERROR(__xludf.DUMMYFUNCTION("""COMPUTED_VALUE"""),5.70056378989E11)</f>
        <v>570056378989</v>
      </c>
      <c r="E352" s="3" t="str">
        <f>IFERROR(__xludf.DUMMYFUNCTION("""COMPUTED_VALUE""")," মোঃ ইউনুস আলী ")</f>
        <v> মোঃ ইউনুস আলী </v>
      </c>
      <c r="F352" s="3" t="str">
        <f>IFERROR(__xludf.DUMMYFUNCTION("""COMPUTED_VALUE""")," মোছাঃ হোসেনয়ারা ")</f>
        <v> মোছাঃ হোসেনয়ারা </v>
      </c>
      <c r="G352" s="3" t="str">
        <f>IFERROR(__xludf.DUMMYFUNCTION("""COMPUTED_VALUE""")," ২৭/০২/১৯৭৮ ")</f>
        <v> ২৭/০২/১৯৭৮ </v>
      </c>
      <c r="H352" s="3" t="str">
        <f>IFERROR(__xludf.DUMMYFUNCTION("""COMPUTED_VALUE""")," বেকার ")</f>
        <v> বেকার </v>
      </c>
      <c r="I352" s="3" t="str">
        <f>IFERROR(__xludf.DUMMYFUNCTION("""COMPUTED_VALUE""")," জালতকা, গাংনী, মেহেরপুর ")</f>
        <v> জালতকা, গাংনী, মেহেরপুর </v>
      </c>
    </row>
    <row r="353" ht="15.75" customHeight="1">
      <c r="A353" s="3" t="s">
        <v>3480</v>
      </c>
      <c r="B353" s="3">
        <f>IFERROR(__xludf.DUMMYFUNCTION("SPLIT(A353,""|"")"),519.0)</f>
        <v>519</v>
      </c>
      <c r="C353" s="3" t="str">
        <f>IFERROR(__xludf.DUMMYFUNCTION("""COMPUTED_VALUE""")," নাম: মোঃ হায়দার আলী ")</f>
        <v> নাম: মোঃ হায়দার আলী </v>
      </c>
      <c r="D353" s="3">
        <f>IFERROR(__xludf.DUMMYFUNCTION("""COMPUTED_VALUE"""),5.7005637899E11)</f>
        <v>570056378990</v>
      </c>
      <c r="E353" s="3" t="str">
        <f>IFERROR(__xludf.DUMMYFUNCTION("""COMPUTED_VALUE""")," হাবিলদ্দিন ")</f>
        <v> হাবিলদ্দিন </v>
      </c>
      <c r="F353" s="3" t="str">
        <f>IFERROR(__xludf.DUMMYFUNCTION("""COMPUTED_VALUE""")," মোছাঃ নিগারন নেছা ")</f>
        <v> মোছাঃ নিগারন নেছা </v>
      </c>
      <c r="G353" s="3" t="str">
        <f>IFERROR(__xludf.DUMMYFUNCTION("""COMPUTED_VALUE""")," ১৪/০৩/১৯৬৪ ")</f>
        <v> ১৪/০৩/১৯৬৪ </v>
      </c>
      <c r="H353" s="3" t="str">
        <f>IFERROR(__xludf.DUMMYFUNCTION("""COMPUTED_VALUE""")," দিনমজুর ")</f>
        <v> দিনমজুর </v>
      </c>
      <c r="I353" s="3" t="str">
        <f>IFERROR(__xludf.DUMMYFUNCTION("""COMPUTED_VALUE""")," জালতকা, গাংনী, মেহেরপুর ")</f>
        <v> জালতকা, গাংনী, মেহেরপুর </v>
      </c>
    </row>
    <row r="354" ht="15.75" customHeight="1">
      <c r="A354" s="3" t="s">
        <v>3481</v>
      </c>
      <c r="B354" s="3">
        <f>IFERROR(__xludf.DUMMYFUNCTION("SPLIT(A354,""|"")"),520.0)</f>
        <v>520</v>
      </c>
      <c r="C354" s="3" t="str">
        <f>IFERROR(__xludf.DUMMYFUNCTION("""COMPUTED_VALUE""")," নাম: মোঃ একরামুল হক ")</f>
        <v> নাম: মোঃ একরামুল হক </v>
      </c>
      <c r="D354" s="3">
        <f>IFERROR(__xludf.DUMMYFUNCTION("""COMPUTED_VALUE"""),5.70056378991E11)</f>
        <v>570056378991</v>
      </c>
      <c r="E354" s="3" t="str">
        <f>IFERROR(__xludf.DUMMYFUNCTION("""COMPUTED_VALUE""")," মাহাতাব উদ্দীন ")</f>
        <v> মাহাতাব উদ্দীন </v>
      </c>
      <c r="F354" s="3" t="str">
        <f>IFERROR(__xludf.DUMMYFUNCTION("""COMPUTED_VALUE""")," মোছাঃ সাজেদা খাতুন ")</f>
        <v> মোছাঃ সাজেদা খাতুন </v>
      </c>
      <c r="G354" s="3" t="str">
        <f>IFERROR(__xludf.DUMMYFUNCTION("""COMPUTED_VALUE""")," ১০/১২/১৯৭৩ ")</f>
        <v> ১০/১২/১৯৭৩ </v>
      </c>
      <c r="H354" s="3" t="str">
        <f>IFERROR(__xludf.DUMMYFUNCTION("""COMPUTED_VALUE""")," শিক্ষক ")</f>
        <v> শিক্ষক </v>
      </c>
      <c r="I354" s="3" t="str">
        <f>IFERROR(__xludf.DUMMYFUNCTION("""COMPUTED_VALUE""")," জালতকা, গাংনী, মেহেরপুর ")</f>
        <v> জালতকা, গাংনী, মেহেরপুর </v>
      </c>
    </row>
    <row r="355" ht="15.75" customHeight="1">
      <c r="A355" s="3" t="s">
        <v>3482</v>
      </c>
      <c r="B355" s="3">
        <f>IFERROR(__xludf.DUMMYFUNCTION("SPLIT(A355,""|"")"),521.0)</f>
        <v>521</v>
      </c>
      <c r="C355" s="3" t="str">
        <f>IFERROR(__xludf.DUMMYFUNCTION("""COMPUTED_VALUE""")," নাম: মোঃ হিয়ামদ্দিন ")</f>
        <v> নাম: মোঃ হিয়ামদ্দিন </v>
      </c>
      <c r="D355" s="3">
        <f>IFERROR(__xludf.DUMMYFUNCTION("""COMPUTED_VALUE"""),5.70056378993E11)</f>
        <v>570056378993</v>
      </c>
      <c r="E355" s="3" t="str">
        <f>IFERROR(__xludf.DUMMYFUNCTION("""COMPUTED_VALUE""")," তাহাজউদ্দীন ")</f>
        <v> তাহাজউদ্দীন </v>
      </c>
      <c r="F355" s="3" t="str">
        <f>IFERROR(__xludf.DUMMYFUNCTION("""COMPUTED_VALUE""")," মোছাঃ আবেদা খাতুন ")</f>
        <v> মোছাঃ আবেদা খাতুন </v>
      </c>
      <c r="G355" s="3" t="str">
        <f>IFERROR(__xludf.DUMMYFUNCTION("""COMPUTED_VALUE""")," ১৩/০৯/১৯৬৫ ")</f>
        <v> ১৩/০৯/১৯৬৫ </v>
      </c>
      <c r="H355" s="3" t="str">
        <f>IFERROR(__xludf.DUMMYFUNCTION("""COMPUTED_VALUE""")," কৃষক ")</f>
        <v> কৃষক </v>
      </c>
      <c r="I355" s="3" t="str">
        <f>IFERROR(__xludf.DUMMYFUNCTION("""COMPUTED_VALUE""")," জালতকা, গাংনী, মেহেরপুর ")</f>
        <v> জালতকা, গাংনী, মেহেরপুর </v>
      </c>
    </row>
    <row r="356" ht="15.75" customHeight="1">
      <c r="A356" s="3" t="s">
        <v>3483</v>
      </c>
      <c r="B356" s="3">
        <f>IFERROR(__xludf.DUMMYFUNCTION("SPLIT(A356,""|"")"),522.0)</f>
        <v>522</v>
      </c>
      <c r="C356" s="3" t="str">
        <f>IFERROR(__xludf.DUMMYFUNCTION("""COMPUTED_VALUE""")," নাম: মোঃ ইসমাইল হোসেন ")</f>
        <v> নাম: মোঃ ইসমাইল হোসেন </v>
      </c>
      <c r="D356" s="3">
        <f>IFERROR(__xludf.DUMMYFUNCTION("""COMPUTED_VALUE"""),5.70056378999E11)</f>
        <v>570056378999</v>
      </c>
      <c r="E356" s="3" t="str">
        <f>IFERROR(__xludf.DUMMYFUNCTION("""COMPUTED_VALUE""")," মোঃ রফেজ উদ্দিন ")</f>
        <v> মোঃ রফেজ উদ্দিন </v>
      </c>
      <c r="F356" s="3" t="str">
        <f>IFERROR(__xludf.DUMMYFUNCTION("""COMPUTED_VALUE""")," মোছাঃ আছিয়া খাতুন ")</f>
        <v> মোছাঃ আছিয়া খাতুন </v>
      </c>
      <c r="G356" s="3" t="str">
        <f>IFERROR(__xludf.DUMMYFUNCTION("""COMPUTED_VALUE""")," ০৫/০৭/১৯৮৮ ")</f>
        <v> ০৫/০৭/১৯৮৮ </v>
      </c>
      <c r="H356" s="3" t="str">
        <f>IFERROR(__xludf.DUMMYFUNCTION("""COMPUTED_VALUE""")," কৃষক ")</f>
        <v> কৃষক </v>
      </c>
      <c r="I356" s="3" t="str">
        <f>IFERROR(__xludf.DUMMYFUNCTION("""COMPUTED_VALUE""")," জালতকা, গাংনী, মেহেরপুর ")</f>
        <v> জালতকা, গাংনী, মেহেরপুর </v>
      </c>
    </row>
    <row r="357" ht="15.75" customHeight="1">
      <c r="A357" s="3" t="s">
        <v>3484</v>
      </c>
      <c r="B357" s="3">
        <f>IFERROR(__xludf.DUMMYFUNCTION("SPLIT(A357,""|"")"),523.0)</f>
        <v>523</v>
      </c>
      <c r="C357" s="3" t="str">
        <f>IFERROR(__xludf.DUMMYFUNCTION("""COMPUTED_VALUE""")," নাম: মোঃ রবিউল হক ")</f>
        <v> নাম: মোঃ রবিউল হক </v>
      </c>
      <c r="D357" s="3">
        <f>IFERROR(__xludf.DUMMYFUNCTION("""COMPUTED_VALUE"""),5.70056379E11)</f>
        <v>570056379000</v>
      </c>
      <c r="E357" s="3" t="str">
        <f>IFERROR(__xludf.DUMMYFUNCTION("""COMPUTED_VALUE""")," মোঃ রফেজউদ্দীন ")</f>
        <v> মোঃ রফেজউদ্দীন </v>
      </c>
      <c r="F357" s="3" t="str">
        <f>IFERROR(__xludf.DUMMYFUNCTION("""COMPUTED_VALUE""")," মোছাঃ আছিয়া খাতুন ")</f>
        <v> মোছাঃ আছিয়া খাতুন </v>
      </c>
      <c r="G357" s="3" t="str">
        <f>IFERROR(__xludf.DUMMYFUNCTION("""COMPUTED_VALUE""")," ০৩/০৬/১৯৭০ ")</f>
        <v> ০৩/০৬/১৯৭০ </v>
      </c>
      <c r="H357" s="3" t="str">
        <f>IFERROR(__xludf.DUMMYFUNCTION("""COMPUTED_VALUE""")," কৃষক ")</f>
        <v> কৃষক </v>
      </c>
      <c r="I357" s="3" t="str">
        <f>IFERROR(__xludf.DUMMYFUNCTION("""COMPUTED_VALUE""")," জালতকা, গাংনী, মেহেরপুর ")</f>
        <v> জালতকা, গাংনী, মেহেরপুর </v>
      </c>
    </row>
    <row r="358" ht="15.75" customHeight="1">
      <c r="A358" s="3" t="s">
        <v>3485</v>
      </c>
      <c r="B358" s="3">
        <f>IFERROR(__xludf.DUMMYFUNCTION("SPLIT(A358,""|"")"),524.0)</f>
        <v>524</v>
      </c>
      <c r="C358" s="3" t="str">
        <f>IFERROR(__xludf.DUMMYFUNCTION("""COMPUTED_VALUE""")," নাম: মোঃ জিয়া ")</f>
        <v> নাম: মোঃ জিয়া </v>
      </c>
      <c r="D358" s="3">
        <f>IFERROR(__xludf.DUMMYFUNCTION("""COMPUTED_VALUE"""),5.70056544631E11)</f>
        <v>570056544631</v>
      </c>
      <c r="E358" s="3" t="str">
        <f>IFERROR(__xludf.DUMMYFUNCTION("""COMPUTED_VALUE""")," মোঃ আহার উদ্দিন মন্ডল ")</f>
        <v> মোঃ আহার উদ্দিন মন্ডল </v>
      </c>
      <c r="F358" s="3" t="str">
        <f>IFERROR(__xludf.DUMMYFUNCTION("""COMPUTED_VALUE""")," মোছাঃ জাহানারা বেগম ")</f>
        <v> মোছাঃ জাহানারা বেগম </v>
      </c>
      <c r="G358" s="3" t="str">
        <f>IFERROR(__xludf.DUMMYFUNCTION("""COMPUTED_VALUE""")," ১৮/০৭/১৯৮২ ")</f>
        <v> ১৮/০৭/১৯৮২ </v>
      </c>
      <c r="H358" s="3" t="str">
        <f>IFERROR(__xludf.DUMMYFUNCTION("""COMPUTED_VALUE""")," কৃষক ")</f>
        <v> কৃষক </v>
      </c>
      <c r="I358" s="3" t="str">
        <f>IFERROR(__xludf.DUMMYFUNCTION("""COMPUTED_VALUE""")," জালতকা, গাংনী, মেহেরপুর ")</f>
        <v> জালতকা, গাংনী, মেহেরপুর </v>
      </c>
    </row>
    <row r="359" ht="15.75" customHeight="1">
      <c r="A359" s="3" t="s">
        <v>3486</v>
      </c>
      <c r="B359" s="3">
        <f>IFERROR(__xludf.DUMMYFUNCTION("SPLIT(A359,""|"")"),525.0)</f>
        <v>525</v>
      </c>
      <c r="C359" s="3" t="str">
        <f>IFERROR(__xludf.DUMMYFUNCTION("""COMPUTED_VALUE""")," নাম: মোঃ মুশফিকুর রহমান ")</f>
        <v> নাম: মোঃ মুশফিকুর রহমান </v>
      </c>
      <c r="D359" s="3">
        <f>IFERROR(__xludf.DUMMYFUNCTION("""COMPUTED_VALUE"""),5.70056000001E11)</f>
        <v>570056000001</v>
      </c>
      <c r="E359" s="3" t="str">
        <f>IFERROR(__xludf.DUMMYFUNCTION("""COMPUTED_VALUE""")," মোঃ রবিউল হক ")</f>
        <v> মোঃ রবিউল হক </v>
      </c>
      <c r="F359" s="3" t="str">
        <f>IFERROR(__xludf.DUMMYFUNCTION("""COMPUTED_VALUE""")," মোছাঃ আরজিনা বেগম ")</f>
        <v> মোছাঃ আরজিনা বেগম </v>
      </c>
      <c r="G359" s="3" t="str">
        <f>IFERROR(__xludf.DUMMYFUNCTION("""COMPUTED_VALUE""")," ০৮/১০/১৯৮৪ ")</f>
        <v> ০৮/১০/১৯৮৪ </v>
      </c>
      <c r="H359" s="3" t="str">
        <f>IFERROR(__xludf.DUMMYFUNCTION("""COMPUTED_VALUE""")," বেসরকারী চাকুরী ")</f>
        <v> বেসরকারী চাকুরী </v>
      </c>
      <c r="I359" s="3" t="str">
        <f>IFERROR(__xludf.DUMMYFUNCTION("""COMPUTED_VALUE""")," জালতকা, গাংনী, মেহেরপুর ")</f>
        <v> জালতকা, গাংনী, মেহেরপুর </v>
      </c>
    </row>
    <row r="360" ht="15.75" customHeight="1">
      <c r="A360" s="3" t="s">
        <v>3487</v>
      </c>
      <c r="B360" s="3">
        <f>IFERROR(__xludf.DUMMYFUNCTION("SPLIT(A360,""|"")"),526.0)</f>
        <v>526</v>
      </c>
      <c r="C360" s="3" t="str">
        <f>IFERROR(__xludf.DUMMYFUNCTION("""COMPUTED_VALUE""")," নাম: মোঃ সোহাগ ")</f>
        <v> নাম: মোঃ সোহাগ </v>
      </c>
      <c r="D360" s="3">
        <f>IFERROR(__xludf.DUMMYFUNCTION("""COMPUTED_VALUE"""),5.7005600001E11)</f>
        <v>570056000010</v>
      </c>
      <c r="E360" s="3" t="str">
        <f>IFERROR(__xludf.DUMMYFUNCTION("""COMPUTED_VALUE""")," নুর ইসলাম ")</f>
        <v> নুর ইসলাম </v>
      </c>
      <c r="F360" s="3" t="str">
        <f>IFERROR(__xludf.DUMMYFUNCTION("""COMPUTED_VALUE""")," মোছাঃ রুশিয়া খাতুন ")</f>
        <v> মোছাঃ রুশিয়া খাতুন </v>
      </c>
      <c r="G360" s="3" t="str">
        <f>IFERROR(__xludf.DUMMYFUNCTION("""COMPUTED_VALUE""")," ৩১/১০/১৯৮৫ ")</f>
        <v> ৩১/১০/১৯৮৫ </v>
      </c>
      <c r="H360" s="3" t="str">
        <f>IFERROR(__xludf.DUMMYFUNCTION("""COMPUTED_VALUE""")," ব্যবসা ")</f>
        <v> ব্যবসা </v>
      </c>
      <c r="I360" s="3" t="str">
        <f>IFERROR(__xludf.DUMMYFUNCTION("""COMPUTED_VALUE""")," জালতকা, গাংনী, মেহেরপুর ")</f>
        <v> জালতকা, গাংনী, মেহেরপুর </v>
      </c>
    </row>
    <row r="361" ht="15.75" customHeight="1">
      <c r="A361" s="3" t="s">
        <v>3488</v>
      </c>
      <c r="B361" s="3">
        <f>IFERROR(__xludf.DUMMYFUNCTION("SPLIT(A361,""|"")"),527.0)</f>
        <v>527</v>
      </c>
      <c r="C361" s="3" t="str">
        <f>IFERROR(__xludf.DUMMYFUNCTION("""COMPUTED_VALUE""")," নাম: মোঃ আঃ হান্নান ")</f>
        <v> নাম: মোঃ আঃ হান্নান </v>
      </c>
      <c r="D361" s="3">
        <f>IFERROR(__xludf.DUMMYFUNCTION("""COMPUTED_VALUE"""),5.70056000012E11)</f>
        <v>570056000012</v>
      </c>
      <c r="E361" s="3" t="str">
        <f>IFERROR(__xludf.DUMMYFUNCTION("""COMPUTED_VALUE""")," জবেদ আলী মন্ডল ")</f>
        <v> জবেদ আলী মন্ডল </v>
      </c>
      <c r="F361" s="3" t="str">
        <f>IFERROR(__xludf.DUMMYFUNCTION("""COMPUTED_VALUE""")," মালেজান ")</f>
        <v> মালেজান </v>
      </c>
      <c r="G361" s="3" t="str">
        <f>IFERROR(__xludf.DUMMYFUNCTION("""COMPUTED_VALUE""")," ১০/০৫/১৯৫১ ")</f>
        <v> ১০/০৫/১৯৫১ </v>
      </c>
      <c r="H361" s="3" t="str">
        <f>IFERROR(__xludf.DUMMYFUNCTION("""COMPUTED_VALUE""")," কৃষক ")</f>
        <v> কৃষক </v>
      </c>
      <c r="I361" s="3" t="str">
        <f>IFERROR(__xludf.DUMMYFUNCTION("""COMPUTED_VALUE""")," জালতকা, গাংনী, মেহেরপুর ")</f>
        <v> জালতকা, গাংনী, মেহেরপুর </v>
      </c>
    </row>
    <row r="362" ht="15.75" customHeight="1">
      <c r="A362" s="3" t="s">
        <v>3489</v>
      </c>
      <c r="B362" s="3">
        <f>IFERROR(__xludf.DUMMYFUNCTION("SPLIT(A362,""|"")"),528.0)</f>
        <v>528</v>
      </c>
      <c r="C362" s="3" t="str">
        <f>IFERROR(__xludf.DUMMYFUNCTION("""COMPUTED_VALUE""")," নাম: মোঃ মিরাজুল ইসলাম ")</f>
        <v> নাম: মোঃ মিরাজুল ইসলাম </v>
      </c>
      <c r="D362" s="3">
        <f>IFERROR(__xludf.DUMMYFUNCTION("""COMPUTED_VALUE"""),5.70056000014E11)</f>
        <v>570056000014</v>
      </c>
      <c r="E362" s="3" t="str">
        <f>IFERROR(__xludf.DUMMYFUNCTION("""COMPUTED_VALUE""")," মোঃ আবুবক্কর সিদ্দিক ")</f>
        <v> মোঃ আবুবক্কর সিদ্দিক </v>
      </c>
      <c r="F362" s="3" t="str">
        <f>IFERROR(__xludf.DUMMYFUNCTION("""COMPUTED_VALUE""")," মোছাঃ হাসিনা বেগম ")</f>
        <v> মোছাঃ হাসিনা বেগম </v>
      </c>
      <c r="G362" s="3" t="str">
        <f>IFERROR(__xludf.DUMMYFUNCTION("""COMPUTED_VALUE""")," ০১/০১/১৯৮৮ ")</f>
        <v> ০১/০১/১৯৮৮ </v>
      </c>
      <c r="H362" s="3" t="str">
        <f>IFERROR(__xludf.DUMMYFUNCTION("""COMPUTED_VALUE""")," বেসরকারী চাকুরী ")</f>
        <v> বেসরকারী চাকুরী </v>
      </c>
      <c r="I362" s="3" t="str">
        <f>IFERROR(__xludf.DUMMYFUNCTION("""COMPUTED_VALUE""")," জালতকা, গাংনী, মেহেরপুর ")</f>
        <v> জালতকা, গাংনী, মেহেরপুর </v>
      </c>
    </row>
    <row r="363" ht="15.75" customHeight="1">
      <c r="A363" s="3" t="s">
        <v>3490</v>
      </c>
      <c r="B363" s="3">
        <f>IFERROR(__xludf.DUMMYFUNCTION("SPLIT(A363,""|"")"),529.0)</f>
        <v>529</v>
      </c>
      <c r="C363" s="3" t="str">
        <f>IFERROR(__xludf.DUMMYFUNCTION("""COMPUTED_VALUE""")," নাম: মোঃ সোহান আলী ")</f>
        <v> নাম: মোঃ সোহান আলী </v>
      </c>
      <c r="D363" s="3">
        <f>IFERROR(__xludf.DUMMYFUNCTION("""COMPUTED_VALUE"""),5.70056000017E11)</f>
        <v>570056000017</v>
      </c>
      <c r="E363" s="3" t="str">
        <f>IFERROR(__xludf.DUMMYFUNCTION("""COMPUTED_VALUE""")," আয়ুব আলী ")</f>
        <v> আয়ুব আলী </v>
      </c>
      <c r="F363" s="3" t="str">
        <f>IFERROR(__xludf.DUMMYFUNCTION("""COMPUTED_VALUE""")," মোছাঃ মর্জিনা খাতুন ")</f>
        <v> মোছাঃ মর্জিনা খাতুন </v>
      </c>
      <c r="G363" s="3" t="str">
        <f>IFERROR(__xludf.DUMMYFUNCTION("""COMPUTED_VALUE""")," ০১/০৬/১৯৮৬ ")</f>
        <v> ০১/০৬/১৯৮৬ </v>
      </c>
      <c r="H363" s="3" t="str">
        <f>IFERROR(__xludf.DUMMYFUNCTION("""COMPUTED_VALUE""")," কৃষক ")</f>
        <v> কৃষক </v>
      </c>
      <c r="I363" s="3" t="str">
        <f>IFERROR(__xludf.DUMMYFUNCTION("""COMPUTED_VALUE""")," জালতকা, গাংনী, মেহেরপুর ")</f>
        <v> জালতকা, গাংনী, মেহেরপুর </v>
      </c>
    </row>
    <row r="364" ht="15.75" customHeight="1">
      <c r="A364" s="3" t="s">
        <v>3491</v>
      </c>
      <c r="B364" s="3">
        <f>IFERROR(__xludf.DUMMYFUNCTION("SPLIT(A364,""|"")"),530.0)</f>
        <v>530</v>
      </c>
      <c r="C364" s="3" t="str">
        <f>IFERROR(__xludf.DUMMYFUNCTION("""COMPUTED_VALUE""")," নাম: মোঃ মজিবুল হক ")</f>
        <v> নাম: মোঃ মজিবুল হক </v>
      </c>
      <c r="D364" s="3">
        <f>IFERROR(__xludf.DUMMYFUNCTION("""COMPUTED_VALUE"""),5.70056000018E11)</f>
        <v>570056000018</v>
      </c>
      <c r="E364" s="3" t="str">
        <f>IFERROR(__xludf.DUMMYFUNCTION("""COMPUTED_VALUE""")," মোঃ আঃ আজিজ ")</f>
        <v> মোঃ আঃ আজিজ </v>
      </c>
      <c r="F364" s="3" t="str">
        <f>IFERROR(__xludf.DUMMYFUNCTION("""COMPUTED_VALUE""")," মোছাঃ সাহার বানু ")</f>
        <v> মোছাঃ সাহার বানু </v>
      </c>
      <c r="G364" s="3" t="str">
        <f>IFERROR(__xludf.DUMMYFUNCTION("""COMPUTED_VALUE""")," ০১/০১/১৯৮৭ ")</f>
        <v> ০১/০১/১৯৮৭ </v>
      </c>
      <c r="H364" s="3" t="str">
        <f>IFERROR(__xludf.DUMMYFUNCTION("""COMPUTED_VALUE""")," কৃষক ")</f>
        <v> কৃষক </v>
      </c>
      <c r="I364" s="3" t="str">
        <f>IFERROR(__xludf.DUMMYFUNCTION("""COMPUTED_VALUE""")," জালতকা, গাংনী, মেহেরপুর ")</f>
        <v> জালতকা, গাংনী, মেহেরপুর </v>
      </c>
    </row>
    <row r="365" ht="15.75" customHeight="1">
      <c r="A365" s="3" t="s">
        <v>3492</v>
      </c>
      <c r="B365" s="3">
        <f>IFERROR(__xludf.DUMMYFUNCTION("SPLIT(A365,""|"")"),531.0)</f>
        <v>531</v>
      </c>
      <c r="C365" s="3" t="str">
        <f>IFERROR(__xludf.DUMMYFUNCTION("""COMPUTED_VALUE""")," নাম: মেহেদী হাসান ")</f>
        <v> নাম: মেহেদী হাসান </v>
      </c>
      <c r="D365" s="3">
        <f>IFERROR(__xludf.DUMMYFUNCTION("""COMPUTED_VALUE"""),5.70056000019E11)</f>
        <v>570056000019</v>
      </c>
      <c r="E365" s="3" t="str">
        <f>IFERROR(__xludf.DUMMYFUNCTION("""COMPUTED_VALUE""")," শহিদুল ইসলাম ")</f>
        <v> শহিদুল ইসলাম </v>
      </c>
      <c r="F365" s="3" t="str">
        <f>IFERROR(__xludf.DUMMYFUNCTION("""COMPUTED_VALUE""")," মেহের নিগার ")</f>
        <v> মেহের নিগার </v>
      </c>
      <c r="G365" s="3" t="str">
        <f>IFERROR(__xludf.DUMMYFUNCTION("""COMPUTED_VALUE""")," ০৩/০৩/১৯৮৫ ")</f>
        <v> ০৩/০৩/১৯৮৫ </v>
      </c>
      <c r="H365" s="3" t="str">
        <f>IFERROR(__xludf.DUMMYFUNCTION("""COMPUTED_VALUE""")," ছাত্র/ছাত্রী ")</f>
        <v> ছাত্র/ছাত্রী </v>
      </c>
      <c r="I365" s="3" t="str">
        <f>IFERROR(__xludf.DUMMYFUNCTION("""COMPUTED_VALUE""")," জালতকা, গাংনী, মেহেরপুর ")</f>
        <v> জালতকা, গাংনী, মেহেরপুর </v>
      </c>
    </row>
    <row r="366" ht="15.75" customHeight="1">
      <c r="A366" s="3" t="s">
        <v>3493</v>
      </c>
      <c r="B366" s="3">
        <f>IFERROR(__xludf.DUMMYFUNCTION("SPLIT(A366,""|"")"),532.0)</f>
        <v>532</v>
      </c>
      <c r="C366" s="3" t="str">
        <f>IFERROR(__xludf.DUMMYFUNCTION("""COMPUTED_VALUE""")," নাম: মোঃ হাবিবুল বাশার ")</f>
        <v> নাম: মোঃ হাবিবুল বাশার </v>
      </c>
      <c r="D366" s="3">
        <f>IFERROR(__xludf.DUMMYFUNCTION("""COMPUTED_VALUE"""),5.7005600002E11)</f>
        <v>570056000020</v>
      </c>
      <c r="E366" s="3" t="str">
        <f>IFERROR(__xludf.DUMMYFUNCTION("""COMPUTED_VALUE""")," মানিক মন্ডল ")</f>
        <v> মানিক মন্ডল </v>
      </c>
      <c r="F366" s="3" t="str">
        <f>IFERROR(__xludf.DUMMYFUNCTION("""COMPUTED_VALUE""")," মোছাঃ জোহরা বেগম ")</f>
        <v> মোছাঃ জোহরা বেগম </v>
      </c>
      <c r="G366" s="3" t="str">
        <f>IFERROR(__xludf.DUMMYFUNCTION("""COMPUTED_VALUE""")," ০১/০৬/১৯৮৪ ")</f>
        <v> ০১/০৬/১৯৮৪ </v>
      </c>
      <c r="H366" s="3" t="str">
        <f>IFERROR(__xludf.DUMMYFUNCTION("""COMPUTED_VALUE""")," কৃষক ")</f>
        <v> কৃষক </v>
      </c>
      <c r="I366" s="3" t="str">
        <f>IFERROR(__xludf.DUMMYFUNCTION("""COMPUTED_VALUE""")," জালতকা, গাংনী, মেহেরপুর ")</f>
        <v> জালতকা, গাংনী, মেহেরপুর </v>
      </c>
    </row>
    <row r="367" ht="15.75" customHeight="1">
      <c r="A367" s="3" t="s">
        <v>3494</v>
      </c>
      <c r="B367" s="3">
        <f>IFERROR(__xludf.DUMMYFUNCTION("SPLIT(A367,""|"")"),533.0)</f>
        <v>533</v>
      </c>
      <c r="C367" s="3" t="str">
        <f>IFERROR(__xludf.DUMMYFUNCTION("""COMPUTED_VALUE""")," নাম: মোঃ আরিফুল হক ")</f>
        <v> নাম: মোঃ আরিফুল হক </v>
      </c>
      <c r="D367" s="3">
        <f>IFERROR(__xludf.DUMMYFUNCTION("""COMPUTED_VALUE"""),5.70056000021E11)</f>
        <v>570056000021</v>
      </c>
      <c r="E367" s="3" t="str">
        <f>IFERROR(__xludf.DUMMYFUNCTION("""COMPUTED_VALUE""")," মোঃ নজির আলী ")</f>
        <v> মোঃ নজির আলী </v>
      </c>
      <c r="F367" s="3" t="str">
        <f>IFERROR(__xludf.DUMMYFUNCTION("""COMPUTED_VALUE""")," মোছাঃ ফাতেমা খাতুন ")</f>
        <v> মোছাঃ ফাতেমা খাতুন </v>
      </c>
      <c r="G367" s="3" t="str">
        <f>IFERROR(__xludf.DUMMYFUNCTION("""COMPUTED_VALUE""")," ০১/০১/১৯৯০ ")</f>
        <v> ০১/০১/১৯৯০ </v>
      </c>
      <c r="H367" s="3" t="str">
        <f>IFERROR(__xludf.DUMMYFUNCTION("""COMPUTED_VALUE""")," কৃষক ")</f>
        <v> কৃষক </v>
      </c>
      <c r="I367" s="3" t="str">
        <f>IFERROR(__xludf.DUMMYFUNCTION("""COMPUTED_VALUE""")," জালতকা, গাংনী, মেহেরপুর ")</f>
        <v> জালতকা, গাংনী, মেহেরপুর </v>
      </c>
    </row>
    <row r="368" ht="15.75" customHeight="1">
      <c r="A368" s="3" t="s">
        <v>3495</v>
      </c>
      <c r="B368" s="3">
        <f>IFERROR(__xludf.DUMMYFUNCTION("SPLIT(A368,""|"")"),534.0)</f>
        <v>534</v>
      </c>
      <c r="C368" s="3" t="str">
        <f>IFERROR(__xludf.DUMMYFUNCTION("""COMPUTED_VALUE""")," নাম: মোঃ হাসিবুল ইসলাম ")</f>
        <v> নাম: মোঃ হাসিবুল ইসলাম </v>
      </c>
      <c r="D368" s="3">
        <f>IFERROR(__xludf.DUMMYFUNCTION("""COMPUTED_VALUE"""),5.70056000023E11)</f>
        <v>570056000023</v>
      </c>
      <c r="E368" s="3" t="str">
        <f>IFERROR(__xludf.DUMMYFUNCTION("""COMPUTED_VALUE""")," মোঃ তৈয়ব আলী ")</f>
        <v> মোঃ তৈয়ব আলী </v>
      </c>
      <c r="F368" s="3" t="str">
        <f>IFERROR(__xludf.DUMMYFUNCTION("""COMPUTED_VALUE""")," মোছাঃ সাহারবান ")</f>
        <v> মোছাঃ সাহারবান </v>
      </c>
      <c r="G368" s="3" t="str">
        <f>IFERROR(__xludf.DUMMYFUNCTION("""COMPUTED_VALUE""")," ০৪/০৩/১৯৮৫ ")</f>
        <v> ০৪/০৩/১৯৮৫ </v>
      </c>
      <c r="H368" s="3" t="str">
        <f>IFERROR(__xludf.DUMMYFUNCTION("""COMPUTED_VALUE""")," গৃহিনী ")</f>
        <v> গৃহিনী </v>
      </c>
      <c r="I368" s="3" t="str">
        <f>IFERROR(__xludf.DUMMYFUNCTION("""COMPUTED_VALUE""")," জালতকা, গাংনী, মেহেরপুর ")</f>
        <v> জালতকা, গাংনী, মেহেরপুর </v>
      </c>
    </row>
    <row r="369" ht="15.75" customHeight="1">
      <c r="A369" s="3" t="s">
        <v>3496</v>
      </c>
      <c r="B369" s="3">
        <f>IFERROR(__xludf.DUMMYFUNCTION("SPLIT(A369,""|"")"),535.0)</f>
        <v>535</v>
      </c>
      <c r="C369" s="3" t="str">
        <f>IFERROR(__xludf.DUMMYFUNCTION("""COMPUTED_VALUE""")," নাম: মোঃ ছমিরুল ইসলাম ")</f>
        <v> নাম: মোঃ ছমিরুল ইসলাম </v>
      </c>
      <c r="D369" s="3">
        <f>IFERROR(__xludf.DUMMYFUNCTION("""COMPUTED_VALUE"""),5.70056000025E11)</f>
        <v>570056000025</v>
      </c>
      <c r="E369" s="3" t="str">
        <f>IFERROR(__xludf.DUMMYFUNCTION("""COMPUTED_VALUE""")," মোঃ তনছের আলী ")</f>
        <v> মোঃ তনছের আলী </v>
      </c>
      <c r="F369" s="3" t="str">
        <f>IFERROR(__xludf.DUMMYFUNCTION("""COMPUTED_VALUE""")," মোছাঃ আসমানি খাতুন ")</f>
        <v> মোছাঃ আসমানি খাতুন </v>
      </c>
      <c r="G369" s="3" t="str">
        <f>IFERROR(__xludf.DUMMYFUNCTION("""COMPUTED_VALUE""")," ০১/০৬/১৯৮৪ ")</f>
        <v> ০১/০৬/১৯৮৪ </v>
      </c>
      <c r="H369" s="3" t="str">
        <f>IFERROR(__xludf.DUMMYFUNCTION("""COMPUTED_VALUE""")," কৃষক ")</f>
        <v> কৃষক </v>
      </c>
      <c r="I369" s="3" t="str">
        <f>IFERROR(__xludf.DUMMYFUNCTION("""COMPUTED_VALUE""")," জালতকা, গাংনী, মেহেরপুর ")</f>
        <v> জালতকা, গাংনী, মেহেরপুর </v>
      </c>
    </row>
    <row r="370" ht="15.75" customHeight="1">
      <c r="A370" s="3" t="s">
        <v>3497</v>
      </c>
      <c r="B370" s="3">
        <f>IFERROR(__xludf.DUMMYFUNCTION("SPLIT(A370,""|"")"),536.0)</f>
        <v>536</v>
      </c>
      <c r="C370" s="3" t="str">
        <f>IFERROR(__xludf.DUMMYFUNCTION("""COMPUTED_VALUE""")," নাম: মোঃ আঃ আলীম ")</f>
        <v> নাম: মোঃ আঃ আলীম </v>
      </c>
      <c r="D370" s="3">
        <f>IFERROR(__xludf.DUMMYFUNCTION("""COMPUTED_VALUE"""),5.70056000026E11)</f>
        <v>570056000026</v>
      </c>
      <c r="E370" s="3" t="str">
        <f>IFERROR(__xludf.DUMMYFUNCTION("""COMPUTED_VALUE""")," ইসমাইল হোসেন ")</f>
        <v> ইসমাইল হোসেন </v>
      </c>
      <c r="F370" s="3" t="str">
        <f>IFERROR(__xludf.DUMMYFUNCTION("""COMPUTED_VALUE""")," মোছাঃ তাহলিমা খাতুন ")</f>
        <v> মোছাঃ তাহলিমা খাতুন </v>
      </c>
      <c r="G370" s="3" t="str">
        <f>IFERROR(__xludf.DUMMYFUNCTION("""COMPUTED_VALUE""")," ০১/০১/১৯৮৫ ")</f>
        <v> ০১/০১/১৯৮৫ </v>
      </c>
      <c r="H370" s="3" t="str">
        <f>IFERROR(__xludf.DUMMYFUNCTION("""COMPUTED_VALUE""")," কৃষক ")</f>
        <v> কৃষক </v>
      </c>
      <c r="I370" s="3" t="str">
        <f>IFERROR(__xludf.DUMMYFUNCTION("""COMPUTED_VALUE""")," জালতকা, গাংনী, মেহেরপুর ")</f>
        <v> জালতকা, গাংনী, মেহেরপুর </v>
      </c>
    </row>
    <row r="371" ht="15.75" customHeight="1">
      <c r="A371" s="3" t="s">
        <v>3498</v>
      </c>
      <c r="B371" s="3">
        <f>IFERROR(__xludf.DUMMYFUNCTION("SPLIT(A371,""|"")"),537.0)</f>
        <v>537</v>
      </c>
      <c r="C371" s="3" t="str">
        <f>IFERROR(__xludf.DUMMYFUNCTION("""COMPUTED_VALUE""")," নাম: মোঃ রিপন আলী ")</f>
        <v> নাম: মোঃ রিপন আলী </v>
      </c>
      <c r="D371" s="3">
        <f>IFERROR(__xludf.DUMMYFUNCTION("""COMPUTED_VALUE"""),5.70056000027E11)</f>
        <v>570056000027</v>
      </c>
      <c r="E371" s="3" t="str">
        <f>IFERROR(__xludf.DUMMYFUNCTION("""COMPUTED_VALUE""")," মোঃ আসাদুল ইসলাম ")</f>
        <v> মোঃ আসাদুল ইসলাম </v>
      </c>
      <c r="F371" s="3" t="str">
        <f>IFERROR(__xludf.DUMMYFUNCTION("""COMPUTED_VALUE""")," মোছাঃ ছবেদা খাতুন ")</f>
        <v> মোছাঃ ছবেদা খাতুন </v>
      </c>
      <c r="G371" s="3" t="str">
        <f>IFERROR(__xludf.DUMMYFUNCTION("""COMPUTED_VALUE""")," ১০/০৬/১৯৯১ ")</f>
        <v> ১০/০৬/১৯৯১ </v>
      </c>
      <c r="H371" s="3" t="str">
        <f>IFERROR(__xludf.DUMMYFUNCTION("""COMPUTED_VALUE""")," কৃষক ")</f>
        <v> কৃষক </v>
      </c>
      <c r="I371" s="3" t="str">
        <f>IFERROR(__xludf.DUMMYFUNCTION("""COMPUTED_VALUE""")," জালতকা, গাংনী, মেহেরপুর ")</f>
        <v> জালতকা, গাংনী, মেহেরপুর </v>
      </c>
    </row>
    <row r="372" ht="15.75" customHeight="1">
      <c r="A372" s="3" t="s">
        <v>3499</v>
      </c>
      <c r="B372" s="3">
        <f>IFERROR(__xludf.DUMMYFUNCTION("SPLIT(A372,""|"")"),538.0)</f>
        <v>538</v>
      </c>
      <c r="C372" s="3" t="str">
        <f>IFERROR(__xludf.DUMMYFUNCTION("""COMPUTED_VALUE""")," নাম: মোঃ রমছদ্দিন ")</f>
        <v> নাম: মোঃ রমছদ্দিন </v>
      </c>
      <c r="D372" s="3">
        <f>IFERROR(__xludf.DUMMYFUNCTION("""COMPUTED_VALUE"""),5.70056000028E11)</f>
        <v>570056000028</v>
      </c>
      <c r="E372" s="3" t="str">
        <f>IFERROR(__xludf.DUMMYFUNCTION("""COMPUTED_VALUE""")," মোঃ আছান আলী ")</f>
        <v> মোঃ আছান আলী </v>
      </c>
      <c r="F372" s="3" t="str">
        <f>IFERROR(__xludf.DUMMYFUNCTION("""COMPUTED_VALUE""")," মোছাঃ হাসিনা বেগম ")</f>
        <v> মোছাঃ হাসিনা বেগম </v>
      </c>
      <c r="G372" s="3" t="str">
        <f>IFERROR(__xludf.DUMMYFUNCTION("""COMPUTED_VALUE""")," ০১/০১/১৯৮২ ")</f>
        <v> ০১/০১/১৯৮২ </v>
      </c>
      <c r="H372" s="3" t="str">
        <f>IFERROR(__xludf.DUMMYFUNCTION("""COMPUTED_VALUE""")," কৃষক ")</f>
        <v> কৃষক </v>
      </c>
      <c r="I372" s="3" t="str">
        <f>IFERROR(__xludf.DUMMYFUNCTION("""COMPUTED_VALUE""")," জালতকা, গাংনী, মেহেরপুর ")</f>
        <v> জালতকা, গাংনী, মেহেরপুর </v>
      </c>
    </row>
    <row r="373" ht="15.75" customHeight="1">
      <c r="A373" s="3" t="s">
        <v>3500</v>
      </c>
      <c r="B373" s="3">
        <f>IFERROR(__xludf.DUMMYFUNCTION("SPLIT(A373,""|"")"),539.0)</f>
        <v>539</v>
      </c>
      <c r="C373" s="3" t="str">
        <f>IFERROR(__xludf.DUMMYFUNCTION("""COMPUTED_VALUE""")," নাম: মোঃ আকাল উদ্দিন ")</f>
        <v> নাম: মোঃ আকাল উদ্দিন </v>
      </c>
      <c r="D373" s="3">
        <f>IFERROR(__xludf.DUMMYFUNCTION("""COMPUTED_VALUE"""),5.7005600003E11)</f>
        <v>570056000030</v>
      </c>
      <c r="E373" s="3" t="str">
        <f>IFERROR(__xludf.DUMMYFUNCTION("""COMPUTED_VALUE""")," খোদা বক্স মন্ডল ")</f>
        <v> খোদা বক্স মন্ডল </v>
      </c>
      <c r="F373" s="3" t="str">
        <f>IFERROR(__xludf.DUMMYFUNCTION("""COMPUTED_VALUE""")," খুকী নেছা ")</f>
        <v> খুকী নেছা </v>
      </c>
      <c r="G373" s="3" t="str">
        <f>IFERROR(__xludf.DUMMYFUNCTION("""COMPUTED_VALUE""")," ২৯/০৮/১৯৫৭ ")</f>
        <v> ২৯/০৮/১৯৫৭ </v>
      </c>
      <c r="H373" s="3" t="str">
        <f>IFERROR(__xludf.DUMMYFUNCTION("""COMPUTED_VALUE""")," কৃষক ")</f>
        <v> কৃষক </v>
      </c>
      <c r="I373" s="3" t="str">
        <f>IFERROR(__xludf.DUMMYFUNCTION("""COMPUTED_VALUE""")," জালতকা, গাংনী, মেহেরপুর ")</f>
        <v> জালতকা, গাংনী, মেহেরপুর </v>
      </c>
    </row>
    <row r="374" ht="15.75" customHeight="1">
      <c r="A374" s="3" t="s">
        <v>3501</v>
      </c>
      <c r="B374" s="3">
        <f>IFERROR(__xludf.DUMMYFUNCTION("SPLIT(A374,""|"")"),540.0)</f>
        <v>540</v>
      </c>
      <c r="C374" s="3" t="str">
        <f>IFERROR(__xludf.DUMMYFUNCTION("""COMPUTED_VALUE""")," নাম: মোঃ সুজন আলী ")</f>
        <v> নাম: মোঃ সুজন আলী </v>
      </c>
      <c r="D374" s="3">
        <f>IFERROR(__xludf.DUMMYFUNCTION("""COMPUTED_VALUE"""),5.70056000031E11)</f>
        <v>570056000031</v>
      </c>
      <c r="E374" s="3" t="str">
        <f>IFERROR(__xludf.DUMMYFUNCTION("""COMPUTED_VALUE""")," মোঃ হাফিজুর রহমান ")</f>
        <v> মোঃ হাফিজুর রহমান </v>
      </c>
      <c r="F374" s="3" t="str">
        <f>IFERROR(__xludf.DUMMYFUNCTION("""COMPUTED_VALUE""")," মোছাঃ সাজেদা বেগম ")</f>
        <v> মোছাঃ সাজেদা বেগম </v>
      </c>
      <c r="G374" s="3" t="str">
        <f>IFERROR(__xludf.DUMMYFUNCTION("""COMPUTED_VALUE""")," ১০/০৩/১৯৮৯ ")</f>
        <v> ১০/০৩/১৯৮৯ </v>
      </c>
      <c r="H374" s="3" t="str">
        <f>IFERROR(__xludf.DUMMYFUNCTION("""COMPUTED_VALUE""")," কৃষক ")</f>
        <v> কৃষক </v>
      </c>
      <c r="I374" s="3" t="str">
        <f>IFERROR(__xludf.DUMMYFUNCTION("""COMPUTED_VALUE""")," জালতকা, গাংনী, মেহেরপুর ")</f>
        <v> জালতকা, গাংনী, মেহেরপুর </v>
      </c>
    </row>
    <row r="375" ht="15.75" customHeight="1">
      <c r="A375" s="3" t="s">
        <v>3502</v>
      </c>
      <c r="B375" s="3">
        <f>IFERROR(__xludf.DUMMYFUNCTION("SPLIT(A375,""|"")"),541.0)</f>
        <v>541</v>
      </c>
      <c r="C375" s="3" t="str">
        <f>IFERROR(__xludf.DUMMYFUNCTION("""COMPUTED_VALUE""")," নাম: মোঃ লালচাদ হোসেন ")</f>
        <v> নাম: মোঃ লালচাদ হোসেন </v>
      </c>
      <c r="D375" s="3">
        <f>IFERROR(__xludf.DUMMYFUNCTION("""COMPUTED_VALUE"""),5.70056000032E11)</f>
        <v>570056000032</v>
      </c>
      <c r="E375" s="3" t="str">
        <f>IFERROR(__xludf.DUMMYFUNCTION("""COMPUTED_VALUE""")," মো তোফাজ্জেল হোসেন ")</f>
        <v> মো তোফাজ্জেল হোসেন </v>
      </c>
      <c r="F375" s="3" t="str">
        <f>IFERROR(__xludf.DUMMYFUNCTION("""COMPUTED_VALUE""")," মোছাঃ মাবিয়া খাতুন ")</f>
        <v> মোছাঃ মাবিয়া খাতুন </v>
      </c>
      <c r="G375" s="3" t="str">
        <f>IFERROR(__xludf.DUMMYFUNCTION("""COMPUTED_VALUE""")," ০৩/০৫/১৯৮৩ ")</f>
        <v> ০৩/০৫/১৯৮৩ </v>
      </c>
      <c r="H375" s="3" t="str">
        <f>IFERROR(__xludf.DUMMYFUNCTION("""COMPUTED_VALUE""")," কৃষক ")</f>
        <v> কৃষক </v>
      </c>
      <c r="I375" s="3" t="str">
        <f>IFERROR(__xludf.DUMMYFUNCTION("""COMPUTED_VALUE""")," জালতকা, গাংনী, মেহেরপুর ")</f>
        <v> জালতকা, গাংনী, মেহেরপুর </v>
      </c>
    </row>
    <row r="376" ht="15.75" customHeight="1">
      <c r="A376" s="3" t="s">
        <v>3503</v>
      </c>
      <c r="B376" s="3">
        <f>IFERROR(__xludf.DUMMYFUNCTION("SPLIT(A376,""|"")"),542.0)</f>
        <v>542</v>
      </c>
      <c r="C376" s="3" t="str">
        <f>IFERROR(__xludf.DUMMYFUNCTION("""COMPUTED_VALUE""")," নাম: মোঃ বাবলু আলী ")</f>
        <v> নাম: মোঃ বাবলু আলী </v>
      </c>
      <c r="D376" s="3">
        <f>IFERROR(__xludf.DUMMYFUNCTION("""COMPUTED_VALUE"""),5.70056000041E11)</f>
        <v>570056000041</v>
      </c>
      <c r="E376" s="3" t="str">
        <f>IFERROR(__xludf.DUMMYFUNCTION("""COMPUTED_VALUE""")," মোঃ আবুল হোসেন ")</f>
        <v> মোঃ আবুল হোসেন </v>
      </c>
      <c r="F376" s="3" t="str">
        <f>IFERROR(__xludf.DUMMYFUNCTION("""COMPUTED_VALUE""")," মোছাঃ মাহেরোন নেসা ")</f>
        <v> মোছাঃ মাহেরোন নেসা </v>
      </c>
      <c r="G376" s="3" t="str">
        <f>IFERROR(__xludf.DUMMYFUNCTION("""COMPUTED_VALUE""")," ২৫/০৭/১৯৮২ ")</f>
        <v> ২৫/০৭/১৯৮২ </v>
      </c>
      <c r="H376" s="3" t="str">
        <f>IFERROR(__xludf.DUMMYFUNCTION("""COMPUTED_VALUE""")," ব্যবসা ")</f>
        <v> ব্যবসা </v>
      </c>
      <c r="I376" s="3" t="str">
        <f>IFERROR(__xludf.DUMMYFUNCTION("""COMPUTED_VALUE""")," জালতকা, গাংনী, মেহেরপুর ")</f>
        <v> জালতকা, গাংনী, মেহেরপুর </v>
      </c>
    </row>
    <row r="377" ht="15.75" customHeight="1">
      <c r="A377" s="3" t="s">
        <v>3504</v>
      </c>
      <c r="B377" s="3">
        <f>IFERROR(__xludf.DUMMYFUNCTION("SPLIT(A377,""|"")"),543.0)</f>
        <v>543</v>
      </c>
      <c r="C377" s="3" t="str">
        <f>IFERROR(__xludf.DUMMYFUNCTION("""COMPUTED_VALUE""")," নাম: সাগর ")</f>
        <v> নাম: সাগর </v>
      </c>
      <c r="D377" s="3">
        <f>IFERROR(__xludf.DUMMYFUNCTION("""COMPUTED_VALUE"""),5.70056000047E11)</f>
        <v>570056000047</v>
      </c>
      <c r="E377" s="3" t="str">
        <f>IFERROR(__xludf.DUMMYFUNCTION("""COMPUTED_VALUE""")," হেলাল উদ্দীন ")</f>
        <v> হেলাল উদ্দীন </v>
      </c>
      <c r="F377" s="3" t="str">
        <f>IFERROR(__xludf.DUMMYFUNCTION("""COMPUTED_VALUE""")," মোছাঃ কহিনুর খাতুন ")</f>
        <v> মোছাঃ কহিনুর খাতুন </v>
      </c>
      <c r="G377" s="3" t="str">
        <f>IFERROR(__xludf.DUMMYFUNCTION("""COMPUTED_VALUE""")," ১০/১০/১৯৮৮ ")</f>
        <v> ১০/১০/১৯৮৮ </v>
      </c>
      <c r="H377" s="3" t="str">
        <f>IFERROR(__xludf.DUMMYFUNCTION("""COMPUTED_VALUE""")," ব্যবসা ")</f>
        <v> ব্যবসা </v>
      </c>
      <c r="I377" s="3" t="str">
        <f>IFERROR(__xludf.DUMMYFUNCTION("""COMPUTED_VALUE""")," জালতকা, গাংনী, মেহেরপুর ")</f>
        <v> জালতকা, গাংনী, মেহেরপুর </v>
      </c>
    </row>
    <row r="378" ht="15.75" customHeight="1">
      <c r="A378" s="3" t="s">
        <v>3505</v>
      </c>
      <c r="B378" s="3">
        <f>IFERROR(__xludf.DUMMYFUNCTION("SPLIT(A378,""|"")"),544.0)</f>
        <v>544</v>
      </c>
      <c r="C378" s="3" t="str">
        <f>IFERROR(__xludf.DUMMYFUNCTION("""COMPUTED_VALUE""")," নাম: সাইফুল ")</f>
        <v> নাম: সাইফুল </v>
      </c>
      <c r="D378" s="3">
        <f>IFERROR(__xludf.DUMMYFUNCTION("""COMPUTED_VALUE"""),5.7005600005E11)</f>
        <v>570056000050</v>
      </c>
      <c r="E378" s="3" t="str">
        <f>IFERROR(__xludf.DUMMYFUNCTION("""COMPUTED_VALUE""")," রবিউল ")</f>
        <v> রবিউল </v>
      </c>
      <c r="F378" s="3" t="str">
        <f>IFERROR(__xludf.DUMMYFUNCTION("""COMPUTED_VALUE""")," ফিরোজা খাতুন ")</f>
        <v> ফিরোজা খাতুন </v>
      </c>
      <c r="G378" s="3" t="str">
        <f>IFERROR(__xludf.DUMMYFUNCTION("""COMPUTED_VALUE""")," ২০/০৫/১৯৮৮ ")</f>
        <v> ২০/০৫/১৯৮৮ </v>
      </c>
      <c r="H378" s="3" t="str">
        <f>IFERROR(__xludf.DUMMYFUNCTION("""COMPUTED_VALUE""")," কৃষক ")</f>
        <v> কৃষক </v>
      </c>
      <c r="I378" s="3" t="str">
        <f>IFERROR(__xludf.DUMMYFUNCTION("""COMPUTED_VALUE""")," জালতকা, গাংনী, মেহেরপুর ")</f>
        <v> জালতকা, গাংনী, মেহেরপুর </v>
      </c>
    </row>
    <row r="379" ht="15.75" customHeight="1">
      <c r="A379" s="3" t="s">
        <v>3506</v>
      </c>
      <c r="B379" s="3">
        <f>IFERROR(__xludf.DUMMYFUNCTION("SPLIT(A379,""|"")"),545.0)</f>
        <v>545</v>
      </c>
      <c r="C379" s="3" t="str">
        <f>IFERROR(__xludf.DUMMYFUNCTION("""COMPUTED_VALUE""")," নাম: কামাল উদ্দীন ")</f>
        <v> নাম: কামাল উদ্দীন </v>
      </c>
      <c r="D379" s="3">
        <f>IFERROR(__xludf.DUMMYFUNCTION("""COMPUTED_VALUE"""),5.70056000059E11)</f>
        <v>570056000059</v>
      </c>
      <c r="E379" s="3" t="str">
        <f>IFERROR(__xludf.DUMMYFUNCTION("""COMPUTED_VALUE""")," মোঃ বাবর আলী ")</f>
        <v> মোঃ বাবর আলী </v>
      </c>
      <c r="F379" s="3" t="str">
        <f>IFERROR(__xludf.DUMMYFUNCTION("""COMPUTED_VALUE""")," মোছাঃ ফরিদা খাতুন ")</f>
        <v> মোছাঃ ফরিদা খাতুন </v>
      </c>
      <c r="G379" s="3" t="str">
        <f>IFERROR(__xludf.DUMMYFUNCTION("""COMPUTED_VALUE""")," ১০/০৫/১৯৯০ ")</f>
        <v> ১০/০৫/১৯৯০ </v>
      </c>
      <c r="H379" s="3" t="str">
        <f>IFERROR(__xludf.DUMMYFUNCTION("""COMPUTED_VALUE""")," দিনমজুর ")</f>
        <v> দিনমজুর </v>
      </c>
      <c r="I379" s="3" t="str">
        <f>IFERROR(__xludf.DUMMYFUNCTION("""COMPUTED_VALUE""")," জালতকা, গাংনী, মেহেরপুর ")</f>
        <v> জালতকা, গাংনী, মেহেরপুর </v>
      </c>
    </row>
    <row r="380" ht="15.75" customHeight="1">
      <c r="A380" s="3" t="s">
        <v>3507</v>
      </c>
      <c r="B380" s="3">
        <f>IFERROR(__xludf.DUMMYFUNCTION("SPLIT(A380,""|"")"),546.0)</f>
        <v>546</v>
      </c>
      <c r="C380" s="3" t="str">
        <f>IFERROR(__xludf.DUMMYFUNCTION("""COMPUTED_VALUE""")," নাম: মোঃ ফরহাদ আলী ")</f>
        <v> নাম: মোঃ ফরহাদ আলী </v>
      </c>
      <c r="D380" s="3">
        <f>IFERROR(__xludf.DUMMYFUNCTION("""COMPUTED_VALUE"""),5.70056000064E11)</f>
        <v>570056000064</v>
      </c>
      <c r="E380" s="3" t="str">
        <f>IFERROR(__xludf.DUMMYFUNCTION("""COMPUTED_VALUE""")," গোলাম রসুল ")</f>
        <v> গোলাম রসুল </v>
      </c>
      <c r="F380" s="3" t="str">
        <f>IFERROR(__xludf.DUMMYFUNCTION("""COMPUTED_VALUE""")," জহুরা খাতুন ")</f>
        <v> জহুরা খাতুন </v>
      </c>
      <c r="G380" s="3" t="str">
        <f>IFERROR(__xludf.DUMMYFUNCTION("""COMPUTED_VALUE""")," ০১/০৩/১৯৯০ ")</f>
        <v> ০১/০৩/১৯৯০ </v>
      </c>
      <c r="H380" s="3" t="str">
        <f>IFERROR(__xludf.DUMMYFUNCTION("""COMPUTED_VALUE""")," ছাত্র/ছাত্রী ")</f>
        <v> ছাত্র/ছাত্রী </v>
      </c>
      <c r="I380" s="3" t="str">
        <f>IFERROR(__xludf.DUMMYFUNCTION("""COMPUTED_VALUE""")," জালতকা, গাংনী, মেহেরপুর ")</f>
        <v> জালতকা, গাংনী, মেহেরপুর </v>
      </c>
    </row>
    <row r="381" ht="15.75" customHeight="1">
      <c r="A381" s="3" t="s">
        <v>3508</v>
      </c>
      <c r="B381" s="3">
        <f>IFERROR(__xludf.DUMMYFUNCTION("SPLIT(A381,""|"")"),547.0)</f>
        <v>547</v>
      </c>
      <c r="C381" s="3" t="str">
        <f>IFERROR(__xludf.DUMMYFUNCTION("""COMPUTED_VALUE""")," নাম: আমালত ")</f>
        <v> নাম: আমালত </v>
      </c>
      <c r="D381" s="3">
        <f>IFERROR(__xludf.DUMMYFUNCTION("""COMPUTED_VALUE"""),5.7005600007E11)</f>
        <v>570056000070</v>
      </c>
      <c r="E381" s="3" t="str">
        <f>IFERROR(__xludf.DUMMYFUNCTION("""COMPUTED_VALUE""")," কুদ্দুস আলী ")</f>
        <v> কুদ্দুস আলী </v>
      </c>
      <c r="F381" s="3" t="str">
        <f>IFERROR(__xludf.DUMMYFUNCTION("""COMPUTED_VALUE""")," মনোয়ারা ")</f>
        <v> মনোয়ারা </v>
      </c>
      <c r="G381" s="3" t="str">
        <f>IFERROR(__xludf.DUMMYFUNCTION("""COMPUTED_VALUE""")," ০১/০১/১৯৯০ ")</f>
        <v> ০১/০১/১৯৯০ </v>
      </c>
      <c r="H381" s="3" t="str">
        <f>IFERROR(__xludf.DUMMYFUNCTION("""COMPUTED_VALUE""")," দিনমজুর ")</f>
        <v> দিনমজুর </v>
      </c>
      <c r="I381" s="3" t="str">
        <f>IFERROR(__xludf.DUMMYFUNCTION("""COMPUTED_VALUE""")," জালতকা, গাংনী, মেহেরপুর ")</f>
        <v> জালতকা, গাংনী, মেহেরপুর </v>
      </c>
    </row>
    <row r="382" ht="15.75" customHeight="1">
      <c r="A382" s="3" t="s">
        <v>3509</v>
      </c>
      <c r="B382" s="3">
        <f>IFERROR(__xludf.DUMMYFUNCTION("SPLIT(A382,""|"")"),548.0)</f>
        <v>548</v>
      </c>
      <c r="C382" s="3" t="str">
        <f>IFERROR(__xludf.DUMMYFUNCTION("""COMPUTED_VALUE""")," নাম: মোঃ রাইন আলী ")</f>
        <v> নাম: মোঃ রাইন আলী </v>
      </c>
      <c r="D382" s="3">
        <f>IFERROR(__xludf.DUMMYFUNCTION("""COMPUTED_VALUE"""),5.70056000072E11)</f>
        <v>570056000072</v>
      </c>
      <c r="E382" s="3" t="str">
        <f>IFERROR(__xludf.DUMMYFUNCTION("""COMPUTED_VALUE""")," খেদের আলী ")</f>
        <v> খেদের আলী </v>
      </c>
      <c r="F382" s="3" t="str">
        <f>IFERROR(__xludf.DUMMYFUNCTION("""COMPUTED_VALUE""")," সোহাগী ")</f>
        <v> সোহাগী </v>
      </c>
      <c r="G382" s="3" t="str">
        <f>IFERROR(__xludf.DUMMYFUNCTION("""COMPUTED_VALUE""")," ০৮/১২/১৯৭১ ")</f>
        <v> ০৮/১২/১৯৭১ </v>
      </c>
      <c r="H382" s="3" t="str">
        <f>IFERROR(__xludf.DUMMYFUNCTION("""COMPUTED_VALUE""")," দিনমজুর ")</f>
        <v> দিনমজুর </v>
      </c>
      <c r="I382" s="3" t="str">
        <f>IFERROR(__xludf.DUMMYFUNCTION("""COMPUTED_VALUE""")," জালতকা, গাংনী, মেহেরপুর ")</f>
        <v> জালতকা, গাংনী, মেহেরপুর </v>
      </c>
    </row>
    <row r="383" ht="15.75" customHeight="1">
      <c r="A383" s="3" t="s">
        <v>3510</v>
      </c>
      <c r="B383" s="3">
        <f>IFERROR(__xludf.DUMMYFUNCTION("SPLIT(A383,""|"")"),549.0)</f>
        <v>549</v>
      </c>
      <c r="C383" s="3" t="str">
        <f>IFERROR(__xludf.DUMMYFUNCTION("""COMPUTED_VALUE""")," নাম: মোঃ মুজাহিদ ")</f>
        <v> নাম: মোঃ মুজাহিদ </v>
      </c>
      <c r="D383" s="3">
        <f>IFERROR(__xludf.DUMMYFUNCTION("""COMPUTED_VALUE"""),5.70056000077E11)</f>
        <v>570056000077</v>
      </c>
      <c r="E383" s="3" t="str">
        <f>IFERROR(__xludf.DUMMYFUNCTION("""COMPUTED_VALUE""")," আলাউদ্দীন ")</f>
        <v> আলাউদ্দীন </v>
      </c>
      <c r="F383" s="3" t="str">
        <f>IFERROR(__xludf.DUMMYFUNCTION("""COMPUTED_VALUE""")," আমেনা খাতুন ")</f>
        <v> আমেনা খাতুন </v>
      </c>
      <c r="G383" s="3" t="str">
        <f>IFERROR(__xludf.DUMMYFUNCTION("""COMPUTED_VALUE""")," ১০/০৫/১৯৯০ ")</f>
        <v> ১০/০৫/১৯৯০ </v>
      </c>
      <c r="H383" s="3" t="str">
        <f>IFERROR(__xludf.DUMMYFUNCTION("""COMPUTED_VALUE""")," ছাত্র/ছাত্রী ")</f>
        <v> ছাত্র/ছাত্রী </v>
      </c>
      <c r="I383" s="3" t="str">
        <f>IFERROR(__xludf.DUMMYFUNCTION("""COMPUTED_VALUE""")," জালতকা, গাংনী, মেহেরপুর ")</f>
        <v> জালতকা, গাংনী, মেহেরপুর </v>
      </c>
    </row>
    <row r="384" ht="15.75" customHeight="1">
      <c r="A384" s="3" t="s">
        <v>3511</v>
      </c>
      <c r="B384" s="3">
        <f>IFERROR(__xludf.DUMMYFUNCTION("SPLIT(A384,""|"")"),550.0)</f>
        <v>550</v>
      </c>
      <c r="C384" s="3" t="str">
        <f>IFERROR(__xludf.DUMMYFUNCTION("""COMPUTED_VALUE""")," নাম: মোঃ কালাম হোসেন ")</f>
        <v> নাম: মোঃ কালাম হোসেন </v>
      </c>
      <c r="D384" s="3">
        <f>IFERROR(__xludf.DUMMYFUNCTION("""COMPUTED_VALUE"""),5.70056000078E11)</f>
        <v>570056000078</v>
      </c>
      <c r="E384" s="3" t="str">
        <f>IFERROR(__xludf.DUMMYFUNCTION("""COMPUTED_VALUE""")," ইদ্রিস আলী ")</f>
        <v> ইদ্রিস আলী </v>
      </c>
      <c r="F384" s="3" t="str">
        <f>IFERROR(__xludf.DUMMYFUNCTION("""COMPUTED_VALUE""")," রোকেয়া খাতুন ")</f>
        <v> রোকেয়া খাতুন </v>
      </c>
      <c r="G384" s="3" t="str">
        <f>IFERROR(__xludf.DUMMYFUNCTION("""COMPUTED_VALUE""")," ০৩/০৮/১৯৮২ ")</f>
        <v> ০৩/০৮/১৯৮২ </v>
      </c>
      <c r="H384" s="3" t="str">
        <f>IFERROR(__xludf.DUMMYFUNCTION("""COMPUTED_VALUE""")," কৃষক ")</f>
        <v> কৃষক </v>
      </c>
      <c r="I384" s="3" t="str">
        <f>IFERROR(__xludf.DUMMYFUNCTION("""COMPUTED_VALUE""")," জালতকা, গাংনী, মেহেরপুর ")</f>
        <v> জালতকা, গাংনী, মেহেরপুর </v>
      </c>
    </row>
    <row r="385" ht="15.75" customHeight="1">
      <c r="A385" s="3" t="s">
        <v>3512</v>
      </c>
      <c r="B385" s="3">
        <f>IFERROR(__xludf.DUMMYFUNCTION("SPLIT(A385,""|"")"),551.0)</f>
        <v>551</v>
      </c>
      <c r="C385" s="3" t="str">
        <f>IFERROR(__xludf.DUMMYFUNCTION("""COMPUTED_VALUE""")," মাইগ্রেট হয়েছে ")</f>
        <v> মাইগ্রেট হয়েছে </v>
      </c>
      <c r="D385" s="3" t="str">
        <f>IFERROR(__xludf.DUMMYFUNCTION("""COMPUTED_VALUE"""),"  ")</f>
        <v>  </v>
      </c>
      <c r="E385" s="3" t="str">
        <f>IFERROR(__xludf.DUMMYFUNCTION("""COMPUTED_VALUE"""),"  ")</f>
        <v>  </v>
      </c>
      <c r="F385" s="3" t="str">
        <f>IFERROR(__xludf.DUMMYFUNCTION("""COMPUTED_VALUE"""),"  ")</f>
        <v>  </v>
      </c>
      <c r="G385" s="3" t="str">
        <f>IFERROR(__xludf.DUMMYFUNCTION("""COMPUTED_VALUE"""),"  ")</f>
        <v>  </v>
      </c>
      <c r="H385" s="3" t="str">
        <f>IFERROR(__xludf.DUMMYFUNCTION("""COMPUTED_VALUE"""),"  ")</f>
        <v>  </v>
      </c>
      <c r="I385" s="3" t="str">
        <f>IFERROR(__xludf.DUMMYFUNCTION("""COMPUTED_VALUE"""),"  ")</f>
        <v>  </v>
      </c>
    </row>
    <row r="386" ht="15.75" customHeight="1">
      <c r="A386" s="3" t="s">
        <v>3513</v>
      </c>
      <c r="B386" s="3">
        <f>IFERROR(__xludf.DUMMYFUNCTION("SPLIT(A386,""|"")"),552.0)</f>
        <v>552</v>
      </c>
      <c r="C386" s="3" t="str">
        <f>IFERROR(__xludf.DUMMYFUNCTION("""COMPUTED_VALUE""")," নাম: মোঃ জাকিরুল ")</f>
        <v> নাম: মোঃ জাকিরুল </v>
      </c>
      <c r="D386" s="3">
        <f>IFERROR(__xludf.DUMMYFUNCTION("""COMPUTED_VALUE"""),5.70056000086E11)</f>
        <v>570056000086</v>
      </c>
      <c r="E386" s="3" t="str">
        <f>IFERROR(__xludf.DUMMYFUNCTION("""COMPUTED_VALUE""")," রইছদ্দীন ")</f>
        <v> রইছদ্দীন </v>
      </c>
      <c r="F386" s="3" t="str">
        <f>IFERROR(__xludf.DUMMYFUNCTION("""COMPUTED_VALUE""")," সুবারন নেছা ")</f>
        <v> সুবারন নেছা </v>
      </c>
      <c r="G386" s="3" t="str">
        <f>IFERROR(__xludf.DUMMYFUNCTION("""COMPUTED_VALUE""")," ৩০/০৩/১৯৯১ ")</f>
        <v> ৩০/০৩/১৯৯১ </v>
      </c>
      <c r="H386" s="3" t="str">
        <f>IFERROR(__xludf.DUMMYFUNCTION("""COMPUTED_VALUE""")," দিনমজুর ")</f>
        <v> দিনমজুর </v>
      </c>
      <c r="I386" s="3" t="str">
        <f>IFERROR(__xludf.DUMMYFUNCTION("""COMPUTED_VALUE""")," জালতকা, গাংনী, মেহেরপুর ")</f>
        <v> জালতকা, গাংনী, মেহেরপুর </v>
      </c>
    </row>
    <row r="387" ht="15.75" customHeight="1">
      <c r="A387" s="3" t="s">
        <v>3514</v>
      </c>
      <c r="B387" s="3">
        <f>IFERROR(__xludf.DUMMYFUNCTION("SPLIT(A387,""|"")"),553.0)</f>
        <v>553</v>
      </c>
      <c r="C387" s="3" t="str">
        <f>IFERROR(__xludf.DUMMYFUNCTION("""COMPUTED_VALUE""")," নাম: মোঃ ফারুক হোসেন ")</f>
        <v> নাম: মোঃ ফারুক হোসেন </v>
      </c>
      <c r="D387" s="3">
        <f>IFERROR(__xludf.DUMMYFUNCTION("""COMPUTED_VALUE"""),5.70056000087E11)</f>
        <v>570056000087</v>
      </c>
      <c r="E387" s="3" t="str">
        <f>IFERROR(__xludf.DUMMYFUNCTION("""COMPUTED_VALUE""")," আবুল হাসেম ")</f>
        <v> আবুল হাসেম </v>
      </c>
      <c r="F387" s="3" t="str">
        <f>IFERROR(__xludf.DUMMYFUNCTION("""COMPUTED_VALUE""")," মোছাঃ আছারন ")</f>
        <v> মোছাঃ আছারন </v>
      </c>
      <c r="G387" s="3" t="str">
        <f>IFERROR(__xludf.DUMMYFUNCTION("""COMPUTED_VALUE""")," ০৩/০৩/১৯৯০ ")</f>
        <v> ০৩/০৩/১৯৯০ </v>
      </c>
      <c r="H387" s="3" t="str">
        <f>IFERROR(__xludf.DUMMYFUNCTION("""COMPUTED_VALUE""")," দিনমজুর ")</f>
        <v> দিনমজুর </v>
      </c>
      <c r="I387" s="3" t="str">
        <f>IFERROR(__xludf.DUMMYFUNCTION("""COMPUTED_VALUE""")," জালতকা, গাংনী, মেহেরপুর ")</f>
        <v> জালতকা, গাংনী, মেহেরপুর </v>
      </c>
    </row>
    <row r="388" ht="15.75" customHeight="1">
      <c r="A388" s="3" t="s">
        <v>3515</v>
      </c>
      <c r="B388" s="3">
        <f>IFERROR(__xludf.DUMMYFUNCTION("SPLIT(A388,""|"")"),554.0)</f>
        <v>554</v>
      </c>
      <c r="C388" s="3" t="str">
        <f>IFERROR(__xludf.DUMMYFUNCTION("""COMPUTED_VALUE""")," নাম: বাদশা আলী ")</f>
        <v> নাম: বাদশা আলী </v>
      </c>
      <c r="D388" s="3">
        <f>IFERROR(__xludf.DUMMYFUNCTION("""COMPUTED_VALUE"""),5.70056000088E11)</f>
        <v>570056000088</v>
      </c>
      <c r="E388" s="3" t="str">
        <f>IFERROR(__xludf.DUMMYFUNCTION("""COMPUTED_VALUE""")," শহিদুল ইসলাম ")</f>
        <v> শহিদুল ইসলাম </v>
      </c>
      <c r="F388" s="3" t="str">
        <f>IFERROR(__xludf.DUMMYFUNCTION("""COMPUTED_VALUE""")," হাজেরা খাতুন ")</f>
        <v> হাজেরা খাতুন </v>
      </c>
      <c r="G388" s="3" t="str">
        <f>IFERROR(__xludf.DUMMYFUNCTION("""COMPUTED_VALUE""")," ০১/০১/১৯৮৭ ")</f>
        <v> ০১/০১/১৯৮৭ </v>
      </c>
      <c r="H388" s="3" t="str">
        <f>IFERROR(__xludf.DUMMYFUNCTION("""COMPUTED_VALUE""")," দিনমজুর ")</f>
        <v> দিনমজুর </v>
      </c>
      <c r="I388" s="3" t="str">
        <f>IFERROR(__xludf.DUMMYFUNCTION("""COMPUTED_VALUE""")," জালতকা, গাংনী, মেহেরপুর ")</f>
        <v> জালতকা, গাংনী, মেহেরপুর </v>
      </c>
    </row>
    <row r="389" ht="15.75" customHeight="1">
      <c r="A389" s="3" t="s">
        <v>3516</v>
      </c>
      <c r="B389" s="3">
        <f>IFERROR(__xludf.DUMMYFUNCTION("SPLIT(A389,""|"")"),555.0)</f>
        <v>555</v>
      </c>
      <c r="C389" s="3" t="str">
        <f>IFERROR(__xludf.DUMMYFUNCTION("""COMPUTED_VALUE""")," নাম: মোঃ মাজিদুল ইসলাম ")</f>
        <v> নাম: মোঃ মাজিদুল ইসলাম </v>
      </c>
      <c r="D389" s="3">
        <f>IFERROR(__xludf.DUMMYFUNCTION("""COMPUTED_VALUE"""),5.70056000091E11)</f>
        <v>570056000091</v>
      </c>
      <c r="E389" s="3" t="str">
        <f>IFERROR(__xludf.DUMMYFUNCTION("""COMPUTED_VALUE""")," রবিউল ")</f>
        <v> রবিউল </v>
      </c>
      <c r="F389" s="3" t="str">
        <f>IFERROR(__xludf.DUMMYFUNCTION("""COMPUTED_VALUE""")," মাজেদা খাতুন ")</f>
        <v> মাজেদা খাতুন </v>
      </c>
      <c r="G389" s="3" t="str">
        <f>IFERROR(__xludf.DUMMYFUNCTION("""COMPUTED_VALUE""")," ০৫/০৩/১৯৮৮ ")</f>
        <v> ০৫/০৩/১৯৮৮ </v>
      </c>
      <c r="H389" s="3" t="str">
        <f>IFERROR(__xludf.DUMMYFUNCTION("""COMPUTED_VALUE""")," দিনমজুর ")</f>
        <v> দিনমজুর </v>
      </c>
      <c r="I389" s="3" t="str">
        <f>IFERROR(__xludf.DUMMYFUNCTION("""COMPUTED_VALUE""")," জালতকা, গাংনী, মেহেরপুর ")</f>
        <v> জালতকা, গাংনী, মেহেরপুর </v>
      </c>
    </row>
    <row r="390" ht="15.75" customHeight="1">
      <c r="A390" s="3" t="s">
        <v>3517</v>
      </c>
      <c r="B390" s="3">
        <f>IFERROR(__xludf.DUMMYFUNCTION("SPLIT(A390,""|"")"),556.0)</f>
        <v>556</v>
      </c>
      <c r="C390" s="3" t="str">
        <f>IFERROR(__xludf.DUMMYFUNCTION("""COMPUTED_VALUE""")," নাম: মোঃ লিটন রানা ")</f>
        <v> নাম: মোঃ লিটন রানা </v>
      </c>
      <c r="D390" s="3">
        <f>IFERROR(__xludf.DUMMYFUNCTION("""COMPUTED_VALUE"""),5.70056000093E11)</f>
        <v>570056000093</v>
      </c>
      <c r="E390" s="3" t="str">
        <f>IFERROR(__xludf.DUMMYFUNCTION("""COMPUTED_VALUE""")," মনিরুল ইসলাম ")</f>
        <v> মনিরুল ইসলাম </v>
      </c>
      <c r="F390" s="3" t="str">
        <f>IFERROR(__xludf.DUMMYFUNCTION("""COMPUTED_VALUE""")," হাজেরা খাতুন ")</f>
        <v> হাজেরা খাতুন </v>
      </c>
      <c r="G390" s="3" t="str">
        <f>IFERROR(__xludf.DUMMYFUNCTION("""COMPUTED_VALUE""")," ০২/০৬/১৯৯১ ")</f>
        <v> ০২/০৬/১৯৯১ </v>
      </c>
      <c r="H390" s="3" t="str">
        <f>IFERROR(__xludf.DUMMYFUNCTION("""COMPUTED_VALUE""")," কৃষক ")</f>
        <v> কৃষক </v>
      </c>
      <c r="I390" s="3" t="str">
        <f>IFERROR(__xludf.DUMMYFUNCTION("""COMPUTED_VALUE""")," জালতকা, গাংনী, মেহেরপুর ")</f>
        <v> জালতকা, গাংনী, মেহেরপুর </v>
      </c>
    </row>
    <row r="391" ht="15.75" customHeight="1">
      <c r="A391" s="3" t="s">
        <v>3518</v>
      </c>
      <c r="B391" s="3">
        <f>IFERROR(__xludf.DUMMYFUNCTION("SPLIT(A391,""|"")"),557.0)</f>
        <v>557</v>
      </c>
      <c r="C391" s="3" t="str">
        <f>IFERROR(__xludf.DUMMYFUNCTION("""COMPUTED_VALUE""")," নাম: মোহাঃ আক্তারুজ্জামান ")</f>
        <v> নাম: মোহাঃ আক্তারুজ্জামান </v>
      </c>
      <c r="D391" s="3">
        <f>IFERROR(__xludf.DUMMYFUNCTION("""COMPUTED_VALUE"""),5.70056000096E11)</f>
        <v>570056000096</v>
      </c>
      <c r="E391" s="3" t="str">
        <f>IFERROR(__xludf.DUMMYFUNCTION("""COMPUTED_VALUE""")," হবিবার রহমান ")</f>
        <v> হবিবার রহমান </v>
      </c>
      <c r="F391" s="3" t="str">
        <f>IFERROR(__xludf.DUMMYFUNCTION("""COMPUTED_VALUE""")," মর্জিনা খাতুন ")</f>
        <v> মর্জিনা খাতুন </v>
      </c>
      <c r="G391" s="3" t="str">
        <f>IFERROR(__xludf.DUMMYFUNCTION("""COMPUTED_VALUE""")," ১০/০৬/১৯৯০ ")</f>
        <v> ১০/০৬/১৯৯০ </v>
      </c>
      <c r="H391" s="3" t="str">
        <f>IFERROR(__xludf.DUMMYFUNCTION("""COMPUTED_VALUE""")," বেসরকারী চাকুরী ")</f>
        <v> বেসরকারী চাকুরী </v>
      </c>
      <c r="I391" s="3" t="str">
        <f>IFERROR(__xludf.DUMMYFUNCTION("""COMPUTED_VALUE""")," জালতকা, গাংনী, মেহেরপুর ")</f>
        <v> জালতকা, গাংনী, মেহেরপুর </v>
      </c>
    </row>
    <row r="392" ht="15.75" customHeight="1">
      <c r="A392" s="3" t="s">
        <v>3519</v>
      </c>
      <c r="B392" s="3">
        <f>IFERROR(__xludf.DUMMYFUNCTION("SPLIT(A392,""|"")"),558.0)</f>
        <v>558</v>
      </c>
      <c r="C392" s="3" t="str">
        <f>IFERROR(__xludf.DUMMYFUNCTION("""COMPUTED_VALUE""")," নাম: মোঃ সোহেল রানা ")</f>
        <v> নাম: মোঃ সোহেল রানা </v>
      </c>
      <c r="D392" s="3">
        <f>IFERROR(__xludf.DUMMYFUNCTION("""COMPUTED_VALUE"""),5.70056000097E11)</f>
        <v>570056000097</v>
      </c>
      <c r="E392" s="3" t="str">
        <f>IFERROR(__xludf.DUMMYFUNCTION("""COMPUTED_VALUE""")," আনিচুর রহমান ")</f>
        <v> আনিচুর রহমান </v>
      </c>
      <c r="F392" s="3" t="str">
        <f>IFERROR(__xludf.DUMMYFUNCTION("""COMPUTED_VALUE""")," মোছাঃ ছালেহা ")</f>
        <v> মোছাঃ ছালেহা </v>
      </c>
      <c r="G392" s="3" t="str">
        <f>IFERROR(__xludf.DUMMYFUNCTION("""COMPUTED_VALUE""")," ১৬/০২/১৯৮৭ ")</f>
        <v> ১৬/০২/১৯৮৭ </v>
      </c>
      <c r="H392" s="3" t="str">
        <f>IFERROR(__xludf.DUMMYFUNCTION("""COMPUTED_VALUE""")," কৃষক ")</f>
        <v> কৃষক </v>
      </c>
      <c r="I392" s="3" t="str">
        <f>IFERROR(__xludf.DUMMYFUNCTION("""COMPUTED_VALUE""")," জালতকা, গাংনী, মেহেরপুর ")</f>
        <v> জালতকা, গাংনী, মেহেরপুর </v>
      </c>
    </row>
    <row r="393" ht="15.75" customHeight="1">
      <c r="A393" s="3" t="s">
        <v>3520</v>
      </c>
      <c r="B393" s="3">
        <f>IFERROR(__xludf.DUMMYFUNCTION("SPLIT(A393,""|"")"),559.0)</f>
        <v>559</v>
      </c>
      <c r="C393" s="3" t="str">
        <f>IFERROR(__xludf.DUMMYFUNCTION("""COMPUTED_VALUE""")," নাম: মোঃ উজ্জল আলী ")</f>
        <v> নাম: মোঃ উজ্জল আলী </v>
      </c>
      <c r="D393" s="3">
        <f>IFERROR(__xludf.DUMMYFUNCTION("""COMPUTED_VALUE"""),5.70056000099E11)</f>
        <v>570056000099</v>
      </c>
      <c r="E393" s="3" t="str">
        <f>IFERROR(__xludf.DUMMYFUNCTION("""COMPUTED_VALUE""")," মোঃ রুহুল আমিন ")</f>
        <v> মোঃ রুহুল আমিন </v>
      </c>
      <c r="F393" s="3" t="str">
        <f>IFERROR(__xludf.DUMMYFUNCTION("""COMPUTED_VALUE""")," জাহানারা খাতুন ")</f>
        <v> জাহানারা খাতুন </v>
      </c>
      <c r="G393" s="3" t="str">
        <f>IFERROR(__xludf.DUMMYFUNCTION("""COMPUTED_VALUE""")," ০৫/০৮/১৯৯০ ")</f>
        <v> ০৫/০৮/১৯৯০ </v>
      </c>
      <c r="H393" s="3" t="str">
        <f>IFERROR(__xludf.DUMMYFUNCTION("""COMPUTED_VALUE""")," দিনমজুর ")</f>
        <v> দিনমজুর </v>
      </c>
      <c r="I393" s="3" t="str">
        <f>IFERROR(__xludf.DUMMYFUNCTION("""COMPUTED_VALUE""")," জালতকা, গাংনী, মেহেরপুর ")</f>
        <v> জালতকা, গাংনী, মেহেরপুর </v>
      </c>
    </row>
    <row r="394" ht="15.75" customHeight="1">
      <c r="A394" s="3" t="s">
        <v>3521</v>
      </c>
      <c r="B394" s="3">
        <f>IFERROR(__xludf.DUMMYFUNCTION("SPLIT(A394,""|"")"),560.0)</f>
        <v>560</v>
      </c>
      <c r="C394" s="3" t="str">
        <f>IFERROR(__xludf.DUMMYFUNCTION("""COMPUTED_VALUE""")," নাম: মোঃ ইয়াছিন আলী ")</f>
        <v> নাম: মোঃ ইয়াছিন আলী </v>
      </c>
      <c r="D394" s="3" t="str">
        <f>IFERROR(__xludf.DUMMYFUNCTION("""COMPUTED_VALUE""")," ৫৭০০৫৬০০MDEw১ ")</f>
        <v> ৫৭০০৫৬০০MDEw১ </v>
      </c>
      <c r="E394" s="3" t="str">
        <f>IFERROR(__xludf.DUMMYFUNCTION("""COMPUTED_VALUE""")," আলাউদ্দীন ")</f>
        <v> আলাউদ্দীন </v>
      </c>
      <c r="F394" s="3" t="str">
        <f>IFERROR(__xludf.DUMMYFUNCTION("""COMPUTED_VALUE""")," আমেনা খাতুন ")</f>
        <v> আমেনা খাতুন </v>
      </c>
      <c r="G394" s="3" t="str">
        <f>IFERROR(__xludf.DUMMYFUNCTION("""COMPUTED_VALUE""")," ১৭/০৭/১৯৯০ ")</f>
        <v> ১৭/০৭/১৯৯০ </v>
      </c>
      <c r="H394" s="3" t="str">
        <f>IFERROR(__xludf.DUMMYFUNCTION("""COMPUTED_VALUE""")," কৃষক ")</f>
        <v> কৃষক </v>
      </c>
      <c r="I394" s="3" t="str">
        <f>IFERROR(__xludf.DUMMYFUNCTION("""COMPUTED_VALUE""")," জালতকা, গাংনী, মেহেরপুর ")</f>
        <v> জালতকা, গাংনী, মেহেরপুর </v>
      </c>
    </row>
    <row r="395" ht="15.75" customHeight="1">
      <c r="A395" s="3" t="s">
        <v>3522</v>
      </c>
      <c r="B395" s="3">
        <f>IFERROR(__xludf.DUMMYFUNCTION("SPLIT(A395,""|"")"),561.0)</f>
        <v>561</v>
      </c>
      <c r="C395" s="3" t="str">
        <f>IFERROR(__xludf.DUMMYFUNCTION("""COMPUTED_VALUE""")," নাম: মোঃ আজমাঈল হক ")</f>
        <v> নাম: মোঃ আজমাঈল হক </v>
      </c>
      <c r="D395" s="3" t="str">
        <f>IFERROR(__xludf.DUMMYFUNCTION("""COMPUTED_VALUE""")," ৫৭০০৫৬০০MDEw২ ")</f>
        <v> ৫৭০০৫৬০০MDEw২ </v>
      </c>
      <c r="E395" s="3" t="str">
        <f>IFERROR(__xludf.DUMMYFUNCTION("""COMPUTED_VALUE""")," আ: রাজ্জাক ")</f>
        <v> আ: রাজ্জাক </v>
      </c>
      <c r="F395" s="3" t="str">
        <f>IFERROR(__xludf.DUMMYFUNCTION("""COMPUTED_VALUE""")," আসরা খাতুন ")</f>
        <v> আসরা খাতুন </v>
      </c>
      <c r="G395" s="3" t="str">
        <f>IFERROR(__xludf.DUMMYFUNCTION("""COMPUTED_VALUE""")," ০৭/০১/১৯৯১ ")</f>
        <v> ০৭/০১/১৯৯১ </v>
      </c>
      <c r="H395" s="3" t="str">
        <f>IFERROR(__xludf.DUMMYFUNCTION("""COMPUTED_VALUE""")," ব্যবসা ")</f>
        <v> ব্যবসা </v>
      </c>
      <c r="I395" s="3" t="str">
        <f>IFERROR(__xludf.DUMMYFUNCTION("""COMPUTED_VALUE""")," জালতকা, গাংনী, মেহেরপুর ")</f>
        <v> জালতকা, গাংনী, মেহেরপুর </v>
      </c>
    </row>
    <row r="396" ht="15.75" customHeight="1">
      <c r="A396" s="3" t="s">
        <v>3523</v>
      </c>
      <c r="B396" s="3">
        <f>IFERROR(__xludf.DUMMYFUNCTION("SPLIT(A396,""|"")"),562.0)</f>
        <v>562</v>
      </c>
      <c r="C396" s="3" t="str">
        <f>IFERROR(__xludf.DUMMYFUNCTION("""COMPUTED_VALUE""")," নাম: মোঃ মিজানুর রহমান ")</f>
        <v> নাম: মোঃ মিজানুর রহমান </v>
      </c>
      <c r="D396" s="3" t="str">
        <f>IFERROR(__xludf.DUMMYFUNCTION("""COMPUTED_VALUE""")," ৫৭০০৫৬০০MDEw৩ ")</f>
        <v> ৫৭০০৫৬০০MDEw৩ </v>
      </c>
      <c r="E396" s="3" t="str">
        <f>IFERROR(__xludf.DUMMYFUNCTION("""COMPUTED_VALUE""")," দবির মন্ডল ")</f>
        <v> দবির মন্ডল </v>
      </c>
      <c r="F396" s="3" t="str">
        <f>IFERROR(__xludf.DUMMYFUNCTION("""COMPUTED_VALUE""")," জয়নব নেছা ")</f>
        <v> জয়নব নেছা </v>
      </c>
      <c r="G396" s="3" t="str">
        <f>IFERROR(__xludf.DUMMYFUNCTION("""COMPUTED_VALUE""")," ২৩/০৯/১৯৬৯ ")</f>
        <v> ২৩/০৯/১৯৬৯ </v>
      </c>
      <c r="H396" s="3" t="str">
        <f>IFERROR(__xludf.DUMMYFUNCTION("""COMPUTED_VALUE""")," কৃষক ")</f>
        <v> কৃষক </v>
      </c>
      <c r="I396" s="3" t="str">
        <f>IFERROR(__xludf.DUMMYFUNCTION("""COMPUTED_VALUE""")," জালতকা, গাংনী, মেহেরপুর ")</f>
        <v> জালতকা, গাংনী, মেহেরপুর </v>
      </c>
    </row>
    <row r="397" ht="15.75" customHeight="1">
      <c r="A397" s="3" t="s">
        <v>3524</v>
      </c>
      <c r="B397" s="3">
        <f>IFERROR(__xludf.DUMMYFUNCTION("SPLIT(A397,""|"")"),563.0)</f>
        <v>563</v>
      </c>
      <c r="C397" s="3" t="str">
        <f>IFERROR(__xludf.DUMMYFUNCTION("""COMPUTED_VALUE""")," নাম: মোঃ আনিচুর রহমান ")</f>
        <v> নাম: মোঃ আনিচুর রহমান </v>
      </c>
      <c r="D397" s="3" t="str">
        <f>IFERROR(__xludf.DUMMYFUNCTION("""COMPUTED_VALUE""")," ৫৭০০৫৬০০MDEw৭ ")</f>
        <v> ৫৭০০৫৬০০MDEw৭ </v>
      </c>
      <c r="E397" s="3" t="str">
        <f>IFERROR(__xludf.DUMMYFUNCTION("""COMPUTED_VALUE""")," এন এস মুক্তার আলী ")</f>
        <v> এন এস মুক্তার আলী </v>
      </c>
      <c r="F397" s="3" t="str">
        <f>IFERROR(__xludf.DUMMYFUNCTION("""COMPUTED_VALUE""")," মোছাঃ রাবেয়া খাতুন ")</f>
        <v> মোছাঃ রাবেয়া খাতুন </v>
      </c>
      <c r="G397" s="3" t="str">
        <f>IFERROR(__xludf.DUMMYFUNCTION("""COMPUTED_VALUE""")," ০১/০৫/১৯৯০ ")</f>
        <v> ০১/০৫/১৯৯০ </v>
      </c>
      <c r="H397" s="3" t="str">
        <f>IFERROR(__xludf.DUMMYFUNCTION("""COMPUTED_VALUE""")," কৃষক ")</f>
        <v> কৃষক </v>
      </c>
      <c r="I397" s="3" t="str">
        <f>IFERROR(__xludf.DUMMYFUNCTION("""COMPUTED_VALUE""")," জালতকা, গাংনী, মেহেরপুর ")</f>
        <v> জালতকা, গাংনী, মেহেরপুর </v>
      </c>
    </row>
    <row r="398" ht="15.75" customHeight="1">
      <c r="A398" s="3" t="s">
        <v>3525</v>
      </c>
      <c r="B398" s="3">
        <f>IFERROR(__xludf.DUMMYFUNCTION("SPLIT(A398,""|"")"),564.0)</f>
        <v>564</v>
      </c>
      <c r="C398" s="3" t="str">
        <f>IFERROR(__xludf.DUMMYFUNCTION("""COMPUTED_VALUE""")," নাম: সাধন আলী ")</f>
        <v> নাম: সাধন আলী </v>
      </c>
      <c r="D398" s="3" t="str">
        <f>IFERROR(__xludf.DUMMYFUNCTION("""COMPUTED_VALUE""")," ৫৭০০৫৬০০MDEw৯ ")</f>
        <v> ৫৭০০৫৬০০MDEw৯ </v>
      </c>
      <c r="E398" s="3" t="str">
        <f>IFERROR(__xludf.DUMMYFUNCTION("""COMPUTED_VALUE""")," খালেক ")</f>
        <v> খালেক </v>
      </c>
      <c r="F398" s="3" t="str">
        <f>IFERROR(__xludf.DUMMYFUNCTION("""COMPUTED_VALUE""")," সুরাতন ")</f>
        <v> সুরাতন </v>
      </c>
      <c r="G398" s="3" t="str">
        <f>IFERROR(__xludf.DUMMYFUNCTION("""COMPUTED_VALUE""")," ০১/০১/১৯৯০ ")</f>
        <v> ০১/০১/১৯৯০ </v>
      </c>
      <c r="H398" s="3" t="str">
        <f>IFERROR(__xludf.DUMMYFUNCTION("""COMPUTED_VALUE""")," দিনমজুর ")</f>
        <v> দিনমজুর </v>
      </c>
      <c r="I398" s="3" t="str">
        <f>IFERROR(__xludf.DUMMYFUNCTION("""COMPUTED_VALUE""")," জালতকা, গাংনী, মেহেরপুর ")</f>
        <v> জালতকা, গাংনী, মেহেরপুর </v>
      </c>
    </row>
    <row r="399" ht="15.75" customHeight="1">
      <c r="A399" s="3" t="s">
        <v>3526</v>
      </c>
      <c r="B399" s="3">
        <f>IFERROR(__xludf.DUMMYFUNCTION("SPLIT(A399,""|"")"),565.0)</f>
        <v>565</v>
      </c>
      <c r="C399" s="3" t="str">
        <f>IFERROR(__xludf.DUMMYFUNCTION("""COMPUTED_VALUE""")," নাম: মোস্তফা মোহামাদ ")</f>
        <v> নাম: মোস্তফা মোহামাদ </v>
      </c>
      <c r="D399" s="3" t="str">
        <f>IFERROR(__xludf.DUMMYFUNCTION("""COMPUTED_VALUE""")," ৫৭০০৫৬০০০১ ১১ ")</f>
        <v> ৫৭০০৫৬০০০১ ১১ </v>
      </c>
      <c r="E399" s="3" t="str">
        <f>IFERROR(__xludf.DUMMYFUNCTION("""COMPUTED_VALUE""")," মোঃ আমজাদ হোসেন ")</f>
        <v> মোঃ আমজাদ হোসেন </v>
      </c>
      <c r="F399" s="3" t="str">
        <f>IFERROR(__xludf.DUMMYFUNCTION("""COMPUTED_VALUE""")," মোছাঃ সাহেদা খাতুন ")</f>
        <v> মোছাঃ সাহেদা খাতুন </v>
      </c>
      <c r="G399" s="3" t="str">
        <f>IFERROR(__xludf.DUMMYFUNCTION("""COMPUTED_VALUE""")," ০১/০২/১৯৯০ ")</f>
        <v> ০১/০২/১৯৯০ </v>
      </c>
      <c r="H399" s="3" t="str">
        <f>IFERROR(__xludf.DUMMYFUNCTION("""COMPUTED_VALUE""")," ছাত্র/ছাত্রী ")</f>
        <v> ছাত্র/ছাত্রী </v>
      </c>
      <c r="I399" s="3" t="str">
        <f>IFERROR(__xludf.DUMMYFUNCTION("""COMPUTED_VALUE""")," জালতকা, গাংনী, মেহেরপুর ")</f>
        <v> জালতকা, গাংনী, মেহেরপুর </v>
      </c>
    </row>
    <row r="400" ht="15.75" customHeight="1">
      <c r="A400" s="3" t="s">
        <v>3527</v>
      </c>
      <c r="B400" s="3">
        <f>IFERROR(__xludf.DUMMYFUNCTION("SPLIT(A400,""|"")"),566.0)</f>
        <v>566</v>
      </c>
      <c r="C400" s="3" t="str">
        <f>IFERROR(__xludf.DUMMYFUNCTION("""COMPUTED_VALUE""")," নাম: মোঃ জসিম উদ্দীন ")</f>
        <v> নাম: মোঃ জসিম উদ্দীন </v>
      </c>
      <c r="D400" s="3">
        <f>IFERROR(__xludf.DUMMYFUNCTION("""COMPUTED_VALUE"""),5.70056000112E11)</f>
        <v>570056000112</v>
      </c>
      <c r="E400" s="3" t="str">
        <f>IFERROR(__xludf.DUMMYFUNCTION("""COMPUTED_VALUE""")," মোঃ শহিদুল ইসলাম ")</f>
        <v> মোঃ শহিদুল ইসলাম </v>
      </c>
      <c r="F400" s="3" t="str">
        <f>IFERROR(__xludf.DUMMYFUNCTION("""COMPUTED_VALUE""")," ছাহারন নেছা ")</f>
        <v> ছাহারন নেছা </v>
      </c>
      <c r="G400" s="3" t="str">
        <f>IFERROR(__xludf.DUMMYFUNCTION("""COMPUTED_VALUE""")," ০১/০১/১৯৮৭ ")</f>
        <v> ০১/০১/১৯৮৭ </v>
      </c>
      <c r="H400" s="3" t="str">
        <f>IFERROR(__xludf.DUMMYFUNCTION("""COMPUTED_VALUE""")," কৃষক ")</f>
        <v> কৃষক </v>
      </c>
      <c r="I400" s="3" t="str">
        <f>IFERROR(__xludf.DUMMYFUNCTION("""COMPUTED_VALUE""")," জালতকা, গাংনী, মেহেরপুর ")</f>
        <v> জালতকা, গাংনী, মেহেরপুর </v>
      </c>
    </row>
    <row r="401" ht="15.75" customHeight="1">
      <c r="A401" s="3" t="s">
        <v>3528</v>
      </c>
      <c r="B401" s="3">
        <f>IFERROR(__xludf.DUMMYFUNCTION("SPLIT(A401,""|"")"),567.0)</f>
        <v>567</v>
      </c>
      <c r="C401" s="3" t="str">
        <f>IFERROR(__xludf.DUMMYFUNCTION("""COMPUTED_VALUE""")," নাম: মোঃ দিপক আলী ")</f>
        <v> নাম: মোঃ দিপক আলী </v>
      </c>
      <c r="D401" s="3" t="str">
        <f>IFERROR(__xludf.DUMMYFUNCTION("""COMPUTED_VALUE""")," ৫৭০০৫৬০০০১ ১৩ ")</f>
        <v> ৫৭০০৫৬০০০১ ১৩ </v>
      </c>
      <c r="E401" s="3" t="str">
        <f>IFERROR(__xludf.DUMMYFUNCTION("""COMPUTED_VALUE""")," মোঃ আয়ুব আলী ")</f>
        <v> মোঃ আয়ুব আলী </v>
      </c>
      <c r="F401" s="3" t="str">
        <f>IFERROR(__xludf.DUMMYFUNCTION("""COMPUTED_VALUE""")," মোছাঃ মর্জিনা খাতুন ")</f>
        <v> মোছাঃ মর্জিনা খাতুন </v>
      </c>
      <c r="G401" s="3" t="str">
        <f>IFERROR(__xludf.DUMMYFUNCTION("""COMPUTED_VALUE""")," ০১/০১/১৯৯০ ")</f>
        <v> ০১/০১/১৯৯০ </v>
      </c>
      <c r="H401" s="3" t="str">
        <f>IFERROR(__xludf.DUMMYFUNCTION("""COMPUTED_VALUE""")," দিনমজুর ")</f>
        <v> দিনমজুর </v>
      </c>
      <c r="I401" s="3" t="str">
        <f>IFERROR(__xludf.DUMMYFUNCTION("""COMPUTED_VALUE""")," জালতকা, গাংনী, মেহেরপুর ")</f>
        <v> জালতকা, গাংনী, মেহেরপুর </v>
      </c>
    </row>
    <row r="402" ht="15.75" customHeight="1">
      <c r="A402" s="3" t="s">
        <v>3529</v>
      </c>
      <c r="B402" s="3">
        <f>IFERROR(__xludf.DUMMYFUNCTION("SPLIT(A402,""|"")"),568.0)</f>
        <v>568</v>
      </c>
      <c r="C402" s="3" t="str">
        <f>IFERROR(__xludf.DUMMYFUNCTION("""COMPUTED_VALUE""")," নাম: মোঃ রেজাউল করিম ")</f>
        <v> নাম: মোঃ রেজাউল করিম </v>
      </c>
      <c r="D402" s="3" t="str">
        <f>IFERROR(__xludf.DUMMYFUNCTION("""COMPUTED_VALUE""")," ৫৭০০৫৬০০০১ ২১ ")</f>
        <v> ৫৭০০৫৬০০০১ ২১ </v>
      </c>
      <c r="E402" s="3" t="str">
        <f>IFERROR(__xludf.DUMMYFUNCTION("""COMPUTED_VALUE""")," মোঃ একরামুল হক ")</f>
        <v> মোঃ একরামুল হক </v>
      </c>
      <c r="F402" s="3" t="str">
        <f>IFERROR(__xludf.DUMMYFUNCTION("""COMPUTED_VALUE""")," মোছাঃ সুলতানা খাতুন ")</f>
        <v> মোছাঃ সুলতানা খাতুন </v>
      </c>
      <c r="G402" s="3" t="str">
        <f>IFERROR(__xludf.DUMMYFUNCTION("""COMPUTED_VALUE""")," ২৫/০৫/১৯৯১ ")</f>
        <v> ২৫/০৫/১৯৯১ </v>
      </c>
      <c r="H402" s="3" t="str">
        <f>IFERROR(__xludf.DUMMYFUNCTION("""COMPUTED_VALUE""")," কৃষক ")</f>
        <v> কৃষক </v>
      </c>
      <c r="I402" s="3" t="str">
        <f>IFERROR(__xludf.DUMMYFUNCTION("""COMPUTED_VALUE""")," জালতকা, গাংনী, মেহেরপুর ")</f>
        <v> জালতকা, গাংনী, মেহেরপুর </v>
      </c>
    </row>
    <row r="403" ht="15.75" customHeight="1">
      <c r="A403" s="3" t="s">
        <v>3530</v>
      </c>
      <c r="B403" s="3">
        <f>IFERROR(__xludf.DUMMYFUNCTION("SPLIT(A403,""|"")"),569.0)</f>
        <v>569</v>
      </c>
      <c r="C403" s="3" t="str">
        <f>IFERROR(__xludf.DUMMYFUNCTION("""COMPUTED_VALUE""")," নাম: মোহাঃ রকিবুল ইসলাম ")</f>
        <v> নাম: মোহাঃ রকিবুল ইসলাম </v>
      </c>
      <c r="D403" s="3" t="str">
        <f>IFERROR(__xludf.DUMMYFUNCTION("""COMPUTED_VALUE""")," ৫৭০০৫৬০০০১ ২৮ ")</f>
        <v> ৫৭০০৫৬০০০১ ২৮ </v>
      </c>
      <c r="E403" s="3" t="str">
        <f>IFERROR(__xludf.DUMMYFUNCTION("""COMPUTED_VALUE""")," মোঃ জাহা বক্স ")</f>
        <v> মোঃ জাহা বক্স </v>
      </c>
      <c r="F403" s="3" t="str">
        <f>IFERROR(__xludf.DUMMYFUNCTION("""COMPUTED_VALUE""")," মোঃ আকলিমা ")</f>
        <v> মোঃ আকলিমা </v>
      </c>
      <c r="G403" s="3" t="str">
        <f>IFERROR(__xludf.DUMMYFUNCTION("""COMPUTED_VALUE""")," ২৭/০৮/১৯৯১ ")</f>
        <v> ২৭/০৮/১৯৯১ </v>
      </c>
      <c r="H403" s="3" t="str">
        <f>IFERROR(__xludf.DUMMYFUNCTION("""COMPUTED_VALUE""")," ছাত্র/ছাত্রী ")</f>
        <v> ছাত্র/ছাত্রী </v>
      </c>
      <c r="I403" s="3" t="str">
        <f>IFERROR(__xludf.DUMMYFUNCTION("""COMPUTED_VALUE""")," জালতকা, গাংনী, মেহেরপুর ")</f>
        <v> জালতকা, গাংনী, মেহেরপুর </v>
      </c>
    </row>
    <row r="404" ht="15.75" customHeight="1">
      <c r="A404" s="3" t="s">
        <v>3531</v>
      </c>
      <c r="B404" s="3">
        <f>IFERROR(__xludf.DUMMYFUNCTION("SPLIT(A404,""|"")"),570.0)</f>
        <v>570</v>
      </c>
      <c r="C404" s="3" t="str">
        <f>IFERROR(__xludf.DUMMYFUNCTION("""COMPUTED_VALUE""")," নাম: মোঃ রানা ")</f>
        <v> নাম: মোঃ রানা </v>
      </c>
      <c r="D404" s="3" t="str">
        <f>IFERROR(__xludf.DUMMYFUNCTION("""COMPUTED_VALUE""")," ৫৭০০৫৬০০০১ ২৯ ")</f>
        <v> ৫৭০০৫৬০০০১ ২৯ </v>
      </c>
      <c r="E404" s="3" t="str">
        <f>IFERROR(__xludf.DUMMYFUNCTION("""COMPUTED_VALUE""")," মোঃ হানিফ আলী ")</f>
        <v> মোঃ হানিফ আলী </v>
      </c>
      <c r="F404" s="3" t="str">
        <f>IFERROR(__xludf.DUMMYFUNCTION("""COMPUTED_VALUE""")," মোছাঃ আয়মানা ")</f>
        <v> মোছাঃ আয়মানা </v>
      </c>
      <c r="G404" s="3" t="str">
        <f>IFERROR(__xludf.DUMMYFUNCTION("""COMPUTED_VALUE""")," ০১/০৬/১৯৯০ ")</f>
        <v> ০১/০৬/১৯৯০ </v>
      </c>
      <c r="H404" s="3" t="str">
        <f>IFERROR(__xludf.DUMMYFUNCTION("""COMPUTED_VALUE""")," কৃষক ")</f>
        <v> কৃষক </v>
      </c>
      <c r="I404" s="3" t="str">
        <f>IFERROR(__xludf.DUMMYFUNCTION("""COMPUTED_VALUE""")," জালতকা, গাংনী, মেহেরপুর ")</f>
        <v> জালতকা, গাংনী, মেহেরপুর </v>
      </c>
    </row>
    <row r="405" ht="15.75" customHeight="1">
      <c r="A405" s="3" t="s">
        <v>3532</v>
      </c>
      <c r="B405" s="3">
        <f>IFERROR(__xludf.DUMMYFUNCTION("SPLIT(A405,""|"")"),571.0)</f>
        <v>571</v>
      </c>
      <c r="C405" s="3" t="str">
        <f>IFERROR(__xludf.DUMMYFUNCTION("""COMPUTED_VALUE""")," নাম: মোঃ মিজানুর রহমান ")</f>
        <v> নাম: মোঃ মিজানুর রহমান </v>
      </c>
      <c r="D405" s="3" t="str">
        <f>IFERROR(__xludf.DUMMYFUNCTION("""COMPUTED_VALUE""")," ৫৭০০৫৬০০০১ ৩০ ")</f>
        <v> ৫৭০০৫৬০০০১ ৩০ </v>
      </c>
      <c r="E405" s="3" t="str">
        <f>IFERROR(__xludf.DUMMYFUNCTION("""COMPUTED_VALUE""")," মুক্তার ")</f>
        <v> মুক্তার </v>
      </c>
      <c r="F405" s="3" t="str">
        <f>IFERROR(__xludf.DUMMYFUNCTION("""COMPUTED_VALUE""")," মোছাঃ রাবেয়া খাতুন ")</f>
        <v> মোছাঃ রাবেয়া খাতুন </v>
      </c>
      <c r="G405" s="3" t="str">
        <f>IFERROR(__xludf.DUMMYFUNCTION("""COMPUTED_VALUE""")," ০১/০১/১৯৮৬ ")</f>
        <v> ০১/০১/১৯৮৬ </v>
      </c>
      <c r="H405" s="3" t="str">
        <f>IFERROR(__xludf.DUMMYFUNCTION("""COMPUTED_VALUE""")," দিনমজুর ")</f>
        <v> দিনমজুর </v>
      </c>
      <c r="I405" s="3" t="str">
        <f>IFERROR(__xludf.DUMMYFUNCTION("""COMPUTED_VALUE""")," জালতকা, গাংনী, মেহেরপুর ")</f>
        <v> জালতকা, গাংনী, মেহেরপুর </v>
      </c>
    </row>
    <row r="406" ht="15.75" customHeight="1">
      <c r="A406" s="3" t="s">
        <v>3533</v>
      </c>
      <c r="B406" s="3">
        <f>IFERROR(__xludf.DUMMYFUNCTION("SPLIT(A406,""|"")"),572.0)</f>
        <v>572</v>
      </c>
      <c r="C406" s="3" t="str">
        <f>IFERROR(__xludf.DUMMYFUNCTION("""COMPUTED_VALUE""")," নাম: মোঃ রুবেল আলী ")</f>
        <v> নাম: মোঃ রুবেল আলী </v>
      </c>
      <c r="D406" s="3" t="str">
        <f>IFERROR(__xludf.DUMMYFUNCTION("""COMPUTED_VALUE""")," ৫৭০০৫৬০০০১ ৩২ ")</f>
        <v> ৫৭০০৫৬০০০১ ৩২ </v>
      </c>
      <c r="E406" s="3" t="str">
        <f>IFERROR(__xludf.DUMMYFUNCTION("""COMPUTED_VALUE""")," আবেদুর রহমান ")</f>
        <v> আবেদুর রহমান </v>
      </c>
      <c r="F406" s="3" t="str">
        <f>IFERROR(__xludf.DUMMYFUNCTION("""COMPUTED_VALUE""")," মোছাঃ গুলশানারা খাতুন ")</f>
        <v> মোছাঃ গুলশানারা খাতুন </v>
      </c>
      <c r="G406" s="3" t="str">
        <f>IFERROR(__xludf.DUMMYFUNCTION("""COMPUTED_VALUE""")," ১৮/০৫/১৯৮৯ ")</f>
        <v> ১৮/০৫/১৯৮৯ </v>
      </c>
      <c r="H406" s="3" t="str">
        <f>IFERROR(__xludf.DUMMYFUNCTION("""COMPUTED_VALUE""")," কৃষক ")</f>
        <v> কৃষক </v>
      </c>
      <c r="I406" s="3" t="str">
        <f>IFERROR(__xludf.DUMMYFUNCTION("""COMPUTED_VALUE""")," জালতকা, গাংনী, মেহেরপুর ")</f>
        <v> জালতকা, গাংনী, মেহেরপুর </v>
      </c>
    </row>
    <row r="407" ht="15.75" customHeight="1">
      <c r="A407" s="3" t="s">
        <v>3534</v>
      </c>
      <c r="B407" s="3">
        <f>IFERROR(__xludf.DUMMYFUNCTION("SPLIT(A407,""|"")"),573.0)</f>
        <v>573</v>
      </c>
      <c r="C407" s="3" t="str">
        <f>IFERROR(__xludf.DUMMYFUNCTION("""COMPUTED_VALUE""")," নাম: মোঃ লাল্টু মিয়া ")</f>
        <v> নাম: মোঃ লাল্টু মিয়া </v>
      </c>
      <c r="D407" s="3" t="str">
        <f>IFERROR(__xludf.DUMMYFUNCTION("""COMPUTED_VALUE""")," ৫৭০০৫৬০০০১ ৩৬ ")</f>
        <v> ৫৭০০৫৬০০০১ ৩৬ </v>
      </c>
      <c r="E407" s="3" t="str">
        <f>IFERROR(__xludf.DUMMYFUNCTION("""COMPUTED_VALUE""")," ওমর আলী ")</f>
        <v> ওমর আলী </v>
      </c>
      <c r="F407" s="3" t="str">
        <f>IFERROR(__xludf.DUMMYFUNCTION("""COMPUTED_VALUE""")," মোছাঃ ছারেজান নেছা ")</f>
        <v> মোছাঃ ছারেজান নেছা </v>
      </c>
      <c r="G407" s="3" t="str">
        <f>IFERROR(__xludf.DUMMYFUNCTION("""COMPUTED_VALUE""")," ০১/০৫/১৯৮৬ ")</f>
        <v> ০১/০৫/১৯৮৬ </v>
      </c>
      <c r="H407" s="3" t="str">
        <f>IFERROR(__xludf.DUMMYFUNCTION("""COMPUTED_VALUE""")," কৃষক ")</f>
        <v> কৃষক </v>
      </c>
      <c r="I407" s="3" t="str">
        <f>IFERROR(__xludf.DUMMYFUNCTION("""COMPUTED_VALUE""")," জালতকা, গাংনী, মেহেরপুর ")</f>
        <v> জালতকা, গাংনী, মেহেরপুর </v>
      </c>
    </row>
    <row r="408" ht="15.75" customHeight="1">
      <c r="A408" s="3" t="s">
        <v>3138</v>
      </c>
      <c r="B408" s="3" t="str">
        <f>IFERROR(__xludf.DUMMYFUNCTION("SPLIT(A408,""|"")")," ক্রমিক নং ")</f>
        <v> ক্রমিক নং </v>
      </c>
      <c r="C408" s="3" t="str">
        <f>IFERROR(__xludf.DUMMYFUNCTION("""COMPUTED_VALUE""")," নাম ")</f>
        <v> নাম </v>
      </c>
      <c r="D408" s="3" t="str">
        <f>IFERROR(__xludf.DUMMYFUNCTION("""COMPUTED_VALUE""")," ভোটার নং ")</f>
        <v> ভোটার নং </v>
      </c>
      <c r="E408" s="3" t="str">
        <f>IFERROR(__xludf.DUMMYFUNCTION("""COMPUTED_VALUE""")," পিতা ")</f>
        <v> পিতা </v>
      </c>
      <c r="F408" s="3" t="str">
        <f>IFERROR(__xludf.DUMMYFUNCTION("""COMPUTED_VALUE""")," মাতা ")</f>
        <v> মাতা </v>
      </c>
      <c r="G408" s="3" t="str">
        <f>IFERROR(__xludf.DUMMYFUNCTION("""COMPUTED_VALUE""")," জন্ম তারিখ ")</f>
        <v> জন্ম তারিখ </v>
      </c>
      <c r="H408" s="3" t="str">
        <f>IFERROR(__xludf.DUMMYFUNCTION("""COMPUTED_VALUE""")," পেশা ")</f>
        <v> পেশা </v>
      </c>
      <c r="I408" s="3" t="str">
        <f>IFERROR(__xludf.DUMMYFUNCTION("""COMPUTED_VALUE""")," ঠিকানা ")</f>
        <v> ঠিকানা </v>
      </c>
    </row>
    <row r="409" ht="15.75" customHeight="1">
      <c r="A409" s="3" t="s">
        <v>3139</v>
      </c>
      <c r="B409" s="3" t="str">
        <f>IFERROR(__xludf.DUMMYFUNCTION("SPLIT(A409,""|"")"),"---")</f>
        <v>---</v>
      </c>
      <c r="C409" s="3" t="str">
        <f>IFERROR(__xludf.DUMMYFUNCTION("""COMPUTED_VALUE"""),"---")</f>
        <v>---</v>
      </c>
      <c r="D409" s="3" t="str">
        <f>IFERROR(__xludf.DUMMYFUNCTION("""COMPUTED_VALUE"""),"---")</f>
        <v>---</v>
      </c>
      <c r="E409" s="3" t="str">
        <f>IFERROR(__xludf.DUMMYFUNCTION("""COMPUTED_VALUE"""),"---")</f>
        <v>---</v>
      </c>
      <c r="F409" s="3" t="str">
        <f>IFERROR(__xludf.DUMMYFUNCTION("""COMPUTED_VALUE"""),"---")</f>
        <v>---</v>
      </c>
      <c r="G409" s="3" t="str">
        <f>IFERROR(__xludf.DUMMYFUNCTION("""COMPUTED_VALUE"""),"---")</f>
        <v>---</v>
      </c>
      <c r="H409" s="3" t="str">
        <f>IFERROR(__xludf.DUMMYFUNCTION("""COMPUTED_VALUE"""),"---")</f>
        <v>---</v>
      </c>
      <c r="I409" s="3" t="str">
        <f>IFERROR(__xludf.DUMMYFUNCTION("""COMPUTED_VALUE"""),"---")</f>
        <v>---</v>
      </c>
    </row>
    <row r="410" ht="15.75" customHeight="1">
      <c r="A410" s="3" t="s">
        <v>3535</v>
      </c>
      <c r="B410" s="3">
        <f>IFERROR(__xludf.DUMMYFUNCTION("SPLIT(A410,""|"")"),574.0)</f>
        <v>574</v>
      </c>
      <c r="C410" s="3" t="str">
        <f>IFERROR(__xludf.DUMMYFUNCTION("""COMPUTED_VALUE""")," মো: বাবুল আলী ")</f>
        <v> মো: বাবুল আলী </v>
      </c>
      <c r="D410" s="3">
        <f>IFERROR(__xludf.DUMMYFUNCTION("""COMPUTED_VALUE"""),5.70056000142E11)</f>
        <v>570056000142</v>
      </c>
      <c r="E410" s="3" t="str">
        <f>IFERROR(__xludf.DUMMYFUNCTION("""COMPUTED_VALUE""")," মো: ইশারুদ্দীন ")</f>
        <v> মো: ইশারুদ্দীন </v>
      </c>
      <c r="F410" s="3" t="str">
        <f>IFERROR(__xludf.DUMMYFUNCTION("""COMPUTED_VALUE""")," মোছা: আশানুর বেগম ")</f>
        <v> মোছা: আশানুর বেগম </v>
      </c>
      <c r="G410" s="3" t="str">
        <f>IFERROR(__xludf.DUMMYFUNCTION("""COMPUTED_VALUE""")," ৩০/১২/১৯৮৬ ")</f>
        <v> ৩০/১২/১৯৮৬ </v>
      </c>
      <c r="H410" s="3" t="str">
        <f>IFERROR(__xludf.DUMMYFUNCTION("""COMPUTED_VALUE""")," কৃষক ")</f>
        <v> কৃষক </v>
      </c>
      <c r="I410" s="3" t="str">
        <f>IFERROR(__xludf.DUMMYFUNCTION("""COMPUTED_VALUE""")," জালতকা, গাংনী, মেহেরপুর ")</f>
        <v> জালতকা, গাংনী, মেহেরপুর </v>
      </c>
    </row>
    <row r="411" ht="15.75" customHeight="1">
      <c r="A411" s="3" t="s">
        <v>3536</v>
      </c>
      <c r="B411" s="3">
        <f>IFERROR(__xludf.DUMMYFUNCTION("SPLIT(A411,""|"")"),575.0)</f>
        <v>575</v>
      </c>
      <c r="C411" s="3" t="str">
        <f>IFERROR(__xludf.DUMMYFUNCTION("""COMPUTED_VALUE""")," নাম: মো: আশরাফুল ইসলাম ")</f>
        <v> নাম: মো: আশরাফুল ইসলাম </v>
      </c>
      <c r="D411" s="3">
        <f>IFERROR(__xludf.DUMMYFUNCTION("""COMPUTED_VALUE"""),5.70056000146E11)</f>
        <v>570056000146</v>
      </c>
      <c r="E411" s="3" t="str">
        <f>IFERROR(__xludf.DUMMYFUNCTION("""COMPUTED_VALUE""")," পিতা: মো: ইশারুদ্দীন ")</f>
        <v> পিতা: মো: ইশারুদ্দীন </v>
      </c>
      <c r="F411" s="3" t="str">
        <f>IFERROR(__xludf.DUMMYFUNCTION("""COMPUTED_VALUE""")," মাতা: মোছা: আশানুর বেগম ")</f>
        <v> মাতা: মোছা: আশানুর বেগম </v>
      </c>
      <c r="G411" s="3" t="str">
        <f>IFERROR(__xludf.DUMMYFUNCTION("""COMPUTED_VALUE""")," ০৩/০৫/১৯৮৪ ")</f>
        <v> ০৩/০৫/১৯৮৪ </v>
      </c>
      <c r="H411" s="3" t="str">
        <f>IFERROR(__xludf.DUMMYFUNCTION("""COMPUTED_VALUE""")," কৃষক ")</f>
        <v> কৃষক </v>
      </c>
      <c r="I411" s="3" t="str">
        <f>IFERROR(__xludf.DUMMYFUNCTION("""COMPUTED_VALUE""")," জালতকা, গাংনী, মেহেরপুর ")</f>
        <v> জালতকা, গাংনী, মেহেরপুর </v>
      </c>
    </row>
    <row r="412" ht="15.75" customHeight="1">
      <c r="A412" s="3" t="s">
        <v>3537</v>
      </c>
      <c r="B412" s="3">
        <f>IFERROR(__xludf.DUMMYFUNCTION("SPLIT(A412,""|"")"),576.0)</f>
        <v>576</v>
      </c>
      <c r="C412" s="3" t="str">
        <f>IFERROR(__xludf.DUMMYFUNCTION("""COMPUTED_VALUE""")," নাম: মো: আফেল উদ্দীন ")</f>
        <v> নাম: মো: আফেল উদ্দীন </v>
      </c>
      <c r="D412" s="3">
        <f>IFERROR(__xludf.DUMMYFUNCTION("""COMPUTED_VALUE"""),5.70056000144E11)</f>
        <v>570056000144</v>
      </c>
      <c r="E412" s="3" t="str">
        <f>IFERROR(__xludf.DUMMYFUNCTION("""COMPUTED_VALUE""")," পিতা: মফেজ উদ্দীন ")</f>
        <v> পিতা: মফেজ উদ্দীন </v>
      </c>
      <c r="F412" s="3" t="str">
        <f>IFERROR(__xludf.DUMMYFUNCTION("""COMPUTED_VALUE""")," মাতা: মোছা: রাহেলা খাতুন ")</f>
        <v> মাতা: মোছা: রাহেলা খাতুন </v>
      </c>
      <c r="G412" s="3" t="str">
        <f>IFERROR(__xludf.DUMMYFUNCTION("""COMPUTED_VALUE""")," ২৪/১০/১৯৬১ ")</f>
        <v> ২৪/১০/১৯৬১ </v>
      </c>
      <c r="H412" s="3" t="str">
        <f>IFERROR(__xludf.DUMMYFUNCTION("""COMPUTED_VALUE""")," নাপিত ")</f>
        <v> নাপিত </v>
      </c>
      <c r="I412" s="3" t="str">
        <f>IFERROR(__xludf.DUMMYFUNCTION("""COMPUTED_VALUE""")," জালতকা, গাংনী, মেহেরপুর ")</f>
        <v> জালতকা, গাংনী, মেহেরপুর </v>
      </c>
    </row>
    <row r="413" ht="15.75" customHeight="1">
      <c r="A413" s="3" t="s">
        <v>3538</v>
      </c>
      <c r="B413" s="3">
        <f>IFERROR(__xludf.DUMMYFUNCTION("SPLIT(A413,""|"")"),577.0)</f>
        <v>577</v>
      </c>
      <c r="C413" s="3" t="str">
        <f>IFERROR(__xludf.DUMMYFUNCTION("""COMPUTED_VALUE""")," নাম: মো: শুকুর আলী ")</f>
        <v> নাম: মো: শুকুর আলী </v>
      </c>
      <c r="D413" s="3">
        <f>IFERROR(__xludf.DUMMYFUNCTION("""COMPUTED_VALUE"""),5.70056000149E11)</f>
        <v>570056000149</v>
      </c>
      <c r="E413" s="3" t="str">
        <f>IFERROR(__xludf.DUMMYFUNCTION("""COMPUTED_VALUE""")," পিতা: নছিউদ্দীন ")</f>
        <v> পিতা: নছিউদ্দীন </v>
      </c>
      <c r="F413" s="3" t="str">
        <f>IFERROR(__xludf.DUMMYFUNCTION("""COMPUTED_VALUE""")," মাতা: খাদেজা খাতুন ")</f>
        <v> মাতা: খাদেজা খাতুন </v>
      </c>
      <c r="G413" s="3" t="str">
        <f>IFERROR(__xludf.DUMMYFUNCTION("""COMPUTED_VALUE""")," ০১/০৩/১৯৭০ ")</f>
        <v> ০১/০৩/১৯৭০ </v>
      </c>
      <c r="H413" s="3" t="str">
        <f>IFERROR(__xludf.DUMMYFUNCTION("""COMPUTED_VALUE""")," দিনমজুর ")</f>
        <v> দিনমজুর </v>
      </c>
      <c r="I413" s="3" t="str">
        <f>IFERROR(__xludf.DUMMYFUNCTION("""COMPUTED_VALUE""")," জালতকা, গাংনী, মেহেরপুর ")</f>
        <v> জালতকা, গাংনী, মেহেরপুর </v>
      </c>
    </row>
    <row r="414" ht="15.75" customHeight="1">
      <c r="A414" s="3" t="s">
        <v>3539</v>
      </c>
      <c r="B414" s="3">
        <f>IFERROR(__xludf.DUMMYFUNCTION("SPLIT(A414,""|"")"),578.0)</f>
        <v>578</v>
      </c>
      <c r="C414" s="3" t="str">
        <f>IFERROR(__xludf.DUMMYFUNCTION("""COMPUTED_VALUE""")," নাম: মো: কামাল উদ্দীন ")</f>
        <v> নাম: মো: কামাল উদ্দীন </v>
      </c>
      <c r="D414" s="3">
        <f>IFERROR(__xludf.DUMMYFUNCTION("""COMPUTED_VALUE"""),5.7005600015E11)</f>
        <v>570056000150</v>
      </c>
      <c r="E414" s="3" t="str">
        <f>IFERROR(__xludf.DUMMYFUNCTION("""COMPUTED_VALUE""")," পিতা: মো: রুহুল আমিন ")</f>
        <v> পিতা: মো: রুহুল আমিন </v>
      </c>
      <c r="F414" s="3" t="str">
        <f>IFERROR(__xludf.DUMMYFUNCTION("""COMPUTED_VALUE""")," মাতা: মোছা: আনজিরা খাতুন ")</f>
        <v> মাতা: মোছা: আনজিরা খাতুন </v>
      </c>
      <c r="G414" s="3" t="str">
        <f>IFERROR(__xludf.DUMMYFUNCTION("""COMPUTED_VALUE""")," ১০/০৩/১৯৮২ ")</f>
        <v> ১০/০৩/১৯৮২ </v>
      </c>
      <c r="H414" s="3" t="str">
        <f>IFERROR(__xludf.DUMMYFUNCTION("""COMPUTED_VALUE""")," কৃষক ")</f>
        <v> কৃষক </v>
      </c>
      <c r="I414" s="3" t="str">
        <f>IFERROR(__xludf.DUMMYFUNCTION("""COMPUTED_VALUE""")," জালতকা, গাংনী, মেহেরপুর ")</f>
        <v> জালতকা, গাংনী, মেহেরপুর </v>
      </c>
    </row>
    <row r="415" ht="15.75" customHeight="1">
      <c r="A415" s="3" t="s">
        <v>3540</v>
      </c>
      <c r="B415" s="3">
        <f>IFERROR(__xludf.DUMMYFUNCTION("SPLIT(A415,""|"")"),579.0)</f>
        <v>579</v>
      </c>
      <c r="C415" s="3" t="str">
        <f>IFERROR(__xludf.DUMMYFUNCTION("""COMPUTED_VALUE""")," নাম: মো: রজব আলী ")</f>
        <v> নাম: মো: রজব আলী </v>
      </c>
      <c r="D415" s="3">
        <f>IFERROR(__xludf.DUMMYFUNCTION("""COMPUTED_VALUE"""),5.70056000152E11)</f>
        <v>570056000152</v>
      </c>
      <c r="E415" s="3" t="str">
        <f>IFERROR(__xludf.DUMMYFUNCTION("""COMPUTED_VALUE""")," পিতা: মো: রাজ্জাক আলী ")</f>
        <v> পিতা: মো: রাজ্জাক আলী </v>
      </c>
      <c r="F415" s="3" t="str">
        <f>IFERROR(__xludf.DUMMYFUNCTION("""COMPUTED_VALUE""")," মাতা: মোছা: মর্জিনা ")</f>
        <v> মাতা: মোছা: মর্জিনা </v>
      </c>
      <c r="G415" s="3" t="str">
        <f>IFERROR(__xludf.DUMMYFUNCTION("""COMPUTED_VALUE""")," ১০/০৩/১৯৮৫ ")</f>
        <v> ১০/০৩/১৯৮৫ </v>
      </c>
      <c r="H415" s="3" t="str">
        <f>IFERROR(__xludf.DUMMYFUNCTION("""COMPUTED_VALUE""")," দিনমজুর ")</f>
        <v> দিনমজুর </v>
      </c>
      <c r="I415" s="3" t="str">
        <f>IFERROR(__xludf.DUMMYFUNCTION("""COMPUTED_VALUE""")," জালতকা, গাংনী, মেহেরপুর ")</f>
        <v> জালতকা, গাংনী, মেহেরপুর </v>
      </c>
    </row>
    <row r="416" ht="15.75" customHeight="1">
      <c r="A416" s="3" t="s">
        <v>3541</v>
      </c>
      <c r="B416" s="3">
        <f>IFERROR(__xludf.DUMMYFUNCTION("SPLIT(A416,""|"")"),580.0)</f>
        <v>580</v>
      </c>
      <c r="C416" s="3" t="str">
        <f>IFERROR(__xludf.DUMMYFUNCTION("""COMPUTED_VALUE""")," নাম: মোহা: শান্ত আলী ")</f>
        <v> নাম: মোহা: শান্ত আলী </v>
      </c>
      <c r="D416" s="3">
        <f>IFERROR(__xludf.DUMMYFUNCTION("""COMPUTED_VALUE"""),5.70056000153E11)</f>
        <v>570056000153</v>
      </c>
      <c r="E416" s="3" t="str">
        <f>IFERROR(__xludf.DUMMYFUNCTION("""COMPUTED_VALUE""")," পিতা: মো: আব্দুল কাদের ")</f>
        <v> পিতা: মো: আব্দুল কাদের </v>
      </c>
      <c r="F416" s="3" t="str">
        <f>IFERROR(__xludf.DUMMYFUNCTION("""COMPUTED_VALUE""")," মাতা: মোছা: জমেলা খাতুন ")</f>
        <v> মাতা: মোছা: জমেলা খাতুন </v>
      </c>
      <c r="G416" s="3" t="str">
        <f>IFERROR(__xludf.DUMMYFUNCTION("""COMPUTED_VALUE""")," ০১/০১/১৯৮৯ ")</f>
        <v> ০১/০১/১৯৮৯ </v>
      </c>
      <c r="H416" s="3" t="str">
        <f>IFERROR(__xludf.DUMMYFUNCTION("""COMPUTED_VALUE""")," কৃষক ")</f>
        <v> কৃষক </v>
      </c>
      <c r="I416" s="3" t="str">
        <f>IFERROR(__xludf.DUMMYFUNCTION("""COMPUTED_VALUE""")," জালতকা, গাংনী, মেহেরপুর ")</f>
        <v> জালতকা, গাংনী, মেহেরপুর </v>
      </c>
    </row>
    <row r="417" ht="15.75" customHeight="1">
      <c r="A417" s="3" t="s">
        <v>3542</v>
      </c>
      <c r="B417" s="3">
        <f>IFERROR(__xludf.DUMMYFUNCTION("SPLIT(A417,""|"")"),581.0)</f>
        <v>581</v>
      </c>
      <c r="C417" s="3" t="str">
        <f>IFERROR(__xludf.DUMMYFUNCTION("""COMPUTED_VALUE""")," নাম: মো: তরিকুল ইসলাম ")</f>
        <v> নাম: মো: তরিকুল ইসলাম </v>
      </c>
      <c r="D417" s="3">
        <f>IFERROR(__xludf.DUMMYFUNCTION("""COMPUTED_VALUE"""),5.70056000159E11)</f>
        <v>570056000159</v>
      </c>
      <c r="E417" s="3" t="str">
        <f>IFERROR(__xludf.DUMMYFUNCTION("""COMPUTED_VALUE""")," পিতা: মো: মুকুল হোসেন ")</f>
        <v> পিতা: মো: মুকুল হোসেন </v>
      </c>
      <c r="F417" s="3" t="str">
        <f>IFERROR(__xludf.DUMMYFUNCTION("""COMPUTED_VALUE""")," মাতা: মোছা: শান্তিয়ারা খাতুন ")</f>
        <v> মাতা: মোছা: শান্তিয়ারা খাতুন </v>
      </c>
      <c r="G417" s="3" t="str">
        <f>IFERROR(__xludf.DUMMYFUNCTION("""COMPUTED_VALUE""")," ১২/০৭/১৯৮৮ ")</f>
        <v> ১২/০৭/১৯৮৮ </v>
      </c>
      <c r="H417" s="3" t="str">
        <f>IFERROR(__xludf.DUMMYFUNCTION("""COMPUTED_VALUE""")," কৃষক ")</f>
        <v> কৃষক </v>
      </c>
      <c r="I417" s="3" t="str">
        <f>IFERROR(__xludf.DUMMYFUNCTION("""COMPUTED_VALUE""")," জালতকা, গাংনী, মেহেরপুর ")</f>
        <v> জালতকা, গাংনী, মেহেরপুর </v>
      </c>
    </row>
    <row r="418" ht="15.75" customHeight="1">
      <c r="A418" s="3" t="s">
        <v>3543</v>
      </c>
      <c r="B418" s="3">
        <f>IFERROR(__xludf.DUMMYFUNCTION("SPLIT(A418,""|"")"),582.0)</f>
        <v>582</v>
      </c>
      <c r="C418" s="3" t="str">
        <f>IFERROR(__xludf.DUMMYFUNCTION("""COMPUTED_VALUE""")," নাম: মো: রশিদ ")</f>
        <v> নাম: মো: রশিদ </v>
      </c>
      <c r="D418" s="3">
        <f>IFERROR(__xludf.DUMMYFUNCTION("""COMPUTED_VALUE"""),5.70056000161E11)</f>
        <v>570056000161</v>
      </c>
      <c r="E418" s="3" t="str">
        <f>IFERROR(__xludf.DUMMYFUNCTION("""COMPUTED_VALUE""")," পিতা: খলিলুর রহমান ")</f>
        <v> পিতা: খলিলুর রহমান </v>
      </c>
      <c r="F418" s="3" t="str">
        <f>IFERROR(__xludf.DUMMYFUNCTION("""COMPUTED_VALUE""")," মাতা: মোছা: তোফারন নেছা ")</f>
        <v> মাতা: মোছা: তোফারন নেছা </v>
      </c>
      <c r="G418" s="3" t="str">
        <f>IFERROR(__xludf.DUMMYFUNCTION("""COMPUTED_VALUE""")," ১০/০২/১৯৭৭ ")</f>
        <v> ১০/০২/১৯৭৭ </v>
      </c>
      <c r="H418" s="3" t="str">
        <f>IFERROR(__xludf.DUMMYFUNCTION("""COMPUTED_VALUE""")," কৃষক ")</f>
        <v> কৃষক </v>
      </c>
      <c r="I418" s="3" t="str">
        <f>IFERROR(__xludf.DUMMYFUNCTION("""COMPUTED_VALUE""")," জালতকা, গাংনী, মেহেরপুর ")</f>
        <v> জালতকা, গাংনী, মেহেরপুর </v>
      </c>
    </row>
    <row r="419" ht="15.75" customHeight="1">
      <c r="A419" s="3" t="s">
        <v>3544</v>
      </c>
      <c r="B419" s="3">
        <f>IFERROR(__xludf.DUMMYFUNCTION("SPLIT(A419,""|"")"),583.0)</f>
        <v>583</v>
      </c>
      <c r="C419" s="3" t="str">
        <f>IFERROR(__xludf.DUMMYFUNCTION("""COMPUTED_VALUE""")," নাম: মো: মহাবুল হক ")</f>
        <v> নাম: মো: মহাবুল হক </v>
      </c>
      <c r="D419" s="3">
        <f>IFERROR(__xludf.DUMMYFUNCTION("""COMPUTED_VALUE"""),5.70056000162E11)</f>
        <v>570056000162</v>
      </c>
      <c r="E419" s="3" t="str">
        <f>IFERROR(__xludf.DUMMYFUNCTION("""COMPUTED_VALUE""")," পিতা: মো: মুছারদ্দীন ")</f>
        <v> পিতা: মো: মুছারদ্দীন </v>
      </c>
      <c r="F419" s="3" t="str">
        <f>IFERROR(__xludf.DUMMYFUNCTION("""COMPUTED_VALUE""")," মাতা: মোছা: খাদিজা খাতুন ")</f>
        <v> মাতা: মোছা: খাদিজা খাতুন </v>
      </c>
      <c r="G419" s="3" t="str">
        <f>IFERROR(__xludf.DUMMYFUNCTION("""COMPUTED_VALUE""")," ১৭/১১/১৯৭৫ ")</f>
        <v> ১৭/১১/১৯৭৫ </v>
      </c>
      <c r="H419" s="3" t="str">
        <f>IFERROR(__xludf.DUMMYFUNCTION("""COMPUTED_VALUE""")," কৃষক ")</f>
        <v> কৃষক </v>
      </c>
      <c r="I419" s="3" t="str">
        <f>IFERROR(__xludf.DUMMYFUNCTION("""COMPUTED_VALUE""")," জালতকা, গাংনী, মেহেরপুর ")</f>
        <v> জালতকা, গাংনী, মেহেরপুর </v>
      </c>
    </row>
    <row r="420" ht="15.75" customHeight="1">
      <c r="A420" s="3" t="s">
        <v>3545</v>
      </c>
      <c r="B420" s="3">
        <f>IFERROR(__xludf.DUMMYFUNCTION("SPLIT(A420,""|"")"),584.0)</f>
        <v>584</v>
      </c>
      <c r="C420" s="3" t="str">
        <f>IFERROR(__xludf.DUMMYFUNCTION("""COMPUTED_VALUE""")," নাম: মো: পলান আলী ")</f>
        <v> নাম: মো: পলান আলী </v>
      </c>
      <c r="D420" s="3">
        <f>IFERROR(__xludf.DUMMYFUNCTION("""COMPUTED_VALUE"""),5.70056000164E11)</f>
        <v>570056000164</v>
      </c>
      <c r="E420" s="3" t="str">
        <f>IFERROR(__xludf.DUMMYFUNCTION("""COMPUTED_VALUE""")," পিতা: মো: রবকুল হোসেন ")</f>
        <v> পিতা: মো: রবকুল হোসেন </v>
      </c>
      <c r="F420" s="3" t="str">
        <f>IFERROR(__xludf.DUMMYFUNCTION("""COMPUTED_VALUE""")," মাতা: মোছা: রহিদা খাতুন ")</f>
        <v> মাতা: মোছা: রহিদা খাতুন </v>
      </c>
      <c r="G420" s="3" t="str">
        <f>IFERROR(__xludf.DUMMYFUNCTION("""COMPUTED_VALUE""")," ২০/০৬/১৯৮৬ ")</f>
        <v> ২০/০৬/১৯৮৬ </v>
      </c>
      <c r="H420" s="3" t="str">
        <f>IFERROR(__xludf.DUMMYFUNCTION("""COMPUTED_VALUE""")," দিনমজুর ")</f>
        <v> দিনমজুর </v>
      </c>
      <c r="I420" s="3" t="str">
        <f>IFERROR(__xludf.DUMMYFUNCTION("""COMPUTED_VALUE""")," জালতকা, গাংনী, মেহেরপুর ")</f>
        <v> জালতকা, গাংনী, মেহেরপুর </v>
      </c>
    </row>
    <row r="421" ht="15.75" customHeight="1">
      <c r="A421" s="3" t="s">
        <v>3546</v>
      </c>
      <c r="B421" s="3">
        <f>IFERROR(__xludf.DUMMYFUNCTION("SPLIT(A421,""|"")"),585.0)</f>
        <v>585</v>
      </c>
      <c r="C421" s="3" t="str">
        <f>IFERROR(__xludf.DUMMYFUNCTION("""COMPUTED_VALUE""")," নাম: মো: মিজানুর রহমান ")</f>
        <v> নাম: মো: মিজানুর রহমান </v>
      </c>
      <c r="D421" s="3">
        <f>IFERROR(__xludf.DUMMYFUNCTION("""COMPUTED_VALUE"""),5.70056000165E11)</f>
        <v>570056000165</v>
      </c>
      <c r="E421" s="3" t="str">
        <f>IFERROR(__xludf.DUMMYFUNCTION("""COMPUTED_VALUE""")," পিতা: মো: ইসরাইল হোসেন ")</f>
        <v> পিতা: মো: ইসরাইল হোসেন </v>
      </c>
      <c r="F421" s="3" t="str">
        <f>IFERROR(__xludf.DUMMYFUNCTION("""COMPUTED_VALUE""")," মাতা: মোছা: পিনজিরা খাতুন ")</f>
        <v> মাতা: মোছা: পিনজিরা খাতুন </v>
      </c>
      <c r="G421" s="3" t="str">
        <f>IFERROR(__xludf.DUMMYFUNCTION("""COMPUTED_VALUE""")," ০১/০৩/১৯৯০ ")</f>
        <v> ০১/০৩/১৯৯০ </v>
      </c>
      <c r="H421" s="3" t="str">
        <f>IFERROR(__xludf.DUMMYFUNCTION("""COMPUTED_VALUE""")," কৃষক ")</f>
        <v> কৃষক </v>
      </c>
      <c r="I421" s="3" t="str">
        <f>IFERROR(__xludf.DUMMYFUNCTION("""COMPUTED_VALUE""")," জালতকা, গাংনী, মেহেরপুর ")</f>
        <v> জালতকা, গাংনী, মেহেরপুর </v>
      </c>
    </row>
    <row r="422" ht="15.75" customHeight="1">
      <c r="A422" s="3" t="s">
        <v>3547</v>
      </c>
      <c r="B422" s="3">
        <f>IFERROR(__xludf.DUMMYFUNCTION("SPLIT(A422,""|"")"),586.0)</f>
        <v>586</v>
      </c>
      <c r="C422" s="3" t="str">
        <f>IFERROR(__xludf.DUMMYFUNCTION("""COMPUTED_VALUE""")," নাম: মো: আল- ইমরান ")</f>
        <v> নাম: মো: আল- ইমরান </v>
      </c>
      <c r="D422" s="3">
        <f>IFERROR(__xludf.DUMMYFUNCTION("""COMPUTED_VALUE"""),5.70056000166E11)</f>
        <v>570056000166</v>
      </c>
      <c r="E422" s="3" t="str">
        <f>IFERROR(__xludf.DUMMYFUNCTION("""COMPUTED_VALUE""")," পিতা: মো: ইয়াছিন আলী ")</f>
        <v> পিতা: মো: ইয়াছিন আলী </v>
      </c>
      <c r="F422" s="3" t="str">
        <f>IFERROR(__xludf.DUMMYFUNCTION("""COMPUTED_VALUE""")," মাতা: মোছা: রেফেজা খাতুন ")</f>
        <v> মাতা: মোছা: রেফেজা খাতুন </v>
      </c>
      <c r="G422" s="3" t="str">
        <f>IFERROR(__xludf.DUMMYFUNCTION("""COMPUTED_VALUE""")," ১৮/১০/১৯৯১ ")</f>
        <v> ১৮/১০/১৯৯১ </v>
      </c>
      <c r="H422" s="3" t="str">
        <f>IFERROR(__xludf.DUMMYFUNCTION("""COMPUTED_VALUE""")," ছাত্র/ছাত্রী ")</f>
        <v> ছাত্র/ছাত্রী </v>
      </c>
      <c r="I422" s="3" t="str">
        <f>IFERROR(__xludf.DUMMYFUNCTION("""COMPUTED_VALUE""")," জালতকা, গাংনী, মেহেরপুর ")</f>
        <v> জালতকা, গাংনী, মেহেরপুর </v>
      </c>
    </row>
    <row r="423" ht="15.75" customHeight="1">
      <c r="A423" s="3" t="s">
        <v>3548</v>
      </c>
      <c r="B423" s="3">
        <f>IFERROR(__xludf.DUMMYFUNCTION("SPLIT(A423,""|"")"),587.0)</f>
        <v>587</v>
      </c>
      <c r="C423" s="3" t="str">
        <f>IFERROR(__xludf.DUMMYFUNCTION("""COMPUTED_VALUE""")," নাম: মো: কাবরুল ইসলাম ")</f>
        <v> নাম: মো: কাবরুল ইসলাম </v>
      </c>
      <c r="D423" s="3">
        <f>IFERROR(__xludf.DUMMYFUNCTION("""COMPUTED_VALUE"""),5.70056000172E11)</f>
        <v>570056000172</v>
      </c>
      <c r="E423" s="3" t="str">
        <f>IFERROR(__xludf.DUMMYFUNCTION("""COMPUTED_VALUE""")," পিতা: মো: সাবের আলী ")</f>
        <v> পিতা: মো: সাবের আলী </v>
      </c>
      <c r="F423" s="3" t="str">
        <f>IFERROR(__xludf.DUMMYFUNCTION("""COMPUTED_VALUE""")," মাতা: মোছা: আসানুর ")</f>
        <v> মাতা: মোছা: আসানুর </v>
      </c>
      <c r="G423" s="3" t="str">
        <f>IFERROR(__xludf.DUMMYFUNCTION("""COMPUTED_VALUE""")," ০১/০১/১৯৯০ ")</f>
        <v> ০১/০১/১৯৯০ </v>
      </c>
      <c r="H423" s="3" t="str">
        <f>IFERROR(__xludf.DUMMYFUNCTION("""COMPUTED_VALUE""")," দিনমজুর ")</f>
        <v> দিনমজুর </v>
      </c>
      <c r="I423" s="3" t="str">
        <f>IFERROR(__xludf.DUMMYFUNCTION("""COMPUTED_VALUE""")," জালতকা, গাংনী, মেহেরপুর ")</f>
        <v> জালতকা, গাংনী, মেহেরপুর </v>
      </c>
    </row>
    <row r="424" ht="15.75" customHeight="1">
      <c r="A424" s="3" t="s">
        <v>3549</v>
      </c>
      <c r="B424" s="3">
        <f>IFERROR(__xludf.DUMMYFUNCTION("SPLIT(A424,""|"")"),588.0)</f>
        <v>588</v>
      </c>
      <c r="C424" s="3" t="str">
        <f>IFERROR(__xludf.DUMMYFUNCTION("""COMPUTED_VALUE""")," নাম: মো: ফজলু হক ")</f>
        <v> নাম: মো: ফজলু হক </v>
      </c>
      <c r="D424" s="3">
        <f>IFERROR(__xludf.DUMMYFUNCTION("""COMPUTED_VALUE"""),5.70056000173E11)</f>
        <v>570056000173</v>
      </c>
      <c r="E424" s="3" t="str">
        <f>IFERROR(__xludf.DUMMYFUNCTION("""COMPUTED_VALUE""")," পিতা: মো: শুকুর আলী ")</f>
        <v> পিতা: মো: শুকুর আলী </v>
      </c>
      <c r="F424" s="3" t="str">
        <f>IFERROR(__xludf.DUMMYFUNCTION("""COMPUTED_VALUE""")," মাতা: মোছা: রহিমা খাতুন ")</f>
        <v> মাতা: মোছা: রহিমা খাতুন </v>
      </c>
      <c r="G424" s="3" t="str">
        <f>IFERROR(__xludf.DUMMYFUNCTION("""COMPUTED_VALUE""")," ৩০/১২/১৯৭১ ")</f>
        <v> ৩০/১২/১৯৭১ </v>
      </c>
      <c r="H424" s="3" t="str">
        <f>IFERROR(__xludf.DUMMYFUNCTION("""COMPUTED_VALUE""")," কৃষক ")</f>
        <v> কৃষক </v>
      </c>
      <c r="I424" s="3" t="str">
        <f>IFERROR(__xludf.DUMMYFUNCTION("""COMPUTED_VALUE""")," জালতকা, গাংনী, মেহেরপুর ")</f>
        <v> জালতকা, গাংনী, মেহেরপুর </v>
      </c>
    </row>
    <row r="425" ht="15.75" customHeight="1">
      <c r="A425" s="3" t="s">
        <v>3550</v>
      </c>
      <c r="B425" s="3">
        <f>IFERROR(__xludf.DUMMYFUNCTION("SPLIT(A425,""|"")"),589.0)</f>
        <v>589</v>
      </c>
      <c r="C425" s="3" t="str">
        <f>IFERROR(__xludf.DUMMYFUNCTION("""COMPUTED_VALUE""")," নাম: মো: জিয়ারুল ইসলাম ")</f>
        <v> নাম: মো: জিয়ারুল ইসলাম </v>
      </c>
      <c r="D425" s="3">
        <f>IFERROR(__xludf.DUMMYFUNCTION("""COMPUTED_VALUE"""),5.70056000174E11)</f>
        <v>570056000174</v>
      </c>
      <c r="E425" s="3" t="str">
        <f>IFERROR(__xludf.DUMMYFUNCTION("""COMPUTED_VALUE""")," পিতা: মো: আব্দুর রহমান ")</f>
        <v> পিতা: মো: আব্দুর রহমান </v>
      </c>
      <c r="F425" s="3" t="str">
        <f>IFERROR(__xludf.DUMMYFUNCTION("""COMPUTED_VALUE""")," মাতা: মোছা: সাহেদা খাতুন ")</f>
        <v> মাতা: মোছা: সাহেদা খাতুন </v>
      </c>
      <c r="G425" s="3" t="str">
        <f>IFERROR(__xludf.DUMMYFUNCTION("""COMPUTED_VALUE""")," ১২/০২/১৯৯১ ")</f>
        <v> ১২/০২/১৯৯১ </v>
      </c>
      <c r="H425" s="3" t="str">
        <f>IFERROR(__xludf.DUMMYFUNCTION("""COMPUTED_VALUE""")," কৃষক ")</f>
        <v> কৃষক </v>
      </c>
      <c r="I425" s="3" t="str">
        <f>IFERROR(__xludf.DUMMYFUNCTION("""COMPUTED_VALUE""")," জালতকা, গাংনী, মেহেরপুর ")</f>
        <v> জালতকা, গাংনী, মেহেরপুর </v>
      </c>
    </row>
    <row r="426" ht="15.75" customHeight="1">
      <c r="A426" s="3" t="s">
        <v>3551</v>
      </c>
      <c r="B426" s="3">
        <f>IFERROR(__xludf.DUMMYFUNCTION("SPLIT(A426,""|"")"),590.0)</f>
        <v>590</v>
      </c>
      <c r="C426" s="3" t="str">
        <f>IFERROR(__xludf.DUMMYFUNCTION("""COMPUTED_VALUE""")," নাম: মো: বিপ্লব আলী ")</f>
        <v> নাম: মো: বিপ্লব আলী </v>
      </c>
      <c r="D426" s="3">
        <f>IFERROR(__xludf.DUMMYFUNCTION("""COMPUTED_VALUE"""),5.70056000175E11)</f>
        <v>570056000175</v>
      </c>
      <c r="E426" s="3" t="str">
        <f>IFERROR(__xludf.DUMMYFUNCTION("""COMPUTED_VALUE""")," পিতা: মোহা: আজামেল ")</f>
        <v> পিতা: মোহা: আজামেল </v>
      </c>
      <c r="F426" s="3" t="str">
        <f>IFERROR(__xludf.DUMMYFUNCTION("""COMPUTED_VALUE""")," মাতা: মোছা: ছানোয়ারা ")</f>
        <v> মাতা: মোছা: ছানোয়ারা </v>
      </c>
      <c r="G426" s="3" t="str">
        <f>IFERROR(__xludf.DUMMYFUNCTION("""COMPUTED_VALUE""")," ০৭/০২/১৯৯০ ")</f>
        <v> ০৭/০২/১৯৯০ </v>
      </c>
      <c r="H426" s="3" t="str">
        <f>IFERROR(__xludf.DUMMYFUNCTION("""COMPUTED_VALUE""")," দিনমজুর ")</f>
        <v> দিনমজুর </v>
      </c>
      <c r="I426" s="3" t="str">
        <f>IFERROR(__xludf.DUMMYFUNCTION("""COMPUTED_VALUE""")," জালতকা, গাংনী, মেহেরপুর ")</f>
        <v> জালতকা, গাংনী, মেহেরপুর </v>
      </c>
    </row>
    <row r="427" ht="15.75" customHeight="1">
      <c r="A427" s="3" t="s">
        <v>3552</v>
      </c>
      <c r="B427" s="3">
        <f>IFERROR(__xludf.DUMMYFUNCTION("SPLIT(A427,""|"")"),591.0)</f>
        <v>591</v>
      </c>
      <c r="C427" s="3" t="str">
        <f>IFERROR(__xludf.DUMMYFUNCTION("""COMPUTED_VALUE""")," নাম: মো: মোক্কেল আলী ")</f>
        <v> নাম: মো: মোক্কেল আলী </v>
      </c>
      <c r="D427" s="3">
        <f>IFERROR(__xludf.DUMMYFUNCTION("""COMPUTED_VALUE"""),5.70056000176E11)</f>
        <v>570056000176</v>
      </c>
      <c r="E427" s="3" t="str">
        <f>IFERROR(__xludf.DUMMYFUNCTION("""COMPUTED_VALUE""")," পিতা: মো: আব্দুল আজিজ ")</f>
        <v> পিতা: মো: আব্দুল আজিজ </v>
      </c>
      <c r="F427" s="3" t="str">
        <f>IFERROR(__xludf.DUMMYFUNCTION("""COMPUTED_VALUE""")," মাতা: রোকেয়া খাতুন ")</f>
        <v> মাতা: রোকেয়া খাতুন </v>
      </c>
      <c r="G427" s="3" t="str">
        <f>IFERROR(__xludf.DUMMYFUNCTION("""COMPUTED_VALUE""")," ০৫/০৪/১৯৭৭ ")</f>
        <v> ০৫/০৪/১৯৭৭ </v>
      </c>
      <c r="H427" s="3" t="str">
        <f>IFERROR(__xludf.DUMMYFUNCTION("""COMPUTED_VALUE""")," কৃষক ")</f>
        <v> কৃষক </v>
      </c>
      <c r="I427" s="3" t="str">
        <f>IFERROR(__xludf.DUMMYFUNCTION("""COMPUTED_VALUE""")," জালতকা, গাংনী, মেহেরপুর ")</f>
        <v> জালতকা, গাংনী, মেহেরপুর </v>
      </c>
    </row>
    <row r="428" ht="15.75" customHeight="1">
      <c r="A428" s="3" t="s">
        <v>3553</v>
      </c>
      <c r="B428" s="3">
        <f>IFERROR(__xludf.DUMMYFUNCTION("SPLIT(A428,""|"")"),592.0)</f>
        <v>592</v>
      </c>
      <c r="C428" s="3" t="str">
        <f>IFERROR(__xludf.DUMMYFUNCTION("""COMPUTED_VALUE""")," মো: ফুরকান আলি ")</f>
        <v> মো: ফুরকান আলি </v>
      </c>
      <c r="D428" s="3">
        <f>IFERROR(__xludf.DUMMYFUNCTION("""COMPUTED_VALUE"""),5.70056000179E11)</f>
        <v>570056000179</v>
      </c>
      <c r="E428" s="3" t="str">
        <f>IFERROR(__xludf.DUMMYFUNCTION("""COMPUTED_VALUE""")," মো: বিল্লাল হোসেন ")</f>
        <v> মো: বিল্লাল হোসেন </v>
      </c>
      <c r="F428" s="3" t="str">
        <f>IFERROR(__xludf.DUMMYFUNCTION("""COMPUTED_VALUE""")," মোছা: তহমিনা ")</f>
        <v> মোছা: তহমিনা </v>
      </c>
      <c r="G428" s="3" t="str">
        <f>IFERROR(__xludf.DUMMYFUNCTION("""COMPUTED_VALUE""")," ০১/০৫/১৯৮৭ ")</f>
        <v> ০১/০৫/১৯৮৭ </v>
      </c>
      <c r="H428" s="3" t="str">
        <f>IFERROR(__xludf.DUMMYFUNCTION("""COMPUTED_VALUE""")," দিনমজুর ")</f>
        <v> দিনমজুর </v>
      </c>
      <c r="I428" s="3" t="str">
        <f>IFERROR(__xludf.DUMMYFUNCTION("""COMPUTED_VALUE""")," জালতকা, গাংনী, মেহেরপুর ")</f>
        <v> জালতকা, গাংনী, মেহেরপুর </v>
      </c>
    </row>
    <row r="429" ht="15.75" customHeight="1">
      <c r="A429" s="3" t="s">
        <v>3554</v>
      </c>
      <c r="B429" s="3">
        <f>IFERROR(__xludf.DUMMYFUNCTION("SPLIT(A429,""|"")"),593.0)</f>
        <v>593</v>
      </c>
      <c r="C429" s="3" t="str">
        <f>IFERROR(__xludf.DUMMYFUNCTION("""COMPUTED_VALUE""")," মো: উজ্জল আলী ")</f>
        <v> মো: উজ্জল আলী </v>
      </c>
      <c r="D429" s="3">
        <f>IFERROR(__xludf.DUMMYFUNCTION("""COMPUTED_VALUE"""),5.70056000181E11)</f>
        <v>570056000181</v>
      </c>
      <c r="E429" s="3" t="str">
        <f>IFERROR(__xludf.DUMMYFUNCTION("""COMPUTED_VALUE""")," আ: মান্নান ")</f>
        <v> আ: মান্নান </v>
      </c>
      <c r="F429" s="3" t="str">
        <f>IFERROR(__xludf.DUMMYFUNCTION("""COMPUTED_VALUE""")," মোছা: আনোয়ারা ")</f>
        <v> মোছা: আনোয়ারা </v>
      </c>
      <c r="G429" s="3" t="str">
        <f>IFERROR(__xludf.DUMMYFUNCTION("""COMPUTED_VALUE""")," ০১/০৫/১৯৮৯ ")</f>
        <v> ০১/০৫/১৯৮৯ </v>
      </c>
      <c r="H429" s="3" t="str">
        <f>IFERROR(__xludf.DUMMYFUNCTION("""COMPUTED_VALUE""")," দিনমজুর ")</f>
        <v> দিনমজুর </v>
      </c>
      <c r="I429" s="3" t="str">
        <f>IFERROR(__xludf.DUMMYFUNCTION("""COMPUTED_VALUE""")," জালতকা, গাংনী, মেহেরপুর ")</f>
        <v> জালতকা, গাংনী, মেহেরপুর </v>
      </c>
    </row>
    <row r="430" ht="15.75" customHeight="1">
      <c r="A430" s="3" t="s">
        <v>3555</v>
      </c>
      <c r="B430" s="3">
        <f>IFERROR(__xludf.DUMMYFUNCTION("SPLIT(A430,""|"")"),594.0)</f>
        <v>594</v>
      </c>
      <c r="C430" s="3" t="str">
        <f>IFERROR(__xludf.DUMMYFUNCTION("""COMPUTED_VALUE""")," মোহা: লিটন আলি ")</f>
        <v> মোহা: লিটন আলি </v>
      </c>
      <c r="D430" s="3">
        <f>IFERROR(__xludf.DUMMYFUNCTION("""COMPUTED_VALUE"""),5.70056000182E11)</f>
        <v>570056000182</v>
      </c>
      <c r="E430" s="3" t="str">
        <f>IFERROR(__xludf.DUMMYFUNCTION("""COMPUTED_VALUE""")," মো: নছিরুদ্দীন ")</f>
        <v> মো: নছিরুদ্দীন </v>
      </c>
      <c r="F430" s="3" t="str">
        <f>IFERROR(__xludf.DUMMYFUNCTION("""COMPUTED_VALUE""")," মোছা: জোসনা খাতুন ")</f>
        <v> মোছা: জোসনা খাতুন </v>
      </c>
      <c r="G430" s="3" t="str">
        <f>IFERROR(__xludf.DUMMYFUNCTION("""COMPUTED_VALUE""")," ১৪/১০/১৯৮৩ ")</f>
        <v> ১৪/১০/১৯৮৩ </v>
      </c>
      <c r="H430" s="3" t="str">
        <f>IFERROR(__xludf.DUMMYFUNCTION("""COMPUTED_VALUE""")," কৃষক ")</f>
        <v> কৃষক </v>
      </c>
      <c r="I430" s="3" t="str">
        <f>IFERROR(__xludf.DUMMYFUNCTION("""COMPUTED_VALUE""")," জালতকা, গাংনী, মেহেরপুর ")</f>
        <v> জালতকা, গাংনী, মেহেরপুর </v>
      </c>
    </row>
    <row r="431" ht="15.75" customHeight="1">
      <c r="A431" s="3" t="s">
        <v>3556</v>
      </c>
      <c r="B431" s="3">
        <f>IFERROR(__xludf.DUMMYFUNCTION("SPLIT(A431,""|"")"),595.0)</f>
        <v>595</v>
      </c>
      <c r="C431" s="3" t="str">
        <f>IFERROR(__xludf.DUMMYFUNCTION("""COMPUTED_VALUE""")," মো: ফারুক হোসেন ")</f>
        <v> মো: ফারুক হোসেন </v>
      </c>
      <c r="D431" s="3">
        <f>IFERROR(__xludf.DUMMYFUNCTION("""COMPUTED_VALUE"""),5.70056000188E11)</f>
        <v>570056000188</v>
      </c>
      <c r="E431" s="3" t="str">
        <f>IFERROR(__xludf.DUMMYFUNCTION("""COMPUTED_VALUE""")," মো: ইয়াদুল ইসলাম ")</f>
        <v> মো: ইয়াদুল ইসলাম </v>
      </c>
      <c r="F431" s="3" t="str">
        <f>IFERROR(__xludf.DUMMYFUNCTION("""COMPUTED_VALUE""")," মোছা: ফরিদা খাতুন ")</f>
        <v> মোছা: ফরিদা খাতুন </v>
      </c>
      <c r="G431" s="3" t="str">
        <f>IFERROR(__xludf.DUMMYFUNCTION("""COMPUTED_VALUE""")," ০৩/০২/১৯৮৭ ")</f>
        <v> ০৩/০২/১৯৮৭ </v>
      </c>
      <c r="H431" s="3" t="str">
        <f>IFERROR(__xludf.DUMMYFUNCTION("""COMPUTED_VALUE""")," ছাত্র/ছাত্রী ")</f>
        <v> ছাত্র/ছাত্রী </v>
      </c>
      <c r="I431" s="3" t="str">
        <f>IFERROR(__xludf.DUMMYFUNCTION("""COMPUTED_VALUE""")," জালতকা, গাংনী, মেহেরপুর ")</f>
        <v> জালতকা, গাংনী, মেহেরপুর </v>
      </c>
    </row>
    <row r="432" ht="15.75" customHeight="1">
      <c r="A432" s="3" t="s">
        <v>3557</v>
      </c>
      <c r="B432" s="3">
        <f>IFERROR(__xludf.DUMMYFUNCTION("SPLIT(A432,""|"")"),596.0)</f>
        <v>596</v>
      </c>
      <c r="C432" s="3" t="str">
        <f>IFERROR(__xludf.DUMMYFUNCTION("""COMPUTED_VALUE""")," মো: কিবরিয়া ")</f>
        <v> মো: কিবরিয়া </v>
      </c>
      <c r="D432" s="3">
        <f>IFERROR(__xludf.DUMMYFUNCTION("""COMPUTED_VALUE"""),5.7005600019E11)</f>
        <v>570056000190</v>
      </c>
      <c r="E432" s="3" t="str">
        <f>IFERROR(__xludf.DUMMYFUNCTION("""COMPUTED_VALUE""")," মো: জালাল উদ্দীন ")</f>
        <v> মো: জালাল উদ্দীন </v>
      </c>
      <c r="F432" s="3" t="str">
        <f>IFERROR(__xludf.DUMMYFUNCTION("""COMPUTED_VALUE""")," মোছা: আল্লাহদী খাতুন ")</f>
        <v> মোছা: আল্লাহদী খাতুন </v>
      </c>
      <c r="G432" s="3" t="str">
        <f>IFERROR(__xludf.DUMMYFUNCTION("""COMPUTED_VALUE""")," ০৪/০৩/১৯৮৮ ")</f>
        <v> ০৪/০৩/১৯৮৮ </v>
      </c>
      <c r="H432" s="3" t="str">
        <f>IFERROR(__xludf.DUMMYFUNCTION("""COMPUTED_VALUE""")," দিনমজুর ")</f>
        <v> দিনমজুর </v>
      </c>
      <c r="I432" s="3" t="str">
        <f>IFERROR(__xludf.DUMMYFUNCTION("""COMPUTED_VALUE""")," জালতকা, গাংনী, মেহেরপুর ")</f>
        <v> জালতকা, গাংনী, মেহেরপুর </v>
      </c>
    </row>
    <row r="433" ht="15.75" customHeight="1">
      <c r="A433" s="3" t="s">
        <v>3558</v>
      </c>
      <c r="B433" s="3">
        <f>IFERROR(__xludf.DUMMYFUNCTION("SPLIT(A433,""|"")"),597.0)</f>
        <v>597</v>
      </c>
      <c r="C433" s="3" t="str">
        <f>IFERROR(__xludf.DUMMYFUNCTION("""COMPUTED_VALUE""")," মো: রকিবুল ইসলাম ")</f>
        <v> মো: রকিবুল ইসলাম </v>
      </c>
      <c r="D433" s="3">
        <f>IFERROR(__xludf.DUMMYFUNCTION("""COMPUTED_VALUE"""),5.70056000193E11)</f>
        <v>570056000193</v>
      </c>
      <c r="E433" s="3" t="str">
        <f>IFERROR(__xludf.DUMMYFUNCTION("""COMPUTED_VALUE""")," মো: বাবলু হোসেন ")</f>
        <v> মো: বাবলু হোসেন </v>
      </c>
      <c r="F433" s="3" t="str">
        <f>IFERROR(__xludf.DUMMYFUNCTION("""COMPUTED_VALUE""")," মোছা: হাজেরা খাতুন ")</f>
        <v> মোছা: হাজেরা খাতুন </v>
      </c>
      <c r="G433" s="3" t="str">
        <f>IFERROR(__xludf.DUMMYFUNCTION("""COMPUTED_VALUE""")," ০৫/১০/১৯৮৭ ")</f>
        <v> ০৫/১০/১৯৮৭ </v>
      </c>
      <c r="H433" s="3" t="str">
        <f>IFERROR(__xludf.DUMMYFUNCTION("""COMPUTED_VALUE""")," কৃষক ")</f>
        <v> কৃষক </v>
      </c>
      <c r="I433" s="3" t="str">
        <f>IFERROR(__xludf.DUMMYFUNCTION("""COMPUTED_VALUE""")," জালতকা, গাংনী, মেহেরপুর ")</f>
        <v> জালতকা, গাংনী, মেহেরপুর </v>
      </c>
    </row>
    <row r="434" ht="15.75" customHeight="1">
      <c r="A434" s="3" t="s">
        <v>3559</v>
      </c>
      <c r="B434" s="3">
        <f>IFERROR(__xludf.DUMMYFUNCTION("SPLIT(A434,""|"")"),598.0)</f>
        <v>598</v>
      </c>
      <c r="C434" s="3" t="str">
        <f>IFERROR(__xludf.DUMMYFUNCTION("""COMPUTED_VALUE""")," মো: মিল্টন আলী ")</f>
        <v> মো: মিল্টন আলী </v>
      </c>
      <c r="D434" s="3">
        <f>IFERROR(__xludf.DUMMYFUNCTION("""COMPUTED_VALUE"""),5.70056000194E11)</f>
        <v>570056000194</v>
      </c>
      <c r="E434" s="3" t="str">
        <f>IFERROR(__xludf.DUMMYFUNCTION("""COMPUTED_VALUE""")," মো: আবু সিদ্দিক ")</f>
        <v> মো: আবু সিদ্দিক </v>
      </c>
      <c r="F434" s="3" t="str">
        <f>IFERROR(__xludf.DUMMYFUNCTION("""COMPUTED_VALUE""")," মোছা: সুফিয়া খাতুন ")</f>
        <v> মোছা: সুফিয়া খাতুন </v>
      </c>
      <c r="G434" s="3" t="str">
        <f>IFERROR(__xludf.DUMMYFUNCTION("""COMPUTED_VALUE""")," ০১/০৬/১৯৮৫ ")</f>
        <v> ০১/০৬/১৯৮৫ </v>
      </c>
      <c r="H434" s="3" t="str">
        <f>IFERROR(__xludf.DUMMYFUNCTION("""COMPUTED_VALUE""")," কৃষক ")</f>
        <v> কৃষক </v>
      </c>
      <c r="I434" s="3" t="str">
        <f>IFERROR(__xludf.DUMMYFUNCTION("""COMPUTED_VALUE""")," জালতকা, গাংনী, মেহেরপুর ")</f>
        <v> জালতকা, গাংনী, মেহেরপুর </v>
      </c>
    </row>
    <row r="435" ht="15.75" customHeight="1">
      <c r="A435" s="3" t="s">
        <v>3560</v>
      </c>
      <c r="B435" s="3">
        <f>IFERROR(__xludf.DUMMYFUNCTION("SPLIT(A435,""|"")"),599.0)</f>
        <v>599</v>
      </c>
      <c r="C435" s="3" t="str">
        <f>IFERROR(__xludf.DUMMYFUNCTION("""COMPUTED_VALUE""")," মো: সাদ্দাম হোসেন ")</f>
        <v> মো: সাদ্দাম হোসেন </v>
      </c>
      <c r="D435" s="3">
        <f>IFERROR(__xludf.DUMMYFUNCTION("""COMPUTED_VALUE"""),5.70056000196E11)</f>
        <v>570056000196</v>
      </c>
      <c r="E435" s="3" t="str">
        <f>IFERROR(__xludf.DUMMYFUNCTION("""COMPUTED_VALUE""")," মো: মরজেস আলী ")</f>
        <v> মো: মরজেস আলী </v>
      </c>
      <c r="F435" s="3" t="str">
        <f>IFERROR(__xludf.DUMMYFUNCTION("""COMPUTED_VALUE""")," মোছা: হানিয়াম মারিয়া ")</f>
        <v> মোছা: হানিয়াম মারিয়া </v>
      </c>
      <c r="G435" s="3" t="str">
        <f>IFERROR(__xludf.DUMMYFUNCTION("""COMPUTED_VALUE""")," ০৫/০১/১৯৯১ ")</f>
        <v> ০৫/০১/১৯৯১ </v>
      </c>
      <c r="H435" s="3" t="str">
        <f>IFERROR(__xludf.DUMMYFUNCTION("""COMPUTED_VALUE""")," কৃষক ")</f>
        <v> কৃষক </v>
      </c>
      <c r="I435" s="3" t="str">
        <f>IFERROR(__xludf.DUMMYFUNCTION("""COMPUTED_VALUE""")," জালতকা, গাংনী, মেহেরপুর ")</f>
        <v> জালতকা, গাংনী, মেহেরপুর </v>
      </c>
    </row>
    <row r="436" ht="15.75" customHeight="1">
      <c r="A436" s="3" t="s">
        <v>3561</v>
      </c>
      <c r="B436" s="3">
        <f>IFERROR(__xludf.DUMMYFUNCTION("SPLIT(A436,""|"")"),600.0)</f>
        <v>600</v>
      </c>
      <c r="C436" s="3" t="str">
        <f>IFERROR(__xludf.DUMMYFUNCTION("""COMPUTED_VALUE""")," মোহা: নাজমুল হক ")</f>
        <v> মোহা: নাজমুল হক </v>
      </c>
      <c r="D436" s="3">
        <f>IFERROR(__xludf.DUMMYFUNCTION("""COMPUTED_VALUE"""),5.70056000198E11)</f>
        <v>570056000198</v>
      </c>
      <c r="E436" s="3" t="str">
        <f>IFERROR(__xludf.DUMMYFUNCTION("""COMPUTED_VALUE""")," আ: কুদ্দুস ")</f>
        <v> আ: কুদ্দুস </v>
      </c>
      <c r="F436" s="3" t="str">
        <f>IFERROR(__xludf.DUMMYFUNCTION("""COMPUTED_VALUE""")," মোছা: সুবারন নেছা ")</f>
        <v> মোছা: সুবারন নেছা </v>
      </c>
      <c r="G436" s="3" t="str">
        <f>IFERROR(__xludf.DUMMYFUNCTION("""COMPUTED_VALUE""")," ০৭/১২/১৯৯১ ")</f>
        <v> ০৭/১২/১৯৯১ </v>
      </c>
      <c r="H436" s="3" t="str">
        <f>IFERROR(__xludf.DUMMYFUNCTION("""COMPUTED_VALUE""")," ছাত্র/ছাত্রী ")</f>
        <v> ছাত্র/ছাত্রী </v>
      </c>
      <c r="I436" s="3" t="str">
        <f>IFERROR(__xludf.DUMMYFUNCTION("""COMPUTED_VALUE""")," জালতকা, গাংনী, মেহেরপুর ")</f>
        <v> জালতকা, গাংনী, মেহেরপুর </v>
      </c>
    </row>
    <row r="437" ht="15.75" customHeight="1">
      <c r="A437" s="3" t="s">
        <v>3562</v>
      </c>
      <c r="B437" s="3">
        <f>IFERROR(__xludf.DUMMYFUNCTION("SPLIT(A437,""|"")"),601.0)</f>
        <v>601</v>
      </c>
      <c r="C437" s="3" t="str">
        <f>IFERROR(__xludf.DUMMYFUNCTION("""COMPUTED_VALUE""")," মো: কামরুজ্জামান ")</f>
        <v> মো: কামরুজ্জামান </v>
      </c>
      <c r="D437" s="3">
        <f>IFERROR(__xludf.DUMMYFUNCTION("""COMPUTED_VALUE"""),5.700560002E11)</f>
        <v>570056000200</v>
      </c>
      <c r="E437" s="3" t="str">
        <f>IFERROR(__xludf.DUMMYFUNCTION("""COMPUTED_VALUE""")," মো: আব্দুর রাজ্জাক ")</f>
        <v> মো: আব্দুর রাজ্জাক </v>
      </c>
      <c r="F437" s="3" t="str">
        <f>IFERROR(__xludf.DUMMYFUNCTION("""COMPUTED_VALUE""")," মোছা: ফিরোজা খাতুন ")</f>
        <v> মোছা: ফিরোজা খাতুন </v>
      </c>
      <c r="G437" s="3" t="str">
        <f>IFERROR(__xludf.DUMMYFUNCTION("""COMPUTED_VALUE""")," ০৫/০৩/১৯৯০ ")</f>
        <v> ০৫/০৩/১৯৯০ </v>
      </c>
      <c r="H437" s="3" t="str">
        <f>IFERROR(__xludf.DUMMYFUNCTION("""COMPUTED_VALUE""")," দিনমজুর ")</f>
        <v> দিনমজুর </v>
      </c>
      <c r="I437" s="3" t="str">
        <f>IFERROR(__xludf.DUMMYFUNCTION("""COMPUTED_VALUE""")," জালতকা, গাংনী, মেহেরপুর ")</f>
        <v> জালতকা, গাংনী, মেহেরপুর </v>
      </c>
    </row>
    <row r="438" ht="15.75" customHeight="1">
      <c r="A438" s="3" t="s">
        <v>3563</v>
      </c>
      <c r="B438" s="3">
        <f>IFERROR(__xludf.DUMMYFUNCTION("SPLIT(A438,""|"")"),602.0)</f>
        <v>602</v>
      </c>
      <c r="C438" s="3" t="str">
        <f>IFERROR(__xludf.DUMMYFUNCTION("""COMPUTED_VALUE""")," মো: আকাশউজ্জামান ")</f>
        <v> মো: আকাশউজ্জামান </v>
      </c>
      <c r="D438" s="3">
        <f>IFERROR(__xludf.DUMMYFUNCTION("""COMPUTED_VALUE"""),5.70056000049E11)</f>
        <v>570056000049</v>
      </c>
      <c r="E438" s="3" t="str">
        <f>IFERROR(__xludf.DUMMYFUNCTION("""COMPUTED_VALUE""")," মো: নুরুল ইসলাম ")</f>
        <v> মো: নুরুল ইসলাম </v>
      </c>
      <c r="F438" s="3" t="str">
        <f>IFERROR(__xludf.DUMMYFUNCTION("""COMPUTED_VALUE""")," মোছা: আদুরী খাতুন ")</f>
        <v> মোছা: আদুরী খাতুন </v>
      </c>
      <c r="G438" s="3" t="str">
        <f>IFERROR(__xludf.DUMMYFUNCTION("""COMPUTED_VALUE""")," ০১/১০/১৯৯২ ")</f>
        <v> ০১/১০/১৯৯২ </v>
      </c>
      <c r="H438" s="3" t="str">
        <f>IFERROR(__xludf.DUMMYFUNCTION("""COMPUTED_VALUE""")," ছাত্র/ছাত্রী ")</f>
        <v> ছাত্র/ছাত্রী </v>
      </c>
      <c r="I438" s="3" t="str">
        <f>IFERROR(__xludf.DUMMYFUNCTION("""COMPUTED_VALUE""")," জালতকা, গাংনী, মেহেরপুর ")</f>
        <v> জালতকা, গাংনী, মেহেরপুর </v>
      </c>
    </row>
    <row r="439" ht="15.75" customHeight="1">
      <c r="A439" s="3" t="s">
        <v>3564</v>
      </c>
      <c r="B439" s="3">
        <f>IFERROR(__xludf.DUMMYFUNCTION("SPLIT(A439,""|"")"),603.0)</f>
        <v>603</v>
      </c>
      <c r="C439" s="3" t="str">
        <f>IFERROR(__xludf.DUMMYFUNCTION("""COMPUTED_VALUE""")," মো: স্বপন আলী ")</f>
        <v> মো: স্বপন আলী </v>
      </c>
      <c r="D439" s="3">
        <f>IFERROR(__xludf.DUMMYFUNCTION("""COMPUTED_VALUE"""),5.70056000053E11)</f>
        <v>570056000053</v>
      </c>
      <c r="E439" s="3" t="str">
        <f>IFERROR(__xludf.DUMMYFUNCTION("""COMPUTED_VALUE""")," মো: জালাল উদ্দীন ")</f>
        <v> মো: জালাল উদ্দীন </v>
      </c>
      <c r="F439" s="3" t="str">
        <f>IFERROR(__xludf.DUMMYFUNCTION("""COMPUTED_VALUE""")," মোছা: আমেনা খাতুন ")</f>
        <v> মোছা: আমেনা খাতুন </v>
      </c>
      <c r="G439" s="3" t="str">
        <f>IFERROR(__xludf.DUMMYFUNCTION("""COMPUTED_VALUE""")," ০৩/০১/১৯৯২ ")</f>
        <v> ০৩/০১/১৯৯২ </v>
      </c>
      <c r="H439" s="3" t="str">
        <f>IFERROR(__xludf.DUMMYFUNCTION("""COMPUTED_VALUE""")," সরকারী চাকুরী ")</f>
        <v> সরকারী চাকুরী </v>
      </c>
      <c r="I439" s="3" t="str">
        <f>IFERROR(__xludf.DUMMYFUNCTION("""COMPUTED_VALUE""")," জালতকা, গাংনী, মেহেরপুর ")</f>
        <v> জালতকা, গাংনী, মেহেরপুর </v>
      </c>
    </row>
    <row r="440" ht="15.75" customHeight="1">
      <c r="A440" s="3" t="s">
        <v>3565</v>
      </c>
      <c r="B440" s="3">
        <f>IFERROR(__xludf.DUMMYFUNCTION("SPLIT(A440,""|"")"),604.0)</f>
        <v>604</v>
      </c>
      <c r="C440" s="3" t="str">
        <f>IFERROR(__xludf.DUMMYFUNCTION("""COMPUTED_VALUE""")," মো: রিয়াজুল ইসলাম ")</f>
        <v> মো: রিয়াজুল ইসলাম </v>
      </c>
      <c r="D440" s="3">
        <f>IFERROR(__xludf.DUMMYFUNCTION("""COMPUTED_VALUE"""),5.70056000098E11)</f>
        <v>570056000098</v>
      </c>
      <c r="E440" s="3" t="str">
        <f>IFERROR(__xludf.DUMMYFUNCTION("""COMPUTED_VALUE""")," আ: আজিজ ")</f>
        <v> আ: আজিজ </v>
      </c>
      <c r="F440" s="3" t="str">
        <f>IFERROR(__xludf.DUMMYFUNCTION("""COMPUTED_VALUE""")," মোছা: ফিরোজা খাতুন ")</f>
        <v> মোছা: ফিরোজা খাতুন </v>
      </c>
      <c r="G440" s="3" t="str">
        <f>IFERROR(__xludf.DUMMYFUNCTION("""COMPUTED_VALUE""")," ০১/১২/১৯৯২ ")</f>
        <v> ০১/১২/১৯৯২ </v>
      </c>
      <c r="H440" s="3" t="str">
        <f>IFERROR(__xludf.DUMMYFUNCTION("""COMPUTED_VALUE""")," কৃষক ")</f>
        <v> কৃষক </v>
      </c>
      <c r="I440" s="3" t="str">
        <f>IFERROR(__xludf.DUMMYFUNCTION("""COMPUTED_VALUE""")," জালতকা, গাংনী, মেহেরপুর ")</f>
        <v> জালতকা, গাংনী, মেহেরপুর </v>
      </c>
    </row>
    <row r="441" ht="15.75" customHeight="1">
      <c r="A441" s="3" t="s">
        <v>3566</v>
      </c>
      <c r="B441" s="3">
        <f>IFERROR(__xludf.DUMMYFUNCTION("SPLIT(A441,""|"")"),605.0)</f>
        <v>605</v>
      </c>
      <c r="C441" s="3" t="str">
        <f>IFERROR(__xludf.DUMMYFUNCTION("""COMPUTED_VALUE""")," মো: আশরাফুল আলম ")</f>
        <v> মো: আশরাফুল আলম </v>
      </c>
      <c r="D441" s="3">
        <f>IFERROR(__xludf.DUMMYFUNCTION("""COMPUTED_VALUE"""),5.70056000125E11)</f>
        <v>570056000125</v>
      </c>
      <c r="E441" s="3" t="str">
        <f>IFERROR(__xludf.DUMMYFUNCTION("""COMPUTED_VALUE""")," মো: জামাল উদ্দীন ")</f>
        <v> মো: জামাল উদ্দীন </v>
      </c>
      <c r="F441" s="3" t="str">
        <f>IFERROR(__xludf.DUMMYFUNCTION("""COMPUTED_VALUE""")," মোছা: বাশিরন নেছা ")</f>
        <v> মোছা: বাশিরন নেছা </v>
      </c>
      <c r="G441" s="3" t="str">
        <f>IFERROR(__xludf.DUMMYFUNCTION("""COMPUTED_VALUE""")," ০৬/০৮/১৯৯২ ")</f>
        <v> ০৬/০৮/১৯৯২ </v>
      </c>
      <c r="H441" s="3" t="str">
        <f>IFERROR(__xludf.DUMMYFUNCTION("""COMPUTED_VALUE""")," কৃষক ")</f>
        <v> কৃষক </v>
      </c>
      <c r="I441" s="3" t="str">
        <f>IFERROR(__xludf.DUMMYFUNCTION("""COMPUTED_VALUE""")," জালতকা, গাংনী, মেহেরপুর ")</f>
        <v> জালতকা, গাংনী, মেহেরপুর </v>
      </c>
    </row>
    <row r="442" ht="15.75" customHeight="1">
      <c r="A442" s="3" t="s">
        <v>3567</v>
      </c>
      <c r="B442" s="3">
        <f>IFERROR(__xludf.DUMMYFUNCTION("SPLIT(A442,""|"")"),606.0)</f>
        <v>606</v>
      </c>
      <c r="C442" s="3" t="str">
        <f>IFERROR(__xludf.DUMMYFUNCTION("""COMPUTED_VALUE""")," মো: জাহিদুল ইসলাম ")</f>
        <v> মো: জাহিদুল ইসলাম </v>
      </c>
      <c r="D442" s="3">
        <f>IFERROR(__xludf.DUMMYFUNCTION("""COMPUTED_VALUE"""),5.70056000135E11)</f>
        <v>570056000135</v>
      </c>
      <c r="E442" s="3" t="str">
        <f>IFERROR(__xludf.DUMMYFUNCTION("""COMPUTED_VALUE""")," সলিমদ্দিন ")</f>
        <v> সলিমদ্দিন </v>
      </c>
      <c r="F442" s="3" t="str">
        <f>IFERROR(__xludf.DUMMYFUNCTION("""COMPUTED_VALUE""")," জরিনা খাতুন ")</f>
        <v> জরিনা খাতুন </v>
      </c>
      <c r="G442" s="3" t="str">
        <f>IFERROR(__xludf.DUMMYFUNCTION("""COMPUTED_VALUE""")," ২০/১০/১৯৯২ ")</f>
        <v> ২০/১০/১৯৯২ </v>
      </c>
      <c r="H442" s="3" t="str">
        <f>IFERROR(__xludf.DUMMYFUNCTION("""COMPUTED_VALUE""")," ছাত্র/ছাত্রী ")</f>
        <v> ছাত্র/ছাত্রী </v>
      </c>
      <c r="I442" s="3" t="str">
        <f>IFERROR(__xludf.DUMMYFUNCTION("""COMPUTED_VALUE""")," জালতকা, গাংনী, মেহেরপুর ")</f>
        <v> জালতকা, গাংনী, মেহেরপুর </v>
      </c>
    </row>
    <row r="443" ht="15.75" customHeight="1">
      <c r="A443" s="3" t="s">
        <v>3568</v>
      </c>
      <c r="B443" s="3">
        <f>IFERROR(__xludf.DUMMYFUNCTION("SPLIT(A443,""|"")"),607.0)</f>
        <v>607</v>
      </c>
      <c r="C443" s="3" t="str">
        <f>IFERROR(__xludf.DUMMYFUNCTION("""COMPUTED_VALUE""")," মো: জুলফিকার আলী ")</f>
        <v> মো: জুলফিকার আলী </v>
      </c>
      <c r="D443" s="3">
        <f>IFERROR(__xludf.DUMMYFUNCTION("""COMPUTED_VALUE"""),5.70056000155E11)</f>
        <v>570056000155</v>
      </c>
      <c r="E443" s="3" t="str">
        <f>IFERROR(__xludf.DUMMYFUNCTION("""COMPUTED_VALUE""")," মো: সামসুল হক ")</f>
        <v> মো: সামসুল হক </v>
      </c>
      <c r="F443" s="3" t="str">
        <f>IFERROR(__xludf.DUMMYFUNCTION("""COMPUTED_VALUE""")," মোছা: জাহানারা ")</f>
        <v> মোছা: জাহানারা </v>
      </c>
      <c r="G443" s="3" t="str">
        <f>IFERROR(__xludf.DUMMYFUNCTION("""COMPUTED_VALUE""")," ০৮/০৪/১৯৯২ ")</f>
        <v> ০৮/০৪/১৯৯২ </v>
      </c>
      <c r="H443" s="3" t="str">
        <f>IFERROR(__xludf.DUMMYFUNCTION("""COMPUTED_VALUE""")," দিনমজুর ")</f>
        <v> দিনমজুর </v>
      </c>
      <c r="I443" s="3" t="str">
        <f>IFERROR(__xludf.DUMMYFUNCTION("""COMPUTED_VALUE""")," জালতকা, গাংনী, মেহেরপুর ")</f>
        <v> জালতকা, গাংনী, মেহেরপুর </v>
      </c>
    </row>
    <row r="444" ht="15.75" customHeight="1">
      <c r="A444" s="3" t="s">
        <v>3569</v>
      </c>
      <c r="B444" s="3">
        <f>IFERROR(__xludf.DUMMYFUNCTION("SPLIT(A444,""|"")"),608.0)</f>
        <v>608</v>
      </c>
      <c r="C444" s="3" t="str">
        <f>IFERROR(__xludf.DUMMYFUNCTION("""COMPUTED_VALUE""")," মো: শাহিন আলম ")</f>
        <v> মো: শাহিন আলম </v>
      </c>
      <c r="D444" s="3">
        <f>IFERROR(__xludf.DUMMYFUNCTION("""COMPUTED_VALUE"""),5.70056000197E11)</f>
        <v>570056000197</v>
      </c>
      <c r="E444" s="3" t="str">
        <f>IFERROR(__xludf.DUMMYFUNCTION("""COMPUTED_VALUE""")," মো: আনারুল ইসলাম ")</f>
        <v> মো: আনারুল ইসলাম </v>
      </c>
      <c r="F444" s="3" t="str">
        <f>IFERROR(__xludf.DUMMYFUNCTION("""COMPUTED_VALUE""")," মোছা: সাহেনা খাতুন ")</f>
        <v> মোছা: সাহেনা খাতুন </v>
      </c>
      <c r="G444" s="3" t="str">
        <f>IFERROR(__xludf.DUMMYFUNCTION("""COMPUTED_VALUE""")," ০৮/০২/১৯৯২ ")</f>
        <v> ০৮/০২/১৯৯২ </v>
      </c>
      <c r="H444" s="3" t="str">
        <f>IFERROR(__xludf.DUMMYFUNCTION("""COMPUTED_VALUE""")," দিনমজুর ")</f>
        <v> দিনমজুর </v>
      </c>
      <c r="I444" s="3" t="str">
        <f>IFERROR(__xludf.DUMMYFUNCTION("""COMPUTED_VALUE""")," জালতকা, গাংনী, মেহেরপুর ")</f>
        <v> জালতকা, গাংনী, মেহেরপুর </v>
      </c>
    </row>
    <row r="445" ht="15.75" customHeight="1">
      <c r="A445" s="3" t="s">
        <v>3570</v>
      </c>
      <c r="B445" s="3">
        <f>IFERROR(__xludf.DUMMYFUNCTION("SPLIT(A445,""|"")"),609.0)</f>
        <v>609</v>
      </c>
      <c r="C445" s="3" t="str">
        <f>IFERROR(__xludf.DUMMYFUNCTION("""COMPUTED_VALUE""")," মো: সোহেল রানা ")</f>
        <v> মো: সোহেল রানা </v>
      </c>
      <c r="D445" s="3">
        <f>IFERROR(__xludf.DUMMYFUNCTION("""COMPUTED_VALUE"""),5.70056000038E11)</f>
        <v>570056000038</v>
      </c>
      <c r="E445" s="3" t="str">
        <f>IFERROR(__xludf.DUMMYFUNCTION("""COMPUTED_VALUE""")," মো: শহিদুল ইসলাম ")</f>
        <v> মো: শহিদুল ইসলাম </v>
      </c>
      <c r="F445" s="3" t="str">
        <f>IFERROR(__xludf.DUMMYFUNCTION("""COMPUTED_VALUE""")," মোছা: রাশিদা খাতুন ")</f>
        <v> মোছা: রাশিদা খাতুন </v>
      </c>
      <c r="G445" s="3" t="str">
        <f>IFERROR(__xludf.DUMMYFUNCTION("""COMPUTED_VALUE""")," ০৮/০৩/১৯৯৩ ")</f>
        <v> ০৮/০৩/১৯৯৩ </v>
      </c>
      <c r="H445" s="3" t="str">
        <f>IFERROR(__xludf.DUMMYFUNCTION("""COMPUTED_VALUE""")," ছাত্র/ছাত্রী ")</f>
        <v> ছাত্র/ছাত্রী </v>
      </c>
      <c r="I445" s="3" t="str">
        <f>IFERROR(__xludf.DUMMYFUNCTION("""COMPUTED_VALUE""")," জালতকা, গাংনী, মেহেরপুর ")</f>
        <v> জালতকা, গাংনী, মেহেরপুর </v>
      </c>
    </row>
    <row r="446" ht="15.75" customHeight="1">
      <c r="A446" s="3" t="s">
        <v>3571</v>
      </c>
      <c r="B446" s="3">
        <f>IFERROR(__xludf.DUMMYFUNCTION("SPLIT(A446,""|"")"),610.0)</f>
        <v>610</v>
      </c>
      <c r="C446" s="3" t="str">
        <f>IFERROR(__xludf.DUMMYFUNCTION("""COMPUTED_VALUE""")," মোহা: জসিম উদ্দীন ")</f>
        <v> মোহা: জসিম উদ্দীন </v>
      </c>
      <c r="D446" s="3">
        <f>IFERROR(__xludf.DUMMYFUNCTION("""COMPUTED_VALUE"""),5.70056000057E11)</f>
        <v>570056000057</v>
      </c>
      <c r="E446" s="3" t="str">
        <f>IFERROR(__xludf.DUMMYFUNCTION("""COMPUTED_VALUE""")," মোহা: বজলুল হক ")</f>
        <v> মোহা: বজলুল হক </v>
      </c>
      <c r="F446" s="3" t="str">
        <f>IFERROR(__xludf.DUMMYFUNCTION("""COMPUTED_VALUE""")," মোছা: জাহানারা খাতুন ")</f>
        <v> মোছা: জাহানারা খাতুন </v>
      </c>
      <c r="G446" s="3" t="str">
        <f>IFERROR(__xludf.DUMMYFUNCTION("""COMPUTED_VALUE""")," ০৬/০৪/১৯৯৩ ")</f>
        <v> ০৬/০৪/১৯৯৩ </v>
      </c>
      <c r="H446" s="3" t="str">
        <f>IFERROR(__xludf.DUMMYFUNCTION("""COMPUTED_VALUE""")," ছাত্র/ছাত্রী ")</f>
        <v> ছাত্র/ছাত্রী </v>
      </c>
      <c r="I446" s="3" t="str">
        <f>IFERROR(__xludf.DUMMYFUNCTION("""COMPUTED_VALUE""")," জালতকা, গাংনী, মেহেরপুর ")</f>
        <v> জালতকা, গাংনী, মেহেরপুর </v>
      </c>
    </row>
    <row r="447" ht="15.75" customHeight="1">
      <c r="A447" s="3" t="s">
        <v>3572</v>
      </c>
      <c r="B447" s="3">
        <f>IFERROR(__xludf.DUMMYFUNCTION("SPLIT(A447,""|"")"),611.0)</f>
        <v>611</v>
      </c>
      <c r="C447" s="3" t="str">
        <f>IFERROR(__xludf.DUMMYFUNCTION("""COMPUTED_VALUE""")," মো: বাপ্পারাজ ")</f>
        <v> মো: বাপ্পারাজ </v>
      </c>
      <c r="D447" s="3">
        <f>IFERROR(__xludf.DUMMYFUNCTION("""COMPUTED_VALUE"""),5.700560001E11)</f>
        <v>570056000100</v>
      </c>
      <c r="E447" s="3" t="str">
        <f>IFERROR(__xludf.DUMMYFUNCTION("""COMPUTED_VALUE""")," রুহুল আলী ")</f>
        <v> রুহুল আলী </v>
      </c>
      <c r="F447" s="3" t="str">
        <f>IFERROR(__xludf.DUMMYFUNCTION("""COMPUTED_VALUE""")," জাহানারা খাতুন ")</f>
        <v> জাহানারা খাতুন </v>
      </c>
      <c r="G447" s="3" t="str">
        <f>IFERROR(__xludf.DUMMYFUNCTION("""COMPUTED_VALUE""")," ২৭/১২/১৯৯৩ ")</f>
        <v> ২৭/১২/১৯৯৩ </v>
      </c>
      <c r="H447" s="3" t="str">
        <f>IFERROR(__xludf.DUMMYFUNCTION("""COMPUTED_VALUE""")," দিনমজুর ")</f>
        <v> দিনমজুর </v>
      </c>
      <c r="I447" s="3" t="str">
        <f>IFERROR(__xludf.DUMMYFUNCTION("""COMPUTED_VALUE""")," জালতকা, গাংনী, মেহেরপুর ")</f>
        <v> জালতকা, গাংনী, মেহেরপুর </v>
      </c>
    </row>
    <row r="448" ht="15.75" customHeight="1">
      <c r="A448" s="3" t="s">
        <v>3573</v>
      </c>
      <c r="B448" s="3">
        <f>IFERROR(__xludf.DUMMYFUNCTION("SPLIT(A448,""|"")"),612.0)</f>
        <v>612</v>
      </c>
      <c r="C448" s="3" t="str">
        <f>IFERROR(__xludf.DUMMYFUNCTION("""COMPUTED_VALUE""")," মো: তরিকুল ইসলাম ")</f>
        <v> মো: তরিকুল ইসলাম </v>
      </c>
      <c r="D448" s="3">
        <f>IFERROR(__xludf.DUMMYFUNCTION("""COMPUTED_VALUE"""),5.70056000199E11)</f>
        <v>570056000199</v>
      </c>
      <c r="E448" s="3" t="str">
        <f>IFERROR(__xludf.DUMMYFUNCTION("""COMPUTED_VALUE""")," মো: আকাল উদ্দীন ")</f>
        <v> মো: আকাল উদ্দীন </v>
      </c>
      <c r="F448" s="3" t="str">
        <f>IFERROR(__xludf.DUMMYFUNCTION("""COMPUTED_VALUE""")," মোছা: জাহানারা ")</f>
        <v> মোছা: জাহানারা </v>
      </c>
      <c r="G448" s="3" t="str">
        <f>IFERROR(__xludf.DUMMYFUNCTION("""COMPUTED_VALUE""")," ২৫/১০/১৯৯৩ ")</f>
        <v> ২৫/১০/১৯৯৩ </v>
      </c>
      <c r="H448" s="3" t="str">
        <f>IFERROR(__xludf.DUMMYFUNCTION("""COMPUTED_VALUE""")," কৃষক ")</f>
        <v> কৃষক </v>
      </c>
      <c r="I448" s="3" t="str">
        <f>IFERROR(__xludf.DUMMYFUNCTION("""COMPUTED_VALUE""")," জালতকা, গাংনী, মেহেরপুর ")</f>
        <v> জালতকা, গাংনী, মেহেরপুর </v>
      </c>
    </row>
    <row r="449" ht="15.75" customHeight="1">
      <c r="A449" s="3" t="s">
        <v>3574</v>
      </c>
      <c r="B449" s="3">
        <f>IFERROR(__xludf.DUMMYFUNCTION("SPLIT(A449,""|"")"),613.0)</f>
        <v>613</v>
      </c>
      <c r="C449" s="3" t="str">
        <f>IFERROR(__xludf.DUMMYFUNCTION("""COMPUTED_VALUE""")," আলমগীর ")</f>
        <v> আলমগীর </v>
      </c>
      <c r="D449" s="3">
        <f>IFERROR(__xludf.DUMMYFUNCTION("""COMPUTED_VALUE"""),5.70056000081E11)</f>
        <v>570056000081</v>
      </c>
      <c r="E449" s="3" t="str">
        <f>IFERROR(__xludf.DUMMYFUNCTION("""COMPUTED_VALUE""")," আসাদুল ")</f>
        <v> আসাদুল </v>
      </c>
      <c r="F449" s="3" t="str">
        <f>IFERROR(__xludf.DUMMYFUNCTION("""COMPUTED_VALUE""")," রঞ্জীলা ")</f>
        <v> রঞ্জীলা </v>
      </c>
      <c r="G449" s="3" t="str">
        <f>IFERROR(__xludf.DUMMYFUNCTION("""COMPUTED_VALUE""")," ০৩/০১/১৯৯৪ ")</f>
        <v> ০৩/০১/১৯৯৪ </v>
      </c>
      <c r="H449" s="3" t="str">
        <f>IFERROR(__xludf.DUMMYFUNCTION("""COMPUTED_VALUE""")," বেকার ")</f>
        <v> বেকার </v>
      </c>
      <c r="I449" s="3" t="str">
        <f>IFERROR(__xludf.DUMMYFUNCTION("""COMPUTED_VALUE""")," জালতকা, গাংনী, মেহেরপুর ")</f>
        <v> জালতকা, গাংনী, মেহেরপুর </v>
      </c>
    </row>
    <row r="450" ht="15.75" customHeight="1">
      <c r="A450" s="3" t="s">
        <v>3575</v>
      </c>
      <c r="B450" s="3">
        <f>IFERROR(__xludf.DUMMYFUNCTION("SPLIT(A450,""|"")"),614.0)</f>
        <v>614</v>
      </c>
      <c r="C450" s="3" t="str">
        <f>IFERROR(__xludf.DUMMYFUNCTION("""COMPUTED_VALUE""")," মো: উজ্জল ইসলাম ")</f>
        <v> মো: উজ্জল ইসলাম </v>
      </c>
      <c r="D450" s="3">
        <f>IFERROR(__xludf.DUMMYFUNCTION("""COMPUTED_VALUE"""),5.70056000079E11)</f>
        <v>570056000079</v>
      </c>
      <c r="E450" s="3" t="str">
        <f>IFERROR(__xludf.DUMMYFUNCTION("""COMPUTED_VALUE""")," মো: ঠান্ডু আলী ")</f>
        <v> মো: ঠান্ডু আলী </v>
      </c>
      <c r="F450" s="3" t="str">
        <f>IFERROR(__xludf.DUMMYFUNCTION("""COMPUTED_VALUE""")," আরজিনা খাতুন ")</f>
        <v> আরজিনা খাতুন </v>
      </c>
      <c r="G450" s="3" t="str">
        <f>IFERROR(__xludf.DUMMYFUNCTION("""COMPUTED_VALUE""")," ০৬/০৭/১৯৯৪ ")</f>
        <v> ০৬/০৭/১৯৯৪ </v>
      </c>
      <c r="H450" s="3" t="str">
        <f>IFERROR(__xludf.DUMMYFUNCTION("""COMPUTED_VALUE""")," ছাত্র/ছাত্রী ")</f>
        <v> ছাত্র/ছাত্রী </v>
      </c>
      <c r="I450" s="3" t="str">
        <f>IFERROR(__xludf.DUMMYFUNCTION("""COMPUTED_VALUE""")," জালতকা, গাংনী, মেহেরপুর ")</f>
        <v> জালতকা, গাংনী, মেহেরপুর </v>
      </c>
    </row>
    <row r="451" ht="15.75" customHeight="1">
      <c r="A451" s="3" t="s">
        <v>3576</v>
      </c>
      <c r="B451" s="3">
        <f>IFERROR(__xludf.DUMMYFUNCTION("SPLIT(A451,""|"")"),615.0)</f>
        <v>615</v>
      </c>
      <c r="C451" s="3" t="str">
        <f>IFERROR(__xludf.DUMMYFUNCTION("""COMPUTED_VALUE""")," মো: আকরাম আলী ")</f>
        <v> মো: আকরাম আলী </v>
      </c>
      <c r="D451" s="3">
        <f>IFERROR(__xludf.DUMMYFUNCTION("""COMPUTED_VALUE"""),5.70056000108E11)</f>
        <v>570056000108</v>
      </c>
      <c r="E451" s="3" t="str">
        <f>IFERROR(__xludf.DUMMYFUNCTION("""COMPUTED_VALUE""")," হায়দার আলী ")</f>
        <v> হায়দার আলী </v>
      </c>
      <c r="F451" s="3" t="str">
        <f>IFERROR(__xludf.DUMMYFUNCTION("""COMPUTED_VALUE""")," জায়েদা খাতুন ")</f>
        <v> জায়েদা খাতুন </v>
      </c>
      <c r="G451" s="3" t="str">
        <f>IFERROR(__xludf.DUMMYFUNCTION("""COMPUTED_VALUE""")," ১২/০১/১৯৯৪ ")</f>
        <v> ১২/০১/১৯৯৪ </v>
      </c>
      <c r="H451" s="3" t="str">
        <f>IFERROR(__xludf.DUMMYFUNCTION("""COMPUTED_VALUE""")," দিনমজুর ")</f>
        <v> দিনমজুর </v>
      </c>
      <c r="I451" s="3" t="str">
        <f>IFERROR(__xludf.DUMMYFUNCTION("""COMPUTED_VALUE""")," জালতকা, গাংনী, মেহেরপুর ")</f>
        <v> জালতকা, গাংনী, মেহেরপুর </v>
      </c>
    </row>
    <row r="452" ht="15.75" customHeight="1">
      <c r="A452" s="3" t="s">
        <v>3577</v>
      </c>
      <c r="B452" s="3">
        <f>IFERROR(__xludf.DUMMYFUNCTION("SPLIT(A452,""|"")"),616.0)</f>
        <v>616</v>
      </c>
      <c r="C452" s="3" t="str">
        <f>IFERROR(__xludf.DUMMYFUNCTION("""COMPUTED_VALUE""")," মো: জিয়ারুল ইসলাম ")</f>
        <v> মো: জিয়ারুল ইসলাম </v>
      </c>
      <c r="D452" s="3">
        <f>IFERROR(__xludf.DUMMYFUNCTION("""COMPUTED_VALUE"""),5.70056000126E11)</f>
        <v>570056000126</v>
      </c>
      <c r="E452" s="3" t="str">
        <f>IFERROR(__xludf.DUMMYFUNCTION("""COMPUTED_VALUE""")," হাসেম আলি ")</f>
        <v> হাসেম আলি </v>
      </c>
      <c r="F452" s="3" t="str">
        <f>IFERROR(__xludf.DUMMYFUNCTION("""COMPUTED_VALUE""")," হানোয়ারা খাতুন ")</f>
        <v> হানোয়ারা খাতুন </v>
      </c>
      <c r="G452" s="3" t="str">
        <f>IFERROR(__xludf.DUMMYFUNCTION("""COMPUTED_VALUE""")," ০৩/০৪/১৯৯৪ ")</f>
        <v> ০৩/০৪/১৯৯৪ </v>
      </c>
      <c r="H452" s="3" t="str">
        <f>IFERROR(__xludf.DUMMYFUNCTION("""COMPUTED_VALUE""")," বেসরকারী চাকুরী ")</f>
        <v> বেসরকারী চাকুরী </v>
      </c>
      <c r="I452" s="3" t="str">
        <f>IFERROR(__xludf.DUMMYFUNCTION("""COMPUTED_VALUE""")," জালতকা, গাংনী, মেহেরপুর ")</f>
        <v> জালতকা, গাংনী, মেহেরপুর </v>
      </c>
    </row>
    <row r="453" ht="15.75" customHeight="1">
      <c r="A453" s="3" t="s">
        <v>3578</v>
      </c>
      <c r="B453" s="3">
        <f>IFERROR(__xludf.DUMMYFUNCTION("SPLIT(A453,""|"")"),617.0)</f>
        <v>617</v>
      </c>
      <c r="C453" s="3" t="str">
        <f>IFERROR(__xludf.DUMMYFUNCTION("""COMPUTED_VALUE""")," মো: আজমাইন হোসেন ")</f>
        <v> মো: আজমাইন হোসেন </v>
      </c>
      <c r="D453" s="3">
        <f>IFERROR(__xludf.DUMMYFUNCTION("""COMPUTED_VALUE"""),5.70056000146E11)</f>
        <v>570056000146</v>
      </c>
      <c r="E453" s="3" t="str">
        <f>IFERROR(__xludf.DUMMYFUNCTION("""COMPUTED_VALUE""")," মো: মজনুর রহমান ")</f>
        <v> মো: মজনুর রহমান </v>
      </c>
      <c r="F453" s="3" t="str">
        <f>IFERROR(__xludf.DUMMYFUNCTION("""COMPUTED_VALUE""")," মোছা: ফিরোজা খাতুন ")</f>
        <v> মোছা: ফিরোজা খাতুন </v>
      </c>
      <c r="G453" s="3" t="str">
        <f>IFERROR(__xludf.DUMMYFUNCTION("""COMPUTED_VALUE""")," ০৬/০৩/১৯৯৪ ")</f>
        <v> ০৬/০৩/১৯৯৪ </v>
      </c>
      <c r="H453" s="3" t="str">
        <f>IFERROR(__xludf.DUMMYFUNCTION("""COMPUTED_VALUE""")," বেকার ")</f>
        <v> বেকার </v>
      </c>
      <c r="I453" s="3" t="str">
        <f>IFERROR(__xludf.DUMMYFUNCTION("""COMPUTED_VALUE""")," জালতকা, গাংনী, মেহেরপুর ")</f>
        <v> জালতকা, গাংনী, মেহেরপুর </v>
      </c>
    </row>
    <row r="454" ht="15.75" customHeight="1">
      <c r="A454" s="3" t="s">
        <v>3579</v>
      </c>
      <c r="B454" s="3">
        <f>IFERROR(__xludf.DUMMYFUNCTION("SPLIT(A454,""|"")"),618.0)</f>
        <v>618</v>
      </c>
      <c r="C454" s="3" t="str">
        <f>IFERROR(__xludf.DUMMYFUNCTION("""COMPUTED_VALUE""")," মো: সমসের আলি ")</f>
        <v> মো: সমসের আলি </v>
      </c>
      <c r="D454" s="3">
        <f>IFERROR(__xludf.DUMMYFUNCTION("""COMPUTED_VALUE"""),5.7005600016E11)</f>
        <v>570056000160</v>
      </c>
      <c r="E454" s="3" t="str">
        <f>IFERROR(__xludf.DUMMYFUNCTION("""COMPUTED_VALUE""")," হিলাল উদ্দীন ")</f>
        <v> হিলাল উদ্দীন </v>
      </c>
      <c r="F454" s="3" t="str">
        <f>IFERROR(__xludf.DUMMYFUNCTION("""COMPUTED_VALUE""")," ফরনা খাতুন ")</f>
        <v> ফরনা খাতুন </v>
      </c>
      <c r="G454" s="3" t="str">
        <f>IFERROR(__xludf.DUMMYFUNCTION("""COMPUTED_VALUE""")," ১৬/০১/১৯৯৪ ")</f>
        <v> ১৬/০১/১৯৯৪ </v>
      </c>
      <c r="H454" s="3" t="str">
        <f>IFERROR(__xludf.DUMMYFUNCTION("""COMPUTED_VALUE""")," কৃষক ")</f>
        <v> কৃষক </v>
      </c>
      <c r="I454" s="3" t="str">
        <f>IFERROR(__xludf.DUMMYFUNCTION("""COMPUTED_VALUE""")," জালতকা, গাংনী, মেহেরপুর ")</f>
        <v> জালতকা, গাংনী, মেহেরপুর </v>
      </c>
    </row>
    <row r="455" ht="15.75" customHeight="1">
      <c r="A455" s="3" t="s">
        <v>3580</v>
      </c>
      <c r="B455" s="3">
        <f>IFERROR(__xludf.DUMMYFUNCTION("SPLIT(A455,""|"")"),619.0)</f>
        <v>619</v>
      </c>
      <c r="C455" s="3" t="str">
        <f>IFERROR(__xludf.DUMMYFUNCTION("""COMPUTED_VALUE""")," মো: আলামিন ")</f>
        <v> মো: আলামিন </v>
      </c>
      <c r="D455" s="3">
        <f>IFERROR(__xludf.DUMMYFUNCTION("""COMPUTED_VALUE"""),5.70056000202E11)</f>
        <v>570056000202</v>
      </c>
      <c r="E455" s="3" t="str">
        <f>IFERROR(__xludf.DUMMYFUNCTION("""COMPUTED_VALUE""")," মো: শহিদুল ইসলাম ")</f>
        <v> মো: শহিদুল ইসলাম </v>
      </c>
      <c r="F455" s="3" t="str">
        <f>IFERROR(__xludf.DUMMYFUNCTION("""COMPUTED_VALUE""")," মোছা: সাহারন খাতুন ")</f>
        <v> মোছা: সাহারন খাতুন </v>
      </c>
      <c r="G455" s="3" t="str">
        <f>IFERROR(__xludf.DUMMYFUNCTION("""COMPUTED_VALUE""")," ০৪/১২/১৯৯৪ ")</f>
        <v> ০৪/১২/১৯৯৪ </v>
      </c>
      <c r="H455" s="3" t="str">
        <f>IFERROR(__xludf.DUMMYFUNCTION("""COMPUTED_VALUE""")," কৃষক ")</f>
        <v> কৃষক </v>
      </c>
      <c r="I455" s="3" t="str">
        <f>IFERROR(__xludf.DUMMYFUNCTION("""COMPUTED_VALUE""")," জালতকা, গাংনী, মেহেরপুর ")</f>
        <v> জালতকা, গাংনী, মেহেরপুর </v>
      </c>
    </row>
    <row r="456" ht="15.75" customHeight="1">
      <c r="A456" s="3" t="s">
        <v>3581</v>
      </c>
      <c r="B456" s="3">
        <f>IFERROR(__xludf.DUMMYFUNCTION("SPLIT(A456,""|"")"),620.0)</f>
        <v>620</v>
      </c>
      <c r="C456" s="3" t="str">
        <f>IFERROR(__xludf.DUMMYFUNCTION("""COMPUTED_VALUE""")," আবু সাঈদ ")</f>
        <v> আবু সাঈদ </v>
      </c>
      <c r="D456" s="3">
        <f>IFERROR(__xludf.DUMMYFUNCTION("""COMPUTED_VALUE"""),5.70056000203E11)</f>
        <v>570056000203</v>
      </c>
      <c r="E456" s="3" t="str">
        <f>IFERROR(__xludf.DUMMYFUNCTION("""COMPUTED_VALUE""")," জালাল উদ্দীন ")</f>
        <v> জালাল উদ্দীন </v>
      </c>
      <c r="F456" s="3" t="str">
        <f>IFERROR(__xludf.DUMMYFUNCTION("""COMPUTED_VALUE""")," ফাতিমা খাতুন ")</f>
        <v> ফাতিমা খাতুন </v>
      </c>
      <c r="G456" s="3" t="str">
        <f>IFERROR(__xludf.DUMMYFUNCTION("""COMPUTED_VALUE""")," ১৬/১২/১৯৯৪ ")</f>
        <v> ১৬/১২/১৯৯৪ </v>
      </c>
      <c r="H456" s="3" t="str">
        <f>IFERROR(__xludf.DUMMYFUNCTION("""COMPUTED_VALUE""")," কৃষক ")</f>
        <v> কৃষক </v>
      </c>
      <c r="I456" s="3" t="str">
        <f>IFERROR(__xludf.DUMMYFUNCTION("""COMPUTED_VALUE""")," জালতকা, গাংনী, মেহেরপুর ")</f>
        <v> জালতকা, গাংনী, মেহেরপুর </v>
      </c>
    </row>
    <row r="457" ht="15.75" customHeight="1">
      <c r="A457" s="3" t="s">
        <v>3582</v>
      </c>
      <c r="B457" s="3">
        <f>IFERROR(__xludf.DUMMYFUNCTION("SPLIT(A457,""|"")"),621.0)</f>
        <v>621</v>
      </c>
      <c r="C457" s="3" t="str">
        <f>IFERROR(__xludf.DUMMYFUNCTION("""COMPUTED_VALUE""")," মো: আতিয়ার রহমান ")</f>
        <v> মো: আতিয়ার রহমান </v>
      </c>
      <c r="D457" s="3">
        <f>IFERROR(__xludf.DUMMYFUNCTION("""COMPUTED_VALUE"""),5.70056000204E11)</f>
        <v>570056000204</v>
      </c>
      <c r="E457" s="3" t="str">
        <f>IFERROR(__xludf.DUMMYFUNCTION("""COMPUTED_VALUE""")," মো: সুলতান ")</f>
        <v> মো: সুলতান </v>
      </c>
      <c r="F457" s="3" t="str">
        <f>IFERROR(__xludf.DUMMYFUNCTION("""COMPUTED_VALUE""")," মোছা: রহিমা খাতুন ")</f>
        <v> মোছা: রহিমা খাতুন </v>
      </c>
      <c r="G457" s="3" t="str">
        <f>IFERROR(__xludf.DUMMYFUNCTION("""COMPUTED_VALUE""")," ৩০/১২/১৯৯৪ ")</f>
        <v> ৩০/১২/১৯৯৪ </v>
      </c>
      <c r="H457" s="3" t="str">
        <f>IFERROR(__xludf.DUMMYFUNCTION("""COMPUTED_VALUE""")," দিনমজুর ")</f>
        <v> দিনমজুর </v>
      </c>
      <c r="I457" s="3" t="str">
        <f>IFERROR(__xludf.DUMMYFUNCTION("""COMPUTED_VALUE""")," জালতকা, গাংনী, মেহেরপুর ")</f>
        <v> জালতকা, গাংনী, মেহেরপুর </v>
      </c>
    </row>
    <row r="458" ht="15.75" customHeight="1">
      <c r="A458" s="3" t="s">
        <v>3583</v>
      </c>
      <c r="B458" s="3">
        <f>IFERROR(__xludf.DUMMYFUNCTION("SPLIT(A458,""|"")"),622.0)</f>
        <v>622</v>
      </c>
      <c r="C458" s="3" t="str">
        <f>IFERROR(__xludf.DUMMYFUNCTION("""COMPUTED_VALUE""")," মো: শিমুল আলী ")</f>
        <v> মো: শিমুল আলী </v>
      </c>
      <c r="D458" s="3">
        <f>IFERROR(__xludf.DUMMYFUNCTION("""COMPUTED_VALUE"""),5.70056000205E11)</f>
        <v>570056000205</v>
      </c>
      <c r="E458" s="3" t="str">
        <f>IFERROR(__xludf.DUMMYFUNCTION("""COMPUTED_VALUE""")," মো: শহিদুল ইসলাম ")</f>
        <v> মো: শহিদুল ইসলাম </v>
      </c>
      <c r="F458" s="3" t="str">
        <f>IFERROR(__xludf.DUMMYFUNCTION("""COMPUTED_VALUE""")," মোছা: রপিনা খাতুন ")</f>
        <v> মোছা: রপিনা খাতুন </v>
      </c>
      <c r="G458" s="3" t="str">
        <f>IFERROR(__xludf.DUMMYFUNCTION("""COMPUTED_VALUE""")," ২৭/১২/১৯৯৪ ")</f>
        <v> ২৭/১২/১৯৯৪ </v>
      </c>
      <c r="H458" s="3" t="str">
        <f>IFERROR(__xludf.DUMMYFUNCTION("""COMPUTED_VALUE""")," দিনমজুর ")</f>
        <v> দিনমজুর </v>
      </c>
      <c r="I458" s="3" t="str">
        <f>IFERROR(__xludf.DUMMYFUNCTION("""COMPUTED_VALUE""")," জালতকা, গাংনী, মেহেরপুর ")</f>
        <v> জালতকা, গাংনী, মেহেরপুর </v>
      </c>
    </row>
    <row r="459" ht="15.75" customHeight="1">
      <c r="A459" s="3" t="s">
        <v>3584</v>
      </c>
      <c r="B459" s="3">
        <f>IFERROR(__xludf.DUMMYFUNCTION("SPLIT(A459,""|"")"),623.0)</f>
        <v>623</v>
      </c>
      <c r="C459" s="3" t="str">
        <f>IFERROR(__xludf.DUMMYFUNCTION("""COMPUTED_VALUE""")," মো: ইকবাল হাসান ")</f>
        <v> মো: ইকবাল হাসান </v>
      </c>
      <c r="D459" s="3">
        <f>IFERROR(__xludf.DUMMYFUNCTION("""COMPUTED_VALUE"""),5.70056000207E11)</f>
        <v>570056000207</v>
      </c>
      <c r="E459" s="3" t="str">
        <f>IFERROR(__xludf.DUMMYFUNCTION("""COMPUTED_VALUE""")," মো: ইব্রাহিম ")</f>
        <v> মো: ইব্রাহিম </v>
      </c>
      <c r="F459" s="3" t="str">
        <f>IFERROR(__xludf.DUMMYFUNCTION("""COMPUTED_VALUE""")," মোছা: সারজিনা খাতুন ")</f>
        <v> মোছা: সারজিনা খাতুন </v>
      </c>
      <c r="G459" s="3" t="str">
        <f>IFERROR(__xludf.DUMMYFUNCTION("""COMPUTED_VALUE""")," ২৬/১২/১৯৯৫ ")</f>
        <v> ২৬/১২/১৯৯৫ </v>
      </c>
      <c r="H459" s="3" t="str">
        <f>IFERROR(__xludf.DUMMYFUNCTION("""COMPUTED_VALUE""")," ছাত্র/ছাত্রী ")</f>
        <v> ছাত্র/ছাত্রী </v>
      </c>
      <c r="I459" s="3" t="str">
        <f>IFERROR(__xludf.DUMMYFUNCTION("""COMPUTED_VALUE""")," জালতকা, গাংনী, মেহেরপুর ")</f>
        <v> জালতকা, গাংনী, মেহেরপুর </v>
      </c>
    </row>
    <row r="460" ht="15.75" customHeight="1">
      <c r="A460" s="3" t="s">
        <v>3585</v>
      </c>
      <c r="B460" s="3">
        <f>IFERROR(__xludf.DUMMYFUNCTION("SPLIT(A460,""|"")"),624.0)</f>
        <v>624</v>
      </c>
      <c r="C460" s="3" t="str">
        <f>IFERROR(__xludf.DUMMYFUNCTION("""COMPUTED_VALUE""")," মো: আল- মামুন ")</f>
        <v> মো: আল- মামুন </v>
      </c>
      <c r="D460" s="3">
        <f>IFERROR(__xludf.DUMMYFUNCTION("""COMPUTED_VALUE"""),5.70056000209E11)</f>
        <v>570056000209</v>
      </c>
      <c r="E460" s="3" t="str">
        <f>IFERROR(__xludf.DUMMYFUNCTION("""COMPUTED_VALUE""")," মাবুদ আলী ")</f>
        <v> মাবুদ আলী </v>
      </c>
      <c r="F460" s="3" t="str">
        <f>IFERROR(__xludf.DUMMYFUNCTION("""COMPUTED_VALUE""")," মোছা: চায়না খাতুন ")</f>
        <v> মোছা: চায়না খাতুন </v>
      </c>
      <c r="G460" s="3" t="str">
        <f>IFERROR(__xludf.DUMMYFUNCTION("""COMPUTED_VALUE""")," ০৭/০৭/১৯৯৪ ")</f>
        <v> ০৭/০৭/১৯৯৪ </v>
      </c>
      <c r="H460" s="3" t="str">
        <f>IFERROR(__xludf.DUMMYFUNCTION("""COMPUTED_VALUE""")," কৃষক ")</f>
        <v> কৃষক </v>
      </c>
      <c r="I460" s="3" t="str">
        <f>IFERROR(__xludf.DUMMYFUNCTION("""COMPUTED_VALUE""")," জালতকা, গাংনী, মেহেরপুর ")</f>
        <v> জালতকা, গাংনী, মেহেরপুর </v>
      </c>
    </row>
    <row r="461" ht="15.75" customHeight="1">
      <c r="A461" s="3" t="s">
        <v>3586</v>
      </c>
      <c r="B461" s="3">
        <f>IFERROR(__xludf.DUMMYFUNCTION("SPLIT(A461,""|"")"),625.0)</f>
        <v>625</v>
      </c>
      <c r="C461" s="3" t="str">
        <f>IFERROR(__xludf.DUMMYFUNCTION("""COMPUTED_VALUE""")," মো: আশিকুর রহমান ")</f>
        <v> মো: আশিকুর রহমান </v>
      </c>
      <c r="D461" s="3">
        <f>IFERROR(__xludf.DUMMYFUNCTION("""COMPUTED_VALUE"""),5.70056000211E11)</f>
        <v>570056000211</v>
      </c>
      <c r="E461" s="3" t="str">
        <f>IFERROR(__xludf.DUMMYFUNCTION("""COMPUTED_VALUE""")," রিফাত উদ্দীন ")</f>
        <v> রিফাত উদ্দীন </v>
      </c>
      <c r="F461" s="3" t="str">
        <f>IFERROR(__xludf.DUMMYFUNCTION("""COMPUTED_VALUE""")," জালিমিন নেছা ")</f>
        <v> জালিমিন নেছা </v>
      </c>
      <c r="G461" s="3" t="str">
        <f>IFERROR(__xludf.DUMMYFUNCTION("""COMPUTED_VALUE""")," ০৮/০৫/১৯৯৫ ")</f>
        <v> ০৮/০৫/১৯৯৫ </v>
      </c>
      <c r="H461" s="3" t="str">
        <f>IFERROR(__xludf.DUMMYFUNCTION("""COMPUTED_VALUE""")," কৃষক ")</f>
        <v> কৃষক </v>
      </c>
      <c r="I461" s="3" t="str">
        <f>IFERROR(__xludf.DUMMYFUNCTION("""COMPUTED_VALUE""")," জালতকা, গাংনী, মেহেরপুর ")</f>
        <v> জালতকা, গাংনী, মেহেরপুর </v>
      </c>
    </row>
    <row r="462" ht="15.75" customHeight="1">
      <c r="A462" s="3" t="s">
        <v>3587</v>
      </c>
      <c r="B462" s="3">
        <f>IFERROR(__xludf.DUMMYFUNCTION("SPLIT(A462,""|"")"),626.0)</f>
        <v>626</v>
      </c>
      <c r="C462" s="3" t="str">
        <f>IFERROR(__xludf.DUMMYFUNCTION("""COMPUTED_VALUE""")," মো: রজব আলী ")</f>
        <v> মো: রজব আলী </v>
      </c>
      <c r="D462" s="3">
        <f>IFERROR(__xludf.DUMMYFUNCTION("""COMPUTED_VALUE"""),5.70056000213E11)</f>
        <v>570056000213</v>
      </c>
      <c r="E462" s="3" t="str">
        <f>IFERROR(__xludf.DUMMYFUNCTION("""COMPUTED_VALUE""")," হামিদুল ")</f>
        <v> হামিদুল </v>
      </c>
      <c r="F462" s="3" t="str">
        <f>IFERROR(__xludf.DUMMYFUNCTION("""COMPUTED_VALUE""")," রজিনা ")</f>
        <v> রজিনা </v>
      </c>
      <c r="G462" s="3" t="str">
        <f>IFERROR(__xludf.DUMMYFUNCTION("""COMPUTED_VALUE""")," ১০/১১/১৯৯৫ ")</f>
        <v> ১০/১১/১৯৯৫ </v>
      </c>
      <c r="H462" s="3" t="str">
        <f>IFERROR(__xludf.DUMMYFUNCTION("""COMPUTED_VALUE""")," ছাত্র/ছাত্রী ")</f>
        <v> ছাত্র/ছাত্রী </v>
      </c>
      <c r="I462" s="3" t="str">
        <f>IFERROR(__xludf.DUMMYFUNCTION("""COMPUTED_VALUE""")," আহাদ মোড়, জালতকা, গাংনী, মেহেরপুর ")</f>
        <v> আহাদ মোড়, জালতকা, গাংনী, মেহেরপুর </v>
      </c>
    </row>
    <row r="463" ht="15.75" customHeight="1">
      <c r="A463" s="3" t="s">
        <v>3588</v>
      </c>
      <c r="B463" s="3">
        <f>IFERROR(__xludf.DUMMYFUNCTION("SPLIT(A463,""|"")"),627.0)</f>
        <v>627</v>
      </c>
      <c r="C463" s="3" t="str">
        <f>IFERROR(__xludf.DUMMYFUNCTION("""COMPUTED_VALUE""")," উসমান গনি ")</f>
        <v> উসমান গনি </v>
      </c>
      <c r="D463" s="3">
        <f>IFERROR(__xludf.DUMMYFUNCTION("""COMPUTED_VALUE"""),5.70056000214E11)</f>
        <v>570056000214</v>
      </c>
      <c r="E463" s="3" t="str">
        <f>IFERROR(__xludf.DUMMYFUNCTION("""COMPUTED_VALUE""")," রমজান আলী ")</f>
        <v> রমজান আলী </v>
      </c>
      <c r="F463" s="3" t="str">
        <f>IFERROR(__xludf.DUMMYFUNCTION("""COMPUTED_VALUE""")," সাহারবানু ")</f>
        <v> সাহারবানু </v>
      </c>
      <c r="G463" s="3" t="str">
        <f>IFERROR(__xludf.DUMMYFUNCTION("""COMPUTED_VALUE""")," ১৫/০৫/১৯৯০ ")</f>
        <v> ১৫/০৫/১৯৯০ </v>
      </c>
      <c r="H463" s="3" t="str">
        <f>IFERROR(__xludf.DUMMYFUNCTION("""COMPUTED_VALUE""")," দিনমজুর ")</f>
        <v> দিনমজুর </v>
      </c>
      <c r="I463" s="3" t="str">
        <f>IFERROR(__xludf.DUMMYFUNCTION("""COMPUTED_VALUE""")," উত্তরপাড়া, জালতকা, গাংনী, মেহেরপুর ")</f>
        <v> উত্তরপাড়া, জালতকা, গাংনী, মেহেরপুর </v>
      </c>
    </row>
    <row r="464" ht="15.75" customHeight="1">
      <c r="A464" s="3" t="s">
        <v>3589</v>
      </c>
      <c r="B464" s="3">
        <f>IFERROR(__xludf.DUMMYFUNCTION("SPLIT(A464,""|"")"),628.0)</f>
        <v>628</v>
      </c>
      <c r="C464" s="3" t="str">
        <f>IFERROR(__xludf.DUMMYFUNCTION("""COMPUTED_VALUE""")," মো: টুটুল আলী ")</f>
        <v> মো: টুটুল আলী </v>
      </c>
      <c r="D464" s="3">
        <f>IFERROR(__xludf.DUMMYFUNCTION("""COMPUTED_VALUE"""),5.70056000217E11)</f>
        <v>570056000217</v>
      </c>
      <c r="E464" s="3" t="str">
        <f>IFERROR(__xludf.DUMMYFUNCTION("""COMPUTED_VALUE""")," মো: মজনু ")</f>
        <v> মো: মজনু </v>
      </c>
      <c r="F464" s="3" t="str">
        <f>IFERROR(__xludf.DUMMYFUNCTION("""COMPUTED_VALUE""")," মোছা: জরিনা খাতুন ")</f>
        <v> মোছা: জরিনা খাতুন </v>
      </c>
      <c r="G464" s="3" t="str">
        <f>IFERROR(__xludf.DUMMYFUNCTION("""COMPUTED_VALUE""")," ০১/০৫/১৯৯৫ ")</f>
        <v> ০১/০৫/১৯৯৫ </v>
      </c>
      <c r="H464" s="3" t="str">
        <f>IFERROR(__xludf.DUMMYFUNCTION("""COMPUTED_VALUE""")," দিনমজুর ")</f>
        <v> দিনমজুর </v>
      </c>
      <c r="I464" s="3" t="str">
        <f>IFERROR(__xludf.DUMMYFUNCTION("""COMPUTED_VALUE""")," জালতকা, গাংনী, মেহেরপুর ")</f>
        <v> জালতকা, গাংনী, মেহেরপুর </v>
      </c>
    </row>
    <row r="465" ht="15.75" customHeight="1">
      <c r="A465" s="3" t="s">
        <v>3590</v>
      </c>
      <c r="B465" s="3">
        <f>IFERROR(__xludf.DUMMYFUNCTION("SPLIT(A465,""|"")"),629.0)</f>
        <v>629</v>
      </c>
      <c r="C465" s="3" t="str">
        <f>IFERROR(__xludf.DUMMYFUNCTION("""COMPUTED_VALUE""")," কবিরুল ")</f>
        <v> কবিরুল </v>
      </c>
      <c r="D465" s="3">
        <f>IFERROR(__xludf.DUMMYFUNCTION("""COMPUTED_VALUE"""),5.70056000218E11)</f>
        <v>570056000218</v>
      </c>
      <c r="E465" s="3" t="str">
        <f>IFERROR(__xludf.DUMMYFUNCTION("""COMPUTED_VALUE""")," কুদ্দুস ")</f>
        <v> কুদ্দুস </v>
      </c>
      <c r="F465" s="3" t="str">
        <f>IFERROR(__xludf.DUMMYFUNCTION("""COMPUTED_VALUE""")," অনজিরা ")</f>
        <v> অনজিরা </v>
      </c>
      <c r="G465" s="3" t="str">
        <f>IFERROR(__xludf.DUMMYFUNCTION("""COMPUTED_VALUE""")," ০৮/০২/১৯৮৯ ")</f>
        <v> ০৮/০২/১৯৮৯ </v>
      </c>
      <c r="H465" s="3" t="str">
        <f>IFERROR(__xludf.DUMMYFUNCTION("""COMPUTED_VALUE""")," দিনমজুর ")</f>
        <v> দিনমজুর </v>
      </c>
      <c r="I465" s="3" t="str">
        <f>IFERROR(__xludf.DUMMYFUNCTION("""COMPUTED_VALUE""")," ভিটাপাড়া, জালতকা, গাংনী, মেহেরপুর ")</f>
        <v> ভিটাপাড়া, জালতকা, গাংনী, মেহেরপুর </v>
      </c>
    </row>
    <row r="466" ht="15.75" customHeight="1">
      <c r="A466" s="3" t="s">
        <v>3591</v>
      </c>
      <c r="B466" s="3">
        <f>IFERROR(__xludf.DUMMYFUNCTION("SPLIT(A466,""|"")"),630.0)</f>
        <v>630</v>
      </c>
      <c r="C466" s="3" t="str">
        <f>IFERROR(__xludf.DUMMYFUNCTION("""COMPUTED_VALUE""")," মো: তোতা ")</f>
        <v> মো: তোতা </v>
      </c>
      <c r="D466" s="3">
        <f>IFERROR(__xludf.DUMMYFUNCTION("""COMPUTED_VALUE"""),5.70056000221E11)</f>
        <v>570056000221</v>
      </c>
      <c r="E466" s="3" t="str">
        <f>IFERROR(__xludf.DUMMYFUNCTION("""COMPUTED_VALUE""")," আনুহুদ্দিন ")</f>
        <v> আনুহুদ্দিন </v>
      </c>
      <c r="F466" s="3" t="str">
        <f>IFERROR(__xludf.DUMMYFUNCTION("""COMPUTED_VALUE""")," ফিরোজা খাতুন ")</f>
        <v> ফিরোজা খাতুন </v>
      </c>
      <c r="G466" s="3" t="str">
        <f>IFERROR(__xludf.DUMMYFUNCTION("""COMPUTED_VALUE""")," ০৭/১১/১৯৮৬ ")</f>
        <v> ০৭/১১/১৯৮৬ </v>
      </c>
      <c r="H466" s="3" t="str">
        <f>IFERROR(__xludf.DUMMYFUNCTION("""COMPUTED_VALUE""")," শ্রমিক ")</f>
        <v> শ্রমিক </v>
      </c>
      <c r="I466" s="3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467" ht="15.75" customHeight="1">
      <c r="A467" s="3" t="s">
        <v>3592</v>
      </c>
      <c r="B467" s="3">
        <f>IFERROR(__xludf.DUMMYFUNCTION("SPLIT(A467,""|"")"),631.0)</f>
        <v>631</v>
      </c>
      <c r="C467" s="3" t="str">
        <f>IFERROR(__xludf.DUMMYFUNCTION("""COMPUTED_VALUE""")," আ: বারী ")</f>
        <v> আ: বারী </v>
      </c>
      <c r="D467" s="3">
        <f>IFERROR(__xludf.DUMMYFUNCTION("""COMPUTED_VALUE"""),5.70056000229E11)</f>
        <v>570056000229</v>
      </c>
      <c r="E467" s="3" t="str">
        <f>IFERROR(__xludf.DUMMYFUNCTION("""COMPUTED_VALUE""")," আবুল হোসেন ")</f>
        <v> আবুল হোসেন </v>
      </c>
      <c r="F467" s="3" t="str">
        <f>IFERROR(__xludf.DUMMYFUNCTION("""COMPUTED_VALUE""")," মোছা: সাহিদা খাতুন ")</f>
        <v> মোছা: সাহিদা খাতুন </v>
      </c>
      <c r="G467" s="3" t="str">
        <f>IFERROR(__xludf.DUMMYFUNCTION("""COMPUTED_VALUE""")," ১৪/০৩/১৯৭৪ ")</f>
        <v> ১৪/০৩/১৯৭৪ </v>
      </c>
      <c r="H467" s="3" t="str">
        <f>IFERROR(__xludf.DUMMYFUNCTION("""COMPUTED_VALUE""")," ব্যবসা ")</f>
        <v> ব্যবসা </v>
      </c>
      <c r="I467" s="3" t="str">
        <f>IFERROR(__xludf.DUMMYFUNCTION("""COMPUTED_VALUE""")," জালতকা, গাংনী, মেহেরপুর ")</f>
        <v> জালতকা, গাংনী, মেহেরপুর </v>
      </c>
    </row>
    <row r="468" ht="15.75" customHeight="1">
      <c r="A468" s="3" t="s">
        <v>3593</v>
      </c>
      <c r="B468" s="3">
        <f>IFERROR(__xludf.DUMMYFUNCTION("SPLIT(A468,""|"")"),632.0)</f>
        <v>632</v>
      </c>
      <c r="C468" s="3" t="str">
        <f>IFERROR(__xludf.DUMMYFUNCTION("""COMPUTED_VALUE""")," মো: রকিবুল ")</f>
        <v> মো: রকিবুল </v>
      </c>
      <c r="D468" s="3">
        <f>IFERROR(__xludf.DUMMYFUNCTION("""COMPUTED_VALUE"""),5.7005600023E11)</f>
        <v>570056000230</v>
      </c>
      <c r="E468" s="3" t="str">
        <f>IFERROR(__xludf.DUMMYFUNCTION("""COMPUTED_VALUE""")," রইছ উদ্দীন ")</f>
        <v> রইছ উদ্দীন </v>
      </c>
      <c r="F468" s="3" t="str">
        <f>IFERROR(__xludf.DUMMYFUNCTION("""COMPUTED_VALUE""")," সুবারন নেছা ")</f>
        <v> সুবারন নেছা </v>
      </c>
      <c r="G468" s="3" t="str">
        <f>IFERROR(__xludf.DUMMYFUNCTION("""COMPUTED_VALUE""")," ২৭/১১/১৯৮৯ ")</f>
        <v> ২৭/১১/১৯৮৯ </v>
      </c>
      <c r="H468" s="3" t="str">
        <f>IFERROR(__xludf.DUMMYFUNCTION("""COMPUTED_VALUE""")," শ্রমিক ")</f>
        <v> শ্রমিক </v>
      </c>
      <c r="I468" s="3" t="str">
        <f>IFERROR(__xludf.DUMMYFUNCTION("""COMPUTED_VALUE""")," জালতকা, গাংনী, মেহেরপুর ")</f>
        <v> জালতকা, গাংনী, মেহেরপুর </v>
      </c>
    </row>
    <row r="469" ht="15.75" customHeight="1">
      <c r="A469" s="3" t="s">
        <v>3594</v>
      </c>
      <c r="B469" s="3">
        <f>IFERROR(__xludf.DUMMYFUNCTION("SPLIT(A469,""|"")"),633.0)</f>
        <v>633</v>
      </c>
      <c r="C469" s="3" t="str">
        <f>IFERROR(__xludf.DUMMYFUNCTION("""COMPUTED_VALUE""")," ঝন্টু আলি ")</f>
        <v> ঝন্টু আলি </v>
      </c>
      <c r="D469" s="3">
        <f>IFERROR(__xludf.DUMMYFUNCTION("""COMPUTED_VALUE"""),5.70056000232E11)</f>
        <v>570056000232</v>
      </c>
      <c r="E469" s="3" t="str">
        <f>IFERROR(__xludf.DUMMYFUNCTION("""COMPUTED_VALUE""")," এনামুল হক ")</f>
        <v> এনামুল হক </v>
      </c>
      <c r="F469" s="3" t="str">
        <f>IFERROR(__xludf.DUMMYFUNCTION("""COMPUTED_VALUE""")," নাজেরা খাতুন ")</f>
        <v> নাজেরা খাতুন </v>
      </c>
      <c r="G469" s="3" t="str">
        <f>IFERROR(__xludf.DUMMYFUNCTION("""COMPUTED_VALUE""")," ০১/০১/১৯৯৬ ")</f>
        <v> ০১/০১/১৯৯৬ </v>
      </c>
      <c r="H469" s="3" t="str">
        <f>IFERROR(__xludf.DUMMYFUNCTION("""COMPUTED_VALUE""")," কৃষক ")</f>
        <v> কৃষক </v>
      </c>
      <c r="I469" s="3" t="str">
        <f>IFERROR(__xludf.DUMMYFUNCTION("""COMPUTED_VALUE""")," ভিটাপাড়া, জালতকা, গাংনী, মেহেরপুর ")</f>
        <v> ভিটাপাড়া, জালতকা, গাংনী, মেহেরপুর </v>
      </c>
    </row>
    <row r="470" ht="15.75" customHeight="1">
      <c r="A470" s="3" t="s">
        <v>3595</v>
      </c>
      <c r="B470" s="3">
        <f>IFERROR(__xludf.DUMMYFUNCTION("SPLIT(A470,""|"")"),634.0)</f>
        <v>634</v>
      </c>
      <c r="C470" s="3" t="str">
        <f>IFERROR(__xludf.DUMMYFUNCTION("""COMPUTED_VALUE""")," শাহিনুজ্জামান ")</f>
        <v> শাহিনুজ্জামান </v>
      </c>
      <c r="D470" s="3">
        <f>IFERROR(__xludf.DUMMYFUNCTION("""COMPUTED_VALUE"""),5.70056000233E11)</f>
        <v>570056000233</v>
      </c>
      <c r="E470" s="3" t="str">
        <f>IFERROR(__xludf.DUMMYFUNCTION("""COMPUTED_VALUE""")," বানারুল হক ")</f>
        <v> বানারুল হক </v>
      </c>
      <c r="F470" s="3" t="str">
        <f>IFERROR(__xludf.DUMMYFUNCTION("""COMPUTED_VALUE""")," রমেছা খাতুন ")</f>
        <v> রমেছা খাতুন </v>
      </c>
      <c r="G470" s="3" t="str">
        <f>IFERROR(__xludf.DUMMYFUNCTION("""COMPUTED_VALUE""")," ০১/০৪/১৯৯৩ ")</f>
        <v> ০১/০৪/১৯৯৩ </v>
      </c>
      <c r="H470" s="3" t="str">
        <f>IFERROR(__xludf.DUMMYFUNCTION("""COMPUTED_VALUE""")," শ্রমিক ")</f>
        <v> শ্রমিক </v>
      </c>
      <c r="I470" s="3" t="str">
        <f>IFERROR(__xludf.DUMMYFUNCTION("""COMPUTED_VALUE""")," ভিটাপাড়া, জালতকা, গাংনী, মেহেরপুর ")</f>
        <v> ভিটাপাড়া, জালতকা, গাংনী, মেহেরপুর </v>
      </c>
    </row>
    <row r="471" ht="15.75" customHeight="1">
      <c r="A471" s="3" t="s">
        <v>3596</v>
      </c>
      <c r="B471" s="3">
        <f>IFERROR(__xludf.DUMMYFUNCTION("SPLIT(A471,""|"")"),635.0)</f>
        <v>635</v>
      </c>
      <c r="C471" s="3" t="str">
        <f>IFERROR(__xludf.DUMMYFUNCTION("""COMPUTED_VALUE""")," মো: নাজমুল ")</f>
        <v> মো: নাজমুল </v>
      </c>
      <c r="D471" s="3">
        <f>IFERROR(__xludf.DUMMYFUNCTION("""COMPUTED_VALUE"""),5.70056000234E11)</f>
        <v>570056000234</v>
      </c>
      <c r="E471" s="3" t="str">
        <f>IFERROR(__xludf.DUMMYFUNCTION("""COMPUTED_VALUE""")," আলতাব হোসেন ")</f>
        <v> আলতাব হোসেন </v>
      </c>
      <c r="F471" s="3" t="str">
        <f>IFERROR(__xludf.DUMMYFUNCTION("""COMPUTED_VALUE""")," জেসমিন খাতুন ")</f>
        <v> জেসমিন খাতুন </v>
      </c>
      <c r="G471" s="3" t="str">
        <f>IFERROR(__xludf.DUMMYFUNCTION("""COMPUTED_VALUE""")," ২৫/০৩/১৯৯০ ")</f>
        <v> ২৫/০৩/১৯৯০ </v>
      </c>
      <c r="H471" s="3" t="str">
        <f>IFERROR(__xludf.DUMMYFUNCTION("""COMPUTED_VALUE""")," শ্রমিক ")</f>
        <v> শ্রমিক </v>
      </c>
      <c r="I471" s="3" t="str">
        <f>IFERROR(__xludf.DUMMYFUNCTION("""COMPUTED_VALUE""")," বালিপাড়া, কসবা, গাংনী, মেহেরপুর ")</f>
        <v> বালিপাড়া, কসবা, গাংনী, মেহেরপুর </v>
      </c>
    </row>
    <row r="472" ht="15.75" customHeight="1">
      <c r="A472" s="3" t="s">
        <v>3597</v>
      </c>
      <c r="B472" s="3">
        <f>IFERROR(__xludf.DUMMYFUNCTION("SPLIT(A472,""|"")"),636.0)</f>
        <v>636</v>
      </c>
      <c r="C472" s="3" t="str">
        <f>IFERROR(__xludf.DUMMYFUNCTION("""COMPUTED_VALUE""")," ছালাম ")</f>
        <v> ছালাম </v>
      </c>
      <c r="D472" s="3">
        <f>IFERROR(__xludf.DUMMYFUNCTION("""COMPUTED_VALUE"""),5.70056000236E11)</f>
        <v>570056000236</v>
      </c>
      <c r="E472" s="3" t="str">
        <f>IFERROR(__xludf.DUMMYFUNCTION("""COMPUTED_VALUE""")," রাইতাল ")</f>
        <v> রাইতাল </v>
      </c>
      <c r="F472" s="3" t="str">
        <f>IFERROR(__xludf.DUMMYFUNCTION("""COMPUTED_VALUE""")," রাহেলা ")</f>
        <v> রাহেলা </v>
      </c>
      <c r="G472" s="3" t="str">
        <f>IFERROR(__xludf.DUMMYFUNCTION("""COMPUTED_VALUE""")," ০৫/০১/১৯৮৯ ")</f>
        <v> ০৫/০১/১৯৮৯ </v>
      </c>
      <c r="H472" s="3" t="str">
        <f>IFERROR(__xludf.DUMMYFUNCTION("""COMPUTED_VALUE""")," শ্রমিক ")</f>
        <v> শ্রমিক </v>
      </c>
      <c r="I472" s="3" t="str">
        <f>IFERROR(__xludf.DUMMYFUNCTION("""COMPUTED_VALUE""")," মসজিদপাড়া, জালতকা, গাংনী, মেহেরপুর ")</f>
        <v> মসজিদপাড়া, জালতকা, গাংনী, মেহেরপুর </v>
      </c>
    </row>
    <row r="473" ht="15.75" customHeight="1">
      <c r="A473" s="3" t="s">
        <v>3598</v>
      </c>
      <c r="B473" s="3">
        <f>IFERROR(__xludf.DUMMYFUNCTION("SPLIT(A473,""|"")"),637.0)</f>
        <v>637</v>
      </c>
      <c r="C473" s="3" t="str">
        <f>IFERROR(__xludf.DUMMYFUNCTION("""COMPUTED_VALUE""")," মো: তোতা মিয়া ")</f>
        <v> মো: তোতা মিয়া </v>
      </c>
      <c r="D473" s="3">
        <f>IFERROR(__xludf.DUMMYFUNCTION("""COMPUTED_VALUE"""),5.70056000237E11)</f>
        <v>570056000237</v>
      </c>
      <c r="E473" s="3" t="str">
        <f>IFERROR(__xludf.DUMMYFUNCTION("""COMPUTED_VALUE""")," মো: সিদ্দিক আলী ")</f>
        <v> মো: সিদ্দিক আলী </v>
      </c>
      <c r="F473" s="3" t="str">
        <f>IFERROR(__xludf.DUMMYFUNCTION("""COMPUTED_VALUE""")," মেহের নিগার ")</f>
        <v> মেহের নিগার </v>
      </c>
      <c r="G473" s="3" t="str">
        <f>IFERROR(__xludf.DUMMYFUNCTION("""COMPUTED_VALUE""")," ০২/০১/১৯৯৬ ")</f>
        <v> ০২/০১/১৯৯৬ </v>
      </c>
      <c r="H473" s="3" t="str">
        <f>IFERROR(__xludf.DUMMYFUNCTION("""COMPUTED_VALUE""")," শ্রমিক ")</f>
        <v> শ্রমিক </v>
      </c>
      <c r="I473" s="3" t="str">
        <f>IFERROR(__xludf.DUMMYFUNCTION("""COMPUTED_VALUE""")," জালতকা, গাংনী, মেহেরপুর ")</f>
        <v> জালতকা, গাংনী, মেহেরপুর </v>
      </c>
    </row>
    <row r="474" ht="15.75" customHeight="1">
      <c r="A474" s="3" t="s">
        <v>3599</v>
      </c>
      <c r="B474" s="3">
        <f>IFERROR(__xludf.DUMMYFUNCTION("SPLIT(A474,""|"")"),638.0)</f>
        <v>638</v>
      </c>
      <c r="C474" s="3" t="str">
        <f>IFERROR(__xludf.DUMMYFUNCTION("""COMPUTED_VALUE""")," মো: সুজন আলী ")</f>
        <v> মো: সুজন আলী </v>
      </c>
      <c r="D474" s="3">
        <f>IFERROR(__xludf.DUMMYFUNCTION("""COMPUTED_VALUE"""),5.70056000241E11)</f>
        <v>570056000241</v>
      </c>
      <c r="E474" s="3" t="str">
        <f>IFERROR(__xludf.DUMMYFUNCTION("""COMPUTED_VALUE""")," মো: সাগর ভাষা ")</f>
        <v> মো: সাগর ভাষা </v>
      </c>
      <c r="F474" s="3" t="str">
        <f>IFERROR(__xludf.DUMMYFUNCTION("""COMPUTED_VALUE""")," মোছা: মলিদা খাতুন ")</f>
        <v> মোছা: মলিদা খাতুন </v>
      </c>
      <c r="G474" s="3" t="str">
        <f>IFERROR(__xludf.DUMMYFUNCTION("""COMPUTED_VALUE""")," ২০/০৬/১৯৮৯ ")</f>
        <v> ২০/০৬/১৯৮৯ </v>
      </c>
      <c r="H474" s="3" t="str">
        <f>IFERROR(__xludf.DUMMYFUNCTION("""COMPUTED_VALUE""")," দিনমজুর ")</f>
        <v> দিনমজুর </v>
      </c>
      <c r="I474" s="3" t="str">
        <f>IFERROR(__xludf.DUMMYFUNCTION("""COMPUTED_VALUE""")," জালতকা, গাংনী, মেহেরপুর ")</f>
        <v> জালতকা, গাংনী, মেহেরপুর </v>
      </c>
    </row>
    <row r="475" ht="15.75" customHeight="1">
      <c r="A475" s="3" t="s">
        <v>3600</v>
      </c>
      <c r="B475" s="3">
        <f>IFERROR(__xludf.DUMMYFUNCTION("SPLIT(A475,""|"")"),639.0)</f>
        <v>639</v>
      </c>
      <c r="C475" s="3" t="str">
        <f>IFERROR(__xludf.DUMMYFUNCTION("""COMPUTED_VALUE""")," হাকিম ")</f>
        <v> হাকিম </v>
      </c>
      <c r="D475" s="3">
        <f>IFERROR(__xludf.DUMMYFUNCTION("""COMPUTED_VALUE"""),5.70056000242E11)</f>
        <v>570056000242</v>
      </c>
      <c r="E475" s="3" t="str">
        <f>IFERROR(__xludf.DUMMYFUNCTION("""COMPUTED_VALUE""")," গফ্ফার আলী ")</f>
        <v> গফ্ফার আলী </v>
      </c>
      <c r="F475" s="3" t="str">
        <f>IFERROR(__xludf.DUMMYFUNCTION("""COMPUTED_VALUE""")," মোছা: জুলেখা খাতুন ")</f>
        <v> মোছা: জুলেখা খাতুন </v>
      </c>
      <c r="G475" s="3" t="str">
        <f>IFERROR(__xludf.DUMMYFUNCTION("""COMPUTED_VALUE""")," ২৭/০২/১৯৯১ ")</f>
        <v> ২৭/০২/১৯৯১ </v>
      </c>
      <c r="H475" s="3" t="str">
        <f>IFERROR(__xludf.DUMMYFUNCTION("""COMPUTED_VALUE""")," শ্রমিক ")</f>
        <v> শ্রমিক </v>
      </c>
      <c r="I475" s="3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476" ht="15.75" customHeight="1">
      <c r="A476" s="3" t="s">
        <v>3601</v>
      </c>
      <c r="B476" s="3">
        <f>IFERROR(__xludf.DUMMYFUNCTION("SPLIT(A476,""|"")"),640.0)</f>
        <v>640</v>
      </c>
      <c r="C476" s="3" t="str">
        <f>IFERROR(__xludf.DUMMYFUNCTION("""COMPUTED_VALUE""")," মো: ওবাইদুল্লাহ ")</f>
        <v> মো: ওবাইদুল্লাহ </v>
      </c>
      <c r="D476" s="3">
        <f>IFERROR(__xludf.DUMMYFUNCTION("""COMPUTED_VALUE"""),5.70056000248E11)</f>
        <v>570056000248</v>
      </c>
      <c r="E476" s="3" t="str">
        <f>IFERROR(__xludf.DUMMYFUNCTION("""COMPUTED_VALUE""")," মো: জমসেদ আলী ")</f>
        <v> মো: জমসেদ আলী </v>
      </c>
      <c r="F476" s="3" t="str">
        <f>IFERROR(__xludf.DUMMYFUNCTION("""COMPUTED_VALUE""")," মোছা: হালিমা খাতুন ")</f>
        <v> মোছা: হালিমা খাতুন </v>
      </c>
      <c r="G476" s="3" t="str">
        <f>IFERROR(__xludf.DUMMYFUNCTION("""COMPUTED_VALUE""")," ০৮/০৯/১৯৯৬ ")</f>
        <v> ০৮/০৯/১৯৯৬ </v>
      </c>
      <c r="H476" s="3" t="str">
        <f>IFERROR(__xludf.DUMMYFUNCTION("""COMPUTED_VALUE""")," ছাত্র/ছাত্রী ")</f>
        <v> ছাত্র/ছাত্রী </v>
      </c>
      <c r="I476" s="3" t="str">
        <f>IFERROR(__xludf.DUMMYFUNCTION("""COMPUTED_VALUE""")," জালতকা, গাংনী, মেহেরপুর ")</f>
        <v> জালতকা, গাংনী, মেহেরপুর </v>
      </c>
    </row>
    <row r="477" ht="15.75" customHeight="1">
      <c r="A477" s="3" t="s">
        <v>3602</v>
      </c>
      <c r="B477" s="3">
        <f>IFERROR(__xludf.DUMMYFUNCTION("SPLIT(A477,""|"")"),641.0)</f>
        <v>641</v>
      </c>
      <c r="C477" s="3" t="str">
        <f>IFERROR(__xludf.DUMMYFUNCTION("""COMPUTED_VALUE""")," মো: ওয়াসিম রেজা ")</f>
        <v> মো: ওয়াসিম রেজা </v>
      </c>
      <c r="D477" s="3">
        <f>IFERROR(__xludf.DUMMYFUNCTION("""COMPUTED_VALUE"""),5.70056000251E11)</f>
        <v>570056000251</v>
      </c>
      <c r="E477" s="3" t="str">
        <f>IFERROR(__xludf.DUMMYFUNCTION("""COMPUTED_VALUE""")," নজরুল ইসলাম ")</f>
        <v> নজরুল ইসলাম </v>
      </c>
      <c r="F477" s="3" t="str">
        <f>IFERROR(__xludf.DUMMYFUNCTION("""COMPUTED_VALUE""")," বানিয়া খাতুন ")</f>
        <v> বানিয়া খাতুন </v>
      </c>
      <c r="G477" s="3" t="str">
        <f>IFERROR(__xludf.DUMMYFUNCTION("""COMPUTED_VALUE""")," ০১/১১/১৯৯৬ ")</f>
        <v> ০১/১১/১৯৯৬ </v>
      </c>
      <c r="H477" s="3" t="str">
        <f>IFERROR(__xludf.DUMMYFUNCTION("""COMPUTED_VALUE""")," ছাত্র/ছাত্রী ")</f>
        <v> ছাত্র/ছাত্রী </v>
      </c>
      <c r="I477" s="3" t="str">
        <f>IFERROR(__xludf.DUMMYFUNCTION("""COMPUTED_VALUE""")," জালতকা, গাংনী, মেহেরপুর ")</f>
        <v> জালতকা, গাংনী, মেহেরপুর </v>
      </c>
    </row>
    <row r="478" ht="15.75" customHeight="1">
      <c r="A478" s="3" t="s">
        <v>3603</v>
      </c>
      <c r="B478" s="3">
        <f>IFERROR(__xludf.DUMMYFUNCTION("SPLIT(A478,""|"")"),642.0)</f>
        <v>642</v>
      </c>
      <c r="C478" s="3" t="str">
        <f>IFERROR(__xludf.DUMMYFUNCTION("""COMPUTED_VALUE""")," মো: সুজন আলী ")</f>
        <v> মো: সুজন আলী </v>
      </c>
      <c r="D478" s="3">
        <f>IFERROR(__xludf.DUMMYFUNCTION("""COMPUTED_VALUE"""),5.70056000253E11)</f>
        <v>570056000253</v>
      </c>
      <c r="E478" s="3" t="str">
        <f>IFERROR(__xludf.DUMMYFUNCTION("""COMPUTED_VALUE""")," ইসলাম আলী ")</f>
        <v> ইসলাম আলী </v>
      </c>
      <c r="F478" s="3" t="str">
        <f>IFERROR(__xludf.DUMMYFUNCTION("""COMPUTED_VALUE""")," ফিরোজা খাতুন ")</f>
        <v> ফিরোজা খাতুন </v>
      </c>
      <c r="G478" s="3" t="str">
        <f>IFERROR(__xludf.DUMMYFUNCTION("""COMPUTED_VALUE""")," ২১/০১/১৯৯৭ ")</f>
        <v> ২১/০১/১৯৯৭ </v>
      </c>
      <c r="H478" s="3" t="str">
        <f>IFERROR(__xludf.DUMMYFUNCTION("""COMPUTED_VALUE""")," দিনমজুর ")</f>
        <v> দিনমজুর </v>
      </c>
      <c r="I478" s="3" t="str">
        <f>IFERROR(__xludf.DUMMYFUNCTION("""COMPUTED_VALUE""")," ভিটা পাড়া, জালতকা, গাংনী, মেহেরপুর ")</f>
        <v> ভিটা পাড়া, জালতকা, গাংনী, মেহেরপুর </v>
      </c>
    </row>
    <row r="479" ht="15.75" customHeight="1">
      <c r="A479" s="3" t="s">
        <v>3604</v>
      </c>
      <c r="B479" s="3">
        <f>IFERROR(__xludf.DUMMYFUNCTION("SPLIT(A479,""|"")"),643.0)</f>
        <v>643</v>
      </c>
      <c r="C479" s="3" t="str">
        <f>IFERROR(__xludf.DUMMYFUNCTION("""COMPUTED_VALUE""")," মো: জুলফিকুর আলি ")</f>
        <v> মো: জুলফিকুর আলি </v>
      </c>
      <c r="D479" s="3">
        <f>IFERROR(__xludf.DUMMYFUNCTION("""COMPUTED_VALUE"""),5.70056000254E11)</f>
        <v>570056000254</v>
      </c>
      <c r="E479" s="3" t="str">
        <f>IFERROR(__xludf.DUMMYFUNCTION("""COMPUTED_VALUE""")," ইয়াসিন আলি ")</f>
        <v> ইয়াসিন আলি </v>
      </c>
      <c r="F479" s="3" t="str">
        <f>IFERROR(__xludf.DUMMYFUNCTION("""COMPUTED_VALUE""")," জুলেখা খাতুন ")</f>
        <v> জুলেখা খাতুন </v>
      </c>
      <c r="G479" s="3" t="str">
        <f>IFERROR(__xludf.DUMMYFUNCTION("""COMPUTED_VALUE""")," ০৪/০১/১৯৯৭ ")</f>
        <v> ০৪/০১/১৯৯৭ </v>
      </c>
      <c r="H479" s="3" t="str">
        <f>IFERROR(__xludf.DUMMYFUNCTION("""COMPUTED_VALUE""")," কৃষক ")</f>
        <v> কৃষক </v>
      </c>
      <c r="I479" s="3" t="str">
        <f>IFERROR(__xludf.DUMMYFUNCTION("""COMPUTED_VALUE""")," জালতকা বালিয়া পাড়া, জালতকা, গাংনী, মেহেরপুর ")</f>
        <v> জালতকা বালিয়া পাড়া, জালতকা, গাংনী, মেহেরপুর </v>
      </c>
    </row>
    <row r="480" ht="15.75" customHeight="1">
      <c r="A480" s="3" t="s">
        <v>3605</v>
      </c>
      <c r="B480" s="3">
        <f>IFERROR(__xludf.DUMMYFUNCTION("SPLIT(A480,""|"")"),644.0)</f>
        <v>644</v>
      </c>
      <c r="C480" s="3" t="str">
        <f>IFERROR(__xludf.DUMMYFUNCTION("""COMPUTED_VALUE""")," মো: মনোয়ার হোসেন ")</f>
        <v> মো: মনোয়ার হোসেন </v>
      </c>
      <c r="D480" s="3">
        <f>IFERROR(__xludf.DUMMYFUNCTION("""COMPUTED_VALUE"""),5.7005600026E11)</f>
        <v>570056000260</v>
      </c>
      <c r="E480" s="3" t="str">
        <f>IFERROR(__xludf.DUMMYFUNCTION("""COMPUTED_VALUE""")," মো: আ: মজিদ ")</f>
        <v> মো: আ: মজিদ </v>
      </c>
      <c r="F480" s="3" t="str">
        <f>IFERROR(__xludf.DUMMYFUNCTION("""COMPUTED_VALUE""")," মোছা: সারজিনা খাতুন ")</f>
        <v> মোছা: সারজিনা খাতুন </v>
      </c>
      <c r="G480" s="3" t="str">
        <f>IFERROR(__xludf.DUMMYFUNCTION("""COMPUTED_VALUE""")," ২৮/১১/১৯৯৭ ")</f>
        <v> ২৮/১১/১৯৯৭ </v>
      </c>
      <c r="H480" s="3" t="str">
        <f>IFERROR(__xludf.DUMMYFUNCTION("""COMPUTED_VALUE""")," শ্রমিক ")</f>
        <v> শ্রমিক </v>
      </c>
      <c r="I480" s="3" t="str">
        <f>IFERROR(__xludf.DUMMYFUNCTION("""COMPUTED_VALUE""")," জালতকা দাঁড়িয়া পাড়া, জালতকা, গাংনী, মেহেরপুর ")</f>
        <v> জালতকা দাঁড়িয়া পাড়া, জালতকা, গাংনী, মেহেরপুর </v>
      </c>
    </row>
    <row r="481" ht="15.75" customHeight="1">
      <c r="A481" s="3" t="s">
        <v>3606</v>
      </c>
      <c r="B481" s="3">
        <f>IFERROR(__xludf.DUMMYFUNCTION("SPLIT(A481,""|"")"),645.0)</f>
        <v>645</v>
      </c>
      <c r="C481" s="3" t="str">
        <f>IFERROR(__xludf.DUMMYFUNCTION("""COMPUTED_VALUE""")," সুজন আলী ")</f>
        <v> সুজন আলী </v>
      </c>
      <c r="D481" s="3">
        <f>IFERROR(__xludf.DUMMYFUNCTION("""COMPUTED_VALUE"""),5.70056000261E11)</f>
        <v>570056000261</v>
      </c>
      <c r="E481" s="3" t="str">
        <f>IFERROR(__xludf.DUMMYFUNCTION("""COMPUTED_VALUE""")," মো: ইকারুদ্দীন ")</f>
        <v> মো: ইকারুদ্দীন </v>
      </c>
      <c r="F481" s="3" t="str">
        <f>IFERROR(__xludf.DUMMYFUNCTION("""COMPUTED_VALUE""")," সুলতানা খাতুন ")</f>
        <v> সুলতানা খাতুন </v>
      </c>
      <c r="G481" s="3" t="str">
        <f>IFERROR(__xludf.DUMMYFUNCTION("""COMPUTED_VALUE""")," ১৮/১১/১৯৯০ ")</f>
        <v> ১৮/১১/১৯৯০ </v>
      </c>
      <c r="H481" s="3" t="str">
        <f>IFERROR(__xludf.DUMMYFUNCTION("""COMPUTED_VALUE""")," ব্যবসা ")</f>
        <v> ব্যবসা </v>
      </c>
      <c r="I481" s="3" t="str">
        <f>IFERROR(__xludf.DUMMYFUNCTION("""COMPUTED_VALUE""")," মোল্লা পাড়া, জালতকা, গাংনী, মেহেরপুর ")</f>
        <v> মোল্লা পাড়া, জালতকা, গাংনী, মেহেরপুর </v>
      </c>
    </row>
    <row r="482" ht="15.75" customHeight="1">
      <c r="A482" s="3" t="s">
        <v>3138</v>
      </c>
      <c r="B482" s="3" t="str">
        <f>IFERROR(__xludf.DUMMYFUNCTION("SPLIT(A482,""|"")")," ক্রমিক নং ")</f>
        <v> ক্রমিক নং </v>
      </c>
      <c r="C482" s="3" t="str">
        <f>IFERROR(__xludf.DUMMYFUNCTION("""COMPUTED_VALUE""")," নাম ")</f>
        <v> নাম </v>
      </c>
      <c r="D482" s="3" t="str">
        <f>IFERROR(__xludf.DUMMYFUNCTION("""COMPUTED_VALUE""")," ভোটার নং ")</f>
        <v> ভোটার নং </v>
      </c>
      <c r="E482" s="3" t="str">
        <f>IFERROR(__xludf.DUMMYFUNCTION("""COMPUTED_VALUE""")," পিতা ")</f>
        <v> পিতা </v>
      </c>
      <c r="F482" s="3" t="str">
        <f>IFERROR(__xludf.DUMMYFUNCTION("""COMPUTED_VALUE""")," মাতা ")</f>
        <v> মাতা </v>
      </c>
      <c r="G482" s="3" t="str">
        <f>IFERROR(__xludf.DUMMYFUNCTION("""COMPUTED_VALUE""")," জন্ম তারিখ ")</f>
        <v> জন্ম তারিখ </v>
      </c>
      <c r="H482" s="3" t="str">
        <f>IFERROR(__xludf.DUMMYFUNCTION("""COMPUTED_VALUE""")," পেশা ")</f>
        <v> পেশা </v>
      </c>
      <c r="I482" s="3" t="str">
        <f>IFERROR(__xludf.DUMMYFUNCTION("""COMPUTED_VALUE""")," ঠিকানা ")</f>
        <v> ঠিকানা </v>
      </c>
    </row>
    <row r="483" ht="15.75" customHeight="1">
      <c r="A483" s="3" t="s">
        <v>3139</v>
      </c>
      <c r="B483" s="3" t="str">
        <f>IFERROR(__xludf.DUMMYFUNCTION("SPLIT(A483,""|"")"),"---")</f>
        <v>---</v>
      </c>
      <c r="C483" s="3" t="str">
        <f>IFERROR(__xludf.DUMMYFUNCTION("""COMPUTED_VALUE"""),"---")</f>
        <v>---</v>
      </c>
      <c r="D483" s="3" t="str">
        <f>IFERROR(__xludf.DUMMYFUNCTION("""COMPUTED_VALUE"""),"---")</f>
        <v>---</v>
      </c>
      <c r="E483" s="3" t="str">
        <f>IFERROR(__xludf.DUMMYFUNCTION("""COMPUTED_VALUE"""),"---")</f>
        <v>---</v>
      </c>
      <c r="F483" s="3" t="str">
        <f>IFERROR(__xludf.DUMMYFUNCTION("""COMPUTED_VALUE"""),"---")</f>
        <v>---</v>
      </c>
      <c r="G483" s="3" t="str">
        <f>IFERROR(__xludf.DUMMYFUNCTION("""COMPUTED_VALUE"""),"---")</f>
        <v>---</v>
      </c>
      <c r="H483" s="3" t="str">
        <f>IFERROR(__xludf.DUMMYFUNCTION("""COMPUTED_VALUE"""),"---")</f>
        <v>---</v>
      </c>
      <c r="I483" s="3" t="str">
        <f>IFERROR(__xludf.DUMMYFUNCTION("""COMPUTED_VALUE"""),"---")</f>
        <v>---</v>
      </c>
    </row>
    <row r="484" ht="15.75" customHeight="1">
      <c r="A484" s="3" t="s">
        <v>3607</v>
      </c>
      <c r="B484" s="3">
        <f>IFERROR(__xludf.DUMMYFUNCTION("SPLIT(A484,""|"")"),646.0)</f>
        <v>646</v>
      </c>
      <c r="C484" s="3" t="str">
        <f>IFERROR(__xludf.DUMMYFUNCTION("""COMPUTED_VALUE""")," মোঃ নাজিম ")</f>
        <v> মোঃ নাজিম </v>
      </c>
      <c r="D484" s="3">
        <f>IFERROR(__xludf.DUMMYFUNCTION("""COMPUTED_VALUE"""),5.70056000262E11)</f>
        <v>570056000262</v>
      </c>
      <c r="E484" s="3" t="str">
        <f>IFERROR(__xludf.DUMMYFUNCTION("""COMPUTED_VALUE""")," রশিদ ")</f>
        <v> রশিদ </v>
      </c>
      <c r="F484" s="3" t="str">
        <f>IFERROR(__xludf.DUMMYFUNCTION("""COMPUTED_VALUE""")," নাসিমা খাতুন ")</f>
        <v> নাসিমা খাতুন </v>
      </c>
      <c r="G484" s="3" t="str">
        <f>IFERROR(__xludf.DUMMYFUNCTION("""COMPUTED_VALUE""")," ০১/০৩/১৯৯০ ")</f>
        <v> ০১/০৩/১৯৯০ </v>
      </c>
      <c r="H484" s="3" t="str">
        <f>IFERROR(__xludf.DUMMYFUNCTION("""COMPUTED_VALUE""")," প্রবাসী ")</f>
        <v> প্রবাসী </v>
      </c>
      <c r="I484" s="3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485" ht="15.75" customHeight="1">
      <c r="A485" s="3" t="s">
        <v>3608</v>
      </c>
      <c r="B485" s="3">
        <f>IFERROR(__xludf.DUMMYFUNCTION("SPLIT(A485,""|"")"),647.0)</f>
        <v>647</v>
      </c>
      <c r="C485" s="3" t="str">
        <f>IFERROR(__xludf.DUMMYFUNCTION("""COMPUTED_VALUE""")," মোঃ ইকবাল হোসেন ")</f>
        <v> মোঃ ইকবাল হোসেন </v>
      </c>
      <c r="D485" s="3">
        <f>IFERROR(__xludf.DUMMYFUNCTION("""COMPUTED_VALUE"""),5.70056000263E11)</f>
        <v>570056000263</v>
      </c>
      <c r="E485" s="3" t="str">
        <f>IFERROR(__xludf.DUMMYFUNCTION("""COMPUTED_VALUE""")," মোঃ রুহুল আমিন ")</f>
        <v> মোঃ রুহুল আমিন </v>
      </c>
      <c r="F485" s="3" t="str">
        <f>IFERROR(__xludf.DUMMYFUNCTION("""COMPUTED_VALUE""")," মোছাঃ তানজিরা খাতুন ")</f>
        <v> মোছাঃ তানজিরা খাতুন </v>
      </c>
      <c r="G485" s="3" t="str">
        <f>IFERROR(__xludf.DUMMYFUNCTION("""COMPUTED_VALUE""")," ১৫/০২/১৯৭৭ ")</f>
        <v> ১৫/০২/১৯৭৭ </v>
      </c>
      <c r="H485" s="3" t="str">
        <f>IFERROR(__xludf.DUMMYFUNCTION("""COMPUTED_VALUE""")," সরকারী চাকুরী ")</f>
        <v> সরকারী চাকুরী </v>
      </c>
      <c r="I485" s="3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86" ht="15.75" customHeight="1">
      <c r="A486" s="3" t="s">
        <v>3609</v>
      </c>
      <c r="B486" s="3">
        <f>IFERROR(__xludf.DUMMYFUNCTION("SPLIT(A486,""|"")"),648.0)</f>
        <v>648</v>
      </c>
      <c r="C486" s="3" t="str">
        <f>IFERROR(__xludf.DUMMYFUNCTION("""COMPUTED_VALUE""")," মোঃ মিয়ারুল ইসলাম ")</f>
        <v> মোঃ মিয়ারুল ইসলাম </v>
      </c>
      <c r="D486" s="3">
        <f>IFERROR(__xludf.DUMMYFUNCTION("""COMPUTED_VALUE"""),5.70056000265E11)</f>
        <v>570056000265</v>
      </c>
      <c r="E486" s="3" t="str">
        <f>IFERROR(__xludf.DUMMYFUNCTION("""COMPUTED_VALUE""")," মোঃ আশাদুল ইসলাম ")</f>
        <v> মোঃ আশাদুল ইসলাম </v>
      </c>
      <c r="F486" s="3" t="str">
        <f>IFERROR(__xludf.DUMMYFUNCTION("""COMPUTED_VALUE""")," মোছাঃ আনোয়ারা খাতুন ")</f>
        <v> মোছাঃ আনোয়ারা খাতুন </v>
      </c>
      <c r="G486" s="3" t="str">
        <f>IFERROR(__xludf.DUMMYFUNCTION("""COMPUTED_VALUE""")," ০৫/০৯/১৯৯৬ ")</f>
        <v> ০৫/০৯/১৯৯৬ </v>
      </c>
      <c r="H486" s="3" t="str">
        <f>IFERROR(__xludf.DUMMYFUNCTION("""COMPUTED_VALUE""")," ছাত্র/ছাত্রী ")</f>
        <v> ছাত্র/ছাত্রী </v>
      </c>
      <c r="I486" s="3" t="str">
        <f>IFERROR(__xludf.DUMMYFUNCTION("""COMPUTED_VALUE""")," জালশুকা মধ্যপাড়া, জালশুকা, গাংনী, মেহেরপুর ")</f>
        <v> জালশুকা মধ্যপাড়া, জালশুকা, গাংনী, মেহেরপুর </v>
      </c>
    </row>
    <row r="487" ht="15.75" customHeight="1">
      <c r="A487" s="3" t="s">
        <v>3610</v>
      </c>
      <c r="B487" s="3">
        <f>IFERROR(__xludf.DUMMYFUNCTION("SPLIT(A487,""|"")"),649.0)</f>
        <v>649</v>
      </c>
      <c r="C487" s="3" t="str">
        <f>IFERROR(__xludf.DUMMYFUNCTION("""COMPUTED_VALUE""")," মোঃ লিটুক আলী ")</f>
        <v> মোঃ লিটুক আলী </v>
      </c>
      <c r="D487" s="3">
        <f>IFERROR(__xludf.DUMMYFUNCTION("""COMPUTED_VALUE"""),5.70056000266E11)</f>
        <v>570056000266</v>
      </c>
      <c r="E487" s="3" t="str">
        <f>IFERROR(__xludf.DUMMYFUNCTION("""COMPUTED_VALUE""")," মোঃ ইলিয়াস হোসেন ")</f>
        <v> মোঃ ইলিয়াস হোসেন </v>
      </c>
      <c r="F487" s="3" t="str">
        <f>IFERROR(__xludf.DUMMYFUNCTION("""COMPUTED_VALUE""")," আকলিমা ")</f>
        <v> আকলিমা </v>
      </c>
      <c r="G487" s="3" t="str">
        <f>IFERROR(__xludf.DUMMYFUNCTION("""COMPUTED_VALUE""")," ২২/০৮/১৯৯৪ ")</f>
        <v> ২২/০৮/১৯৯৪ </v>
      </c>
      <c r="H487" s="3" t="str">
        <f>IFERROR(__xludf.DUMMYFUNCTION("""COMPUTED_VALUE""")," কৃষক ")</f>
        <v> কৃষক </v>
      </c>
      <c r="I487" s="3" t="str">
        <f>IFERROR(__xludf.DUMMYFUNCTION("""COMPUTED_VALUE""")," জালশুকা, গাংনী, মেহেরপুর ")</f>
        <v> জালশুকা, গাংনী, মেহেরপুর </v>
      </c>
    </row>
    <row r="488" ht="15.75" customHeight="1">
      <c r="A488" s="3" t="s">
        <v>3611</v>
      </c>
      <c r="B488" s="3">
        <f>IFERROR(__xludf.DUMMYFUNCTION("SPLIT(A488,""|"")"),650.0)</f>
        <v>650</v>
      </c>
      <c r="C488" s="3" t="str">
        <f>IFERROR(__xludf.DUMMYFUNCTION("""COMPUTED_VALUE""")," রুবেল আলী ")</f>
        <v> রুবেল আলী </v>
      </c>
      <c r="D488" s="3">
        <f>IFERROR(__xludf.DUMMYFUNCTION("""COMPUTED_VALUE"""),5.70056000267E11)</f>
        <v>570056000267</v>
      </c>
      <c r="E488" s="3" t="str">
        <f>IFERROR(__xludf.DUMMYFUNCTION("""COMPUTED_VALUE""")," মোঃ মজনুর রহমান ")</f>
        <v> মোঃ মজনুর রহমান </v>
      </c>
      <c r="F488" s="3" t="str">
        <f>IFERROR(__xludf.DUMMYFUNCTION("""COMPUTED_VALUE""")," মোছাঃ জরিনা খাতুন ")</f>
        <v> মোছাঃ জরিনা খাতুন </v>
      </c>
      <c r="G488" s="3" t="str">
        <f>IFERROR(__xludf.DUMMYFUNCTION("""COMPUTED_VALUE""")," ২৭/০১/১৯৯৫ ")</f>
        <v> ২৭/০১/১৯৯৫ </v>
      </c>
      <c r="H488" s="3" t="str">
        <f>IFERROR(__xludf.DUMMYFUNCTION("""COMPUTED_VALUE""")," কৃষক ")</f>
        <v> কৃষক </v>
      </c>
      <c r="I488" s="3" t="str">
        <f>IFERROR(__xludf.DUMMYFUNCTION("""COMPUTED_VALUE""")," জালশুকা, গাংনী, মেহেরপুর ")</f>
        <v> জালশুকা, গাংনী, মেহেরপুর </v>
      </c>
    </row>
    <row r="489" ht="15.75" customHeight="1">
      <c r="A489" s="3" t="s">
        <v>3612</v>
      </c>
      <c r="B489" s="3">
        <f>IFERROR(__xludf.DUMMYFUNCTION("SPLIT(A489,""|"")"),651.0)</f>
        <v>651</v>
      </c>
      <c r="C489" s="3" t="str">
        <f>IFERROR(__xludf.DUMMYFUNCTION("""COMPUTED_VALUE""")," মোঃ ওমর ফারুক ")</f>
        <v> মোঃ ওমর ফারুক </v>
      </c>
      <c r="D489" s="3">
        <f>IFERROR(__xludf.DUMMYFUNCTION("""COMPUTED_VALUE"""),5.70056000268E11)</f>
        <v>570056000268</v>
      </c>
      <c r="E489" s="3" t="str">
        <f>IFERROR(__xludf.DUMMYFUNCTION("""COMPUTED_VALUE""")," মোঃ হায়দার ")</f>
        <v> মোঃ হায়দার </v>
      </c>
      <c r="F489" s="3" t="str">
        <f>IFERROR(__xludf.DUMMYFUNCTION("""COMPUTED_VALUE""")," মোছাঃ জাহেরা খাতুন ")</f>
        <v> মোছাঃ জাহেরা খাতুন </v>
      </c>
      <c r="G489" s="3" t="str">
        <f>IFERROR(__xludf.DUMMYFUNCTION("""COMPUTED_VALUE""")," ০৯/১১/১৯৯৬ ")</f>
        <v> ০৯/১১/১৯৯৬ </v>
      </c>
      <c r="H489" s="3" t="str">
        <f>IFERROR(__xludf.DUMMYFUNCTION("""COMPUTED_VALUE""")," কৃষক ")</f>
        <v> কৃষক </v>
      </c>
      <c r="I489" s="3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90" ht="15.75" customHeight="1">
      <c r="A490" s="3" t="s">
        <v>3613</v>
      </c>
      <c r="B490" s="3">
        <f>IFERROR(__xludf.DUMMYFUNCTION("SPLIT(A490,""|"")"),652.0)</f>
        <v>652</v>
      </c>
      <c r="C490" s="3" t="str">
        <f>IFERROR(__xludf.DUMMYFUNCTION("""COMPUTED_VALUE""")," মোঃ আতাউল হক ")</f>
        <v> মোঃ আতাউল হক </v>
      </c>
      <c r="D490" s="3">
        <f>IFERROR(__xludf.DUMMYFUNCTION("""COMPUTED_VALUE"""),5.7005600027E11)</f>
        <v>570056000270</v>
      </c>
      <c r="E490" s="3" t="str">
        <f>IFERROR(__xludf.DUMMYFUNCTION("""COMPUTED_VALUE""")," মোঃ মহিবুল হক ")</f>
        <v> মোঃ মহিবুল হক </v>
      </c>
      <c r="F490" s="3" t="str">
        <f>IFERROR(__xludf.DUMMYFUNCTION("""COMPUTED_VALUE""")," মোছাঃ বেদেনা খাতুন ")</f>
        <v> মোছাঃ বেদেনা খাতুন </v>
      </c>
      <c r="G490" s="3" t="str">
        <f>IFERROR(__xludf.DUMMYFUNCTION("""COMPUTED_VALUE""")," ০৪/০৩/১৯৯৭ ")</f>
        <v> ০৪/০৩/১৯৯৭ </v>
      </c>
      <c r="H490" s="3" t="str">
        <f>IFERROR(__xludf.DUMMYFUNCTION("""COMPUTED_VALUE""")," ছাত্র/ছাত্রী ")</f>
        <v> ছাত্র/ছাত্রী </v>
      </c>
      <c r="I490" s="3" t="str">
        <f>IFERROR(__xludf.DUMMYFUNCTION("""COMPUTED_VALUE""")," মাঝ পাড়া, জালশুকা, গাংনী, মেহেরপুর ")</f>
        <v> মাঝ পাড়া, জালশুকা, গাংনী, মেহেরপুর </v>
      </c>
    </row>
    <row r="491" ht="15.75" customHeight="1">
      <c r="A491" s="3" t="s">
        <v>3614</v>
      </c>
      <c r="B491" s="3">
        <f>IFERROR(__xludf.DUMMYFUNCTION("SPLIT(A491,""|"")"),653.0)</f>
        <v>653</v>
      </c>
      <c r="C491" s="3" t="str">
        <f>IFERROR(__xludf.DUMMYFUNCTION("""COMPUTED_VALUE""")," শাহাজান ")</f>
        <v> শাহাজান </v>
      </c>
      <c r="D491" s="3">
        <f>IFERROR(__xludf.DUMMYFUNCTION("""COMPUTED_VALUE"""),5.70056000272E11)</f>
        <v>570056000272</v>
      </c>
      <c r="E491" s="3" t="str">
        <f>IFERROR(__xludf.DUMMYFUNCTION("""COMPUTED_VALUE""")," নাজিম উদ্দীন ")</f>
        <v> নাজিম উদ্দীন </v>
      </c>
      <c r="F491" s="3" t="str">
        <f>IFERROR(__xludf.DUMMYFUNCTION("""COMPUTED_VALUE""")," শাহনাজ ")</f>
        <v> শাহনাজ </v>
      </c>
      <c r="G491" s="3" t="str">
        <f>IFERROR(__xludf.DUMMYFUNCTION("""COMPUTED_VALUE""")," মিস্ত্রী ")</f>
        <v> মিস্ত্রী </v>
      </c>
      <c r="H491" s="3" t="str">
        <f>IFERROR(__xludf.DUMMYFUNCTION("""COMPUTED_VALUE""")," ১০/০৭/১৯৯০ ")</f>
        <v> ১০/০৭/১৯৯০ </v>
      </c>
      <c r="I491" s="3" t="str">
        <f>IFERROR(__xludf.DUMMYFUNCTION("""COMPUTED_VALUE""")," মধ্যপাড়া, জালশুকা, গাংনী, মেহেরপুর ")</f>
        <v> মধ্যপাড়া, জালশুকা, গাংনী, মেহেরপুর </v>
      </c>
    </row>
    <row r="492" ht="15.75" customHeight="1">
      <c r="A492" s="3" t="s">
        <v>3615</v>
      </c>
      <c r="B492" s="3">
        <f>IFERROR(__xludf.DUMMYFUNCTION("SPLIT(A492,""|"")"),654.0)</f>
        <v>654</v>
      </c>
      <c r="C492" s="3" t="str">
        <f>IFERROR(__xludf.DUMMYFUNCTION("""COMPUTED_VALUE""")," মোঃ সাহাবুল হক ")</f>
        <v> মোঃ সাহাবুল হক </v>
      </c>
      <c r="D492" s="3">
        <f>IFERROR(__xludf.DUMMYFUNCTION("""COMPUTED_VALUE"""),5.70056000273E11)</f>
        <v>570056000273</v>
      </c>
      <c r="E492" s="3" t="str">
        <f>IFERROR(__xludf.DUMMYFUNCTION("""COMPUTED_VALUE""")," তারাচাঁদ আলী ")</f>
        <v> তারাচাঁদ আলী </v>
      </c>
      <c r="F492" s="3" t="str">
        <f>IFERROR(__xludf.DUMMYFUNCTION("""COMPUTED_VALUE""")," রেবেকা ")</f>
        <v> রেবেকা </v>
      </c>
      <c r="G492" s="3" t="str">
        <f>IFERROR(__xludf.DUMMYFUNCTION("""COMPUTED_VALUE""")," ১০/০১/১৯৮৯ ")</f>
        <v> ১০/০১/১৯৮৯ </v>
      </c>
      <c r="H492" s="3" t="str">
        <f>IFERROR(__xludf.DUMMYFUNCTION("""COMPUTED_VALUE""")," কৃষক ")</f>
        <v> কৃষক </v>
      </c>
      <c r="I492" s="3" t="str">
        <f>IFERROR(__xludf.DUMMYFUNCTION("""COMPUTED_VALUE""")," জালশুকা বেলে পাড়া, জালশুকা, গাংনী, মেহেরপুর ")</f>
        <v> জালশুকা বেলে পাড়া, জালশুকা, গাংনী, মেহেরপুর </v>
      </c>
    </row>
    <row r="493" ht="15.75" customHeight="1">
      <c r="A493" s="3" t="s">
        <v>3616</v>
      </c>
      <c r="B493" s="3">
        <f>IFERROR(__xludf.DUMMYFUNCTION("SPLIT(A493,""|"")"),655.0)</f>
        <v>655</v>
      </c>
      <c r="C493" s="3" t="str">
        <f>IFERROR(__xludf.DUMMYFUNCTION("""COMPUTED_VALUE""")," মোঃ আতিয়ার রহমান ")</f>
        <v> মোঃ আতিয়ার রহমান </v>
      </c>
      <c r="D493" s="3">
        <f>IFERROR(__xludf.DUMMYFUNCTION("""COMPUTED_VALUE"""),5.70056000277E11)</f>
        <v>570056000277</v>
      </c>
      <c r="E493" s="3" t="str">
        <f>IFERROR(__xludf.DUMMYFUNCTION("""COMPUTED_VALUE""")," মোঃ আঃ রহিম ")</f>
        <v> মোঃ আঃ রহিম </v>
      </c>
      <c r="F493" s="3" t="str">
        <f>IFERROR(__xludf.DUMMYFUNCTION("""COMPUTED_VALUE""")," সখিরন ")</f>
        <v> সখিরন </v>
      </c>
      <c r="G493" s="3" t="str">
        <f>IFERROR(__xludf.DUMMYFUNCTION("""COMPUTED_VALUE""")," ১২/১০/১৯৮৫ ")</f>
        <v> ১২/১০/১৯৮৫ </v>
      </c>
      <c r="H493" s="3" t="str">
        <f>IFERROR(__xludf.DUMMYFUNCTION("""COMPUTED_VALUE""")," কৃষক ")</f>
        <v> কৃষক </v>
      </c>
      <c r="I493" s="3" t="str">
        <f>IFERROR(__xludf.DUMMYFUNCTION("""COMPUTED_VALUE""")," জালশুকা, গাংনী, মেহেরপুর ")</f>
        <v> জালশুকা, গাংনী, মেহেরপুর </v>
      </c>
    </row>
    <row r="494" ht="15.75" customHeight="1">
      <c r="A494" s="3" t="s">
        <v>3617</v>
      </c>
      <c r="B494" s="3">
        <f>IFERROR(__xludf.DUMMYFUNCTION("SPLIT(A494,""|"")"),656.0)</f>
        <v>656</v>
      </c>
      <c r="C494" s="3" t="str">
        <f>IFERROR(__xludf.DUMMYFUNCTION("""COMPUTED_VALUE""")," মোঃ সুজন আলী ")</f>
        <v> মোঃ সুজন আলী </v>
      </c>
      <c r="D494" s="3">
        <f>IFERROR(__xludf.DUMMYFUNCTION("""COMPUTED_VALUE"""),5.70056000279E11)</f>
        <v>570056000279</v>
      </c>
      <c r="E494" s="3" t="str">
        <f>IFERROR(__xludf.DUMMYFUNCTION("""COMPUTED_VALUE""")," মোঃ নূর ইসলাম ")</f>
        <v> মোঃ নূর ইসলাম </v>
      </c>
      <c r="F494" s="3" t="str">
        <f>IFERROR(__xludf.DUMMYFUNCTION("""COMPUTED_VALUE""")," আদুরী খাতুন ")</f>
        <v> আদুরী খাতুন </v>
      </c>
      <c r="G494" s="3" t="str">
        <f>IFERROR(__xludf.DUMMYFUNCTION("""COMPUTED_VALUE""")," ১৮/১২/১৯৯৭ ")</f>
        <v> ১৮/১২/১৯৯৭ </v>
      </c>
      <c r="H494" s="3" t="str">
        <f>IFERROR(__xludf.DUMMYFUNCTION("""COMPUTED_VALUE""")," ছাত্র/ছাত্রী ")</f>
        <v> ছাত্র/ছাত্রী </v>
      </c>
      <c r="I494" s="3" t="str">
        <f>IFERROR(__xludf.DUMMYFUNCTION("""COMPUTED_VALUE""")," মাঝের পাড়া, জালশুকা, গাংনী, মেহেরপুর ")</f>
        <v> মাঝের পাড়া, জালশুকা, গাংনী, মেহেরপুর </v>
      </c>
    </row>
    <row r="495" ht="15.75" customHeight="1">
      <c r="A495" s="3" t="s">
        <v>3618</v>
      </c>
      <c r="B495" s="3">
        <f>IFERROR(__xludf.DUMMYFUNCTION("SPLIT(A495,""|"")"),657.0)</f>
        <v>657</v>
      </c>
      <c r="C495" s="3" t="str">
        <f>IFERROR(__xludf.DUMMYFUNCTION("""COMPUTED_VALUE""")," আবুজর গিফারী ")</f>
        <v> আবুজর গিফারী </v>
      </c>
      <c r="D495" s="3">
        <f>IFERROR(__xludf.DUMMYFUNCTION("""COMPUTED_VALUE"""),5.7005600028E11)</f>
        <v>570056000280</v>
      </c>
      <c r="E495" s="3" t="str">
        <f>IFERROR(__xludf.DUMMYFUNCTION("""COMPUTED_VALUE""")," আবদুর রাজ্জাক ")</f>
        <v> আবদুর রাজ্জাক </v>
      </c>
      <c r="F495" s="3" t="str">
        <f>IFERROR(__xludf.DUMMYFUNCTION("""COMPUTED_VALUE""")," সেলিনা খাতুন ")</f>
        <v> সেলিনা খাতুন </v>
      </c>
      <c r="G495" s="3" t="str">
        <f>IFERROR(__xludf.DUMMYFUNCTION("""COMPUTED_VALUE""")," ২৯/১১/১৯৯৭ ")</f>
        <v> ২৯/১১/১৯৯৭ </v>
      </c>
      <c r="H495" s="3" t="str">
        <f>IFERROR(__xludf.DUMMYFUNCTION("""COMPUTED_VALUE""")," ব্যবসা ")</f>
        <v> ব্যবসা </v>
      </c>
      <c r="I495" s="3" t="str">
        <f>IFERROR(__xludf.DUMMYFUNCTION("""COMPUTED_VALUE""")," মাঝ পাড়া, জালশুকা, গাংনী, মেহেরপুর ")</f>
        <v> মাঝ পাড়া, জালশুকা, গাংনী, মেহেরপুর </v>
      </c>
    </row>
    <row r="496" ht="15.75" customHeight="1">
      <c r="A496" s="3" t="s">
        <v>3619</v>
      </c>
      <c r="B496" s="3">
        <f>IFERROR(__xludf.DUMMYFUNCTION("SPLIT(A496,""|"")"),658.0)</f>
        <v>658</v>
      </c>
      <c r="C496" s="3" t="str">
        <f>IFERROR(__xludf.DUMMYFUNCTION("""COMPUTED_VALUE""")," মোঃ হুমায়ন কবির ")</f>
        <v> মোঃ হুমায়ন কবির </v>
      </c>
      <c r="D496" s="3">
        <f>IFERROR(__xludf.DUMMYFUNCTION("""COMPUTED_VALUE"""),5.70056000282E11)</f>
        <v>570056000282</v>
      </c>
      <c r="E496" s="3" t="str">
        <f>IFERROR(__xludf.DUMMYFUNCTION("""COMPUTED_VALUE""")," হাফিজুর রহমান ")</f>
        <v> হাফিজুর রহমান </v>
      </c>
      <c r="F496" s="3" t="str">
        <f>IFERROR(__xludf.DUMMYFUNCTION("""COMPUTED_VALUE""")," মোছাঃ আকলিমা খাতুন ")</f>
        <v> মোছাঃ আকলিমা খাতুন </v>
      </c>
      <c r="G496" s="3" t="str">
        <f>IFERROR(__xludf.DUMMYFUNCTION("""COMPUTED_VALUE""")," ১৩/০৩/১৯৭৩ ")</f>
        <v> ১৩/০৩/১৯৭৩ </v>
      </c>
      <c r="H496" s="3" t="str">
        <f>IFERROR(__xludf.DUMMYFUNCTION("""COMPUTED_VALUE""")," কৃষক ")</f>
        <v> কৃষক </v>
      </c>
      <c r="I496" s="3" t="str">
        <f>IFERROR(__xludf.DUMMYFUNCTION("""COMPUTED_VALUE""")," জালশুকা, গাংনী, মেহেরপুর ")</f>
        <v> জালশুকা, গাংনী, মেহেরপুর </v>
      </c>
    </row>
    <row r="497" ht="15.75" customHeight="1">
      <c r="A497" s="3" t="s">
        <v>3620</v>
      </c>
      <c r="B497" s="3">
        <f>IFERROR(__xludf.DUMMYFUNCTION("SPLIT(A497,""|"")"),659.0)</f>
        <v>659</v>
      </c>
      <c r="C497" s="3" t="str">
        <f>IFERROR(__xludf.DUMMYFUNCTION("""COMPUTED_VALUE""")," মোঃ বিপ্লব হোসেন ")</f>
        <v> মোঃ বিপ্লব হোসেন </v>
      </c>
      <c r="D497" s="3">
        <f>IFERROR(__xludf.DUMMYFUNCTION("""COMPUTED_VALUE"""),5.70056000283E11)</f>
        <v>570056000283</v>
      </c>
      <c r="E497" s="3" t="str">
        <f>IFERROR(__xludf.DUMMYFUNCTION("""COMPUTED_VALUE""")," মোঃ ফজলুল হক ")</f>
        <v> মোঃ ফজলুল হক </v>
      </c>
      <c r="F497" s="3" t="str">
        <f>IFERROR(__xludf.DUMMYFUNCTION("""COMPUTED_VALUE""")," মোছাঃ সাহেদা খাতুন ")</f>
        <v> মোছাঃ সাহেদা খাতুন </v>
      </c>
      <c r="G497" s="3" t="str">
        <f>IFERROR(__xludf.DUMMYFUNCTION("""COMPUTED_VALUE""")," ০৪/১২/১৯৯৫ ")</f>
        <v> ০৪/১২/১৯৯৫ </v>
      </c>
      <c r="H497" s="3" t="str">
        <f>IFERROR(__xludf.DUMMYFUNCTION("""COMPUTED_VALUE""")," ছাত্র/ছাত্রী ")</f>
        <v> ছাত্র/ছাত্রী </v>
      </c>
      <c r="I497" s="3" t="str">
        <f>IFERROR(__xludf.DUMMYFUNCTION("""COMPUTED_VALUE""")," জালশুকা, গাংনী, মেহেরপুর ")</f>
        <v> জালশুকা, গাংনী, মেহেরপুর </v>
      </c>
    </row>
    <row r="498" ht="15.75" customHeight="1">
      <c r="A498" s="3" t="s">
        <v>3621</v>
      </c>
      <c r="B498" s="3">
        <f>IFERROR(__xludf.DUMMYFUNCTION("SPLIT(A498,""|"")"),660.0)</f>
        <v>660</v>
      </c>
      <c r="C498" s="3" t="str">
        <f>IFERROR(__xludf.DUMMYFUNCTION("""COMPUTED_VALUE""")," মোঃ হাবিবুর রহমান ")</f>
        <v> মোঃ হাবিবুর রহমান </v>
      </c>
      <c r="D498" s="3">
        <f>IFERROR(__xludf.DUMMYFUNCTION("""COMPUTED_VALUE"""),5.70056000285E11)</f>
        <v>570056000285</v>
      </c>
      <c r="E498" s="3" t="str">
        <f>IFERROR(__xludf.DUMMYFUNCTION("""COMPUTED_VALUE""")," মোঃ আবু তালেব মোল্লা ")</f>
        <v> মোঃ আবু তালেব মোল্লা </v>
      </c>
      <c r="F498" s="3" t="str">
        <f>IFERROR(__xludf.DUMMYFUNCTION("""COMPUTED_VALUE""")," মোছাঃ রেজিয়া খাতুন ")</f>
        <v> মোছাঃ রেজিয়া খাতুন </v>
      </c>
      <c r="G498" s="3" t="str">
        <f>IFERROR(__xludf.DUMMYFUNCTION("""COMPUTED_VALUE""")," ০১/০১/১৯৮৯ ")</f>
        <v> ০১/০১/১৯৮৯ </v>
      </c>
      <c r="H498" s="3" t="str">
        <f>IFERROR(__xludf.DUMMYFUNCTION("""COMPUTED_VALUE""")," কৃষক ")</f>
        <v> কৃষক </v>
      </c>
      <c r="I498" s="3" t="str">
        <f>IFERROR(__xludf.DUMMYFUNCTION("""COMPUTED_VALUE""")," জালশুকা, গাংনী, মেহেরপুর ")</f>
        <v> জালশুকা, গাংনী, মেহেরপুর </v>
      </c>
    </row>
    <row r="499" ht="15.75" customHeight="1">
      <c r="A499" s="3" t="s">
        <v>3622</v>
      </c>
      <c r="B499" s="3">
        <f>IFERROR(__xludf.DUMMYFUNCTION("SPLIT(A499,""|"")"),661.0)</f>
        <v>661</v>
      </c>
      <c r="C499" s="3" t="str">
        <f>IFERROR(__xludf.DUMMYFUNCTION("""COMPUTED_VALUE""")," মোঃ আনোয়ার হোসেন ")</f>
        <v> মোঃ আনোয়ার হোসেন </v>
      </c>
      <c r="D499" s="3">
        <f>IFERROR(__xludf.DUMMYFUNCTION("""COMPUTED_VALUE"""),5.70056000288E11)</f>
        <v>570056000288</v>
      </c>
      <c r="E499" s="3" t="str">
        <f>IFERROR(__xludf.DUMMYFUNCTION("""COMPUTED_VALUE""")," মোঃ আমিরুল ইসলাম ")</f>
        <v> মোঃ আমিরুল ইসলাম </v>
      </c>
      <c r="F499" s="3" t="str">
        <f>IFERROR(__xludf.DUMMYFUNCTION("""COMPUTED_VALUE""")," মোছাঃ আসুরা খাতুন ")</f>
        <v> মোছাঃ আসুরা খাতুন </v>
      </c>
      <c r="G499" s="3" t="str">
        <f>IFERROR(__xludf.DUMMYFUNCTION("""COMPUTED_VALUE""")," ২৪/১০/১৯৯৬ ")</f>
        <v> ২৪/১০/১৯৯৬ </v>
      </c>
      <c r="H499" s="3" t="str">
        <f>IFERROR(__xludf.DUMMYFUNCTION("""COMPUTED_VALUE""")," ছাত্র/ছাত্রী ")</f>
        <v> ছাত্র/ছাত্রী </v>
      </c>
      <c r="I499" s="3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500" ht="15.75" customHeight="1">
      <c r="A500" s="3" t="s">
        <v>3623</v>
      </c>
      <c r="B500" s="3">
        <f>IFERROR(__xludf.DUMMYFUNCTION("SPLIT(A500,""|"")"),662.0)</f>
        <v>662</v>
      </c>
      <c r="C500" s="3" t="str">
        <f>IFERROR(__xludf.DUMMYFUNCTION("""COMPUTED_VALUE""")," মোঃ হাকিমদ্দীন ")</f>
        <v> মোঃ হাকিমদ্দীন </v>
      </c>
      <c r="D500" s="3">
        <f>IFERROR(__xludf.DUMMYFUNCTION("""COMPUTED_VALUE"""),5.70056000287E11)</f>
        <v>570056000287</v>
      </c>
      <c r="E500" s="3" t="str">
        <f>IFERROR(__xludf.DUMMYFUNCTION("""COMPUTED_VALUE""")," মোঃ আমিরুল ইসলাম ")</f>
        <v> মোঃ আমিরুল ইসলাম </v>
      </c>
      <c r="F500" s="3" t="str">
        <f>IFERROR(__xludf.DUMMYFUNCTION("""COMPUTED_VALUE""")," মোছাঃ আসুরা খাতুন ")</f>
        <v> মোছাঃ আসুরা খাতুন </v>
      </c>
      <c r="G500" s="3" t="str">
        <f>IFERROR(__xludf.DUMMYFUNCTION("""COMPUTED_VALUE""")," ০২/০২/১৯৯৬ ")</f>
        <v> ০২/০২/১৯৯৬ </v>
      </c>
      <c r="H500" s="3" t="str">
        <f>IFERROR(__xludf.DUMMYFUNCTION("""COMPUTED_VALUE""")," কৃষক ")</f>
        <v> কৃষক </v>
      </c>
      <c r="I500" s="3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501" ht="15.75" customHeight="1">
      <c r="A501" s="3" t="s">
        <v>3624</v>
      </c>
      <c r="B501" s="3">
        <f>IFERROR(__xludf.DUMMYFUNCTION("SPLIT(A501,""|"")"),663.0)</f>
        <v>663</v>
      </c>
      <c r="C501" s="3" t="str">
        <f>IFERROR(__xludf.DUMMYFUNCTION("""COMPUTED_VALUE""")," মোঃ বাদশা মিয়া ")</f>
        <v> মোঃ বাদশা মিয়া </v>
      </c>
      <c r="D501" s="3">
        <f>IFERROR(__xludf.DUMMYFUNCTION("""COMPUTED_VALUE"""),5.70056000289E11)</f>
        <v>570056000289</v>
      </c>
      <c r="E501" s="3" t="str">
        <f>IFERROR(__xludf.DUMMYFUNCTION("""COMPUTED_VALUE""")," মোঃ হাবিবুর রহমান ")</f>
        <v> মোঃ হাবিবুর রহমান </v>
      </c>
      <c r="F501" s="3" t="str">
        <f>IFERROR(__xludf.DUMMYFUNCTION("""COMPUTED_VALUE""")," মোছাঃ মরজিনা খাতুন ")</f>
        <v> মোছাঃ মরজিনা খাতুন </v>
      </c>
      <c r="G501" s="3" t="str">
        <f>IFERROR(__xludf.DUMMYFUNCTION("""COMPUTED_VALUE""")," ১১/০৩/১৯৯৬ ")</f>
        <v> ১১/০৩/১৯৯৬ </v>
      </c>
      <c r="H501" s="3" t="str">
        <f>IFERROR(__xludf.DUMMYFUNCTION("""COMPUTED_VALUE""")," ছাত্র/ছাত্রী ")</f>
        <v> ছাত্র/ছাত্রী </v>
      </c>
      <c r="I501" s="3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502" ht="15.75" customHeight="1">
      <c r="A502" s="3" t="s">
        <v>3625</v>
      </c>
      <c r="B502" s="3">
        <f>IFERROR(__xludf.DUMMYFUNCTION("SPLIT(A502,""|"")"),664.0)</f>
        <v>664</v>
      </c>
      <c r="C502" s="3" t="str">
        <f>IFERROR(__xludf.DUMMYFUNCTION("""COMPUTED_VALUE""")," নূর ধাম্মাদ ")</f>
        <v> নূর ধাম্মাদ </v>
      </c>
      <c r="D502" s="3">
        <f>IFERROR(__xludf.DUMMYFUNCTION("""COMPUTED_VALUE"""),5.70056000295E11)</f>
        <v>570056000295</v>
      </c>
      <c r="E502" s="3" t="str">
        <f>IFERROR(__xludf.DUMMYFUNCTION("""COMPUTED_VALUE""")," মোঃ মতিয়ার রহমান ")</f>
        <v> মোঃ মতিয়ার রহমান </v>
      </c>
      <c r="F502" s="3" t="str">
        <f>IFERROR(__xludf.DUMMYFUNCTION("""COMPUTED_VALUE""")," মোছাঃ আজমিরা খাতুন ")</f>
        <v> মোছাঃ আজমিরা খাতুন </v>
      </c>
      <c r="G502" s="3" t="str">
        <f>IFERROR(__xludf.DUMMYFUNCTION("""COMPUTED_VALUE""")," ২০/০৩/১৯৯০ ")</f>
        <v> ২০/০৩/১৯৯০ </v>
      </c>
      <c r="H502" s="3" t="str">
        <f>IFERROR(__xludf.DUMMYFUNCTION("""COMPUTED_VALUE""")," প্রবাসী ")</f>
        <v> প্রবাসী </v>
      </c>
      <c r="I502" s="3" t="str">
        <f>IFERROR(__xludf.DUMMYFUNCTION("""COMPUTED_VALUE""")," মাঝ পাড়া, জালশুকা, গাংনী, মেহেরপুর ")</f>
        <v> মাঝ পাড়া, জালশুকা, গাংনী, মেহেরপুর </v>
      </c>
    </row>
    <row r="503" ht="15.75" customHeight="1">
      <c r="A503" s="3" t="s">
        <v>3626</v>
      </c>
      <c r="B503" s="3">
        <f>IFERROR(__xludf.DUMMYFUNCTION("SPLIT(A503,""|"")"),665.0)</f>
        <v>665</v>
      </c>
      <c r="C503" s="3" t="str">
        <f>IFERROR(__xludf.DUMMYFUNCTION("""COMPUTED_VALUE""")," মোঃ ফারুক হোসেন ")</f>
        <v> মোঃ ফারুক হোসেন </v>
      </c>
      <c r="D503" s="3">
        <f>IFERROR(__xludf.DUMMYFUNCTION("""COMPUTED_VALUE"""),5.70056000298E11)</f>
        <v>570056000298</v>
      </c>
      <c r="E503" s="3" t="str">
        <f>IFERROR(__xludf.DUMMYFUNCTION("""COMPUTED_VALUE""")," কাদের আলী ")</f>
        <v> কাদের আলী </v>
      </c>
      <c r="F503" s="3" t="str">
        <f>IFERROR(__xludf.DUMMYFUNCTION("""COMPUTED_VALUE""")," মোছাঃ আনোয়ারা খাতুন ")</f>
        <v> মোছাঃ আনোয়ারা খাতুন </v>
      </c>
      <c r="G503" s="3" t="str">
        <f>IFERROR(__xludf.DUMMYFUNCTION("""COMPUTED_VALUE""")," ২৯/০৯/১৯৯৭ ")</f>
        <v> ২৯/০৯/১৯৯৭ </v>
      </c>
      <c r="H503" s="3" t="str">
        <f>IFERROR(__xludf.DUMMYFUNCTION("""COMPUTED_VALUE""")," শ্রমিক ")</f>
        <v> শ্রমিক </v>
      </c>
      <c r="I503" s="3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504" ht="15.75" customHeight="1">
      <c r="A504" s="3" t="s">
        <v>3627</v>
      </c>
      <c r="B504" s="3">
        <f>IFERROR(__xludf.DUMMYFUNCTION("SPLIT(A504,""|"")"),666.0)</f>
        <v>666</v>
      </c>
      <c r="C504" s="3" t="str">
        <f>IFERROR(__xludf.DUMMYFUNCTION("""COMPUTED_VALUE""")," মোঃ আবু শাহিন ")</f>
        <v> মোঃ আবু শাহিন </v>
      </c>
      <c r="D504" s="3">
        <f>IFERROR(__xludf.DUMMYFUNCTION("""COMPUTED_VALUE"""),5.70056000299E11)</f>
        <v>570056000299</v>
      </c>
      <c r="E504" s="3" t="str">
        <f>IFERROR(__xludf.DUMMYFUNCTION("""COMPUTED_VALUE""")," ছিদ্দিকুর রহমান ")</f>
        <v> ছিদ্দিকুর রহমান </v>
      </c>
      <c r="F504" s="3" t="str">
        <f>IFERROR(__xludf.DUMMYFUNCTION("""COMPUTED_VALUE""")," মোছাঃ কুলছুম ")</f>
        <v> মোছাঃ কুলছুম </v>
      </c>
      <c r="G504" s="3" t="str">
        <f>IFERROR(__xludf.DUMMYFUNCTION("""COMPUTED_VALUE""")," ০২/০৩/১৯৯১ ")</f>
        <v> ০২/০৩/১৯৯১ </v>
      </c>
      <c r="H504" s="3" t="str">
        <f>IFERROR(__xludf.DUMMYFUNCTION("""COMPUTED_VALUE""")," দিনমজুর ")</f>
        <v> দিনমজুর </v>
      </c>
      <c r="I504" s="3" t="str">
        <f>IFERROR(__xludf.DUMMYFUNCTION("""COMPUTED_VALUE""")," বালিয়া পাড়া, কসবা, গাংনী, মেহেরপুর ")</f>
        <v> বালিয়া পাড়া, কসবা, গাংনী, মেহেরপুর </v>
      </c>
    </row>
    <row r="505" ht="15.75" customHeight="1">
      <c r="A505" s="3" t="s">
        <v>3628</v>
      </c>
      <c r="B505" s="3">
        <f>IFERROR(__xludf.DUMMYFUNCTION("SPLIT(A505,""|"")"),667.0)</f>
        <v>667</v>
      </c>
      <c r="C505" s="3" t="str">
        <f>IFERROR(__xludf.DUMMYFUNCTION("""COMPUTED_VALUE""")," শাহরুল ইসলাম ")</f>
        <v> শাহরুল ইসলাম </v>
      </c>
      <c r="D505" s="3">
        <f>IFERROR(__xludf.DUMMYFUNCTION("""COMPUTED_VALUE"""),5.700560003E11)</f>
        <v>570056000300</v>
      </c>
      <c r="E505" s="3" t="str">
        <f>IFERROR(__xludf.DUMMYFUNCTION("""COMPUTED_VALUE""")," মজিবুল হক ")</f>
        <v> মজিবুল হক </v>
      </c>
      <c r="F505" s="3" t="str">
        <f>IFERROR(__xludf.DUMMYFUNCTION("""COMPUTED_VALUE""")," শাহিনুর খাতুন ")</f>
        <v> শাহিনুর খাতুন </v>
      </c>
      <c r="G505" s="3" t="str">
        <f>IFERROR(__xludf.DUMMYFUNCTION("""COMPUTED_VALUE""")," ১০/০৫/১৯৯৭ ")</f>
        <v> ১০/০৫/১৯৯৭ </v>
      </c>
      <c r="H505" s="3" t="str">
        <f>IFERROR(__xludf.DUMMYFUNCTION("""COMPUTED_VALUE""")," ছাত্র/ছাত্রী ")</f>
        <v> ছাত্র/ছাত্রী </v>
      </c>
      <c r="I505" s="3" t="str">
        <f>IFERROR(__xludf.DUMMYFUNCTION("""COMPUTED_VALUE""")," বালিয়া পাড়া, জালশুকা, গাংনী, মেহেরপুর ")</f>
        <v> বালিয়া পাড়া, জালশুকা, গাংনী, মেহেরপুর </v>
      </c>
    </row>
    <row r="506" ht="15.75" customHeight="1">
      <c r="A506" s="3" t="s">
        <v>3629</v>
      </c>
      <c r="B506" s="3">
        <f>IFERROR(__xludf.DUMMYFUNCTION("SPLIT(A506,""|"")"),668.0)</f>
        <v>668</v>
      </c>
      <c r="C506" s="3" t="str">
        <f>IFERROR(__xludf.DUMMYFUNCTION("""COMPUTED_VALUE""")," মোঃ আকরামুল হক ")</f>
        <v> মোঃ আকরামুল হক </v>
      </c>
      <c r="D506" s="3">
        <f>IFERROR(__xludf.DUMMYFUNCTION("""COMPUTED_VALUE"""),5.70056000301E11)</f>
        <v>570056000301</v>
      </c>
      <c r="E506" s="3" t="str">
        <f>IFERROR(__xludf.DUMMYFUNCTION("""COMPUTED_VALUE""")," মোঃ হযরত আলী ")</f>
        <v> মোঃ হযরত আলী </v>
      </c>
      <c r="F506" s="3" t="str">
        <f>IFERROR(__xludf.DUMMYFUNCTION("""COMPUTED_VALUE""")," মোছাঃ জরিনা খাতুন ")</f>
        <v> মোছাঃ জরিনা খাতুন </v>
      </c>
      <c r="G506" s="3" t="str">
        <f>IFERROR(__xludf.DUMMYFUNCTION("""COMPUTED_VALUE""")," ২৩/১২/১৯৯৭ ")</f>
        <v> ২৩/১২/১৯৯৭ </v>
      </c>
      <c r="H506" s="3" t="str">
        <f>IFERROR(__xludf.DUMMYFUNCTION("""COMPUTED_VALUE""")," ছাত্র/ছাত্রী ")</f>
        <v> ছাত্র/ছাত্রী </v>
      </c>
      <c r="I506" s="3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507" ht="15.75" customHeight="1">
      <c r="A507" s="3" t="s">
        <v>3630</v>
      </c>
      <c r="B507" s="3">
        <f>IFERROR(__xludf.DUMMYFUNCTION("SPLIT(A507,""|"")"),669.0)</f>
        <v>669</v>
      </c>
      <c r="C507" s="3" t="str">
        <f>IFERROR(__xludf.DUMMYFUNCTION("""COMPUTED_VALUE""")," মোঃ জিহাদ আলী ")</f>
        <v> মোঃ জিহাদ আলী </v>
      </c>
      <c r="D507" s="3">
        <f>IFERROR(__xludf.DUMMYFUNCTION("""COMPUTED_VALUE"""),5.70056000302E11)</f>
        <v>570056000302</v>
      </c>
      <c r="E507" s="3" t="str">
        <f>IFERROR(__xludf.DUMMYFUNCTION("""COMPUTED_VALUE""")," মোঃ মুকুল হোসেন ")</f>
        <v> মোঃ মুকুল হোসেন </v>
      </c>
      <c r="F507" s="3" t="str">
        <f>IFERROR(__xludf.DUMMYFUNCTION("""COMPUTED_VALUE""")," মোছাঃ রওশনাৱা ")</f>
        <v> মোছাঃ রওশনাৱা </v>
      </c>
      <c r="G507" s="3" t="str">
        <f>IFERROR(__xludf.DUMMYFUNCTION("""COMPUTED_VALUE""")," ০২/০৬/১৯৯৬ ")</f>
        <v> ০২/০৬/১৯৯৬ </v>
      </c>
      <c r="H507" s="3" t="str">
        <f>IFERROR(__xludf.DUMMYFUNCTION("""COMPUTED_VALUE""")," ছাত্র/ছাত্রী ")</f>
        <v> ছাত্র/ছাত্রী </v>
      </c>
      <c r="I507" s="3" t="str">
        <f>IFERROR(__xludf.DUMMYFUNCTION("""COMPUTED_VALUE""")," বালিয়া পাড়া, জালশুকা, গাংনী, মেহেরপুর ")</f>
        <v> বালিয়া পাড়া, জালশুকা, গাংনী, মেহেরপুর </v>
      </c>
    </row>
    <row r="508" ht="15.75" customHeight="1">
      <c r="A508" s="3" t="s">
        <v>3631</v>
      </c>
      <c r="B508" s="3">
        <f>IFERROR(__xludf.DUMMYFUNCTION("SPLIT(A508,""|"")"),670.0)</f>
        <v>670</v>
      </c>
      <c r="C508" s="3" t="str">
        <f>IFERROR(__xludf.DUMMYFUNCTION("""COMPUTED_VALUE""")," মামুন আলী ")</f>
        <v> মামুন আলী </v>
      </c>
      <c r="D508" s="3">
        <f>IFERROR(__xludf.DUMMYFUNCTION("""COMPUTED_VALUE"""),5.70056000304E11)</f>
        <v>570056000304</v>
      </c>
      <c r="E508" s="3" t="str">
        <f>IFERROR(__xludf.DUMMYFUNCTION("""COMPUTED_VALUE""")," মোঃ সুলতান ")</f>
        <v> মোঃ সুলতান </v>
      </c>
      <c r="F508" s="3" t="str">
        <f>IFERROR(__xludf.DUMMYFUNCTION("""COMPUTED_VALUE""")," মোছাঃ রহিমা খাতুন ")</f>
        <v> মোছাঃ রহিমা খাতুন </v>
      </c>
      <c r="G508" s="3" t="str">
        <f>IFERROR(__xludf.DUMMYFUNCTION("""COMPUTED_VALUE""")," ১৫/০২/১৯৯৭ ")</f>
        <v> ১৫/০২/১৯৯৭ </v>
      </c>
      <c r="H508" s="3" t="str">
        <f>IFERROR(__xludf.DUMMYFUNCTION("""COMPUTED_VALUE""")," কৃষক ")</f>
        <v> কৃষক </v>
      </c>
      <c r="I508" s="3" t="str">
        <f>IFERROR(__xludf.DUMMYFUNCTION("""COMPUTED_VALUE""")," জালশুকা মুলা পাড়া, জালশুকা, গাংনী, মেহেরপুর ")</f>
        <v> জালশুকা মুলা পাড়া, জালশুকা, গাংনী, মেহেরপুর </v>
      </c>
    </row>
    <row r="509" ht="15.75" customHeight="1">
      <c r="A509" s="3" t="s">
        <v>3632</v>
      </c>
      <c r="B509" s="3">
        <f>IFERROR(__xludf.DUMMYFUNCTION("SPLIT(A509,""|"")"),671.0)</f>
        <v>671</v>
      </c>
      <c r="C509" s="3" t="str">
        <f>IFERROR(__xludf.DUMMYFUNCTION("""COMPUTED_VALUE""")," মোঃ কারিমুল হক ")</f>
        <v> মোঃ কারিমুল হক </v>
      </c>
      <c r="D509" s="3">
        <f>IFERROR(__xludf.DUMMYFUNCTION("""COMPUTED_VALUE"""),5.70056000306E11)</f>
        <v>570056000306</v>
      </c>
      <c r="E509" s="3" t="str">
        <f>IFERROR(__xludf.DUMMYFUNCTION("""COMPUTED_VALUE""")," মোঃ সাজদার আলী ")</f>
        <v> মোঃ সাজদার আলী </v>
      </c>
      <c r="F509" s="3" t="str">
        <f>IFERROR(__xludf.DUMMYFUNCTION("""COMPUTED_VALUE""")," মোছাঃ ফজিলা খাতুন ")</f>
        <v> মোছাঃ ফজিলা খাতুন </v>
      </c>
      <c r="G509" s="3" t="str">
        <f>IFERROR(__xludf.DUMMYFUNCTION("""COMPUTED_VALUE""")," ০১/১২/১৯৯২ ")</f>
        <v> ০১/১২/১৯৯২ </v>
      </c>
      <c r="H509" s="3" t="str">
        <f>IFERROR(__xludf.DUMMYFUNCTION("""COMPUTED_VALUE""")," কৃষক ")</f>
        <v> কৃষক </v>
      </c>
      <c r="I509" s="3" t="str">
        <f>IFERROR(__xludf.DUMMYFUNCTION("""COMPUTED_VALUE""")," মাঝ পাড়া, জালশুকা, গাংনী, মেহেরপুর ")</f>
        <v> মাঝ পাড়া, জালশুকা, গাংনী, মেহেরপুর </v>
      </c>
    </row>
    <row r="510" ht="15.75" customHeight="1">
      <c r="A510" s="3" t="s">
        <v>3633</v>
      </c>
      <c r="B510" s="3">
        <f>IFERROR(__xludf.DUMMYFUNCTION("SPLIT(A510,""|"")"),672.0)</f>
        <v>672</v>
      </c>
      <c r="C510" s="3" t="str">
        <f>IFERROR(__xludf.DUMMYFUNCTION("""COMPUTED_VALUE""")," মোঃ লাল চাঁদ আলী ")</f>
        <v> মোঃ লাল চাঁদ আলী </v>
      </c>
      <c r="D510" s="3">
        <f>IFERROR(__xludf.DUMMYFUNCTION("""COMPUTED_VALUE"""),5.70056000308E11)</f>
        <v>570056000308</v>
      </c>
      <c r="E510" s="3" t="str">
        <f>IFERROR(__xludf.DUMMYFUNCTION("""COMPUTED_VALUE""")," মোঃ বাবুর আলী ")</f>
        <v> মোঃ বাবুর আলী </v>
      </c>
      <c r="F510" s="3" t="str">
        <f>IFERROR(__xludf.DUMMYFUNCTION("""COMPUTED_VALUE""")," মোছাঃ ফরিদা খাতুন ")</f>
        <v> মোছাঃ ফরিদা খাতুন </v>
      </c>
      <c r="G510" s="3" t="str">
        <f>IFERROR(__xludf.DUMMYFUNCTION("""COMPUTED_VALUE""")," ০৮/০৫/১৯৯৫ ")</f>
        <v> ০৮/০৫/১৯৯৫ </v>
      </c>
      <c r="H510" s="3" t="str">
        <f>IFERROR(__xludf.DUMMYFUNCTION("""COMPUTED_VALUE""")," শ্রমিক ")</f>
        <v> শ্রমিক </v>
      </c>
      <c r="I510" s="3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511" ht="15.75" customHeight="1">
      <c r="A511" s="3" t="s">
        <v>3634</v>
      </c>
      <c r="B511" s="3">
        <f>IFERROR(__xludf.DUMMYFUNCTION("SPLIT(A511,""|"")"),673.0)</f>
        <v>673</v>
      </c>
      <c r="C511" s="3" t="str">
        <f>IFERROR(__xludf.DUMMYFUNCTION("""COMPUTED_VALUE""")," মোহাঃ ইব্রাহীম হাসান ")</f>
        <v> মোহাঃ ইব্রাহীম হাসান </v>
      </c>
      <c r="D511" s="3">
        <f>IFERROR(__xludf.DUMMYFUNCTION("""COMPUTED_VALUE"""),5.70056000311E11)</f>
        <v>570056000311</v>
      </c>
      <c r="E511" s="3" t="str">
        <f>IFERROR(__xludf.DUMMYFUNCTION("""COMPUTED_VALUE""")," মোহাঃ আব্দুর রাজ্জাক ")</f>
        <v> মোহাঃ আব্দুর রাজ্জাক </v>
      </c>
      <c r="F511" s="3" t="str">
        <f>IFERROR(__xludf.DUMMYFUNCTION("""COMPUTED_VALUE""")," নাসিবা খাতুন ")</f>
        <v> নাসিবা খাতুন </v>
      </c>
      <c r="G511" s="3" t="str">
        <f>IFERROR(__xludf.DUMMYFUNCTION("""COMPUTED_VALUE""")," ০৬/০৭/১৯৯৮ ")</f>
        <v> ০৬/০৭/১৯৯৮ </v>
      </c>
      <c r="H511" s="3" t="str">
        <f>IFERROR(__xludf.DUMMYFUNCTION("""COMPUTED_VALUE""")," ছাত্র/ছাত্রী ")</f>
        <v> ছাত্র/ছাত্রী </v>
      </c>
      <c r="I511" s="3" t="str">
        <f>IFERROR(__xludf.DUMMYFUNCTION("""COMPUTED_VALUE""")," জালশুকা, গাংনী, মেহেরপুর ")</f>
        <v> জালশুকা, গাংনী, মেহেরপুর </v>
      </c>
    </row>
    <row r="512" ht="15.75" customHeight="1">
      <c r="A512" s="3" t="s">
        <v>3635</v>
      </c>
      <c r="B512" s="3">
        <f>IFERROR(__xludf.DUMMYFUNCTION("SPLIT(A512,""|"")"),674.0)</f>
        <v>674</v>
      </c>
      <c r="C512" s="3" t="str">
        <f>IFERROR(__xludf.DUMMYFUNCTION("""COMPUTED_VALUE""")," নাজমুল হোসেন ")</f>
        <v> নাজমুল হোসেন </v>
      </c>
      <c r="D512" s="3">
        <f>IFERROR(__xludf.DUMMYFUNCTION("""COMPUTED_VALUE"""),5.70056000312E11)</f>
        <v>570056000312</v>
      </c>
      <c r="E512" s="3" t="str">
        <f>IFERROR(__xludf.DUMMYFUNCTION("""COMPUTED_VALUE""")," মোঃ ইদ্রিস আলী ")</f>
        <v> মোঃ ইদ্রিস আলী </v>
      </c>
      <c r="F512" s="3" t="str">
        <f>IFERROR(__xludf.DUMMYFUNCTION("""COMPUTED_VALUE""")," মোছাঃ মালিয়া খাতুন ")</f>
        <v> মোছাঃ মালিয়া খাতুন </v>
      </c>
      <c r="G512" s="3" t="str">
        <f>IFERROR(__xludf.DUMMYFUNCTION("""COMPUTED_VALUE""")," ২২/০৭/১৯৯৮ ")</f>
        <v> ২২/০৭/১৯৯৮ </v>
      </c>
      <c r="H512" s="3" t="str">
        <f>IFERROR(__xludf.DUMMYFUNCTION("""COMPUTED_VALUE""")," ছাত্র/ছাত্রী ")</f>
        <v> ছাত্র/ছাত্রী </v>
      </c>
      <c r="I512" s="3" t="str">
        <f>IFERROR(__xludf.DUMMYFUNCTION("""COMPUTED_VALUE""")," জালশুকা, গাংনী, মেহেরপুর ")</f>
        <v> জালশুকা, গাংনী, মেহেরপুর </v>
      </c>
    </row>
    <row r="513" ht="15.75" customHeight="1">
      <c r="A513" s="3" t="s">
        <v>3636</v>
      </c>
      <c r="B513" s="3">
        <f>IFERROR(__xludf.DUMMYFUNCTION("SPLIT(A513,""|"")"),675.0)</f>
        <v>675</v>
      </c>
      <c r="C513" s="3" t="str">
        <f>IFERROR(__xludf.DUMMYFUNCTION("""COMPUTED_VALUE""")," মোহাঃ আক্তারুজ্জামান ")</f>
        <v> মোহাঃ আক্তারুজ্জামান </v>
      </c>
      <c r="D513" s="3">
        <f>IFERROR(__xludf.DUMMYFUNCTION("""COMPUTED_VALUE"""),5.70056000313E11)</f>
        <v>570056000313</v>
      </c>
      <c r="E513" s="3" t="str">
        <f>IFERROR(__xludf.DUMMYFUNCTION("""COMPUTED_VALUE""")," মোহাঃ এনামুল হক ")</f>
        <v> মোহাঃ এনামুল হক </v>
      </c>
      <c r="F513" s="3" t="str">
        <f>IFERROR(__xludf.DUMMYFUNCTION("""COMPUTED_VALUE""")," মোছাঃ রেহেনা খাতুন ")</f>
        <v> মোছাঃ রেহেনা খাতুন </v>
      </c>
      <c r="G513" s="3" t="str">
        <f>IFERROR(__xludf.DUMMYFUNCTION("""COMPUTED_VALUE""")," ০৬/০৬/১৯৯৮ ")</f>
        <v> ০৬/০৬/১৯৯৮ </v>
      </c>
      <c r="H513" s="3" t="str">
        <f>IFERROR(__xludf.DUMMYFUNCTION("""COMPUTED_VALUE""")," ছাত্র/ছাত্রী ")</f>
        <v> ছাত্র/ছাত্রী </v>
      </c>
      <c r="I513" s="3" t="str">
        <f>IFERROR(__xludf.DUMMYFUNCTION("""COMPUTED_VALUE""")," জালশুকা, গাংনী, মেহেরপুর ")</f>
        <v> জালশুকা, গাংনী, মেহেরপুর </v>
      </c>
    </row>
    <row r="514" ht="15.75" customHeight="1">
      <c r="A514" s="3" t="s">
        <v>3637</v>
      </c>
      <c r="B514" s="3">
        <f>IFERROR(__xludf.DUMMYFUNCTION("SPLIT(A514,""|"")"),676.0)</f>
        <v>676</v>
      </c>
      <c r="C514" s="3" t="str">
        <f>IFERROR(__xludf.DUMMYFUNCTION("""COMPUTED_VALUE""")," মোঃ ইমরান হোসেন ")</f>
        <v> মোঃ ইমরান হোসেন </v>
      </c>
      <c r="D514" s="3">
        <f>IFERROR(__xludf.DUMMYFUNCTION("""COMPUTED_VALUE"""),5.70056000314E11)</f>
        <v>570056000314</v>
      </c>
      <c r="E514" s="3" t="str">
        <f>IFERROR(__xludf.DUMMYFUNCTION("""COMPUTED_VALUE""")," মুতালেব ")</f>
        <v> মুতালেব </v>
      </c>
      <c r="F514" s="3" t="str">
        <f>IFERROR(__xludf.DUMMYFUNCTION("""COMPUTED_VALUE""")," রঙ্গিলা ")</f>
        <v> রঙ্গিলা </v>
      </c>
      <c r="G514" s="3" t="str">
        <f>IFERROR(__xludf.DUMMYFUNCTION("""COMPUTED_VALUE""")," ১৭/০৯/১৯৯০ ")</f>
        <v> ১৭/০৯/১৯৯০ </v>
      </c>
      <c r="H514" s="3" t="str">
        <f>IFERROR(__xludf.DUMMYFUNCTION("""COMPUTED_VALUE""")," ছাত্র/ছাত্রী ")</f>
        <v> ছাত্র/ছাত্রী </v>
      </c>
      <c r="I514" s="3" t="str">
        <f>IFERROR(__xludf.DUMMYFUNCTION("""COMPUTED_VALUE""")," জালশুকা, গাংনী, মেহেরপুর ")</f>
        <v> জালশুকা, গাংনী, মেহেরপুর </v>
      </c>
    </row>
    <row r="515" ht="15.75" customHeight="1">
      <c r="A515" s="3" t="s">
        <v>3638</v>
      </c>
      <c r="B515" s="3">
        <f>IFERROR(__xludf.DUMMYFUNCTION("SPLIT(A515,""|"")"),677.0)</f>
        <v>677</v>
      </c>
      <c r="C515" s="3" t="str">
        <f>IFERROR(__xludf.DUMMYFUNCTION("""COMPUTED_VALUE""")," মোঃ হারুন-অর-রশিদ ")</f>
        <v> মোঃ হারুন-অর-রশিদ </v>
      </c>
      <c r="D515" s="3">
        <f>IFERROR(__xludf.DUMMYFUNCTION("""COMPUTED_VALUE"""),5.70056000316E11)</f>
        <v>570056000316</v>
      </c>
      <c r="E515" s="3" t="str">
        <f>IFERROR(__xludf.DUMMYFUNCTION("""COMPUTED_VALUE""")," মোঃ জমির উদ্দিন ")</f>
        <v> মোঃ জমির উদ্দিন </v>
      </c>
      <c r="F515" s="3" t="str">
        <f>IFERROR(__xludf.DUMMYFUNCTION("""COMPUTED_VALUE""")," মোছাঃ নাসের খাতুন ")</f>
        <v> মোছাঃ নাসের খাতুন </v>
      </c>
      <c r="G515" s="3" t="str">
        <f>IFERROR(__xludf.DUMMYFUNCTION("""COMPUTED_VALUE""")," ০১/০৩/১৯৯৮ ")</f>
        <v> ০১/০৩/১৯৯৮ </v>
      </c>
      <c r="H515" s="3" t="str">
        <f>IFERROR(__xludf.DUMMYFUNCTION("""COMPUTED_VALUE""")," ছাত্র/ছাত্রী ")</f>
        <v> ছাত্র/ছাত্রী </v>
      </c>
      <c r="I515" s="3" t="str">
        <f>IFERROR(__xludf.DUMMYFUNCTION("""COMPUTED_VALUE""")," জালশুকা, গাংনী, মেহেরপুর ")</f>
        <v> জালশুকা, গাংনী, মেহেরপুর </v>
      </c>
    </row>
    <row r="516" ht="15.75" customHeight="1">
      <c r="A516" s="3" t="s">
        <v>3639</v>
      </c>
      <c r="B516" s="3">
        <f>IFERROR(__xludf.DUMMYFUNCTION("SPLIT(A516,""|"")"),678.0)</f>
        <v>678</v>
      </c>
      <c r="C516" s="3" t="str">
        <f>IFERROR(__xludf.DUMMYFUNCTION("""COMPUTED_VALUE""")," মোঃ আমজাদ আলী ")</f>
        <v> মোঃ আমজাদ আলী </v>
      </c>
      <c r="D516" s="3">
        <f>IFERROR(__xludf.DUMMYFUNCTION("""COMPUTED_VALUE"""),5.70056000317E11)</f>
        <v>570056000317</v>
      </c>
      <c r="E516" s="3" t="str">
        <f>IFERROR(__xludf.DUMMYFUNCTION("""COMPUTED_VALUE""")," মোঃ ইউছুফ আলী ")</f>
        <v> মোঃ ইউছুফ আলী </v>
      </c>
      <c r="F516" s="3" t="str">
        <f>IFERROR(__xludf.DUMMYFUNCTION("""COMPUTED_VALUE""")," মোছাঃ রোহিলা খাতুন ")</f>
        <v> মোছাঃ রোহিলা খাতুন </v>
      </c>
      <c r="G516" s="3" t="str">
        <f>IFERROR(__xludf.DUMMYFUNCTION("""COMPUTED_VALUE""")," ১০/১০/১৯৮৬ ")</f>
        <v> ১০/১০/১৯৮৬ </v>
      </c>
      <c r="H516" s="3" t="str">
        <f>IFERROR(__xludf.DUMMYFUNCTION("""COMPUTED_VALUE""")," ব্যবসা ")</f>
        <v> ব্যবসা </v>
      </c>
      <c r="I516" s="3" t="str">
        <f>IFERROR(__xludf.DUMMYFUNCTION("""COMPUTED_VALUE""")," জালশুকা, গাংনী, মেহেরপুর ")</f>
        <v> জালশুকা, গাংনী, মেহেরপুর </v>
      </c>
    </row>
    <row r="517" ht="15.75" customHeight="1">
      <c r="A517" s="3" t="s">
        <v>3640</v>
      </c>
      <c r="B517" s="3">
        <f>IFERROR(__xludf.DUMMYFUNCTION("SPLIT(A517,""|"")"),679.0)</f>
        <v>679</v>
      </c>
      <c r="C517" s="3" t="str">
        <f>IFERROR(__xludf.DUMMYFUNCTION("""COMPUTED_VALUE""")," মোঃ সাইদুল ইসলাম ")</f>
        <v> মোঃ সাইদুল ইসলাম </v>
      </c>
      <c r="D517" s="3">
        <f>IFERROR(__xludf.DUMMYFUNCTION("""COMPUTED_VALUE"""),5.70056000321E11)</f>
        <v>570056000321</v>
      </c>
      <c r="E517" s="3" t="str">
        <f>IFERROR(__xludf.DUMMYFUNCTION("""COMPUTED_VALUE""")," মোঃ ইউছুফ আলী ")</f>
        <v> মোঃ ইউছুফ আলী </v>
      </c>
      <c r="F517" s="3" t="str">
        <f>IFERROR(__xludf.DUMMYFUNCTION("""COMPUTED_VALUE""")," মোছাঃ রোহিলা খাতুন ")</f>
        <v> মোছাঃ রোহিলা খাতুন </v>
      </c>
      <c r="G517" s="3" t="str">
        <f>IFERROR(__xludf.DUMMYFUNCTION("""COMPUTED_VALUE""")," ১৪/১২/১৯৯৭ ")</f>
        <v> ১৪/১২/১৯৯৭ </v>
      </c>
      <c r="H517" s="3" t="str">
        <f>IFERROR(__xludf.DUMMYFUNCTION("""COMPUTED_VALUE""")," ছাত্র/ছাত্রী ")</f>
        <v> ছাত্র/ছাত্রী </v>
      </c>
      <c r="I517" s="3" t="str">
        <f>IFERROR(__xludf.DUMMYFUNCTION("""COMPUTED_VALUE""")," জালশুকা, গাংনী, মেহেরপুর ")</f>
        <v> জালশুকা, গাংনী, মেহেরপুর </v>
      </c>
    </row>
    <row r="518" ht="15.75" customHeight="1">
      <c r="A518" s="3" t="s">
        <v>3641</v>
      </c>
      <c r="B518" s="3">
        <f>IFERROR(__xludf.DUMMYFUNCTION("SPLIT(A518,""|"")"),680.0)</f>
        <v>680</v>
      </c>
      <c r="C518" s="3" t="str">
        <f>IFERROR(__xludf.DUMMYFUNCTION("""COMPUTED_VALUE""")," মোঃ ইব্রাহিম ইসলাম ")</f>
        <v> মোঃ ইব্রাহিম ইসলাম </v>
      </c>
      <c r="D518" s="3">
        <f>IFERROR(__xludf.DUMMYFUNCTION("""COMPUTED_VALUE"""),5.70056000323E11)</f>
        <v>570056000323</v>
      </c>
      <c r="E518" s="3" t="str">
        <f>IFERROR(__xludf.DUMMYFUNCTION("""COMPUTED_VALUE""")," পিতা: মোঃ আঃ বারী ")</f>
        <v> পিতা: মোঃ আঃ বারী </v>
      </c>
      <c r="F518" s="3" t="str">
        <f>IFERROR(__xludf.DUMMYFUNCTION("""COMPUTED_VALUE""")," মোছাঃ আঙ্গুরা খাতুন ")</f>
        <v> মোছাঃ আঙ্গুরা খাতুন </v>
      </c>
      <c r="G518" s="3" t="str">
        <f>IFERROR(__xludf.DUMMYFUNCTION("""COMPUTED_VALUE""")," ১০/১২/১৯৯৭ ")</f>
        <v> ১০/১২/১৯৯৭ </v>
      </c>
      <c r="H518" s="3" t="str">
        <f>IFERROR(__xludf.DUMMYFUNCTION("""COMPUTED_VALUE""")," ছাত্র/ছাত্রী ")</f>
        <v> ছাত্র/ছাত্রী </v>
      </c>
      <c r="I518" s="3" t="str">
        <f>IFERROR(__xludf.DUMMYFUNCTION("""COMPUTED_VALUE""")," জালশুকা, গাংনী, মেহেরপুর ")</f>
        <v> জালশুকা, গাংনী, মেহেরপুর </v>
      </c>
    </row>
    <row r="519" ht="15.75" customHeight="1">
      <c r="A519" s="3" t="s">
        <v>3642</v>
      </c>
      <c r="B519" s="3">
        <f>IFERROR(__xludf.DUMMYFUNCTION("SPLIT(A519,""|"")"),681.0)</f>
        <v>681</v>
      </c>
      <c r="C519" s="3" t="str">
        <f>IFERROR(__xludf.DUMMYFUNCTION("""COMPUTED_VALUE""")," মোঃ আবেদ ")</f>
        <v> মোঃ আবেদ </v>
      </c>
      <c r="D519" s="3">
        <f>IFERROR(__xludf.DUMMYFUNCTION("""COMPUTED_VALUE"""),5.70056000324E11)</f>
        <v>570056000324</v>
      </c>
      <c r="E519" s="3" t="str">
        <f>IFERROR(__xludf.DUMMYFUNCTION("""COMPUTED_VALUE""")," আব্দুল কাদের ")</f>
        <v> আব্দুল কাদের </v>
      </c>
      <c r="F519" s="3" t="str">
        <f>IFERROR(__xludf.DUMMYFUNCTION("""COMPUTED_VALUE""")," জামেলা ")</f>
        <v> জামেলা </v>
      </c>
      <c r="G519" s="3" t="str">
        <f>IFERROR(__xludf.DUMMYFUNCTION("""COMPUTED_VALUE""")," ০৪/০৮/১৯৭৪ ")</f>
        <v> ০৪/০৮/১৯৭৪ </v>
      </c>
      <c r="H519" s="3" t="str">
        <f>IFERROR(__xludf.DUMMYFUNCTION("""COMPUTED_VALUE""")," ব্যবসা ")</f>
        <v> ব্যবসা </v>
      </c>
      <c r="I519" s="3" t="str">
        <f>IFERROR(__xludf.DUMMYFUNCTION("""COMPUTED_VALUE""")," জালশুকা, গাংনী, মেহেরপুর ")</f>
        <v> জালশুকা, গাংনী, মেহেরপুর </v>
      </c>
    </row>
    <row r="520" ht="15.75" customHeight="1">
      <c r="A520" s="3" t="s">
        <v>3643</v>
      </c>
      <c r="B520" s="3">
        <f>IFERROR(__xludf.DUMMYFUNCTION("SPLIT(A520,""|"")"),682.0)</f>
        <v>682</v>
      </c>
      <c r="C520" s="3" t="str">
        <f>IFERROR(__xludf.DUMMYFUNCTION("""COMPUTED_VALUE""")," নাম: হাসিবুল ইসলাম ")</f>
        <v> নাম: হাসিবুল ইসলাম </v>
      </c>
      <c r="D520" s="3">
        <f>IFERROR(__xludf.DUMMYFUNCTION("""COMPUTED_VALUE"""),5.70056000325E11)</f>
        <v>570056000325</v>
      </c>
      <c r="E520" s="3" t="str">
        <f>IFERROR(__xludf.DUMMYFUNCTION("""COMPUTED_VALUE""")," পিতা: নুর ইসলাম ")</f>
        <v> পিতা: নুর ইসলাম </v>
      </c>
      <c r="F520" s="3" t="str">
        <f>IFERROR(__xludf.DUMMYFUNCTION("""COMPUTED_VALUE""")," মাতা: আদুরী খাতুন ")</f>
        <v> মাতা: আদুরী খাতুন </v>
      </c>
      <c r="G520" s="3" t="str">
        <f>IFERROR(__xludf.DUMMYFUNCTION("""COMPUTED_VALUE""")," ১০/০৪/১৯৯৮ ")</f>
        <v> ১০/০৪/১৯৯৮ </v>
      </c>
      <c r="H520" s="3" t="str">
        <f>IFERROR(__xludf.DUMMYFUNCTION("""COMPUTED_VALUE""")," কৃষক ")</f>
        <v> কৃষক </v>
      </c>
      <c r="I520" s="3" t="str">
        <f>IFERROR(__xludf.DUMMYFUNCTION("""COMPUTED_VALUE""")," জালশুকা, গাংনী, মেহেরপুর ")</f>
        <v> জালশুকা, গাংনী, মেহেরপুর </v>
      </c>
    </row>
    <row r="521" ht="15.75" customHeight="1">
      <c r="A521" s="3" t="s">
        <v>3644</v>
      </c>
      <c r="B521" s="3">
        <f>IFERROR(__xludf.DUMMYFUNCTION("SPLIT(A521,""|"")"),683.0)</f>
        <v>683</v>
      </c>
      <c r="C521" s="3" t="str">
        <f>IFERROR(__xludf.DUMMYFUNCTION("""COMPUTED_VALUE""")," নাম: লিখন ")</f>
        <v> নাম: লিখন </v>
      </c>
      <c r="D521" s="3">
        <f>IFERROR(__xludf.DUMMYFUNCTION("""COMPUTED_VALUE"""),5.70056000326E11)</f>
        <v>570056000326</v>
      </c>
      <c r="E521" s="3" t="str">
        <f>IFERROR(__xludf.DUMMYFUNCTION("""COMPUTED_VALUE""")," পিতা: মহিবুল ")</f>
        <v> পিতা: মহিবুল </v>
      </c>
      <c r="F521" s="3" t="str">
        <f>IFERROR(__xludf.DUMMYFUNCTION("""COMPUTED_VALUE""")," মাতা: শিউলী ")</f>
        <v> মাতা: শিউলী </v>
      </c>
      <c r="G521" s="3" t="str">
        <f>IFERROR(__xludf.DUMMYFUNCTION("""COMPUTED_VALUE""")," ০১/০৩/১৯৯২ ")</f>
        <v> ০১/০৩/১৯৯২ </v>
      </c>
      <c r="H521" s="3" t="str">
        <f>IFERROR(__xludf.DUMMYFUNCTION("""COMPUTED_VALUE""")," ছাত্র/ছাত্রী ")</f>
        <v> ছাত্র/ছাত্রী </v>
      </c>
      <c r="I521" s="3" t="str">
        <f>IFERROR(__xludf.DUMMYFUNCTION("""COMPUTED_VALUE""")," জালশুকা, গাংনী, মেহেরপুর ")</f>
        <v> জালশুকা, গাংনী, মেহেরপুর </v>
      </c>
    </row>
    <row r="522" ht="15.75" customHeight="1">
      <c r="A522" s="3" t="s">
        <v>3645</v>
      </c>
      <c r="B522" s="3">
        <f>IFERROR(__xludf.DUMMYFUNCTION("SPLIT(A522,""|"")"),684.0)</f>
        <v>684</v>
      </c>
      <c r="C522" s="3" t="str">
        <f>IFERROR(__xludf.DUMMYFUNCTION("""COMPUTED_VALUE""")," নাম: মোঃ শিহাব উদ্দিন ")</f>
        <v> নাম: মোঃ শিহাব উদ্দিন </v>
      </c>
      <c r="D522" s="3">
        <f>IFERROR(__xludf.DUMMYFUNCTION("""COMPUTED_VALUE"""),5.70056000328E11)</f>
        <v>570056000328</v>
      </c>
      <c r="E522" s="3" t="str">
        <f>IFERROR(__xludf.DUMMYFUNCTION("""COMPUTED_VALUE""")," পিতা: মোঃ শহিদুল ইসলাম ")</f>
        <v> পিতা: মোঃ শহিদুল ইসলাম </v>
      </c>
      <c r="F522" s="3" t="str">
        <f>IFERROR(__xludf.DUMMYFUNCTION("""COMPUTED_VALUE""")," মাতা: মোছাঃ রাশিদা খাতুন ")</f>
        <v> মাতা: মোছাঃ রাশিদা খাতুন </v>
      </c>
      <c r="G522" s="3" t="str">
        <f>IFERROR(__xludf.DUMMYFUNCTION("""COMPUTED_VALUE""")," ২৩/১০/১৯৯৫ ")</f>
        <v> ২৩/১০/১৯৯৫ </v>
      </c>
      <c r="H522" s="3" t="str">
        <f>IFERROR(__xludf.DUMMYFUNCTION("""COMPUTED_VALUE""")," সরকারী চাকুরী ")</f>
        <v> সরকারী চাকুরী </v>
      </c>
      <c r="I522" s="3" t="str">
        <f>IFERROR(__xludf.DUMMYFUNCTION("""COMPUTED_VALUE""")," জালশুকা, গাংনী, মেহেরপুর ")</f>
        <v> জালশুকা, গাংনী, মেহেরপুর </v>
      </c>
    </row>
    <row r="523" ht="15.75" customHeight="1">
      <c r="A523" s="3" t="s">
        <v>3646</v>
      </c>
      <c r="B523" s="3">
        <f>IFERROR(__xludf.DUMMYFUNCTION("SPLIT(A523,""|"")"),685.0)</f>
        <v>685</v>
      </c>
      <c r="C523" s="3" t="str">
        <f>IFERROR(__xludf.DUMMYFUNCTION("""COMPUTED_VALUE""")," নাম: মোঃ সাইফুল ইসলাম ")</f>
        <v> নাম: মোঃ সাইফুল ইসলাম </v>
      </c>
      <c r="D523" s="3">
        <f>IFERROR(__xludf.DUMMYFUNCTION("""COMPUTED_VALUE"""),5.70056000329E11)</f>
        <v>570056000329</v>
      </c>
      <c r="E523" s="3" t="str">
        <f>IFERROR(__xludf.DUMMYFUNCTION("""COMPUTED_VALUE""")," পিতা: মোঃ শুকুর আলী ")</f>
        <v> পিতা: মোঃ শুকুর আলী </v>
      </c>
      <c r="F523" s="3" t="str">
        <f>IFERROR(__xludf.DUMMYFUNCTION("""COMPUTED_VALUE""")," মাতা: হালিমা খাতুন ")</f>
        <v> মাতা: হালিমা খাতুন </v>
      </c>
      <c r="G523" s="3" t="str">
        <f>IFERROR(__xludf.DUMMYFUNCTION("""COMPUTED_VALUE""")," ১৫/০১/১৯৯৫ ")</f>
        <v> ১৫/০১/১৯৯৫ </v>
      </c>
      <c r="H523" s="3" t="str">
        <f>IFERROR(__xludf.DUMMYFUNCTION("""COMPUTED_VALUE""")," সরকারী চাকুরী ")</f>
        <v> সরকারী চাকুরী </v>
      </c>
      <c r="I523" s="3" t="str">
        <f>IFERROR(__xludf.DUMMYFUNCTION("""COMPUTED_VALUE""")," জালশুকা, গাংনী, মেহেরপুর ")</f>
        <v> জালশুকা, গাংনী, মেহেরপুর </v>
      </c>
    </row>
    <row r="524" ht="15.75" customHeight="1">
      <c r="A524" s="3" t="s">
        <v>3647</v>
      </c>
      <c r="B524" s="3">
        <f>IFERROR(__xludf.DUMMYFUNCTION("SPLIT(A524,""|"")"),686.0)</f>
        <v>686</v>
      </c>
      <c r="C524" s="3" t="str">
        <f>IFERROR(__xludf.DUMMYFUNCTION("""COMPUTED_VALUE""")," নাম: মোঃ কাউছার আলী ")</f>
        <v> নাম: মোঃ কাউছার আলী </v>
      </c>
      <c r="D524" s="3">
        <f>IFERROR(__xludf.DUMMYFUNCTION("""COMPUTED_VALUE"""),5.7005600033E11)</f>
        <v>570056000330</v>
      </c>
      <c r="E524" s="3" t="str">
        <f>IFERROR(__xludf.DUMMYFUNCTION("""COMPUTED_VALUE""")," পিতা: মোঃ নূর ইসলাম ")</f>
        <v> পিতা: মোঃ নূর ইসলাম </v>
      </c>
      <c r="F524" s="3" t="str">
        <f>IFERROR(__xludf.DUMMYFUNCTION("""COMPUTED_VALUE""")," মাতা: মোছাঃ নিছারন নেছা ")</f>
        <v> মাতা: মোছাঃ নিছারন নেছা </v>
      </c>
      <c r="G524" s="3" t="str">
        <f>IFERROR(__xludf.DUMMYFUNCTION("""COMPUTED_VALUE""")," ১২/১০/১৯৯২ ")</f>
        <v> ১২/১০/১৯৯২ </v>
      </c>
      <c r="H524" s="3" t="str">
        <f>IFERROR(__xludf.DUMMYFUNCTION("""COMPUTED_VALUE""")," সরকারী চাকুরী ")</f>
        <v> সরকারী চাকুরী </v>
      </c>
      <c r="I524" s="3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525" ht="15.75" customHeight="1">
      <c r="A525" s="3" t="s">
        <v>3648</v>
      </c>
      <c r="B525" s="3">
        <f>IFERROR(__xludf.DUMMYFUNCTION("SPLIT(A525,""|"")"),687.0)</f>
        <v>687</v>
      </c>
      <c r="C525" s="3" t="str">
        <f>IFERROR(__xludf.DUMMYFUNCTION("""COMPUTED_VALUE""")," নাম: মোঃ শিমুল ")</f>
        <v> নাম: মোঃ শিমুল </v>
      </c>
      <c r="D525" s="3">
        <f>IFERROR(__xludf.DUMMYFUNCTION("""COMPUTED_VALUE"""),5.70056000331E11)</f>
        <v>570056000331</v>
      </c>
      <c r="E525" s="3" t="str">
        <f>IFERROR(__xludf.DUMMYFUNCTION("""COMPUTED_VALUE""")," পিতা: মোঃ মোশারেফ ")</f>
        <v> পিতা: মোঃ মোশারেফ </v>
      </c>
      <c r="F525" s="3" t="str">
        <f>IFERROR(__xludf.DUMMYFUNCTION("""COMPUTED_VALUE""")," মাতা: মোছাঃ আদরী খাতুন ")</f>
        <v> মাতা: মোছাঃ আদরী খাতুন </v>
      </c>
      <c r="G525" s="3" t="str">
        <f>IFERROR(__xludf.DUMMYFUNCTION("""COMPUTED_VALUE""")," ০১/০১/২০০০ ")</f>
        <v> ০১/০১/২০০০ </v>
      </c>
      <c r="H525" s="3" t="str">
        <f>IFERROR(__xludf.DUMMYFUNCTION("""COMPUTED_VALUE""")," কৃষক ")</f>
        <v> কৃষক </v>
      </c>
      <c r="I525" s="3" t="str">
        <f>IFERROR(__xludf.DUMMYFUNCTION("""COMPUTED_VALUE""")," জালশুকা, গাংনী, মেহেরপুর ")</f>
        <v> জালশুকা, গাংনী, মেহেরপুর </v>
      </c>
    </row>
    <row r="526" ht="15.75" customHeight="1">
      <c r="A526" s="3" t="s">
        <v>3649</v>
      </c>
      <c r="B526" s="3">
        <f>IFERROR(__xludf.DUMMYFUNCTION("SPLIT(A526,""|"")"),688.0)</f>
        <v>688</v>
      </c>
      <c r="C526" s="3" t="str">
        <f>IFERROR(__xludf.DUMMYFUNCTION("""COMPUTED_VALUE""")," নাম: মোহাঃ রিপন আলী ")</f>
        <v> নাম: মোহাঃ রিপন আলী </v>
      </c>
      <c r="D526" s="3">
        <f>IFERROR(__xludf.DUMMYFUNCTION("""COMPUTED_VALUE"""),5.70056000332E11)</f>
        <v>570056000332</v>
      </c>
      <c r="E526" s="3" t="str">
        <f>IFERROR(__xludf.DUMMYFUNCTION("""COMPUTED_VALUE""")," পিতা: মোহাঃ আঃ কুদ্দুস ")</f>
        <v> পিতা: মোহাঃ আঃ কুদ্দুস </v>
      </c>
      <c r="F526" s="3" t="str">
        <f>IFERROR(__xludf.DUMMYFUNCTION("""COMPUTED_VALUE""")," মাতা: মোছাঃ মনোয়ারা খাতুন ")</f>
        <v> মাতা: মোছাঃ মনোয়ারা খাতুন </v>
      </c>
      <c r="G526" s="3" t="str">
        <f>IFERROR(__xludf.DUMMYFUNCTION("""COMPUTED_VALUE""")," ০৩/০১/১৯৯৯ ")</f>
        <v> ০৩/০১/১৯৯৯ </v>
      </c>
      <c r="H526" s="3" t="str">
        <f>IFERROR(__xludf.DUMMYFUNCTION("""COMPUTED_VALUE""")," ছাত্র/ছাত্রী ")</f>
        <v> ছাত্র/ছাত্রী </v>
      </c>
      <c r="I526" s="3" t="str">
        <f>IFERROR(__xludf.DUMMYFUNCTION("""COMPUTED_VALUE""")," জালশুকা, গাংনী, মেহেরপুর ")</f>
        <v> জালশুকা, গাংনী, মেহেরপুর </v>
      </c>
    </row>
    <row r="527" ht="15.75" customHeight="1">
      <c r="A527" s="3" t="s">
        <v>3650</v>
      </c>
      <c r="B527" s="3">
        <f>IFERROR(__xludf.DUMMYFUNCTION("SPLIT(A527,""|"")"),689.0)</f>
        <v>689</v>
      </c>
      <c r="C527" s="3" t="str">
        <f>IFERROR(__xludf.DUMMYFUNCTION("""COMPUTED_VALUE""")," নাম: মোঃ সুমন আলী ")</f>
        <v> নাম: মোঃ সুমন আলী </v>
      </c>
      <c r="D527" s="3">
        <f>IFERROR(__xludf.DUMMYFUNCTION("""COMPUTED_VALUE"""),5.70056000294E11)</f>
        <v>570056000294</v>
      </c>
      <c r="E527" s="3" t="str">
        <f>IFERROR(__xludf.DUMMYFUNCTION("""COMPUTED_VALUE""")," পিতা: মোঃ রমজদ্দীন ")</f>
        <v> পিতা: মোঃ রমজদ্দীন </v>
      </c>
      <c r="F527" s="3" t="str">
        <f>IFERROR(__xludf.DUMMYFUNCTION("""COMPUTED_VALUE""")," মাতা: মোছাঃ জুলেখা খাতুন ")</f>
        <v> মাতা: মোছাঃ জুলেখা খাতুন </v>
      </c>
      <c r="G527" s="3" t="str">
        <f>IFERROR(__xludf.DUMMYFUNCTION("""COMPUTED_VALUE""")," ১২/১১/১৯৯৮ ")</f>
        <v> ১২/১১/১৯৯৮ </v>
      </c>
      <c r="H527" s="3" t="str">
        <f>IFERROR(__xludf.DUMMYFUNCTION("""COMPUTED_VALUE""")," ছাত্র/ছাত্রী ")</f>
        <v> ছাত্র/ছাত্রী </v>
      </c>
      <c r="I527" s="3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528" ht="15.75" customHeight="1">
      <c r="A528" s="3" t="s">
        <v>3651</v>
      </c>
      <c r="B528" s="3">
        <f>IFERROR(__xludf.DUMMYFUNCTION("SPLIT(A528,""|"")"),690.0)</f>
        <v>690</v>
      </c>
      <c r="C528" s="3" t="str">
        <f>IFERROR(__xludf.DUMMYFUNCTION("""COMPUTED_VALUE""")," নাম: মোঃ জসিম উদ্দীন ")</f>
        <v> নাম: মোঃ জসিম উদ্দীন </v>
      </c>
      <c r="D528" s="3">
        <f>IFERROR(__xludf.DUMMYFUNCTION("""COMPUTED_VALUE"""),5.70056000335E11)</f>
        <v>570056000335</v>
      </c>
      <c r="E528" s="3" t="str">
        <f>IFERROR(__xludf.DUMMYFUNCTION("""COMPUTED_VALUE""")," পিতা: মোঃ আঃ মালেক ")</f>
        <v> পিতা: মোঃ আঃ মালেক </v>
      </c>
      <c r="F528" s="3" t="str">
        <f>IFERROR(__xludf.DUMMYFUNCTION("""COMPUTED_VALUE""")," মাতা: মোছাঃ ফাতেমা খাতুন ")</f>
        <v> মাতা: মোছাঃ ফাতেমা খাতুন </v>
      </c>
      <c r="G528" s="3" t="str">
        <f>IFERROR(__xludf.DUMMYFUNCTION("""COMPUTED_VALUE""")," ২৭/০১/১৯৯৬ ")</f>
        <v> ২৭/০১/১৯৯৬ </v>
      </c>
      <c r="H528" s="3" t="str">
        <f>IFERROR(__xludf.DUMMYFUNCTION("""COMPUTED_VALUE""")," মিস্ত্রী ")</f>
        <v> মিস্ত্রী </v>
      </c>
      <c r="I528" s="3" t="str">
        <f>IFERROR(__xludf.DUMMYFUNCTION("""COMPUTED_VALUE""")," বালিয়া পাড়া, জালশুকা, কসবা, গাংনী, মেহেরপুর ")</f>
        <v> বালিয়া পাড়া, জালশুকা, কসবা, গাংনী, মেহেরপুর </v>
      </c>
    </row>
    <row r="529" ht="15.75" customHeight="1">
      <c r="A529" s="3" t="s">
        <v>3652</v>
      </c>
      <c r="B529" s="3">
        <f>IFERROR(__xludf.DUMMYFUNCTION("SPLIT(A529,""|"")"),691.0)</f>
        <v>691</v>
      </c>
      <c r="C529" s="3" t="str">
        <f>IFERROR(__xludf.DUMMYFUNCTION("""COMPUTED_VALUE""")," নাম: ওয়ায়েন কুরুনি ")</f>
        <v> নাম: ওয়ায়েন কুরুনি </v>
      </c>
      <c r="D529" s="3">
        <f>IFERROR(__xludf.DUMMYFUNCTION("""COMPUTED_VALUE"""),5.70056000337E11)</f>
        <v>570056000337</v>
      </c>
      <c r="E529" s="3" t="str">
        <f>IFERROR(__xludf.DUMMYFUNCTION("""COMPUTED_VALUE""")," পিতা: হামিদুর রহমান ")</f>
        <v> পিতা: হামিদুর রহমান </v>
      </c>
      <c r="F529" s="3" t="str">
        <f>IFERROR(__xludf.DUMMYFUNCTION("""COMPUTED_VALUE""")," মাতা: ফরিদা খাতুন ")</f>
        <v> মাতা: ফরিদা খাতুন </v>
      </c>
      <c r="G529" s="3" t="str">
        <f>IFERROR(__xludf.DUMMYFUNCTION("""COMPUTED_VALUE""")," ২০/০৮/১৯৯৮ ")</f>
        <v> ২০/০৮/১৯৯৮ </v>
      </c>
      <c r="H529" s="3" t="str">
        <f>IFERROR(__xludf.DUMMYFUNCTION("""COMPUTED_VALUE""")," ছাত্র/ছাত্রী ")</f>
        <v> ছাত্র/ছাত্রী </v>
      </c>
      <c r="I529" s="3" t="str">
        <f>IFERROR(__xludf.DUMMYFUNCTION("""COMPUTED_VALUE""")," স্কুল পাড়া, জালশুকা, গাংনী, মেহেরপুর ")</f>
        <v> স্কুল পাড়া, জালশুকা, গাংনী, মেহেরপুর </v>
      </c>
    </row>
    <row r="530" ht="15.75" customHeight="1">
      <c r="A530" s="3" t="s">
        <v>3653</v>
      </c>
      <c r="B530" s="3">
        <f>IFERROR(__xludf.DUMMYFUNCTION("SPLIT(A530,""|"")"),692.0)</f>
        <v>692</v>
      </c>
      <c r="C530" s="3" t="str">
        <f>IFERROR(__xludf.DUMMYFUNCTION("""COMPUTED_VALUE""")," নাম: মোঃ হাসমত ")</f>
        <v> নাম: মোঃ হাসমত </v>
      </c>
      <c r="D530" s="3">
        <f>IFERROR(__xludf.DUMMYFUNCTION("""COMPUTED_VALUE"""),5.7005600034E11)</f>
        <v>570056000340</v>
      </c>
      <c r="E530" s="3" t="str">
        <f>IFERROR(__xludf.DUMMYFUNCTION("""COMPUTED_VALUE""")," পিতা: আমিরুল ইসলাম ")</f>
        <v> পিতা: আমিরুল ইসলাম </v>
      </c>
      <c r="F530" s="3" t="str">
        <f>IFERROR(__xludf.DUMMYFUNCTION("""COMPUTED_VALUE""")," মাতা: হাওয়া খাতুন ")</f>
        <v> মাতা: হাওয়া খাতুন </v>
      </c>
      <c r="G530" s="3" t="str">
        <f>IFERROR(__xludf.DUMMYFUNCTION("""COMPUTED_VALUE""")," ১৩/১০/১৯৯৮ ")</f>
        <v> ১৩/১০/১৯৯৮ </v>
      </c>
      <c r="H530" s="3" t="str">
        <f>IFERROR(__xludf.DUMMYFUNCTION("""COMPUTED_VALUE""")," কৃষক ")</f>
        <v> কৃষক </v>
      </c>
      <c r="I530" s="3" t="str">
        <f>IFERROR(__xludf.DUMMYFUNCTION("""COMPUTED_VALUE""")," বালিয়া পাড়া, জালশুকা, কসবা, গাংনী, মেহেরপুর ")</f>
        <v> বালিয়া পাড়া, জালশুকা, কসবা, গাংনী, মেহেরপুর </v>
      </c>
    </row>
    <row r="531" ht="15.75" customHeight="1">
      <c r="A531" s="3" t="s">
        <v>3654</v>
      </c>
      <c r="B531" s="3">
        <f>IFERROR(__xludf.DUMMYFUNCTION("SPLIT(A531,""|"")"),693.0)</f>
        <v>693</v>
      </c>
      <c r="C531" s="3" t="str">
        <f>IFERROR(__xludf.DUMMYFUNCTION("""COMPUTED_VALUE""")," নাম: মোঃ আবুল বাসার মনা ")</f>
        <v> নাম: মোঃ আবুল বাসার মনা </v>
      </c>
      <c r="D531" s="3">
        <f>IFERROR(__xludf.DUMMYFUNCTION("""COMPUTED_VALUE"""),5.70056000341E11)</f>
        <v>570056000341</v>
      </c>
      <c r="E531" s="3" t="str">
        <f>IFERROR(__xludf.DUMMYFUNCTION("""COMPUTED_VALUE""")," পিতা: মৃত শওকত মালিথা ")</f>
        <v> পিতা: মৃত শওকত মালিথা </v>
      </c>
      <c r="F531" s="3" t="str">
        <f>IFERROR(__xludf.DUMMYFUNCTION("""COMPUTED_VALUE""")," মাতা: মৃত রমলা খাতুন ")</f>
        <v> মাতা: মৃত রমলা খাতুন </v>
      </c>
      <c r="G531" s="3" t="str">
        <f>IFERROR(__xludf.DUMMYFUNCTION("""COMPUTED_VALUE""")," ১৮/১১/১৯৭৬ ")</f>
        <v> ১৮/১১/১৯৭৬ </v>
      </c>
      <c r="H531" s="3" t="str">
        <f>IFERROR(__xludf.DUMMYFUNCTION("""COMPUTED_VALUE""")," কৃষক ")</f>
        <v> কৃষক </v>
      </c>
      <c r="I531" s="3" t="str">
        <f>IFERROR(__xludf.DUMMYFUNCTION("""COMPUTED_VALUE""")," মাঝেরপাড়া, জালশুকা, গাংনী, মেহেরপুর ")</f>
        <v> মাঝেরপাড়া, জালশুকা, গাংনী, মেহেরপুর </v>
      </c>
    </row>
    <row r="532" ht="15.75" customHeight="1">
      <c r="A532" s="3" t="s">
        <v>3655</v>
      </c>
      <c r="B532" s="3">
        <f>IFERROR(__xludf.DUMMYFUNCTION("SPLIT(A532,""|"")"),694.0)</f>
        <v>694</v>
      </c>
      <c r="C532" s="3" t="str">
        <f>IFERROR(__xludf.DUMMYFUNCTION("""COMPUTED_VALUE""")," নাম: মোঃ মুনজুর আলী ")</f>
        <v> নাম: মোঃ মুনজুর আলী </v>
      </c>
      <c r="D532" s="3">
        <f>IFERROR(__xludf.DUMMYFUNCTION("""COMPUTED_VALUE"""),5.70056000342E11)</f>
        <v>570056000342</v>
      </c>
      <c r="E532" s="3" t="str">
        <f>IFERROR(__xludf.DUMMYFUNCTION("""COMPUTED_VALUE""")," পিতা: মৃত গনজের আলী ")</f>
        <v> পিতা: মৃত গনজের আলী </v>
      </c>
      <c r="F532" s="3" t="str">
        <f>IFERROR(__xludf.DUMMYFUNCTION("""COMPUTED_VALUE""")," মাতা: মোছাঃ জুলেখা খাতুন ")</f>
        <v> মাতা: মোছাঃ জুলেখা খাতুন </v>
      </c>
      <c r="G532" s="3" t="str">
        <f>IFERROR(__xludf.DUMMYFUNCTION("""COMPUTED_VALUE""")," ০২/০১/১৯৮৪ ")</f>
        <v> ০২/০১/১৯৮৪ </v>
      </c>
      <c r="H532" s="3" t="str">
        <f>IFERROR(__xludf.DUMMYFUNCTION("""COMPUTED_VALUE""")," কৃষক ")</f>
        <v> কৃষক </v>
      </c>
      <c r="I532" s="3" t="str">
        <f>IFERROR(__xludf.DUMMYFUNCTION("""COMPUTED_VALUE""")," কসবা, গাংনী, মেহেরপুর ")</f>
        <v> কসবা, গাংনী, মেহেরপুর </v>
      </c>
    </row>
    <row r="533" ht="15.75" customHeight="1">
      <c r="A533" s="3" t="s">
        <v>3656</v>
      </c>
      <c r="B533" s="3">
        <f>IFERROR(__xludf.DUMMYFUNCTION("SPLIT(A533,""|"")"),695.0)</f>
        <v>695</v>
      </c>
      <c r="C533" s="3" t="str">
        <f>IFERROR(__xludf.DUMMYFUNCTION("""COMPUTED_VALUE""")," নাম: মোঃ রাশেদুল ইসলাম ")</f>
        <v> নাম: মোঃ রাশেদুল ইসলাম </v>
      </c>
      <c r="D533" s="3">
        <f>IFERROR(__xludf.DUMMYFUNCTION("""COMPUTED_VALUE"""),5.70056000343E11)</f>
        <v>570056000343</v>
      </c>
      <c r="E533" s="3" t="str">
        <f>IFERROR(__xludf.DUMMYFUNCTION("""COMPUTED_VALUE""")," পিতা: মোঃ আফজলুদ্দিন ")</f>
        <v> পিতা: মোঃ আফজলুদ্দিন </v>
      </c>
      <c r="F533" s="3" t="str">
        <f>IFERROR(__xludf.DUMMYFUNCTION("""COMPUTED_VALUE""")," মাতা: মোছাঃ রওশনারা ")</f>
        <v> মাতা: মোছাঃ রওশনারা </v>
      </c>
      <c r="G533" s="3" t="str">
        <f>IFERROR(__xludf.DUMMYFUNCTION("""COMPUTED_VALUE""")," ০৭/০১/১৯৮৯ ")</f>
        <v> ০৭/০১/১৯৮৯ </v>
      </c>
      <c r="H533" s="3" t="str">
        <f>IFERROR(__xludf.DUMMYFUNCTION("""COMPUTED_VALUE""")," কৃষক ")</f>
        <v> কৃষক </v>
      </c>
      <c r="I533" s="3" t="str">
        <f>IFERROR(__xludf.DUMMYFUNCTION("""COMPUTED_VALUE""")," স্কুলপাড়া, জালশুকা, গাংনী, মেহেরপুর ")</f>
        <v> স্কুলপাড়া, জালশুকা, গাংনী, মেহেরপুর </v>
      </c>
    </row>
    <row r="534" ht="15.75" customHeight="1">
      <c r="A534" s="3" t="s">
        <v>3657</v>
      </c>
      <c r="B534" s="3">
        <f>IFERROR(__xludf.DUMMYFUNCTION("SPLIT(A534,""|"")"),696.0)</f>
        <v>696</v>
      </c>
      <c r="C534" s="3" t="str">
        <f>IFERROR(__xludf.DUMMYFUNCTION("""COMPUTED_VALUE""")," নাম: মোঃ মাঝারুল ইসলাম ")</f>
        <v> নাম: মোঃ মাঝারুল ইসলাম </v>
      </c>
      <c r="D534" s="3">
        <f>IFERROR(__xludf.DUMMYFUNCTION("""COMPUTED_VALUE"""),5.7005600035E11)</f>
        <v>570056000350</v>
      </c>
      <c r="E534" s="3" t="str">
        <f>IFERROR(__xludf.DUMMYFUNCTION("""COMPUTED_VALUE""")," পিতা: মোঃ মামল উদ্দীন ")</f>
        <v> পিতা: মোঃ মামল উদ্দীন </v>
      </c>
      <c r="F534" s="3" t="str">
        <f>IFERROR(__xludf.DUMMYFUNCTION("""COMPUTED_VALUE""")," মাতা: বেলী আরা খাতুন ")</f>
        <v> মাতা: বেলী আরা খাতুন </v>
      </c>
      <c r="G534" s="3" t="str">
        <f>IFERROR(__xludf.DUMMYFUNCTION("""COMPUTED_VALUE""")," ২৬/০৩/১৯৯৮ ")</f>
        <v> ২৬/০৩/১৯৯৮ </v>
      </c>
      <c r="H534" s="3" t="str">
        <f>IFERROR(__xludf.DUMMYFUNCTION("""COMPUTED_VALUE""")," ছাত্র/ছাত্রী ")</f>
        <v> ছাত্র/ছাত্রী </v>
      </c>
      <c r="I534" s="3" t="str">
        <f>IFERROR(__xludf.DUMMYFUNCTION("""COMPUTED_VALUE""")," মুলাপাড়া, জালশুকা, গাংনী, মেহেরপুর ")</f>
        <v> মুলাপাড়া, জালশুকা, গাংনী, মেহেরপুর </v>
      </c>
    </row>
    <row r="535" ht="15.75" customHeight="1">
      <c r="A535" s="3" t="s">
        <v>3658</v>
      </c>
      <c r="B535" s="3">
        <f>IFERROR(__xludf.DUMMYFUNCTION("SPLIT(A535,""|"")"),697.0)</f>
        <v>697</v>
      </c>
      <c r="C535" s="3" t="str">
        <f>IFERROR(__xludf.DUMMYFUNCTION("""COMPUTED_VALUE""")," নাম: মোঃ বিদ্যুত হুসাইন ")</f>
        <v> নাম: মোঃ বিদ্যুত হুসাইন </v>
      </c>
      <c r="D535" s="3">
        <f>IFERROR(__xludf.DUMMYFUNCTION("""COMPUTED_VALUE"""),5.70056000352E11)</f>
        <v>570056000352</v>
      </c>
      <c r="E535" s="3" t="str">
        <f>IFERROR(__xludf.DUMMYFUNCTION("""COMPUTED_VALUE""")," পিতা: মোঃ মোজাম্মেল হক ")</f>
        <v> পিতা: মোঃ মোজাম্মেল হক </v>
      </c>
      <c r="F535" s="3" t="str">
        <f>IFERROR(__xludf.DUMMYFUNCTION("""COMPUTED_VALUE""")," মাতা: মোছাঃ লাল বানু ")</f>
        <v> মাতা: মোছাঃ লাল বানু </v>
      </c>
      <c r="G535" s="3" t="str">
        <f>IFERROR(__xludf.DUMMYFUNCTION("""COMPUTED_VALUE""")," ০২/১০/১৯৯৬ ")</f>
        <v> ০২/১০/১৯৯৬ </v>
      </c>
      <c r="H535" s="3" t="str">
        <f>IFERROR(__xludf.DUMMYFUNCTION("""COMPUTED_VALUE""")," কৃষক ")</f>
        <v> কৃষক </v>
      </c>
      <c r="I535" s="3" t="str">
        <f>IFERROR(__xludf.DUMMYFUNCTION("""COMPUTED_VALUE""")," দাড়িপাড়া, জালশুকা, গাংনী, মেহেরপুর ")</f>
        <v> দাড়িপাড়া, জালশুকা, গাংনী, মেহেরপুর </v>
      </c>
    </row>
    <row r="536" ht="15.75" customHeight="1">
      <c r="A536" s="3" t="s">
        <v>3659</v>
      </c>
      <c r="B536" s="3">
        <f>IFERROR(__xludf.DUMMYFUNCTION("SPLIT(A536,""|"")"),698.0)</f>
        <v>698</v>
      </c>
      <c r="C536" s="3" t="str">
        <f>IFERROR(__xludf.DUMMYFUNCTION("""COMPUTED_VALUE""")," নাম: মোঃ হাসিবুল ইসলাম ")</f>
        <v> নাম: মোঃ হাসিবুল ইসলাম </v>
      </c>
      <c r="D536" s="3">
        <f>IFERROR(__xludf.DUMMYFUNCTION("""COMPUTED_VALUE"""),5.70056000353E11)</f>
        <v>570056000353</v>
      </c>
      <c r="E536" s="3" t="str">
        <f>IFERROR(__xludf.DUMMYFUNCTION("""COMPUTED_VALUE""")," পিতা: মোঃ আশাদুল ")</f>
        <v> পিতা: মোঃ আশাদুল </v>
      </c>
      <c r="F536" s="3" t="str">
        <f>IFERROR(__xludf.DUMMYFUNCTION("""COMPUTED_VALUE""")," মাতা: চাইনা খাতুন ")</f>
        <v> মাতা: চাইনা খাতুন </v>
      </c>
      <c r="G536" s="3" t="str">
        <f>IFERROR(__xludf.DUMMYFUNCTION("""COMPUTED_VALUE""")," ১০/১১/১৯৯৮ ")</f>
        <v> ১০/১১/১৯৯৮ </v>
      </c>
      <c r="H536" s="3" t="str">
        <f>IFERROR(__xludf.DUMMYFUNCTION("""COMPUTED_VALUE""")," ছাত্র/ছাত্রী ")</f>
        <v> ছাত্র/ছাত্রী </v>
      </c>
      <c r="I536" s="3" t="str">
        <f>IFERROR(__xludf.DUMMYFUNCTION("""COMPUTED_VALUE""")," উত্তরপাড়া, জালশুকা, গাংনী, মেহেরপুর ")</f>
        <v> উত্তরপাড়া, জালশুকা, গাংনী, মেহেরপুর </v>
      </c>
    </row>
    <row r="537" ht="15.75" customHeight="1">
      <c r="A537" s="3" t="s">
        <v>3660</v>
      </c>
      <c r="B537" s="3">
        <f>IFERROR(__xludf.DUMMYFUNCTION("SPLIT(A537,""|"")"),699.0)</f>
        <v>699</v>
      </c>
      <c r="C537" s="3" t="str">
        <f>IFERROR(__xludf.DUMMYFUNCTION("""COMPUTED_VALUE""")," নাম: শামীম হাসান ")</f>
        <v> নাম: শামীম হাসান </v>
      </c>
      <c r="D537" s="3">
        <f>IFERROR(__xludf.DUMMYFUNCTION("""COMPUTED_VALUE"""),5.7005600036E11)</f>
        <v>570056000360</v>
      </c>
      <c r="E537" s="3" t="str">
        <f>IFERROR(__xludf.DUMMYFUNCTION("""COMPUTED_VALUE""")," পিতা: বাদল আলী ")</f>
        <v> পিতা: বাদল আলী </v>
      </c>
      <c r="F537" s="3" t="str">
        <f>IFERROR(__xludf.DUMMYFUNCTION("""COMPUTED_VALUE""")," মাতা: জাহেদা খাতুন ")</f>
        <v> মাতা: জাহেদা খাতুন </v>
      </c>
      <c r="G537" s="3" t="str">
        <f>IFERROR(__xludf.DUMMYFUNCTION("""COMPUTED_VALUE""")," ১৫/০৬/১৯৯৯ ")</f>
        <v> ১৫/০৬/১৯৯৯ </v>
      </c>
      <c r="H537" s="3" t="str">
        <f>IFERROR(__xludf.DUMMYFUNCTION("""COMPUTED_VALUE""")," ছাত্র/ছাত্রী ")</f>
        <v> ছাত্র/ছাত্রী </v>
      </c>
      <c r="I537" s="3" t="str">
        <f>IFERROR(__xludf.DUMMYFUNCTION("""COMPUTED_VALUE""")," বালিয়া পাড়া, জালশুকা, কসবা, গাংনী, মেহেরপুর ")</f>
        <v> বালিয়া পাড়া, জালশুকা, কসবা, গাংনী, মেহেরপুর </v>
      </c>
    </row>
    <row r="538" ht="15.75" customHeight="1">
      <c r="A538" s="3" t="s">
        <v>3661</v>
      </c>
      <c r="B538" s="3">
        <f>IFERROR(__xludf.DUMMYFUNCTION("SPLIT(A538,""|"")"),700.0)</f>
        <v>700</v>
      </c>
      <c r="C538" s="3" t="str">
        <f>IFERROR(__xludf.DUMMYFUNCTION("""COMPUTED_VALUE""")," নাম: সালমান ফারসী ")</f>
        <v> নাম: সালমান ফারসী </v>
      </c>
      <c r="D538" s="3">
        <f>IFERROR(__xludf.DUMMYFUNCTION("""COMPUTED_VALUE"""),5.70056000361E11)</f>
        <v>570056000361</v>
      </c>
      <c r="E538" s="3" t="str">
        <f>IFERROR(__xludf.DUMMYFUNCTION("""COMPUTED_VALUE""")," পিতা: বজলু রহমান ")</f>
        <v> পিতা: বজলু রহমান </v>
      </c>
      <c r="F538" s="3" t="str">
        <f>IFERROR(__xludf.DUMMYFUNCTION("""COMPUTED_VALUE""")," মাতা: রেহেনা ")</f>
        <v> মাতা: রেহেনা </v>
      </c>
      <c r="G538" s="3" t="str">
        <f>IFERROR(__xludf.DUMMYFUNCTION("""COMPUTED_VALUE""")," ১৬/০১/১৯৯৯ ")</f>
        <v> ১৬/০১/১৯৯৯ </v>
      </c>
      <c r="H538" s="3" t="str">
        <f>IFERROR(__xludf.DUMMYFUNCTION("""COMPUTED_VALUE""")," ছাত্র/ছাত্রী ")</f>
        <v> ছাত্র/ছাত্রী </v>
      </c>
      <c r="I538" s="3" t="str">
        <f>IFERROR(__xludf.DUMMYFUNCTION("""COMPUTED_VALUE""")," দক্ষিণপাড়া, জালশুকা, গাংনী, মেহেরপুর ")</f>
        <v> দক্ষিণপাড়া, জালশুকা, গাংনী, মেহেরপুর </v>
      </c>
    </row>
    <row r="539" ht="15.75" customHeight="1">
      <c r="A539" s="3" t="s">
        <v>3662</v>
      </c>
      <c r="B539" s="3">
        <f>IFERROR(__xludf.DUMMYFUNCTION("SPLIT(A539,""|"")"),701.0)</f>
        <v>701</v>
      </c>
      <c r="C539" s="3" t="str">
        <f>IFERROR(__xludf.DUMMYFUNCTION("""COMPUTED_VALUE""")," নাম: নাজমুস সাকিব ")</f>
        <v> নাম: নাজমুস সাকিব </v>
      </c>
      <c r="D539" s="3">
        <f>IFERROR(__xludf.DUMMYFUNCTION("""COMPUTED_VALUE"""),5.70056000364E11)</f>
        <v>570056000364</v>
      </c>
      <c r="E539" s="3" t="str">
        <f>IFERROR(__xludf.DUMMYFUNCTION("""COMPUTED_VALUE""")," পিতা: মজিবুল হক ")</f>
        <v> পিতা: মজিবুল হক </v>
      </c>
      <c r="F539" s="3" t="str">
        <f>IFERROR(__xludf.DUMMYFUNCTION("""COMPUTED_VALUE""")," মাতা: শাহিনুর খাতুন ")</f>
        <v> মাতা: শাহিনুর খাতুন </v>
      </c>
      <c r="G539" s="3" t="str">
        <f>IFERROR(__xludf.DUMMYFUNCTION("""COMPUTED_VALUE""")," ২৫/১২/১৯৯৯ ")</f>
        <v> ২৫/১২/১৯৯৯ </v>
      </c>
      <c r="H539" s="3" t="str">
        <f>IFERROR(__xludf.DUMMYFUNCTION("""COMPUTED_VALUE""")," ছাত্র/ছাত্রী ")</f>
        <v> ছাত্র/ছাত্রী </v>
      </c>
      <c r="I539" s="3" t="str">
        <f>IFERROR(__xludf.DUMMYFUNCTION("""COMPUTED_VALUE""")," বালিয়া পাড়া, জালশুকা, কসবা, গাংনী, মেহেরপুর ")</f>
        <v> বালিয়া পাড়া, জালশুকা, কসবা, গাংনী, মেহেরপুর </v>
      </c>
    </row>
    <row r="540" ht="15.75" customHeight="1">
      <c r="A540" s="3" t="s">
        <v>3663</v>
      </c>
      <c r="B540" s="3">
        <f>IFERROR(__xludf.DUMMYFUNCTION("SPLIT(A540,""|"")"),702.0)</f>
        <v>702</v>
      </c>
      <c r="C540" s="3" t="str">
        <f>IFERROR(__xludf.DUMMYFUNCTION("""COMPUTED_VALUE""")," নাম: মোঃ হাসু ")</f>
        <v> নাম: মোঃ হাসু </v>
      </c>
      <c r="D540" s="3">
        <f>IFERROR(__xludf.DUMMYFUNCTION("""COMPUTED_VALUE"""),5.70056000088E11)</f>
        <v>570056000088</v>
      </c>
      <c r="E540" s="3" t="str">
        <f>IFERROR(__xludf.DUMMYFUNCTION("""COMPUTED_VALUE""")," পিতা: মৃত শওকত মালিথা ")</f>
        <v> পিতা: মৃত শওকত মালিথা </v>
      </c>
      <c r="F540" s="3" t="str">
        <f>IFERROR(__xludf.DUMMYFUNCTION("""COMPUTED_VALUE""")," মাতা: মৃত রমলা খাতুন ")</f>
        <v> মাতা: মৃত রমলা খাতুন </v>
      </c>
      <c r="G540" s="3" t="str">
        <f>IFERROR(__xludf.DUMMYFUNCTION("""COMPUTED_VALUE""")," ২৭/১২/১৯৮৭ ")</f>
        <v> ২৭/১২/১৯৮৭ </v>
      </c>
      <c r="H540" s="3" t="str">
        <f>IFERROR(__xludf.DUMMYFUNCTION("""COMPUTED_VALUE""")," কৃষক ")</f>
        <v> কৃষক </v>
      </c>
      <c r="I540" s="3" t="str">
        <f>IFERROR(__xludf.DUMMYFUNCTION("""COMPUTED_VALUE""")," জালশুকা, গাংনী, মেহেরপুর ")</f>
        <v> জালশুকা, গাংনী, মেহেরপুর </v>
      </c>
    </row>
    <row r="541" ht="15.75" customHeight="1">
      <c r="A541" s="3" t="s">
        <v>3664</v>
      </c>
      <c r="B541" s="3">
        <f>IFERROR(__xludf.DUMMYFUNCTION("SPLIT(A541,""|"")"),703.0)</f>
        <v>703</v>
      </c>
      <c r="C541" s="3" t="str">
        <f>IFERROR(__xludf.DUMMYFUNCTION("""COMPUTED_VALUE""")," নাম: উজ্জল আলী ")</f>
        <v> নাম: উজ্জল আলী </v>
      </c>
      <c r="D541" s="3">
        <f>IFERROR(__xludf.DUMMYFUNCTION("""COMPUTED_VALUE"""),5.70056000127E11)</f>
        <v>570056000127</v>
      </c>
      <c r="E541" s="3" t="str">
        <f>IFERROR(__xludf.DUMMYFUNCTION("""COMPUTED_VALUE""")," পিতা: মোঃ আরমান ")</f>
        <v> পিতা: মোঃ আরমান </v>
      </c>
      <c r="F541" s="3" t="str">
        <f>IFERROR(__xludf.DUMMYFUNCTION("""COMPUTED_VALUE""")," মাতা: সাহেরা খাতুন ")</f>
        <v> মাতা: সাহেরা খাতুন </v>
      </c>
      <c r="G541" s="3" t="str">
        <f>IFERROR(__xludf.DUMMYFUNCTION("""COMPUTED_VALUE""")," ০১/০৫/১৯৮৪ ")</f>
        <v> ০১/০৫/১৯৮৪ </v>
      </c>
      <c r="H541" s="3" t="str">
        <f>IFERROR(__xludf.DUMMYFUNCTION("""COMPUTED_VALUE""")," কৃষক ")</f>
        <v> কৃষক </v>
      </c>
      <c r="I541" s="3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542" ht="15.75" customHeight="1">
      <c r="A542" s="3" t="s">
        <v>3665</v>
      </c>
      <c r="B542" s="3">
        <f>IFERROR(__xludf.DUMMYFUNCTION("SPLIT(A542,""|"")"),704.0)</f>
        <v>704</v>
      </c>
      <c r="C542" s="3" t="str">
        <f>IFERROR(__xludf.DUMMYFUNCTION("""COMPUTED_VALUE""")," নাম: মোঃ রাশিদুল ইসলাম ")</f>
        <v> নাম: মোঃ রাশিদুল ইসলাম </v>
      </c>
      <c r="D542" s="3">
        <f>IFERROR(__xludf.DUMMYFUNCTION("""COMPUTED_VALUE"""),5.70056000256E11)</f>
        <v>570056000256</v>
      </c>
      <c r="E542" s="3" t="str">
        <f>IFERROR(__xludf.DUMMYFUNCTION("""COMPUTED_VALUE""")," পিতা: মোঃ আঃ রহমান ")</f>
        <v> পিতা: মোঃ আঃ রহমান </v>
      </c>
      <c r="F542" s="3" t="str">
        <f>IFERROR(__xludf.DUMMYFUNCTION("""COMPUTED_VALUE""")," মাতা: মোছাঃ মহিরন নেছা ")</f>
        <v> মাতা: মোছাঃ মহিরন নেছা </v>
      </c>
      <c r="G542" s="3" t="str">
        <f>IFERROR(__xludf.DUMMYFUNCTION("""COMPUTED_VALUE""")," ০১/০১/১৯৯৭ ")</f>
        <v> ০১/০১/১৯৯৭ </v>
      </c>
      <c r="H542" s="3" t="str">
        <f>IFERROR(__xludf.DUMMYFUNCTION("""COMPUTED_VALUE""")," প্রবাসী ")</f>
        <v> প্রবাসী </v>
      </c>
      <c r="I542" s="3" t="str">
        <f>IFERROR(__xludf.DUMMYFUNCTION("""COMPUTED_VALUE""")," জালশুকা, ধানখোলা, গাংনী, মেহেরপুর ")</f>
        <v> জালশুকা, ধানখোলা, গাংনী, মেহেরপুর </v>
      </c>
    </row>
    <row r="543" ht="15.75" customHeight="1">
      <c r="A543" s="3" t="s">
        <v>3666</v>
      </c>
      <c r="B543" s="3">
        <f>IFERROR(__xludf.DUMMYFUNCTION("SPLIT(A543,""|"")"),705.0)</f>
        <v>705</v>
      </c>
      <c r="C543" s="3" t="str">
        <f>IFERROR(__xludf.DUMMYFUNCTION("""COMPUTED_VALUE""")," নাম: মোঃ রাকিবুল ইসলাম ")</f>
        <v> নাম: মোঃ রাকিবুল ইসলাম </v>
      </c>
      <c r="D543" s="3">
        <f>IFERROR(__xludf.DUMMYFUNCTION("""COMPUTED_VALUE"""),5.70056000369E11)</f>
        <v>570056000369</v>
      </c>
      <c r="E543" s="3" t="str">
        <f>IFERROR(__xludf.DUMMYFUNCTION("""COMPUTED_VALUE""")," পিতা: মোঃ হাসিবুল ")</f>
        <v> পিতা: মোঃ হাসিবুল </v>
      </c>
      <c r="F543" s="3" t="str">
        <f>IFERROR(__xludf.DUMMYFUNCTION("""COMPUTED_VALUE""")," মাতা: মোছাঃ আইমানা খাতুন ")</f>
        <v> মাতা: মোছাঃ আইমানা খাতুন </v>
      </c>
      <c r="G543" s="3" t="str">
        <f>IFERROR(__xludf.DUMMYFUNCTION("""COMPUTED_VALUE""")," ১৫/১২/২০০২ ")</f>
        <v> ১৫/১২/২০০২ </v>
      </c>
      <c r="H543" s="3" t="str">
        <f>IFERROR(__xludf.DUMMYFUNCTION("""COMPUTED_VALUE""")," কৃষক ")</f>
        <v> কৃষক </v>
      </c>
      <c r="I543" s="3" t="str">
        <f>IFERROR(__xludf.DUMMYFUNCTION("""COMPUTED_VALUE""")," জালশুকা, গাংনী, মেহেরপুর ")</f>
        <v> জালশুকা, গাংনী, মেহেরপুর </v>
      </c>
    </row>
    <row r="544" ht="15.75" customHeight="1">
      <c r="A544" s="3" t="s">
        <v>3667</v>
      </c>
      <c r="B544" s="3">
        <f>IFERROR(__xludf.DUMMYFUNCTION("SPLIT(A544,""|"")"),706.0)</f>
        <v>706</v>
      </c>
      <c r="C544" s="3" t="str">
        <f>IFERROR(__xludf.DUMMYFUNCTION("""COMPUTED_VALUE""")," নাম: মোঃ কনক আলী ")</f>
        <v> নাম: মোঃ কনক আলী </v>
      </c>
      <c r="D544" s="3">
        <f>IFERROR(__xludf.DUMMYFUNCTION("""COMPUTED_VALUE"""),5.70056000371E11)</f>
        <v>570056000371</v>
      </c>
      <c r="E544" s="3" t="str">
        <f>IFERROR(__xludf.DUMMYFUNCTION("""COMPUTED_VALUE""")," পিতা: মোঃ বাবলু আলী ")</f>
        <v> পিতা: মোঃ বাবলু আলী </v>
      </c>
      <c r="F544" s="3" t="str">
        <f>IFERROR(__xludf.DUMMYFUNCTION("""COMPUTED_VALUE""")," মাতা: মোছাঃ চন্দনা খাতুন ")</f>
        <v> মাতা: মোছাঃ চন্দনা খাতুন </v>
      </c>
      <c r="G544" s="3" t="str">
        <f>IFERROR(__xludf.DUMMYFUNCTION("""COMPUTED_VALUE""")," ০১/০১/২০০৪ ")</f>
        <v> ০১/০১/২০০৪ </v>
      </c>
      <c r="H544" s="3" t="str">
        <f>IFERROR(__xludf.DUMMYFUNCTION("""COMPUTED_VALUE""")," ছাত্র/ছাত্রী ")</f>
        <v> ছাত্র/ছাত্রী </v>
      </c>
      <c r="I544" s="3" t="str">
        <f>IFERROR(__xludf.DUMMYFUNCTION("""COMPUTED_VALUE""")," জালশুকা, গাংনী, মেহেরপুর ")</f>
        <v> জালশুকা, গাংনী, মেহেরপুর </v>
      </c>
    </row>
    <row r="545" ht="15.75" customHeight="1">
      <c r="A545" s="3" t="s">
        <v>3668</v>
      </c>
      <c r="B545" s="3">
        <f>IFERROR(__xludf.DUMMYFUNCTION("SPLIT(A545,""|"")"),707.0)</f>
        <v>707</v>
      </c>
      <c r="C545" s="3" t="str">
        <f>IFERROR(__xludf.DUMMYFUNCTION("""COMPUTED_VALUE""")," নাম: মোঃ আলমগীর হোসেন ")</f>
        <v> নাম: মোঃ আলমগীর হোসেন </v>
      </c>
      <c r="D545" s="3">
        <f>IFERROR(__xludf.DUMMYFUNCTION("""COMPUTED_VALUE"""),5.70056000372E11)</f>
        <v>570056000372</v>
      </c>
      <c r="E545" s="3" t="str">
        <f>IFERROR(__xludf.DUMMYFUNCTION("""COMPUTED_VALUE""")," পিতা: মোঃ ইয়াকুব মন্ডল ")</f>
        <v> পিতা: মোঃ ইয়াকুব মন্ডল </v>
      </c>
      <c r="F545" s="3" t="str">
        <f>IFERROR(__xludf.DUMMYFUNCTION("""COMPUTED_VALUE""")," মাতা: মোছাঃ শাহনাজ পারভীন ")</f>
        <v> মাতা: মোছাঃ শাহনাজ পারভীন </v>
      </c>
      <c r="G545" s="3" t="str">
        <f>IFERROR(__xludf.DUMMYFUNCTION("""COMPUTED_VALUE""")," ১৪/০৩/১৯৯৮ ")</f>
        <v> ১৪/০৩/১৯৯৮ </v>
      </c>
      <c r="H545" s="3" t="str">
        <f>IFERROR(__xludf.DUMMYFUNCTION("""COMPUTED_VALUE""")," কৃষক ")</f>
        <v> কৃষক </v>
      </c>
      <c r="I545" s="3" t="str">
        <f>IFERROR(__xludf.DUMMYFUNCTION("""COMPUTED_VALUE""")," জালশুকা, গাংনী, মেহেরপুর ")</f>
        <v> জালশুকা, গাংনী, মেহেরপুর </v>
      </c>
    </row>
    <row r="546" ht="15.75" customHeight="1">
      <c r="A546" s="3" t="s">
        <v>3669</v>
      </c>
      <c r="B546" s="3">
        <f>IFERROR(__xludf.DUMMYFUNCTION("SPLIT(A546,""|"")"),708.0)</f>
        <v>708</v>
      </c>
      <c r="C546" s="3" t="str">
        <f>IFERROR(__xludf.DUMMYFUNCTION("""COMPUTED_VALUE""")," নাম: মোঃ মজিবুল হক ")</f>
        <v> নাম: মোঃ মজিবুল হক </v>
      </c>
      <c r="D546" s="3">
        <f>IFERROR(__xludf.DUMMYFUNCTION("""COMPUTED_VALUE"""),5.70056000373E11)</f>
        <v>570056000373</v>
      </c>
      <c r="E546" s="3" t="str">
        <f>IFERROR(__xludf.DUMMYFUNCTION("""COMPUTED_VALUE""")," পিতা: আব্দুল মান্নান ")</f>
        <v> পিতা: আব্দুল মান্নান </v>
      </c>
      <c r="F546" s="3" t="str">
        <f>IFERROR(__xludf.DUMMYFUNCTION("""COMPUTED_VALUE""")," মাতা: আনোয়ারা খাতুন ")</f>
        <v> মাতা: আনোয়ারা খাতুন </v>
      </c>
      <c r="G546" s="3" t="str">
        <f>IFERROR(__xludf.DUMMYFUNCTION("""COMPUTED_VALUE""")," ০১/০৩/২০০২ ")</f>
        <v> ০১/০৩/২০০২ </v>
      </c>
      <c r="H546" s="3" t="str">
        <f>IFERROR(__xludf.DUMMYFUNCTION("""COMPUTED_VALUE""")," ছাত্র/ছাত্রী ")</f>
        <v> ছাত্র/ছাত্রী </v>
      </c>
      <c r="I546" s="3" t="str">
        <f>IFERROR(__xludf.DUMMYFUNCTION("""COMPUTED_VALUE""")," জালশুকা, গাংনী, মেহেরপুর ")</f>
        <v> জালশুকা, গাংনী, মেহেরপুর </v>
      </c>
    </row>
    <row r="547" ht="15.75" customHeight="1">
      <c r="A547" s="3" t="s">
        <v>3670</v>
      </c>
      <c r="B547" s="3">
        <f>IFERROR(__xludf.DUMMYFUNCTION("SPLIT(A547,""|"")"),709.0)</f>
        <v>709</v>
      </c>
      <c r="C547" s="3" t="str">
        <f>IFERROR(__xludf.DUMMYFUNCTION("""COMPUTED_VALUE""")," নাম: হোসেন ")</f>
        <v> নাম: হোসেন </v>
      </c>
      <c r="D547" s="3">
        <f>IFERROR(__xludf.DUMMYFUNCTION("""COMPUTED_VALUE"""),5.70056000374E11)</f>
        <v>570056000374</v>
      </c>
      <c r="E547" s="3" t="str">
        <f>IFERROR(__xludf.DUMMYFUNCTION("""COMPUTED_VALUE""")," পিতা: মোঃ বরকত আলী ")</f>
        <v> পিতা: মোঃ বরকত আলী </v>
      </c>
      <c r="F547" s="3" t="str">
        <f>IFERROR(__xludf.DUMMYFUNCTION("""COMPUTED_VALUE""")," মাতা: মোছাঃ বহিরন নেছা ")</f>
        <v> মাতা: মোছাঃ বহিরন নেছা </v>
      </c>
      <c r="G547" s="3" t="str">
        <f>IFERROR(__xludf.DUMMYFUNCTION("""COMPUTED_VALUE""")," ১৮/১২/১৯৯০ ")</f>
        <v> ১৮/১২/১৯৯০ </v>
      </c>
      <c r="H547" s="3" t="str">
        <f>IFERROR(__xludf.DUMMYFUNCTION("""COMPUTED_VALUE""")," কৃষক ")</f>
        <v> কৃষক </v>
      </c>
      <c r="I547" s="3" t="str">
        <f>IFERROR(__xludf.DUMMYFUNCTION("""COMPUTED_VALUE""")," জালশুকা, গাংনী, মেহেরপুর ")</f>
        <v> জালশুকা, গাংনী, মেহেরপুর </v>
      </c>
    </row>
    <row r="548" ht="15.75" customHeight="1">
      <c r="A548" s="3" t="s">
        <v>3671</v>
      </c>
      <c r="B548" s="3">
        <f>IFERROR(__xludf.DUMMYFUNCTION("SPLIT(A548,""|"")"),710.0)</f>
        <v>710</v>
      </c>
      <c r="C548" s="3" t="str">
        <f>IFERROR(__xludf.DUMMYFUNCTION("""COMPUTED_VALUE""")," নাম: মোঃ জুয়েল রানা ")</f>
        <v> নাম: মোঃ জুয়েল রানা </v>
      </c>
      <c r="D548" s="3">
        <f>IFERROR(__xludf.DUMMYFUNCTION("""COMPUTED_VALUE"""),5.70056000375E11)</f>
        <v>570056000375</v>
      </c>
      <c r="E548" s="3" t="str">
        <f>IFERROR(__xludf.DUMMYFUNCTION("""COMPUTED_VALUE""")," পিতা: মোঃ রবিউল ইসলাম ")</f>
        <v> পিতা: মোঃ রবিউল ইসলাম </v>
      </c>
      <c r="F548" s="3" t="str">
        <f>IFERROR(__xludf.DUMMYFUNCTION("""COMPUTED_VALUE""")," মাতা: মোছাঃ মাজিনা খাতুন ")</f>
        <v> মাতা: মোছাঃ মাজিনা খাতুন </v>
      </c>
      <c r="G548" s="3" t="str">
        <f>IFERROR(__xludf.DUMMYFUNCTION("""COMPUTED_VALUE""")," ২৮/০২/১৯৯৮ ")</f>
        <v> ২৮/০২/১৯৯৮ </v>
      </c>
      <c r="H548" s="3" t="str">
        <f>IFERROR(__xludf.DUMMYFUNCTION("""COMPUTED_VALUE""")," সরকারী চাকুরী ")</f>
        <v> সরকারী চাকুরী </v>
      </c>
      <c r="I548" s="3" t="str">
        <f>IFERROR(__xludf.DUMMYFUNCTION("""COMPUTED_VALUE""")," জালশুকা, গাংনী, মেহেরপুর ")</f>
        <v> জালশুকা, গাংনী, মেহেরপুর </v>
      </c>
    </row>
    <row r="549" ht="15.75" customHeight="1">
      <c r="A549" s="3" t="s">
        <v>3672</v>
      </c>
      <c r="B549" s="3">
        <f>IFERROR(__xludf.DUMMYFUNCTION("SPLIT(A549,""|"")"),711.0)</f>
        <v>711</v>
      </c>
      <c r="C549" s="3" t="str">
        <f>IFERROR(__xludf.DUMMYFUNCTION("""COMPUTED_VALUE""")," নাম: মোঃ ইসরাফিল হোসেন ")</f>
        <v> নাম: মোঃ ইসরাফিল হোসেন </v>
      </c>
      <c r="D549" s="3">
        <f>IFERROR(__xludf.DUMMYFUNCTION("""COMPUTED_VALUE"""),5.70056000376E11)</f>
        <v>570056000376</v>
      </c>
      <c r="E549" s="3" t="str">
        <f>IFERROR(__xludf.DUMMYFUNCTION("""COMPUTED_VALUE""")," পিতা: মৃত মিনাজ উদ্দীন ")</f>
        <v> পিতা: মৃত মিনাজ উদ্দীন </v>
      </c>
      <c r="F549" s="3" t="str">
        <f>IFERROR(__xludf.DUMMYFUNCTION("""COMPUTED_VALUE""")," মাতা: মোছাঃ মিনারা খাতুন ")</f>
        <v> মাতা: মোছাঃ মিনারা খাতুন </v>
      </c>
      <c r="G549" s="3" t="str">
        <f>IFERROR(__xludf.DUMMYFUNCTION("""COMPUTED_VALUE""")," ১৫/০৭/২০০১ ")</f>
        <v> ১৫/০৭/২০০১ </v>
      </c>
      <c r="H549" s="3" t="str">
        <f>IFERROR(__xludf.DUMMYFUNCTION("""COMPUTED_VALUE""")," কৃষক ")</f>
        <v> কৃষক </v>
      </c>
      <c r="I549" s="3" t="str">
        <f>IFERROR(__xludf.DUMMYFUNCTION("""COMPUTED_VALUE""")," জালশুকা, গাংনী, মেহেরপুর ")</f>
        <v> জালশুকা, গাংনী, মেহেরপুর </v>
      </c>
    </row>
    <row r="550" ht="15.75" customHeight="1">
      <c r="A550" s="3" t="s">
        <v>3673</v>
      </c>
      <c r="B550" s="3">
        <f>IFERROR(__xludf.DUMMYFUNCTION("SPLIT(A550,""|"")"),712.0)</f>
        <v>712</v>
      </c>
      <c r="C550" s="3" t="str">
        <f>IFERROR(__xludf.DUMMYFUNCTION("""COMPUTED_VALUE""")," নাম: মোঃ পানু মিয়া ")</f>
        <v> নাম: মোঃ পানু মিয়া </v>
      </c>
      <c r="D550" s="3">
        <f>IFERROR(__xludf.DUMMYFUNCTION("""COMPUTED_VALUE"""),5.70056000381E11)</f>
        <v>570056000381</v>
      </c>
      <c r="E550" s="3" t="str">
        <f>IFERROR(__xludf.DUMMYFUNCTION("""COMPUTED_VALUE""")," পিতা: মোঃ তরিকুল ইসলাম ")</f>
        <v> পিতা: মোঃ তরিকুল ইসলাম </v>
      </c>
      <c r="F550" s="3" t="str">
        <f>IFERROR(__xludf.DUMMYFUNCTION("""COMPUTED_VALUE""")," মাতা: মোছাঃ ফেন্সি খাতুন ")</f>
        <v> মাতা: মোছাঃ ফেন্সি খাতুন </v>
      </c>
      <c r="G550" s="3" t="str">
        <f>IFERROR(__xludf.DUMMYFUNCTION("""COMPUTED_VALUE""")," ১৫/১০/২০০০ ")</f>
        <v> ১৫/১০/২০০০ </v>
      </c>
      <c r="H550" s="3" t="str">
        <f>IFERROR(__xludf.DUMMYFUNCTION("""COMPUTED_VALUE""")," ছাত্র/ছাত্রী ")</f>
        <v> ছাত্র/ছাত্রী </v>
      </c>
      <c r="I550" s="3" t="str">
        <f>IFERROR(__xludf.DUMMYFUNCTION("""COMPUTED_VALUE""")," জালশুকা, গাংনী, মেহেরপুর ")</f>
        <v> জালশুকা, গাংনী, মেহেরপুর </v>
      </c>
    </row>
    <row r="551" ht="15.75" customHeight="1">
      <c r="A551" s="3" t="s">
        <v>3674</v>
      </c>
      <c r="B551" s="3">
        <f>IFERROR(__xludf.DUMMYFUNCTION("SPLIT(A551,""|"")"),713.0)</f>
        <v>713</v>
      </c>
      <c r="C551" s="3" t="str">
        <f>IFERROR(__xludf.DUMMYFUNCTION("""COMPUTED_VALUE""")," নাম: শেখ হাবিবুর চৌধুরী ")</f>
        <v> নাম: শেখ হাবিবুর চৌধুরী </v>
      </c>
      <c r="D551" s="3">
        <f>IFERROR(__xludf.DUMMYFUNCTION("""COMPUTED_VALUE"""),5.70056000382E11)</f>
        <v>570056000382</v>
      </c>
      <c r="E551" s="3" t="str">
        <f>IFERROR(__xludf.DUMMYFUNCTION("""COMPUTED_VALUE""")," পিতা: মোঃ জমির উদ্দীন ")</f>
        <v> পিতা: মোঃ জমির উদ্দীন </v>
      </c>
      <c r="F551" s="3" t="str">
        <f>IFERROR(__xludf.DUMMYFUNCTION("""COMPUTED_VALUE""")," মাতা: নাসের খাতুন ")</f>
        <v> মাতা: নাসের খাতুন </v>
      </c>
      <c r="G551" s="3" t="str">
        <f>IFERROR(__xludf.DUMMYFUNCTION("""COMPUTED_VALUE""")," ২৮/১২/২০০১ ")</f>
        <v> ২৮/১২/২০০১ </v>
      </c>
      <c r="H551" s="3" t="str">
        <f>IFERROR(__xludf.DUMMYFUNCTION("""COMPUTED_VALUE""")," ছাত্র/ছাত্রী ")</f>
        <v> ছাত্র/ছাত্রী </v>
      </c>
      <c r="I551" s="3" t="str">
        <f>IFERROR(__xludf.DUMMYFUNCTION("""COMPUTED_VALUE""")," জালশুকা, গাংনী, মেহেরপুর ")</f>
        <v> জালশুকা, গাংনী, মেহেরপুর </v>
      </c>
    </row>
    <row r="552" ht="15.75" customHeight="1">
      <c r="A552" s="3" t="s">
        <v>3675</v>
      </c>
      <c r="B552" s="3">
        <f>IFERROR(__xludf.DUMMYFUNCTION("SPLIT(A552,""|"")"),714.0)</f>
        <v>714</v>
      </c>
      <c r="C552" s="3" t="str">
        <f>IFERROR(__xludf.DUMMYFUNCTION("""COMPUTED_VALUE""")," নাম: মোঃ সাগর আলী ")</f>
        <v> নাম: মোঃ সাগর আলী </v>
      </c>
      <c r="D552" s="3">
        <f>IFERROR(__xludf.DUMMYFUNCTION("""COMPUTED_VALUE"""),5.70056000384E11)</f>
        <v>570056000384</v>
      </c>
      <c r="E552" s="3" t="str">
        <f>IFERROR(__xludf.DUMMYFUNCTION("""COMPUTED_VALUE""")," পিতা: আশাদুল ইসলাম ")</f>
        <v> পিতা: আশাদুল ইসলাম </v>
      </c>
      <c r="F552" s="3" t="str">
        <f>IFERROR(__xludf.DUMMYFUNCTION("""COMPUTED_VALUE""")," মাতা: মোছাঃ জাহেদা ")</f>
        <v> মাতা: মোছাঃ জাহেদা </v>
      </c>
      <c r="G552" s="3" t="str">
        <f>IFERROR(__xludf.DUMMYFUNCTION("""COMPUTED_VALUE""")," ২৭/১২/১৯৯৭ ")</f>
        <v> ২৭/১২/১৯৯৭ </v>
      </c>
      <c r="H552" s="3" t="str">
        <f>IFERROR(__xludf.DUMMYFUNCTION("""COMPUTED_VALUE""")," কৃষক ")</f>
        <v> কৃষক </v>
      </c>
      <c r="I552" s="3" t="str">
        <f>IFERROR(__xludf.DUMMYFUNCTION("""COMPUTED_VALUE""")," জালশুকা, গাংনী, মেহেরপুর ")</f>
        <v> জালশুকা, গাংনী, মেহেরপুর </v>
      </c>
    </row>
    <row r="553" ht="15.75" customHeight="1">
      <c r="A553" s="3" t="s">
        <v>3676</v>
      </c>
      <c r="B553" s="3">
        <f>IFERROR(__xludf.DUMMYFUNCTION("SPLIT(A553,""|"")"),715.0)</f>
        <v>715</v>
      </c>
      <c r="C553" s="3" t="str">
        <f>IFERROR(__xludf.DUMMYFUNCTION("""COMPUTED_VALUE""")," নাম: মোঃ ছামিউল্লাহ ")</f>
        <v> নাম: মোঃ ছামিউল্লাহ </v>
      </c>
      <c r="D553" s="3">
        <f>IFERROR(__xludf.DUMMYFUNCTION("""COMPUTED_VALUE"""),5.70056000385E11)</f>
        <v>570056000385</v>
      </c>
      <c r="E553" s="3" t="str">
        <f>IFERROR(__xludf.DUMMYFUNCTION("""COMPUTED_VALUE""")," পিতা: মোঃ সিদ্দিক আলী ")</f>
        <v> পিতা: মোঃ সিদ্দিক আলী </v>
      </c>
      <c r="F553" s="3" t="str">
        <f>IFERROR(__xludf.DUMMYFUNCTION("""COMPUTED_VALUE""")," মাতা: মোছাঃ রমেলা খাতুন ")</f>
        <v> মাতা: মোছাঃ রমেলা খাতুন </v>
      </c>
      <c r="G553" s="3" t="str">
        <f>IFERROR(__xludf.DUMMYFUNCTION("""COMPUTED_VALUE""")," ০১/০২/২০০৩ ")</f>
        <v> ০১/০২/২০০৩ </v>
      </c>
      <c r="H553" s="3" t="str">
        <f>IFERROR(__xludf.DUMMYFUNCTION("""COMPUTED_VALUE""")," ছাত্র/ছাত্রী ")</f>
        <v> ছাত্র/ছাত্রী </v>
      </c>
      <c r="I553" s="3" t="str">
        <f>IFERROR(__xludf.DUMMYFUNCTION("""COMPUTED_VALUE""")," জালশুকা, গাংনী, মেহেরপুর ")</f>
        <v> জালশুকা, গাংনী, মেহেরপুর </v>
      </c>
    </row>
    <row r="554" ht="15.75" customHeight="1">
      <c r="A554" s="3" t="s">
        <v>3677</v>
      </c>
      <c r="B554" s="3">
        <f>IFERROR(__xludf.DUMMYFUNCTION("SPLIT(A554,""|"")"),716.0)</f>
        <v>716</v>
      </c>
      <c r="C554" s="3" t="str">
        <f>IFERROR(__xludf.DUMMYFUNCTION("""COMPUTED_VALUE""")," নাম: মোঃ চঞ্চল আলী ")</f>
        <v> নাম: মোঃ চঞ্চল আলী </v>
      </c>
      <c r="D554" s="3">
        <f>IFERROR(__xludf.DUMMYFUNCTION("""COMPUTED_VALUE"""),5.70056000386E11)</f>
        <v>570056000386</v>
      </c>
      <c r="E554" s="3" t="str">
        <f>IFERROR(__xludf.DUMMYFUNCTION("""COMPUTED_VALUE""")," পিতা: মোঃ আরমান আলী ")</f>
        <v> পিতা: মোঃ আরমান আলী </v>
      </c>
      <c r="F554" s="3" t="str">
        <f>IFERROR(__xludf.DUMMYFUNCTION("""COMPUTED_VALUE""")," মাতা: মোছাঃ সাহেরা খাতুন ")</f>
        <v> মাতা: মোছাঃ সাহেরা খাতুন </v>
      </c>
      <c r="G554" s="3" t="str">
        <f>IFERROR(__xludf.DUMMYFUNCTION("""COMPUTED_VALUE""")," ০১/০১/১৯৯৯ ")</f>
        <v> ০১/০১/১৯৯৯ </v>
      </c>
      <c r="H554" s="3" t="str">
        <f>IFERROR(__xludf.DUMMYFUNCTION("""COMPUTED_VALUE""")," ছাত্র/ছাত্রী ")</f>
        <v> ছাত্র/ছাত্রী </v>
      </c>
      <c r="I554" s="3" t="str">
        <f>IFERROR(__xludf.DUMMYFUNCTION("""COMPUTED_VALUE""")," জালশুকা, গাংনী, মেহেরপুর ")</f>
        <v> জালশুকা, গাংনী, মেহেরপুর </v>
      </c>
    </row>
    <row r="555" ht="15.75" customHeight="1">
      <c r="A555" s="3" t="s">
        <v>3678</v>
      </c>
      <c r="B555" s="3">
        <f>IFERROR(__xludf.DUMMYFUNCTION("SPLIT(A555,""|"")"),717.0)</f>
        <v>717</v>
      </c>
      <c r="C555" s="3" t="str">
        <f>IFERROR(__xludf.DUMMYFUNCTION("""COMPUTED_VALUE""")," নাম: মোঃ সাঈদুল ইসলাম ")</f>
        <v> নাম: মোঃ সাঈদুল ইসলাম </v>
      </c>
      <c r="D555" s="3">
        <f>IFERROR(__xludf.DUMMYFUNCTION("""COMPUTED_VALUE"""),5.70056000387E11)</f>
        <v>570056000387</v>
      </c>
      <c r="E555" s="3" t="str">
        <f>IFERROR(__xludf.DUMMYFUNCTION("""COMPUTED_VALUE""")," পিতা: মোঃ রবিউল ইসলাম ")</f>
        <v> পিতা: মোঃ রবিউল ইসলাম </v>
      </c>
      <c r="F555" s="3" t="str">
        <f>IFERROR(__xludf.DUMMYFUNCTION("""COMPUTED_VALUE""")," মাতা: মোছাঃ ফিরোজা খাতুন ")</f>
        <v> মাতা: মোছাঃ ফিরোজা খাতুন </v>
      </c>
      <c r="G555" s="3" t="str">
        <f>IFERROR(__xludf.DUMMYFUNCTION("""COMPUTED_VALUE""")," ১০/০৫/১৯৯১ ")</f>
        <v> ১০/০৫/১৯৯১ </v>
      </c>
      <c r="H555" s="3" t="str">
        <f>IFERROR(__xludf.DUMMYFUNCTION("""COMPUTED_VALUE""")," কৃষক ")</f>
        <v> কৃষক </v>
      </c>
      <c r="I555" s="3" t="str">
        <f>IFERROR(__xludf.DUMMYFUNCTION("""COMPUTED_VALUE""")," জালশুকা, গাংনী, মেহেরপুর ")</f>
        <v> জালশুকা, গাংনী, মেহেরপুর </v>
      </c>
    </row>
    <row r="556" ht="15.75" customHeight="1">
      <c r="A556" s="3" t="s">
        <v>3138</v>
      </c>
      <c r="B556" s="3" t="str">
        <f>IFERROR(__xludf.DUMMYFUNCTION("SPLIT(A556,""|"")")," ক্রমিক নং ")</f>
        <v> ক্রমিক নং </v>
      </c>
      <c r="C556" s="3" t="str">
        <f>IFERROR(__xludf.DUMMYFUNCTION("""COMPUTED_VALUE""")," নাম ")</f>
        <v> নাম </v>
      </c>
      <c r="D556" s="3" t="str">
        <f>IFERROR(__xludf.DUMMYFUNCTION("""COMPUTED_VALUE""")," ভোটার নং ")</f>
        <v> ভোটার নং </v>
      </c>
      <c r="E556" s="3" t="str">
        <f>IFERROR(__xludf.DUMMYFUNCTION("""COMPUTED_VALUE""")," পিতা ")</f>
        <v> পিতা </v>
      </c>
      <c r="F556" s="3" t="str">
        <f>IFERROR(__xludf.DUMMYFUNCTION("""COMPUTED_VALUE""")," মাতা ")</f>
        <v> মাতা </v>
      </c>
      <c r="G556" s="3" t="str">
        <f>IFERROR(__xludf.DUMMYFUNCTION("""COMPUTED_VALUE""")," জন্ম তারিখ ")</f>
        <v> জন্ম তারিখ </v>
      </c>
      <c r="H556" s="3" t="str">
        <f>IFERROR(__xludf.DUMMYFUNCTION("""COMPUTED_VALUE""")," পেশা ")</f>
        <v> পেশা </v>
      </c>
      <c r="I556" s="3" t="str">
        <f>IFERROR(__xludf.DUMMYFUNCTION("""COMPUTED_VALUE""")," ঠিকানা ")</f>
        <v> ঠিকানা </v>
      </c>
    </row>
    <row r="557" ht="15.75" customHeight="1">
      <c r="A557" s="3" t="s">
        <v>3139</v>
      </c>
      <c r="B557" s="3" t="str">
        <f>IFERROR(__xludf.DUMMYFUNCTION("SPLIT(A557,""|"")"),"---")</f>
        <v>---</v>
      </c>
      <c r="C557" s="3" t="str">
        <f>IFERROR(__xludf.DUMMYFUNCTION("""COMPUTED_VALUE"""),"---")</f>
        <v>---</v>
      </c>
      <c r="D557" s="3" t="str">
        <f>IFERROR(__xludf.DUMMYFUNCTION("""COMPUTED_VALUE"""),"---")</f>
        <v>---</v>
      </c>
      <c r="E557" s="3" t="str">
        <f>IFERROR(__xludf.DUMMYFUNCTION("""COMPUTED_VALUE"""),"---")</f>
        <v>---</v>
      </c>
      <c r="F557" s="3" t="str">
        <f>IFERROR(__xludf.DUMMYFUNCTION("""COMPUTED_VALUE"""),"---")</f>
        <v>---</v>
      </c>
      <c r="G557" s="3" t="str">
        <f>IFERROR(__xludf.DUMMYFUNCTION("""COMPUTED_VALUE"""),"---")</f>
        <v>---</v>
      </c>
      <c r="H557" s="3" t="str">
        <f>IFERROR(__xludf.DUMMYFUNCTION("""COMPUTED_VALUE"""),"---")</f>
        <v>---</v>
      </c>
      <c r="I557" s="3" t="str">
        <f>IFERROR(__xludf.DUMMYFUNCTION("""COMPUTED_VALUE"""),"---")</f>
        <v>---</v>
      </c>
    </row>
    <row r="558" ht="15.75" customHeight="1">
      <c r="A558" s="3" t="s">
        <v>3679</v>
      </c>
      <c r="B558" s="3">
        <f>IFERROR(__xludf.DUMMYFUNCTION("SPLIT(A558,""|"")"),718.0)</f>
        <v>718</v>
      </c>
      <c r="C558" s="3" t="str">
        <f>IFERROR(__xludf.DUMMYFUNCTION("""COMPUTED_VALUE""")," মো: তৌফিকুজ্জামান ")</f>
        <v> মো: তৌফিকুজ্জামান </v>
      </c>
      <c r="D558" s="3">
        <f>IFERROR(__xludf.DUMMYFUNCTION("""COMPUTED_VALUE"""),5.70056000388E11)</f>
        <v>570056000388</v>
      </c>
      <c r="E558" s="3" t="str">
        <f>IFERROR(__xludf.DUMMYFUNCTION("""COMPUTED_VALUE""")," মোঃ আনিচুর রহমান ")</f>
        <v> মোঃ আনিচুর রহমান </v>
      </c>
      <c r="F558" s="3" t="str">
        <f>IFERROR(__xludf.DUMMYFUNCTION("""COMPUTED_VALUE""")," মোছাঃ সাবিনা ইয়াসমিন ")</f>
        <v> মোছাঃ সাবিনা ইয়াসমিন </v>
      </c>
      <c r="G558" s="3" t="str">
        <f>IFERROR(__xludf.DUMMYFUNCTION("""COMPUTED_VALUE""")," ২৫/১০/১৯৯৭ ")</f>
        <v> ২৫/১০/১৯৯৭ </v>
      </c>
      <c r="H558" s="3" t="str">
        <f>IFERROR(__xludf.DUMMYFUNCTION("""COMPUTED_VALUE""")," ব্যবসা ")</f>
        <v> ব্যবসা </v>
      </c>
      <c r="I558" s="3" t="str">
        <f>IFERROR(__xludf.DUMMYFUNCTION("""COMPUTED_VALUE""")," জালশুকা, গাংনী, মেহেরপুর ")</f>
        <v> জালশুকা, গাংনী, মেহেরপুর </v>
      </c>
    </row>
    <row r="559" ht="15.75" customHeight="1">
      <c r="A559" s="3" t="s">
        <v>3680</v>
      </c>
      <c r="B559" s="3">
        <f>IFERROR(__xludf.DUMMYFUNCTION("SPLIT(A559,""|"")"),719.0)</f>
        <v>719</v>
      </c>
      <c r="C559" s="3" t="str">
        <f>IFERROR(__xludf.DUMMYFUNCTION("""COMPUTED_VALUE""")," মোঃ রাকিবুল হক ")</f>
        <v> মোঃ রাকিবুল হক </v>
      </c>
      <c r="D559" s="3">
        <f>IFERROR(__xludf.DUMMYFUNCTION("""COMPUTED_VALUE"""),5.70056000389E11)</f>
        <v>570056000389</v>
      </c>
      <c r="E559" s="3" t="str">
        <f>IFERROR(__xludf.DUMMYFUNCTION("""COMPUTED_VALUE""")," মোঃ আনারুল ইসলাম ")</f>
        <v> মোঃ আনারুল ইসলাম </v>
      </c>
      <c r="F559" s="3" t="str">
        <f>IFERROR(__xludf.DUMMYFUNCTION("""COMPUTED_VALUE""")," মোছাঃ শাহিনা খাতুন ")</f>
        <v> মোছাঃ শাহিনা খাতুন </v>
      </c>
      <c r="G559" s="3" t="str">
        <f>IFERROR(__xludf.DUMMYFUNCTION("""COMPUTED_VALUE""")," ০১/০১/২০০১ ")</f>
        <v> ০১/০১/২০০১ </v>
      </c>
      <c r="H559" s="3" t="str">
        <f>IFERROR(__xludf.DUMMYFUNCTION("""COMPUTED_VALUE""")," শ্রমিক ")</f>
        <v> শ্রমিক </v>
      </c>
      <c r="I559" s="3" t="str">
        <f>IFERROR(__xludf.DUMMYFUNCTION("""COMPUTED_VALUE""")," জালশুকা, গাংনী, মেহেরপুর ")</f>
        <v> জালশুকা, গাংনী, মেহেরপুর </v>
      </c>
    </row>
    <row r="560" ht="15.75" customHeight="1">
      <c r="A560" s="3" t="s">
        <v>3681</v>
      </c>
      <c r="B560" s="3">
        <f>IFERROR(__xludf.DUMMYFUNCTION("SPLIT(A560,""|"")"),720.0)</f>
        <v>720</v>
      </c>
      <c r="C560" s="3" t="str">
        <f>IFERROR(__xludf.DUMMYFUNCTION("""COMPUTED_VALUE""")," মুন্না ")</f>
        <v> মুন্না </v>
      </c>
      <c r="D560" s="3">
        <f>IFERROR(__xludf.DUMMYFUNCTION("""COMPUTED_VALUE"""),5.70056000392E11)</f>
        <v>570056000392</v>
      </c>
      <c r="E560" s="3" t="str">
        <f>IFERROR(__xludf.DUMMYFUNCTION("""COMPUTED_VALUE""")," মোশারফ ")</f>
        <v> মোশারফ </v>
      </c>
      <c r="F560" s="3" t="str">
        <f>IFERROR(__xludf.DUMMYFUNCTION("""COMPUTED_VALUE""")," তহলিমা ")</f>
        <v> তহলিমা </v>
      </c>
      <c r="G560" s="3" t="str">
        <f>IFERROR(__xludf.DUMMYFUNCTION("""COMPUTED_VALUE""")," ০১/০১/১৯৯৫ ")</f>
        <v> ০১/০১/১৯৯৫ </v>
      </c>
      <c r="H560" s="3" t="str">
        <f>IFERROR(__xludf.DUMMYFUNCTION("""COMPUTED_VALUE""")," কৃষক ")</f>
        <v> কৃষক </v>
      </c>
      <c r="I560" s="3" t="str">
        <f>IFERROR(__xludf.DUMMYFUNCTION("""COMPUTED_VALUE""")," জালশুকা, গাংনী, মেহেরপুর ")</f>
        <v> জালশুকা, গাংনী, মেহেরপুর </v>
      </c>
    </row>
    <row r="561" ht="15.75" customHeight="1">
      <c r="A561" s="3" t="s">
        <v>3682</v>
      </c>
      <c r="B561" s="3">
        <f>IFERROR(__xludf.DUMMYFUNCTION("SPLIT(A561,""|"")"),721.0)</f>
        <v>721</v>
      </c>
      <c r="C561" s="3" t="str">
        <f>IFERROR(__xludf.DUMMYFUNCTION("""COMPUTED_VALUE""")," মো: হাসান আলী ")</f>
        <v> মো: হাসান আলী </v>
      </c>
      <c r="D561" s="3">
        <f>IFERROR(__xludf.DUMMYFUNCTION("""COMPUTED_VALUE"""),5.70056000393E11)</f>
        <v>570056000393</v>
      </c>
      <c r="E561" s="3" t="str">
        <f>IFERROR(__xludf.DUMMYFUNCTION("""COMPUTED_VALUE""")," মোঃ বছির উদ্দীন ")</f>
        <v> মোঃ বছির উদ্দীন </v>
      </c>
      <c r="F561" s="3" t="str">
        <f>IFERROR(__xludf.DUMMYFUNCTION("""COMPUTED_VALUE""")," হাজেরা খাতুন ")</f>
        <v> হাজেরা খাতুন </v>
      </c>
      <c r="G561" s="3" t="str">
        <f>IFERROR(__xludf.DUMMYFUNCTION("""COMPUTED_VALUE""")," ১৫/০১/২০০২ ")</f>
        <v> ১৫/০১/২০০২ </v>
      </c>
      <c r="H561" s="3" t="str">
        <f>IFERROR(__xludf.DUMMYFUNCTION("""COMPUTED_VALUE""")," কৃষক ")</f>
        <v> কৃষক </v>
      </c>
      <c r="I561" s="3" t="str">
        <f>IFERROR(__xludf.DUMMYFUNCTION("""COMPUTED_VALUE""")," জালশুকা, গাংনী, মেহেরপুর ")</f>
        <v> জালশুকা, গাংনী, মেহেরপুর </v>
      </c>
    </row>
    <row r="562" ht="15.75" customHeight="1">
      <c r="A562" s="3" t="s">
        <v>3683</v>
      </c>
      <c r="B562" s="3">
        <f>IFERROR(__xludf.DUMMYFUNCTION("SPLIT(A562,""|"")"),722.0)</f>
        <v>722</v>
      </c>
      <c r="C562" s="3" t="str">
        <f>IFERROR(__xludf.DUMMYFUNCTION("""COMPUTED_VALUE""")," মোঃ মুলুক চাঁদ ")</f>
        <v> মোঃ মুলুক চাঁদ </v>
      </c>
      <c r="D562" s="3">
        <f>IFERROR(__xludf.DUMMYFUNCTION("""COMPUTED_VALUE"""),5.70056000396E11)</f>
        <v>570056000396</v>
      </c>
      <c r="E562" s="3" t="str">
        <f>IFERROR(__xludf.DUMMYFUNCTION("""COMPUTED_VALUE""")," মৃত ইদবার আলী ")</f>
        <v> মৃত ইদবার আলী </v>
      </c>
      <c r="F562" s="3" t="str">
        <f>IFERROR(__xludf.DUMMYFUNCTION("""COMPUTED_VALUE""")," মোছাঃ শাহনারা ")</f>
        <v> মোছাঃ শাহনারা </v>
      </c>
      <c r="G562" s="3" t="str">
        <f>IFERROR(__xludf.DUMMYFUNCTION("""COMPUTED_VALUE""")," ১৪/০১/১৯৯৭ ")</f>
        <v> ১৪/০১/১৯৯৭ </v>
      </c>
      <c r="H562" s="3" t="str">
        <f>IFERROR(__xludf.DUMMYFUNCTION("""COMPUTED_VALUE""")," কৃষক ")</f>
        <v> কৃষক </v>
      </c>
      <c r="I562" s="3" t="str">
        <f>IFERROR(__xludf.DUMMYFUNCTION("""COMPUTED_VALUE""")," জালশুকা, গাংনী, মেহেরপুর ")</f>
        <v> জালশুকা, গাংনী, মেহেরপুর </v>
      </c>
    </row>
    <row r="563" ht="15.75" customHeight="1">
      <c r="A563" s="3" t="s">
        <v>3684</v>
      </c>
      <c r="B563" s="3">
        <f>IFERROR(__xludf.DUMMYFUNCTION("SPLIT(A563,""|"")"),723.0)</f>
        <v>723</v>
      </c>
      <c r="C563" s="3" t="str">
        <f>IFERROR(__xludf.DUMMYFUNCTION("""COMPUTED_VALUE""")," মোঃ আব্দুল্লাহ ")</f>
        <v> মোঃ আব্দুল্লাহ </v>
      </c>
      <c r="D563" s="3">
        <f>IFERROR(__xludf.DUMMYFUNCTION("""COMPUTED_VALUE"""),5.70056000397E11)</f>
        <v>570056000397</v>
      </c>
      <c r="E563" s="3" t="str">
        <f>IFERROR(__xludf.DUMMYFUNCTION("""COMPUTED_VALUE""")," মোঃ আবুল কাশেম ")</f>
        <v> মোঃ আবুল কাশেম </v>
      </c>
      <c r="F563" s="3" t="str">
        <f>IFERROR(__xludf.DUMMYFUNCTION("""COMPUTED_VALUE""")," মোছাঃ তাসলিমা খাতুন ")</f>
        <v> মোছাঃ তাসলিমা খাতুন </v>
      </c>
      <c r="G563" s="3" t="str">
        <f>IFERROR(__xludf.DUMMYFUNCTION("""COMPUTED_VALUE""")," ১৮/১২/২০০১ ")</f>
        <v> ১৮/১২/২০০১ </v>
      </c>
      <c r="H563" s="3" t="str">
        <f>IFERROR(__xludf.DUMMYFUNCTION("""COMPUTED_VALUE""")," ছাত্র/ছাত্রী ")</f>
        <v> ছাত্র/ছাত্রী </v>
      </c>
      <c r="I563" s="3" t="str">
        <f>IFERROR(__xludf.DUMMYFUNCTION("""COMPUTED_VALUE""")," জালশুকা, গাংনী, মেহেরপুর ")</f>
        <v> জালশুকা, গাংনী, মেহেরপুর </v>
      </c>
    </row>
    <row r="564" ht="15.75" customHeight="1">
      <c r="A564" s="3" t="s">
        <v>3685</v>
      </c>
      <c r="B564" s="3">
        <f>IFERROR(__xludf.DUMMYFUNCTION("SPLIT(A564,""|"")"),724.0)</f>
        <v>724</v>
      </c>
      <c r="C564" s="3" t="str">
        <f>IFERROR(__xludf.DUMMYFUNCTION("""COMPUTED_VALUE""")," মো: বাপরাজ ")</f>
        <v> মো: বাপরাজ </v>
      </c>
      <c r="D564" s="3">
        <f>IFERROR(__xludf.DUMMYFUNCTION("""COMPUTED_VALUE"""),5.70056000398E11)</f>
        <v>570056000398</v>
      </c>
      <c r="E564" s="3" t="str">
        <f>IFERROR(__xludf.DUMMYFUNCTION("""COMPUTED_VALUE""")," মো: বিল্লাল হোসেন ")</f>
        <v> মো: বিল্লাল হোসেন </v>
      </c>
      <c r="F564" s="3" t="str">
        <f>IFERROR(__xludf.DUMMYFUNCTION("""COMPUTED_VALUE""")," মোছা: কুলছন খাতুন ")</f>
        <v> মোছা: কুলছন খাতুন </v>
      </c>
      <c r="G564" s="3" t="str">
        <f>IFERROR(__xludf.DUMMYFUNCTION("""COMPUTED_VALUE""")," ১৪/১২/২০০৩ ")</f>
        <v> ১৪/১২/২০০৩ </v>
      </c>
      <c r="H564" s="3" t="str">
        <f>IFERROR(__xludf.DUMMYFUNCTION("""COMPUTED_VALUE""")," কৃষক ")</f>
        <v> কৃষক </v>
      </c>
      <c r="I564" s="3" t="str">
        <f>IFERROR(__xludf.DUMMYFUNCTION("""COMPUTED_VALUE""")," জালশুকা, গাংনী, মেহেরপুর ")</f>
        <v> জালশুকা, গাংনী, মেহেরপুর </v>
      </c>
    </row>
    <row r="565" ht="15.75" customHeight="1">
      <c r="A565" s="3" t="s">
        <v>3686</v>
      </c>
      <c r="B565" s="3">
        <f>IFERROR(__xludf.DUMMYFUNCTION("SPLIT(A565,""|"")"),725.0)</f>
        <v>725</v>
      </c>
      <c r="C565" s="3" t="str">
        <f>IFERROR(__xludf.DUMMYFUNCTION("""COMPUTED_VALUE""")," মো: আল মামুন ")</f>
        <v> মো: আল মামুন </v>
      </c>
      <c r="D565" s="3">
        <f>IFERROR(__xludf.DUMMYFUNCTION("""COMPUTED_VALUE"""),5.700560004E11)</f>
        <v>570056000400</v>
      </c>
      <c r="E565" s="3" t="str">
        <f>IFERROR(__xludf.DUMMYFUNCTION("""COMPUTED_VALUE""")," মো: আব্দুল মামন ")</f>
        <v> মো: আব্দুল মামন </v>
      </c>
      <c r="F565" s="3" t="str">
        <f>IFERROR(__xludf.DUMMYFUNCTION("""COMPUTED_VALUE""")," মোছা: জামেনা খাতুন ")</f>
        <v> মোছা: জামেনা খাতুন </v>
      </c>
      <c r="G565" s="3" t="str">
        <f>IFERROR(__xludf.DUMMYFUNCTION("""COMPUTED_VALUE""")," ১২/১০/২০০০ ")</f>
        <v> ১২/১০/২০০০ </v>
      </c>
      <c r="H565" s="3" t="str">
        <f>IFERROR(__xludf.DUMMYFUNCTION("""COMPUTED_VALUE""")," ছাত্র/ছাত্রী ")</f>
        <v> ছাত্র/ছাত্রী </v>
      </c>
      <c r="I565" s="3" t="str">
        <f>IFERROR(__xludf.DUMMYFUNCTION("""COMPUTED_VALUE""")," জালশুকা, গাংনী, মেহেরপুর ")</f>
        <v> জালশুকা, গাংনী, মেহেরপুর </v>
      </c>
    </row>
    <row r="566" ht="15.75" customHeight="1">
      <c r="A566" s="3" t="s">
        <v>3687</v>
      </c>
      <c r="B566" s="3">
        <f>IFERROR(__xludf.DUMMYFUNCTION("SPLIT(A566,""|"")"),726.0)</f>
        <v>726</v>
      </c>
      <c r="C566" s="3" t="str">
        <f>IFERROR(__xludf.DUMMYFUNCTION("""COMPUTED_VALUE""")," মোঃ ইমরান হোসেন ")</f>
        <v> মোঃ ইমরান হোসেন </v>
      </c>
      <c r="D566" s="3">
        <f>IFERROR(__xludf.DUMMYFUNCTION("""COMPUTED_VALUE"""),5.70056000404E11)</f>
        <v>570056000404</v>
      </c>
      <c r="E566" s="3" t="str">
        <f>IFERROR(__xludf.DUMMYFUNCTION("""COMPUTED_VALUE""")," মোঃ মিনারুল ইসলাম ")</f>
        <v> মোঃ মিনারুল ইসলাম </v>
      </c>
      <c r="F566" s="3" t="str">
        <f>IFERROR(__xludf.DUMMYFUNCTION("""COMPUTED_VALUE""")," মোছাঃ অরশিদা খাতুন ")</f>
        <v> মোছাঃ অরশিদা খাতুন </v>
      </c>
      <c r="G566" s="3" t="str">
        <f>IFERROR(__xludf.DUMMYFUNCTION("""COMPUTED_VALUE""")," ০৫/১২/১৯৯৯ ")</f>
        <v> ০৫/১২/১৯৯৯ </v>
      </c>
      <c r="H566" s="3" t="str">
        <f>IFERROR(__xludf.DUMMYFUNCTION("""COMPUTED_VALUE""")," ছাত্র/ছাত্রী ")</f>
        <v> ছাত্র/ছাত্রী </v>
      </c>
      <c r="I566" s="3" t="str">
        <f>IFERROR(__xludf.DUMMYFUNCTION("""COMPUTED_VALUE""")," জালশুকা, গাংনী, মেহেরপুর ")</f>
        <v> জালশুকা, গাংনী, মেহেরপুর </v>
      </c>
    </row>
    <row r="567" ht="15.75" customHeight="1">
      <c r="A567" s="3" t="s">
        <v>3688</v>
      </c>
      <c r="B567" s="3">
        <f>IFERROR(__xludf.DUMMYFUNCTION("SPLIT(A567,""|"")"),727.0)</f>
        <v>727</v>
      </c>
      <c r="C567" s="3" t="str">
        <f>IFERROR(__xludf.DUMMYFUNCTION("""COMPUTED_VALUE""")," মোঃ ইমন আলী ")</f>
        <v> মোঃ ইমন আলী </v>
      </c>
      <c r="D567" s="3">
        <f>IFERROR(__xludf.DUMMYFUNCTION("""COMPUTED_VALUE"""),5.70056000405E11)</f>
        <v>570056000405</v>
      </c>
      <c r="E567" s="3" t="str">
        <f>IFERROR(__xludf.DUMMYFUNCTION("""COMPUTED_VALUE""")," মোঃ ইদ্রিস আলী ")</f>
        <v> মোঃ ইদ্রিস আলী </v>
      </c>
      <c r="F567" s="3" t="str">
        <f>IFERROR(__xludf.DUMMYFUNCTION("""COMPUTED_VALUE""")," মোছাঃ রুবিয়া খাতুন ")</f>
        <v> মোছাঃ রুবিয়া খাতুন </v>
      </c>
      <c r="G567" s="3" t="str">
        <f>IFERROR(__xludf.DUMMYFUNCTION("""COMPUTED_VALUE""")," ২৯/১১/২০০১ ")</f>
        <v> ২৯/১১/২০০১ </v>
      </c>
      <c r="H567" s="3" t="str">
        <f>IFERROR(__xludf.DUMMYFUNCTION("""COMPUTED_VALUE""")," কৃষক ")</f>
        <v> কৃষক </v>
      </c>
      <c r="I567" s="3" t="str">
        <f>IFERROR(__xludf.DUMMYFUNCTION("""COMPUTED_VALUE""")," জালশুকা, গাংনী, মেহেরপুর ")</f>
        <v> জালশুকা, গাংনী, মেহেরপুর </v>
      </c>
    </row>
    <row r="568" ht="15.75" customHeight="1">
      <c r="A568" s="3" t="s">
        <v>3689</v>
      </c>
      <c r="B568" s="3">
        <f>IFERROR(__xludf.DUMMYFUNCTION("SPLIT(A568,""|"")"),728.0)</f>
        <v>728</v>
      </c>
      <c r="C568" s="3" t="str">
        <f>IFERROR(__xludf.DUMMYFUNCTION("""COMPUTED_VALUE""")," মো: রনি বিশ্বাস ")</f>
        <v> মো: রনি বিশ্বাস </v>
      </c>
      <c r="D568" s="3">
        <f>IFERROR(__xludf.DUMMYFUNCTION("""COMPUTED_VALUE"""),5.70056000406E11)</f>
        <v>570056000406</v>
      </c>
      <c r="E568" s="3" t="str">
        <f>IFERROR(__xludf.DUMMYFUNCTION("""COMPUTED_VALUE""")," মো: আকতার আলী ")</f>
        <v> মো: আকতার আলী </v>
      </c>
      <c r="F568" s="3" t="str">
        <f>IFERROR(__xludf.DUMMYFUNCTION("""COMPUTED_VALUE""")," মোছা: রংফুল ")</f>
        <v> মোছা: রংফুল </v>
      </c>
      <c r="G568" s="3" t="str">
        <f>IFERROR(__xludf.DUMMYFUNCTION("""COMPUTED_VALUE""")," ২৩/১২/২০০০ ")</f>
        <v> ২৩/১২/২০০০ </v>
      </c>
      <c r="H568" s="3" t="str">
        <f>IFERROR(__xludf.DUMMYFUNCTION("""COMPUTED_VALUE""")," ছাত্র/ছাত্রী ")</f>
        <v> ছাত্র/ছাত্রী </v>
      </c>
      <c r="I568" s="3" t="str">
        <f>IFERROR(__xludf.DUMMYFUNCTION("""COMPUTED_VALUE""")," জালশুকা, গাংনী, মেহেরপুর ")</f>
        <v> জালশুকা, গাংনী, মেহেরপুর </v>
      </c>
    </row>
    <row r="569" ht="15.75" customHeight="1">
      <c r="A569" s="3" t="s">
        <v>3690</v>
      </c>
      <c r="B569" s="3">
        <f>IFERROR(__xludf.DUMMYFUNCTION("SPLIT(A569,""|"")"),729.0)</f>
        <v>729</v>
      </c>
      <c r="C569" s="3" t="str">
        <f>IFERROR(__xludf.DUMMYFUNCTION("""COMPUTED_VALUE""")," মোঃ জাহাঙ্গীর আলম ")</f>
        <v> মোঃ জাহাঙ্গীর আলম </v>
      </c>
      <c r="D569" s="3">
        <f>IFERROR(__xludf.DUMMYFUNCTION("""COMPUTED_VALUE"""),5.70056000408E11)</f>
        <v>570056000408</v>
      </c>
      <c r="E569" s="3" t="str">
        <f>IFERROR(__xludf.DUMMYFUNCTION("""COMPUTED_VALUE""")," মোঃ ছুবান আলী ")</f>
        <v> মোঃ ছুবান আলী </v>
      </c>
      <c r="F569" s="3" t="str">
        <f>IFERROR(__xludf.DUMMYFUNCTION("""COMPUTED_VALUE""")," মোছাঃ কমেলা খাতুন ")</f>
        <v> মোছাঃ কমেলা খাতুন </v>
      </c>
      <c r="G569" s="3" t="str">
        <f>IFERROR(__xludf.DUMMYFUNCTION("""COMPUTED_VALUE""")," ১৭/১০/১৯৮৮ ")</f>
        <v> ১৭/১০/১৯৮৮ </v>
      </c>
      <c r="H569" s="3" t="str">
        <f>IFERROR(__xludf.DUMMYFUNCTION("""COMPUTED_VALUE""")," কৃষক ")</f>
        <v> কৃষক </v>
      </c>
      <c r="I569" s="3" t="str">
        <f>IFERROR(__xludf.DUMMYFUNCTION("""COMPUTED_VALUE""")," জালশুকা, গাংনী, মেহেরপুর ")</f>
        <v> জালশুকা, গাংনী, মেহেরপুর </v>
      </c>
    </row>
    <row r="570" ht="15.75" customHeight="1">
      <c r="A570" s="3" t="s">
        <v>3691</v>
      </c>
      <c r="B570" s="3">
        <f>IFERROR(__xludf.DUMMYFUNCTION("SPLIT(A570,""|"")"),730.0)</f>
        <v>730</v>
      </c>
      <c r="C570" s="3" t="str">
        <f>IFERROR(__xludf.DUMMYFUNCTION("""COMPUTED_VALUE""")," মো: শিমুল হোসেন ")</f>
        <v> মো: শিমুল হোসেন </v>
      </c>
      <c r="D570" s="3">
        <f>IFERROR(__xludf.DUMMYFUNCTION("""COMPUTED_VALUE"""),5.7005600041E11)</f>
        <v>570056000410</v>
      </c>
      <c r="E570" s="3" t="str">
        <f>IFERROR(__xludf.DUMMYFUNCTION("""COMPUTED_VALUE""")," মো: শামীম হোসেন ")</f>
        <v> মো: শামীম হোসেন </v>
      </c>
      <c r="F570" s="3" t="str">
        <f>IFERROR(__xludf.DUMMYFUNCTION("""COMPUTED_VALUE""")," মোছা: শিউলি খাতুন ")</f>
        <v> মোছা: শিউলি খাতুন </v>
      </c>
      <c r="G570" s="3" t="str">
        <f>IFERROR(__xludf.DUMMYFUNCTION("""COMPUTED_VALUE""")," ১০/০৩/২০০২ ")</f>
        <v> ১০/০৩/২০০২ </v>
      </c>
      <c r="H570" s="3" t="str">
        <f>IFERROR(__xludf.DUMMYFUNCTION("""COMPUTED_VALUE""")," কৃষক ")</f>
        <v> কৃষক </v>
      </c>
      <c r="I570" s="3" t="str">
        <f>IFERROR(__xludf.DUMMYFUNCTION("""COMPUTED_VALUE""")," জালশুকা, গাংনী, মেহেরপুর ")</f>
        <v> জালশুকা, গাংনী, মেহেরপুর </v>
      </c>
    </row>
    <row r="571" ht="15.75" customHeight="1">
      <c r="A571" s="3" t="s">
        <v>3692</v>
      </c>
      <c r="B571" s="3">
        <f>IFERROR(__xludf.DUMMYFUNCTION("SPLIT(A571,""|"")"),731.0)</f>
        <v>731</v>
      </c>
      <c r="C571" s="3" t="str">
        <f>IFERROR(__xludf.DUMMYFUNCTION("""COMPUTED_VALUE""")," মোঃ জাহিদুল ইসলাম ")</f>
        <v> মোঃ জাহিদুল ইসলাম </v>
      </c>
      <c r="D571" s="3">
        <f>IFERROR(__xludf.DUMMYFUNCTION("""COMPUTED_VALUE"""),5.70056000413E11)</f>
        <v>570056000413</v>
      </c>
      <c r="E571" s="3" t="str">
        <f>IFERROR(__xludf.DUMMYFUNCTION("""COMPUTED_VALUE""")," মৃত শহিদুল ইসলাম ")</f>
        <v> মৃত শহিদুল ইসলাম </v>
      </c>
      <c r="F571" s="3" t="str">
        <f>IFERROR(__xludf.DUMMYFUNCTION("""COMPUTED_VALUE""")," মোছাঃ রহিমা খাতুন ")</f>
        <v> মোছাঃ রহিমা খাতুন </v>
      </c>
      <c r="G571" s="3" t="str">
        <f>IFERROR(__xludf.DUMMYFUNCTION("""COMPUTED_VALUE""")," ১৫/১২/১৯৯৭ ")</f>
        <v> ১৫/১২/১৯৯৭ </v>
      </c>
      <c r="H571" s="3" t="str">
        <f>IFERROR(__xludf.DUMMYFUNCTION("""COMPUTED_VALUE""")," কৃষক ")</f>
        <v> কৃষক </v>
      </c>
      <c r="I571" s="3" t="str">
        <f>IFERROR(__xludf.DUMMYFUNCTION("""COMPUTED_VALUE""")," জালশুকা, গাংনী, মেহেরপুর ")</f>
        <v> জালশুকা, গাংনী, মেহেরপুর </v>
      </c>
    </row>
    <row r="572" ht="15.75" customHeight="1">
      <c r="A572" s="3" t="s">
        <v>3693</v>
      </c>
      <c r="B572" s="3">
        <f>IFERROR(__xludf.DUMMYFUNCTION("SPLIT(A572,""|"")"),732.0)</f>
        <v>732</v>
      </c>
      <c r="C572" s="3" t="str">
        <f>IFERROR(__xludf.DUMMYFUNCTION("""COMPUTED_VALUE""")," মোঃ রাশেদুল ইসলাম ")</f>
        <v> মোঃ রাশেদুল ইসলাম </v>
      </c>
      <c r="D572" s="3">
        <f>IFERROR(__xludf.DUMMYFUNCTION("""COMPUTED_VALUE"""),5.70056000414E11)</f>
        <v>570056000414</v>
      </c>
      <c r="E572" s="3" t="str">
        <f>IFERROR(__xludf.DUMMYFUNCTION("""COMPUTED_VALUE""")," মোঃ শামসুল হক ")</f>
        <v> মোঃ শামসুল হক </v>
      </c>
      <c r="F572" s="3" t="str">
        <f>IFERROR(__xludf.DUMMYFUNCTION("""COMPUTED_VALUE""")," মোছাঃ জাহামারা ")</f>
        <v> মোছাঃ জাহামারা </v>
      </c>
      <c r="G572" s="3" t="str">
        <f>IFERROR(__xludf.DUMMYFUNCTION("""COMPUTED_VALUE""")," ০১/০১/২০০১ ")</f>
        <v> ০১/০১/২০০১ </v>
      </c>
      <c r="H572" s="3" t="str">
        <f>IFERROR(__xludf.DUMMYFUNCTION("""COMPUTED_VALUE""")," ছাত্র/ছাত্রী ")</f>
        <v> ছাত্র/ছাত্রী </v>
      </c>
      <c r="I572" s="3" t="str">
        <f>IFERROR(__xludf.DUMMYFUNCTION("""COMPUTED_VALUE""")," জালশুকা, গাংনী, মেহেরপুর ")</f>
        <v> জালশুকা, গাংনী, মেহেরপুর </v>
      </c>
    </row>
    <row r="573" ht="15.75" customHeight="1">
      <c r="A573" s="3" t="s">
        <v>3694</v>
      </c>
      <c r="B573" s="3">
        <f>IFERROR(__xludf.DUMMYFUNCTION("SPLIT(A573,""|"")"),733.0)</f>
        <v>733</v>
      </c>
      <c r="C573" s="3" t="str">
        <f>IFERROR(__xludf.DUMMYFUNCTION("""COMPUTED_VALUE""")," মোঃ রাকিবুল ইসলাম ")</f>
        <v> মোঃ রাকিবুল ইসলাম </v>
      </c>
      <c r="D573" s="3">
        <f>IFERROR(__xludf.DUMMYFUNCTION("""COMPUTED_VALUE"""),5.70056000419E11)</f>
        <v>570056000419</v>
      </c>
      <c r="E573" s="3" t="str">
        <f>IFERROR(__xludf.DUMMYFUNCTION("""COMPUTED_VALUE""")," মোঃ আবেদুর রহমান ")</f>
        <v> মোঃ আবেদুর রহমান </v>
      </c>
      <c r="F573" s="3" t="str">
        <f>IFERROR(__xludf.DUMMYFUNCTION("""COMPUTED_VALUE""")," মোছাঃ গুলশানারা ")</f>
        <v> মোছাঃ গুলশানারা </v>
      </c>
      <c r="G573" s="3" t="str">
        <f>IFERROR(__xludf.DUMMYFUNCTION("""COMPUTED_VALUE""")," ২৫/০২/২০০১ ")</f>
        <v> ২৫/০২/২০০১ </v>
      </c>
      <c r="H573" s="3" t="str">
        <f>IFERROR(__xludf.DUMMYFUNCTION("""COMPUTED_VALUE""")," ছাত্র/ছাত্রী ")</f>
        <v> ছাত্র/ছাত্রী </v>
      </c>
      <c r="I573" s="3" t="str">
        <f>IFERROR(__xludf.DUMMYFUNCTION("""COMPUTED_VALUE""")," জালশুকা, গাংনী, মেহেরপুর ")</f>
        <v> জালশুকা, গাংনী, মেহেরপুর </v>
      </c>
    </row>
    <row r="574" ht="15.75" customHeight="1">
      <c r="A574" s="3" t="s">
        <v>3695</v>
      </c>
      <c r="B574" s="3">
        <f>IFERROR(__xludf.DUMMYFUNCTION("SPLIT(A574,""|"")"),734.0)</f>
        <v>734</v>
      </c>
      <c r="C574" s="3" t="str">
        <f>IFERROR(__xludf.DUMMYFUNCTION("""COMPUTED_VALUE""")," মোঃ আল আমিন ")</f>
        <v> মোঃ আল আমিন </v>
      </c>
      <c r="D574" s="3">
        <f>IFERROR(__xludf.DUMMYFUNCTION("""COMPUTED_VALUE"""),5.70056000422E11)</f>
        <v>570056000422</v>
      </c>
      <c r="E574" s="3" t="str">
        <f>IFERROR(__xludf.DUMMYFUNCTION("""COMPUTED_VALUE""")," মোঃ শামীম হোসেন ")</f>
        <v> মোঃ শামীম হোসেন </v>
      </c>
      <c r="F574" s="3" t="str">
        <f>IFERROR(__xludf.DUMMYFUNCTION("""COMPUTED_VALUE""")," মোছাঃ পারুলা খাতুন ")</f>
        <v> মোছাঃ পারুলা খাতুন </v>
      </c>
      <c r="G574" s="3" t="str">
        <f>IFERROR(__xludf.DUMMYFUNCTION("""COMPUTED_VALUE""")," ০২/০২/১৯৯৮ ")</f>
        <v> ০২/০২/১৯৯৮ </v>
      </c>
      <c r="H574" s="3" t="str">
        <f>IFERROR(__xludf.DUMMYFUNCTION("""COMPUTED_VALUE""")," কৃষক ")</f>
        <v> কৃষক </v>
      </c>
      <c r="I574" s="3" t="str">
        <f>IFERROR(__xludf.DUMMYFUNCTION("""COMPUTED_VALUE""")," জালশুকা, গাংনী, মেহেরপুর ")</f>
        <v> জালশুকা, গাংনী, মেহেরপুর </v>
      </c>
    </row>
    <row r="575" ht="15.75" customHeight="1">
      <c r="A575" s="3" t="s">
        <v>3696</v>
      </c>
      <c r="B575" s="3">
        <f>IFERROR(__xludf.DUMMYFUNCTION("SPLIT(A575,""|"")"),735.0)</f>
        <v>735</v>
      </c>
      <c r="C575" s="3" t="str">
        <f>IFERROR(__xludf.DUMMYFUNCTION("""COMPUTED_VALUE""")," মো: ছাব্বির হোসেন ")</f>
        <v> মো: ছাব্বির হোসেন </v>
      </c>
      <c r="D575" s="3">
        <f>IFERROR(__xludf.DUMMYFUNCTION("""COMPUTED_VALUE"""),5.70056000423E11)</f>
        <v>570056000423</v>
      </c>
      <c r="E575" s="3" t="str">
        <f>IFERROR(__xludf.DUMMYFUNCTION("""COMPUTED_VALUE""")," মো: বকুল হোসেন ")</f>
        <v> মো: বকুল হোসেন </v>
      </c>
      <c r="F575" s="3" t="str">
        <f>IFERROR(__xludf.DUMMYFUNCTION("""COMPUTED_VALUE""")," মোছা: সাবিনা ইয়াসমিন ")</f>
        <v> মোছা: সাবিনা ইয়াসমিন </v>
      </c>
      <c r="G575" s="3" t="str">
        <f>IFERROR(__xludf.DUMMYFUNCTION("""COMPUTED_VALUE""")," ৩০/১২/২০০২ ")</f>
        <v> ৩০/১২/২০০২ </v>
      </c>
      <c r="H575" s="3" t="str">
        <f>IFERROR(__xludf.DUMMYFUNCTION("""COMPUTED_VALUE""")," ছাত্র/ছাত্রী ")</f>
        <v> ছাত্র/ছাত্রী </v>
      </c>
      <c r="I575" s="3" t="str">
        <f>IFERROR(__xludf.DUMMYFUNCTION("""COMPUTED_VALUE""")," জালশুকা, গাংনী, মেহেরপুর ")</f>
        <v> জালশুকা, গাংনী, মেহেরপুর </v>
      </c>
    </row>
    <row r="576" ht="15.75" customHeight="1">
      <c r="A576" s="3" t="s">
        <v>3697</v>
      </c>
      <c r="B576" s="3">
        <f>IFERROR(__xludf.DUMMYFUNCTION("SPLIT(A576,""|"")"),736.0)</f>
        <v>736</v>
      </c>
      <c r="C576" s="3" t="str">
        <f>IFERROR(__xludf.DUMMYFUNCTION("""COMPUTED_VALUE""")," মাহাবুল ")</f>
        <v> মাহাবুল </v>
      </c>
      <c r="D576" s="3">
        <f>IFERROR(__xludf.DUMMYFUNCTION("""COMPUTED_VALUE"""),5.70056000424E11)</f>
        <v>570056000424</v>
      </c>
      <c r="E576" s="3" t="str">
        <f>IFERROR(__xludf.DUMMYFUNCTION("""COMPUTED_VALUE""")," জামাল ")</f>
        <v> জামাল </v>
      </c>
      <c r="F576" s="3" t="str">
        <f>IFERROR(__xludf.DUMMYFUNCTION("""COMPUTED_VALUE""")," বাসিরন ")</f>
        <v> বাসিরন </v>
      </c>
      <c r="G576" s="3" t="str">
        <f>IFERROR(__xludf.DUMMYFUNCTION("""COMPUTED_VALUE""")," ০৫/০২/১৯৯০ ")</f>
        <v> ০৫/০২/১৯৯০ </v>
      </c>
      <c r="H576" s="3" t="str">
        <f>IFERROR(__xludf.DUMMYFUNCTION("""COMPUTED_VALUE""")," কৃষক ")</f>
        <v> কৃষক </v>
      </c>
      <c r="I576" s="3" t="str">
        <f>IFERROR(__xludf.DUMMYFUNCTION("""COMPUTED_VALUE""")," জালশুকা, গাংনী, মেহেরপুর ")</f>
        <v> জালশুকা, গাংনী, মেহেরপুর </v>
      </c>
    </row>
    <row r="577" ht="15.75" customHeight="1">
      <c r="A577" s="3" t="s">
        <v>3698</v>
      </c>
      <c r="B577" s="3">
        <f>IFERROR(__xludf.DUMMYFUNCTION("SPLIT(A577,""|"")"),737.0)</f>
        <v>737</v>
      </c>
      <c r="C577" s="3" t="str">
        <f>IFERROR(__xludf.DUMMYFUNCTION("""COMPUTED_VALUE""")," মোঃ নাইম আলী ")</f>
        <v> মোঃ নাইম আলী </v>
      </c>
      <c r="D577" s="3">
        <f>IFERROR(__xludf.DUMMYFUNCTION("""COMPUTED_VALUE"""),5.70056000426E11)</f>
        <v>570056000426</v>
      </c>
      <c r="E577" s="3" t="str">
        <f>IFERROR(__xludf.DUMMYFUNCTION("""COMPUTED_VALUE""")," মোঃ আব্দুর রশিদ ")</f>
        <v> মোঃ আব্দুর রশিদ </v>
      </c>
      <c r="F577" s="3" t="str">
        <f>IFERROR(__xludf.DUMMYFUNCTION("""COMPUTED_VALUE""")," মোছাঃ নাসিমা খাতুন ")</f>
        <v> মোছাঃ নাসিমা খাতুন </v>
      </c>
      <c r="G577" s="3" t="str">
        <f>IFERROR(__xludf.DUMMYFUNCTION("""COMPUTED_VALUE""")," ২০/০৭/২০০৩ ")</f>
        <v> ২০/০৭/২০০৩ </v>
      </c>
      <c r="H577" s="3" t="str">
        <f>IFERROR(__xludf.DUMMYFUNCTION("""COMPUTED_VALUE""")," ছাত্র/ছাত্রী ")</f>
        <v> ছাত্র/ছাত্রী </v>
      </c>
      <c r="I577" s="3" t="str">
        <f>IFERROR(__xludf.DUMMYFUNCTION("""COMPUTED_VALUE""")," জালশুকা, গাংনী, মেহেরপুর ")</f>
        <v> জালশুকা, গাংনী, মেহেরপুর </v>
      </c>
    </row>
    <row r="578" ht="15.75" customHeight="1">
      <c r="A578" s="3" t="s">
        <v>3699</v>
      </c>
      <c r="B578" s="3">
        <f>IFERROR(__xludf.DUMMYFUNCTION("SPLIT(A578,""|"")"),738.0)</f>
        <v>738</v>
      </c>
      <c r="C578" s="3" t="str">
        <f>IFERROR(__xludf.DUMMYFUNCTION("""COMPUTED_VALUE""")," মোঃ আল আমিন ")</f>
        <v> মোঃ আল আমিন </v>
      </c>
      <c r="D578" s="3">
        <f>IFERROR(__xludf.DUMMYFUNCTION("""COMPUTED_VALUE"""),5.70056000427E11)</f>
        <v>570056000427</v>
      </c>
      <c r="E578" s="3" t="str">
        <f>IFERROR(__xludf.DUMMYFUNCTION("""COMPUTED_VALUE""")," আব্দুল খালেক ")</f>
        <v> আব্দুল খালেক </v>
      </c>
      <c r="F578" s="3" t="str">
        <f>IFERROR(__xludf.DUMMYFUNCTION("""COMPUTED_VALUE""")," মোছাঃ সাহানারা ")</f>
        <v> মোছাঃ সাহানারা </v>
      </c>
      <c r="G578" s="3" t="str">
        <f>IFERROR(__xludf.DUMMYFUNCTION("""COMPUTED_VALUE""")," ২০/০৩/২০০০ ")</f>
        <v> ২০/০৩/২০০০ </v>
      </c>
      <c r="H578" s="3" t="str">
        <f>IFERROR(__xludf.DUMMYFUNCTION("""COMPUTED_VALUE""")," কৃষক ")</f>
        <v> কৃষক </v>
      </c>
      <c r="I578" s="3" t="str">
        <f>IFERROR(__xludf.DUMMYFUNCTION("""COMPUTED_VALUE""")," জালশুকা, গাংনী, মেহেরপুর ")</f>
        <v> জালশুকা, গাংনী, মেহেরপুর </v>
      </c>
    </row>
    <row r="579" ht="15.75" customHeight="1">
      <c r="A579" s="3" t="s">
        <v>3700</v>
      </c>
      <c r="B579" s="3">
        <f>IFERROR(__xludf.DUMMYFUNCTION("SPLIT(A579,""|"")"),739.0)</f>
        <v>739</v>
      </c>
      <c r="C579" s="3" t="str">
        <f>IFERROR(__xludf.DUMMYFUNCTION("""COMPUTED_VALUE""")," মোঃ নাজমুল হুদা ")</f>
        <v> মোঃ নাজমুল হুদা </v>
      </c>
      <c r="D579" s="3">
        <f>IFERROR(__xludf.DUMMYFUNCTION("""COMPUTED_VALUE"""),5.70056000428E11)</f>
        <v>570056000428</v>
      </c>
      <c r="E579" s="3" t="str">
        <f>IFERROR(__xludf.DUMMYFUNCTION("""COMPUTED_VALUE""")," মোঃ রুহুল আমিন ")</f>
        <v> মোঃ রুহুল আমিন </v>
      </c>
      <c r="F579" s="3" t="str">
        <f>IFERROR(__xludf.DUMMYFUNCTION("""COMPUTED_VALUE""")," মোছাঃ শাহেদা খাতুন ")</f>
        <v> মোছাঃ শাহেদা খাতুন </v>
      </c>
      <c r="G579" s="3" t="str">
        <f>IFERROR(__xludf.DUMMYFUNCTION("""COMPUTED_VALUE""")," ১৫/০৬/১৯৮৫ ")</f>
        <v> ১৫/০৬/১৯৮৫ </v>
      </c>
      <c r="H579" s="3" t="str">
        <f>IFERROR(__xludf.DUMMYFUNCTION("""COMPUTED_VALUE""")," কৃষক ")</f>
        <v> কৃষক </v>
      </c>
      <c r="I579" s="3" t="str">
        <f>IFERROR(__xludf.DUMMYFUNCTION("""COMPUTED_VALUE""")," জালশুকা, গাংনী, মেহেরপুর ")</f>
        <v> জালশুকা, গাংনী, মেহেরপুর </v>
      </c>
    </row>
    <row r="580" ht="15.75" customHeight="1">
      <c r="A580" s="3" t="s">
        <v>3701</v>
      </c>
      <c r="B580" s="3">
        <f>IFERROR(__xludf.DUMMYFUNCTION("SPLIT(A580,""|"")"),740.0)</f>
        <v>740</v>
      </c>
      <c r="C580" s="3" t="str">
        <f>IFERROR(__xludf.DUMMYFUNCTION("""COMPUTED_VALUE""")," মোঃ রাকিব হোসেন ")</f>
        <v> মোঃ রাকিব হোসেন </v>
      </c>
      <c r="D580" s="3">
        <f>IFERROR(__xludf.DUMMYFUNCTION("""COMPUTED_VALUE"""),5.70056000429E11)</f>
        <v>570056000429</v>
      </c>
      <c r="E580" s="3" t="str">
        <f>IFERROR(__xludf.DUMMYFUNCTION("""COMPUTED_VALUE""")," মোছাঃ রইছউদ্দিন ")</f>
        <v> মোছাঃ রইছউদ্দিন </v>
      </c>
      <c r="F580" s="3" t="str">
        <f>IFERROR(__xludf.DUMMYFUNCTION("""COMPUTED_VALUE""")," মোছাঃ সুবারন নেছা ")</f>
        <v> মোছাঃ সুবারন নেছা </v>
      </c>
      <c r="G580" s="3" t="str">
        <f>IFERROR(__xludf.DUMMYFUNCTION("""COMPUTED_VALUE""")," ০১/০১/২০০৩ ")</f>
        <v> ০১/০১/২০০৩ </v>
      </c>
      <c r="H580" s="3" t="str">
        <f>IFERROR(__xludf.DUMMYFUNCTION("""COMPUTED_VALUE""")," কৃষক ")</f>
        <v> কৃষক </v>
      </c>
      <c r="I580" s="3" t="str">
        <f>IFERROR(__xludf.DUMMYFUNCTION("""COMPUTED_VALUE""")," জালশুকা, গাংনী, মেহেরপুর ")</f>
        <v> জালশুকা, গাংনী, মেহেরপুর </v>
      </c>
    </row>
    <row r="581" ht="15.75" customHeight="1">
      <c r="A581" s="3" t="s">
        <v>3702</v>
      </c>
      <c r="B581" s="3">
        <f>IFERROR(__xludf.DUMMYFUNCTION("SPLIT(A581,""|"")"),741.0)</f>
        <v>741</v>
      </c>
      <c r="C581" s="3" t="str">
        <f>IFERROR(__xludf.DUMMYFUNCTION("""COMPUTED_VALUE""")," মোঃ পলাশ আলী ")</f>
        <v> মোঃ পলাশ আলী </v>
      </c>
      <c r="D581" s="3">
        <f>IFERROR(__xludf.DUMMYFUNCTION("""COMPUTED_VALUE"""),5.7005600043E11)</f>
        <v>570056000430</v>
      </c>
      <c r="E581" s="3" t="str">
        <f>IFERROR(__xludf.DUMMYFUNCTION("""COMPUTED_VALUE""")," আনারুল ")</f>
        <v> আনারুল </v>
      </c>
      <c r="F581" s="3" t="str">
        <f>IFERROR(__xludf.DUMMYFUNCTION("""COMPUTED_VALUE""")," সকিরন নেছা ")</f>
        <v> সকিরন নেছা </v>
      </c>
      <c r="G581" s="3" t="str">
        <f>IFERROR(__xludf.DUMMYFUNCTION("""COMPUTED_VALUE""")," ২৪/০৫/২০০৩ ")</f>
        <v> ২৪/০৫/২০০৩ </v>
      </c>
      <c r="H581" s="3" t="str">
        <f>IFERROR(__xludf.DUMMYFUNCTION("""COMPUTED_VALUE""")," ছাত্র/ছাত্রী ")</f>
        <v> ছাত্র/ছাত্রী </v>
      </c>
      <c r="I581" s="3" t="str">
        <f>IFERROR(__xludf.DUMMYFUNCTION("""COMPUTED_VALUE""")," জালশুকা, গাংনী, মেহেরপুর ")</f>
        <v> জালশুকা, গাংনী, মেহেরপুর </v>
      </c>
    </row>
    <row r="582" ht="15.75" customHeight="1">
      <c r="A582" s="3" t="s">
        <v>3703</v>
      </c>
      <c r="B582" s="3">
        <f>IFERROR(__xludf.DUMMYFUNCTION("SPLIT(A582,""|"")"),742.0)</f>
        <v>742</v>
      </c>
      <c r="C582" s="3" t="str">
        <f>IFERROR(__xludf.DUMMYFUNCTION("""COMPUTED_VALUE""")," মোঃ ইমরান আলী ")</f>
        <v> মোঃ ইমরান আলী </v>
      </c>
      <c r="D582" s="3">
        <f>IFERROR(__xludf.DUMMYFUNCTION("""COMPUTED_VALUE"""),5.70056000431E11)</f>
        <v>570056000431</v>
      </c>
      <c r="E582" s="3" t="str">
        <f>IFERROR(__xludf.DUMMYFUNCTION("""COMPUTED_VALUE""")," মোছাঃ নওশাদ ")</f>
        <v> মোছাঃ নওশাদ </v>
      </c>
      <c r="F582" s="3" t="str">
        <f>IFERROR(__xludf.DUMMYFUNCTION("""COMPUTED_VALUE""")," মোছাঃ নাজিরা খাতুন ")</f>
        <v> মোছাঃ নাজিরা খাতুন </v>
      </c>
      <c r="G582" s="3" t="str">
        <f>IFERROR(__xludf.DUMMYFUNCTION("""COMPUTED_VALUE""")," ০১/০৩/২০০৩ ")</f>
        <v> ০১/০৩/২০০৩ </v>
      </c>
      <c r="H582" s="3" t="str">
        <f>IFERROR(__xludf.DUMMYFUNCTION("""COMPUTED_VALUE""")," কৃষক ")</f>
        <v> কৃষক </v>
      </c>
      <c r="I582" s="3" t="str">
        <f>IFERROR(__xludf.DUMMYFUNCTION("""COMPUTED_VALUE""")," জালশুকা, গাংনী, মেহেরপুর ")</f>
        <v> জালশুকা, গাংনী, মেহেরপুর </v>
      </c>
    </row>
    <row r="583" ht="15.75" customHeight="1">
      <c r="A583" s="3" t="s">
        <v>3704</v>
      </c>
      <c r="B583" s="3">
        <f>IFERROR(__xludf.DUMMYFUNCTION("SPLIT(A583,""|"")"),743.0)</f>
        <v>743</v>
      </c>
      <c r="C583" s="3" t="str">
        <f>IFERROR(__xludf.DUMMYFUNCTION("""COMPUTED_VALUE""")," মোঃ মিলন আলী ")</f>
        <v> মোঃ মিলন আলী </v>
      </c>
      <c r="D583" s="3">
        <f>IFERROR(__xludf.DUMMYFUNCTION("""COMPUTED_VALUE"""),5.70056000437E11)</f>
        <v>570056000437</v>
      </c>
      <c r="E583" s="3" t="str">
        <f>IFERROR(__xludf.DUMMYFUNCTION("""COMPUTED_VALUE""")," মোঃ আব্বাস আলী ")</f>
        <v> মোঃ আব্বাস আলী </v>
      </c>
      <c r="F583" s="3" t="str">
        <f>IFERROR(__xludf.DUMMYFUNCTION("""COMPUTED_VALUE""")," মোছাঃ ময়না খাতুন ")</f>
        <v> মোছাঃ ময়না খাতুন </v>
      </c>
      <c r="G583" s="3" t="str">
        <f>IFERROR(__xludf.DUMMYFUNCTION("""COMPUTED_VALUE""")," ০১/০৩/২০০৩ ")</f>
        <v> ০১/০৩/২০০৩ </v>
      </c>
      <c r="H583" s="3" t="str">
        <f>IFERROR(__xludf.DUMMYFUNCTION("""COMPUTED_VALUE""")," ছাত্র/ছাত্রী ")</f>
        <v> ছাত্র/ছাত্রী </v>
      </c>
      <c r="I583" s="3" t="str">
        <f>IFERROR(__xludf.DUMMYFUNCTION("""COMPUTED_VALUE""")," জালশুকা, গাংনী, মেহেরপুর ")</f>
        <v> জালশুকা, গাংনী, মেহেরপুর </v>
      </c>
    </row>
    <row r="584" ht="15.75" customHeight="1">
      <c r="A584" s="3" t="s">
        <v>3705</v>
      </c>
      <c r="B584" s="3">
        <f>IFERROR(__xludf.DUMMYFUNCTION("SPLIT(A584,""|"")"),744.0)</f>
        <v>744</v>
      </c>
      <c r="C584" s="3" t="str">
        <f>IFERROR(__xludf.DUMMYFUNCTION("""COMPUTED_VALUE""")," মোঃ তোতা আলী ")</f>
        <v> মোঃ তোতা আলী </v>
      </c>
      <c r="D584" s="3">
        <f>IFERROR(__xludf.DUMMYFUNCTION("""COMPUTED_VALUE"""),5.70056000439E11)</f>
        <v>570056000439</v>
      </c>
      <c r="E584" s="3" t="str">
        <f>IFERROR(__xludf.DUMMYFUNCTION("""COMPUTED_VALUE""")," মোঃ জাজাল উদ্দীন ")</f>
        <v> মোঃ জাজাল উদ্দীন </v>
      </c>
      <c r="F584" s="3" t="str">
        <f>IFERROR(__xludf.DUMMYFUNCTION("""COMPUTED_VALUE""")," মোছাঃ রেবেকা খাতুন ")</f>
        <v> মোছাঃ রেবেকা খাতুন </v>
      </c>
      <c r="G584" s="3" t="str">
        <f>IFERROR(__xludf.DUMMYFUNCTION("""COMPUTED_VALUE""")," ০৩/০১/২০০২ ")</f>
        <v> ০৩/০১/২০০২ </v>
      </c>
      <c r="H584" s="3" t="str">
        <f>IFERROR(__xludf.DUMMYFUNCTION("""COMPUTED_VALUE""")," ছাত্র/ছাত্রী ")</f>
        <v> ছাত্র/ছাত্রী </v>
      </c>
      <c r="I584" s="3" t="str">
        <f>IFERROR(__xludf.DUMMYFUNCTION("""COMPUTED_VALUE""")," জালশুকা, গাংনী, মেহেরপুর ")</f>
        <v> জালশুকা, গাংনী, মেহেরপুর </v>
      </c>
    </row>
    <row r="585" ht="15.75" customHeight="1">
      <c r="A585" s="3" t="s">
        <v>3706</v>
      </c>
      <c r="B585" s="3">
        <f>IFERROR(__xludf.DUMMYFUNCTION("SPLIT(A585,""|"")"),745.0)</f>
        <v>745</v>
      </c>
      <c r="C585" s="3" t="str">
        <f>IFERROR(__xludf.DUMMYFUNCTION("""COMPUTED_VALUE""")," মোঃ আসাদ ")</f>
        <v> মোঃ আসাদ </v>
      </c>
      <c r="D585" s="3">
        <f>IFERROR(__xludf.DUMMYFUNCTION("""COMPUTED_VALUE"""),5.7005600044E11)</f>
        <v>570056000440</v>
      </c>
      <c r="E585" s="3" t="str">
        <f>IFERROR(__xludf.DUMMYFUNCTION("""COMPUTED_VALUE""")," মোঃ মেহের আলী ")</f>
        <v> মোঃ মেহের আলী </v>
      </c>
      <c r="F585" s="3" t="str">
        <f>IFERROR(__xludf.DUMMYFUNCTION("""COMPUTED_VALUE""")," মোছাঃ নাসিমা খাতুন ")</f>
        <v> মোছাঃ নাসিমা খাতুন </v>
      </c>
      <c r="G585" s="3" t="str">
        <f>IFERROR(__xludf.DUMMYFUNCTION("""COMPUTED_VALUE""")," ৩০/১০/১৯৯৬ ")</f>
        <v> ৩০/১০/১৯৯৬ </v>
      </c>
      <c r="H585" s="3" t="str">
        <f>IFERROR(__xludf.DUMMYFUNCTION("""COMPUTED_VALUE""")," কৃষক ")</f>
        <v> কৃষক </v>
      </c>
      <c r="I585" s="3" t="str">
        <f>IFERROR(__xludf.DUMMYFUNCTION("""COMPUTED_VALUE""")," জালশুকা, গাংনী, মেহেরপুর ")</f>
        <v> জালশুকা, গাংনী, মেহেরপুর </v>
      </c>
    </row>
    <row r="586" ht="15.75" customHeight="1">
      <c r="A586" s="3" t="s">
        <v>3707</v>
      </c>
      <c r="B586" s="3">
        <f>IFERROR(__xludf.DUMMYFUNCTION("SPLIT(A586,""|"")"),746.0)</f>
        <v>746</v>
      </c>
      <c r="C586" s="3" t="str">
        <f>IFERROR(__xludf.DUMMYFUNCTION("""COMPUTED_VALUE""")," মোঃ নিসান আলী ")</f>
        <v> মোঃ নিসান আলী </v>
      </c>
      <c r="D586" s="3">
        <f>IFERROR(__xludf.DUMMYFUNCTION("""COMPUTED_VALUE"""),5.70056000441E11)</f>
        <v>570056000441</v>
      </c>
      <c r="E586" s="3" t="str">
        <f>IFERROR(__xludf.DUMMYFUNCTION("""COMPUTED_VALUE""")," মোঃ জামিরুল ইসলাম ")</f>
        <v> মোঃ জামিরুল ইসলাম </v>
      </c>
      <c r="F586" s="3" t="str">
        <f>IFERROR(__xludf.DUMMYFUNCTION("""COMPUTED_VALUE""")," মোছাঃ তাসলিমা খাতুন ")</f>
        <v> মোছাঃ তাসলিমা খাতুন </v>
      </c>
      <c r="G586" s="3" t="str">
        <f>IFERROR(__xludf.DUMMYFUNCTION("""COMPUTED_VALUE""")," ০১/০১/২০০০ ")</f>
        <v> ০১/০১/২০০০ </v>
      </c>
      <c r="H586" s="3" t="str">
        <f>IFERROR(__xludf.DUMMYFUNCTION("""COMPUTED_VALUE""")," ছাত্র/ছাত্রী ")</f>
        <v> ছাত্র/ছাত্রী </v>
      </c>
      <c r="I586" s="3" t="str">
        <f>IFERROR(__xludf.DUMMYFUNCTION("""COMPUTED_VALUE""")," জালশুকা, গাংনী, মেহেরপুর ")</f>
        <v> জালশুকা, গাংনী, মেহেরপুর </v>
      </c>
    </row>
    <row r="587" ht="15.75" customHeight="1">
      <c r="A587" s="3" t="s">
        <v>3708</v>
      </c>
      <c r="B587" s="3">
        <f>IFERROR(__xludf.DUMMYFUNCTION("SPLIT(A587,""|"")"),747.0)</f>
        <v>747</v>
      </c>
      <c r="C587" s="3" t="str">
        <f>IFERROR(__xludf.DUMMYFUNCTION("""COMPUTED_VALUE""")," মোঃ লিখন আলী ")</f>
        <v> মোঃ লিখন আলী </v>
      </c>
      <c r="D587" s="3">
        <f>IFERROR(__xludf.DUMMYFUNCTION("""COMPUTED_VALUE"""),5.70056000443E11)</f>
        <v>570056000443</v>
      </c>
      <c r="E587" s="3" t="str">
        <f>IFERROR(__xludf.DUMMYFUNCTION("""COMPUTED_VALUE""")," মোঃ নজরুল ইসলাম ")</f>
        <v> মোঃ নজরুল ইসলাম </v>
      </c>
      <c r="F587" s="3" t="str">
        <f>IFERROR(__xludf.DUMMYFUNCTION("""COMPUTED_VALUE""")," মোছাঃ ফিরোজা খাতুন ")</f>
        <v> মোছাঃ ফিরোজা খাতুন </v>
      </c>
      <c r="G587" s="3" t="str">
        <f>IFERROR(__xludf.DUMMYFUNCTION("""COMPUTED_VALUE""")," ০১/০১/২০০২ ")</f>
        <v> ০১/০১/২০০২ </v>
      </c>
      <c r="H587" s="3" t="str">
        <f>IFERROR(__xludf.DUMMYFUNCTION("""COMPUTED_VALUE""")," ছাত্র/ছাত্রী ")</f>
        <v> ছাত্র/ছাত্রী </v>
      </c>
      <c r="I587" s="3" t="str">
        <f>IFERROR(__xludf.DUMMYFUNCTION("""COMPUTED_VALUE""")," জালশুকা, গাংনী, মেহেরপুর ")</f>
        <v> জালশুকা, গাংনী, মেহেরপুর </v>
      </c>
    </row>
    <row r="588" ht="15.75" customHeight="1">
      <c r="A588" s="3" t="s">
        <v>3709</v>
      </c>
      <c r="B588" s="3">
        <f>IFERROR(__xludf.DUMMYFUNCTION("SPLIT(A588,""|"")"),748.0)</f>
        <v>748</v>
      </c>
      <c r="C588" s="3" t="str">
        <f>IFERROR(__xludf.DUMMYFUNCTION("""COMPUTED_VALUE""")," মোঃ হুসাইন আলী ")</f>
        <v> মোঃ হুসাইন আলী </v>
      </c>
      <c r="D588" s="3">
        <f>IFERROR(__xludf.DUMMYFUNCTION("""COMPUTED_VALUE"""),5.70056000446E11)</f>
        <v>570056000446</v>
      </c>
      <c r="E588" s="3" t="str">
        <f>IFERROR(__xludf.DUMMYFUNCTION("""COMPUTED_VALUE""")," আব্দুর রাজ্জাক ")</f>
        <v> আব্দুর রাজ্জাক </v>
      </c>
      <c r="F588" s="3" t="str">
        <f>IFERROR(__xludf.DUMMYFUNCTION("""COMPUTED_VALUE""")," মোছাঃ নাজিরা খাতুন ")</f>
        <v> মোছাঃ নাজিরা খাতুন </v>
      </c>
      <c r="G588" s="3" t="str">
        <f>IFERROR(__xludf.DUMMYFUNCTION("""COMPUTED_VALUE""")," ১৭/১২/২০০১ ")</f>
        <v> ১৭/১২/২০০১ </v>
      </c>
      <c r="H588" s="3" t="str">
        <f>IFERROR(__xludf.DUMMYFUNCTION("""COMPUTED_VALUE""")," ছাত্র/ছাত্রী ")</f>
        <v> ছাত্র/ছাত্রী </v>
      </c>
      <c r="I588" s="3" t="str">
        <f>IFERROR(__xludf.DUMMYFUNCTION("""COMPUTED_VALUE""")," জালশুকা, গাংনী, মেহেরপুর ")</f>
        <v> জালশুকা, গাংনী, মেহেরপুর </v>
      </c>
    </row>
    <row r="589" ht="15.75" customHeight="1">
      <c r="A589" s="3" t="s">
        <v>3710</v>
      </c>
      <c r="B589" s="3">
        <f>IFERROR(__xludf.DUMMYFUNCTION("SPLIT(A589,""|"")"),749.0)</f>
        <v>749</v>
      </c>
      <c r="C589" s="3" t="str">
        <f>IFERROR(__xludf.DUMMYFUNCTION("""COMPUTED_VALUE""")," মোঃ মারিজুল ইসলাম ")</f>
        <v> মোঃ মারিজুল ইসলাম </v>
      </c>
      <c r="D589" s="3">
        <f>IFERROR(__xludf.DUMMYFUNCTION("""COMPUTED_VALUE"""),5.70056000447E11)</f>
        <v>570056000447</v>
      </c>
      <c r="E589" s="3" t="str">
        <f>IFERROR(__xludf.DUMMYFUNCTION("""COMPUTED_VALUE""")," মোঃ আসাদুল হক ")</f>
        <v> মোঃ আসাদুল হক </v>
      </c>
      <c r="F589" s="3" t="str">
        <f>IFERROR(__xludf.DUMMYFUNCTION("""COMPUTED_VALUE""")," মোছাঃ কামরুন্নাহার ")</f>
        <v> মোছাঃ কামরুন্নাহার </v>
      </c>
      <c r="G589" s="3" t="str">
        <f>IFERROR(__xludf.DUMMYFUNCTION("""COMPUTED_VALUE""")," ০১/১০/২০০১ ")</f>
        <v> ০১/১০/২০০১ </v>
      </c>
      <c r="H589" s="3" t="str">
        <f>IFERROR(__xludf.DUMMYFUNCTION("""COMPUTED_VALUE""")," ছাত্র/ছাত্রী ")</f>
        <v> ছাত্র/ছাত্রী </v>
      </c>
      <c r="I589" s="3" t="str">
        <f>IFERROR(__xludf.DUMMYFUNCTION("""COMPUTED_VALUE""")," জালশুকা, গাংনী, মেহেরপুর ")</f>
        <v> জালশুকা, গাংনী, মেহেরপুর </v>
      </c>
    </row>
    <row r="590" ht="15.75" customHeight="1">
      <c r="A590" s="3" t="s">
        <v>3711</v>
      </c>
      <c r="B590" s="3">
        <f>IFERROR(__xludf.DUMMYFUNCTION("SPLIT(A590,""|"")"),750.0)</f>
        <v>750</v>
      </c>
      <c r="C590" s="3" t="str">
        <f>IFERROR(__xludf.DUMMYFUNCTION("""COMPUTED_VALUE""")," মোঃ হৃদয় হোসেন ")</f>
        <v> মোঃ হৃদয় হোসেন </v>
      </c>
      <c r="D590" s="3">
        <f>IFERROR(__xludf.DUMMYFUNCTION("""COMPUTED_VALUE"""),5.70056000452E11)</f>
        <v>570056000452</v>
      </c>
      <c r="E590" s="3" t="str">
        <f>IFERROR(__xludf.DUMMYFUNCTION("""COMPUTED_VALUE""")," মোঃ জিয়াউর রহমান ")</f>
        <v> মোঃ জিয়াউর রহমান </v>
      </c>
      <c r="F590" s="3" t="str">
        <f>IFERROR(__xludf.DUMMYFUNCTION("""COMPUTED_VALUE""")," মোছাঃ বেদেনা খাতুন ")</f>
        <v> মোছাঃ বেদেনা খাতুন </v>
      </c>
      <c r="G590" s="3" t="str">
        <f>IFERROR(__xludf.DUMMYFUNCTION("""COMPUTED_VALUE""")," ২৭/১০/১৯৯৮ ")</f>
        <v> ২৭/১০/১৯৯৮ </v>
      </c>
      <c r="H590" s="3" t="str">
        <f>IFERROR(__xludf.DUMMYFUNCTION("""COMPUTED_VALUE""")," ছাত্র/ছাত্রী ")</f>
        <v> ছাত্র/ছাত্রী </v>
      </c>
      <c r="I590" s="3" t="str">
        <f>IFERROR(__xludf.DUMMYFUNCTION("""COMPUTED_VALUE""")," জালশুকা, গাংনী, মেহেরপুর ")</f>
        <v> জালশুকা, গাংনী, মেহেরপুর </v>
      </c>
    </row>
    <row r="591" ht="15.75" customHeight="1">
      <c r="A591" s="3" t="s">
        <v>3712</v>
      </c>
      <c r="B591" s="3">
        <f>IFERROR(__xludf.DUMMYFUNCTION("SPLIT(A591,""|"")"),751.0)</f>
        <v>751</v>
      </c>
      <c r="C591" s="3" t="str">
        <f>IFERROR(__xludf.DUMMYFUNCTION("""COMPUTED_VALUE""")," মোঃ বকুল আহমেদ ")</f>
        <v> মোঃ বকুল আহমেদ </v>
      </c>
      <c r="D591" s="3">
        <f>IFERROR(__xludf.DUMMYFUNCTION("""COMPUTED_VALUE"""),5.70056000454E11)</f>
        <v>570056000454</v>
      </c>
      <c r="E591" s="3" t="str">
        <f>IFERROR(__xludf.DUMMYFUNCTION("""COMPUTED_VALUE""")," মোঃ আহাদ আলী ")</f>
        <v> মোঃ আহাদ আলী </v>
      </c>
      <c r="F591" s="3" t="str">
        <f>IFERROR(__xludf.DUMMYFUNCTION("""COMPUTED_VALUE""")," জহুরা খাতুন ")</f>
        <v> জহুরা খাতুন </v>
      </c>
      <c r="G591" s="3" t="str">
        <f>IFERROR(__xludf.DUMMYFUNCTION("""COMPUTED_VALUE""")," ২০/১১/১৯৯৭ ")</f>
        <v> ২০/১১/১৯৯৭ </v>
      </c>
      <c r="H591" s="3" t="str">
        <f>IFERROR(__xludf.DUMMYFUNCTION("""COMPUTED_VALUE""")," ছাত্র/ছাত্রী ")</f>
        <v> ছাত্র/ছাত্রী </v>
      </c>
      <c r="I591" s="3" t="str">
        <f>IFERROR(__xludf.DUMMYFUNCTION("""COMPUTED_VALUE""")," জালশুকা, গাংনী, মেহেরপুর ")</f>
        <v> জালশুকা, গাংনী, মেহেরপুর </v>
      </c>
    </row>
    <row r="592" ht="15.75" customHeight="1">
      <c r="A592" s="3" t="s">
        <v>3713</v>
      </c>
      <c r="B592" s="3">
        <f>IFERROR(__xludf.DUMMYFUNCTION("SPLIT(A592,""|"")"),752.0)</f>
        <v>752</v>
      </c>
      <c r="C592" s="3" t="str">
        <f>IFERROR(__xludf.DUMMYFUNCTION("""COMPUTED_VALUE""")," মোঃ স্বপন আলী ")</f>
        <v> মোঃ স্বপন আলী </v>
      </c>
      <c r="D592" s="3">
        <f>IFERROR(__xludf.DUMMYFUNCTION("""COMPUTED_VALUE"""),5.70056000455E11)</f>
        <v>570056000455</v>
      </c>
      <c r="E592" s="3" t="str">
        <f>IFERROR(__xludf.DUMMYFUNCTION("""COMPUTED_VALUE""")," মোঃ রেজাউল হক ")</f>
        <v> মোঃ রেজাউল হক </v>
      </c>
      <c r="F592" s="3" t="str">
        <f>IFERROR(__xludf.DUMMYFUNCTION("""COMPUTED_VALUE""")," মৃত হালিমা খাতুন ")</f>
        <v> মৃত হালিমা খাতুন </v>
      </c>
      <c r="G592" s="3" t="str">
        <f>IFERROR(__xludf.DUMMYFUNCTION("""COMPUTED_VALUE""")," ০৯/১২/১৯৮৮ ")</f>
        <v> ০৯/১২/১৯৮৮ </v>
      </c>
      <c r="H592" s="3" t="str">
        <f>IFERROR(__xludf.DUMMYFUNCTION("""COMPUTED_VALUE""")," কৃষক ")</f>
        <v> কৃষক </v>
      </c>
      <c r="I592" s="3" t="str">
        <f>IFERROR(__xludf.DUMMYFUNCTION("""COMPUTED_VALUE""")," জালশুকা, গাংনী, মেহেরপুর ")</f>
        <v> জালশুকা, গাংনী, মেহেরপুর </v>
      </c>
    </row>
    <row r="593" ht="15.75" customHeight="1">
      <c r="A593" s="3" t="s">
        <v>3714</v>
      </c>
      <c r="B593" s="3">
        <f>IFERROR(__xludf.DUMMYFUNCTION("SPLIT(A593,""|"")"),753.0)</f>
        <v>753</v>
      </c>
      <c r="C593" s="3" t="str">
        <f>IFERROR(__xludf.DUMMYFUNCTION("""COMPUTED_VALUE""")," মোঃ সেরেফুল ")</f>
        <v> মোঃ সেরেফুল </v>
      </c>
      <c r="D593" s="3">
        <f>IFERROR(__xludf.DUMMYFUNCTION("""COMPUTED_VALUE"""),5.70056000456E11)</f>
        <v>570056000456</v>
      </c>
      <c r="E593" s="3" t="str">
        <f>IFERROR(__xludf.DUMMYFUNCTION("""COMPUTED_VALUE""")," মোঃ নুজির আলী ")</f>
        <v> মোঃ নুজির আলী </v>
      </c>
      <c r="F593" s="3" t="str">
        <f>IFERROR(__xludf.DUMMYFUNCTION("""COMPUTED_VALUE""")," মোছাঃ ফাতেমা খাতুন ")</f>
        <v> মোছাঃ ফাতেমা খাতুন </v>
      </c>
      <c r="G593" s="3" t="str">
        <f>IFERROR(__xludf.DUMMYFUNCTION("""COMPUTED_VALUE""")," ০১/০১/২০০২ ")</f>
        <v> ০১/০১/২০০২ </v>
      </c>
      <c r="H593" s="3" t="str">
        <f>IFERROR(__xludf.DUMMYFUNCTION("""COMPUTED_VALUE""")," ছাত্র/ছাত্রী ")</f>
        <v> ছাত্র/ছাত্রী </v>
      </c>
      <c r="I593" s="3" t="str">
        <f>IFERROR(__xludf.DUMMYFUNCTION("""COMPUTED_VALUE""")," জালশুকা, গাংনী, মেহেরপুর ")</f>
        <v> জালশুকা, গাংনী, মেহেরপুর </v>
      </c>
    </row>
    <row r="594" ht="15.75" customHeight="1">
      <c r="A594" s="3" t="s">
        <v>3715</v>
      </c>
      <c r="B594" s="3">
        <f>IFERROR(__xludf.DUMMYFUNCTION("SPLIT(A594,""|"")"),754.0)</f>
        <v>754</v>
      </c>
      <c r="C594" s="3" t="str">
        <f>IFERROR(__xludf.DUMMYFUNCTION("""COMPUTED_VALUE""")," নাম: মোঃ জিয়াউর রহমান ")</f>
        <v> নাম: মোঃ জিয়াউর রহমান </v>
      </c>
      <c r="D594" s="3">
        <f>IFERROR(__xludf.DUMMYFUNCTION("""COMPUTED_VALUE"""),5.70056000458E11)</f>
        <v>570056000458</v>
      </c>
      <c r="E594" s="3" t="str">
        <f>IFERROR(__xludf.DUMMYFUNCTION("""COMPUTED_VALUE""")," পিতা: হাফেজ উদ্দীন ")</f>
        <v> পিতা: হাফেজ উদ্দীন </v>
      </c>
      <c r="F594" s="3" t="str">
        <f>IFERROR(__xludf.DUMMYFUNCTION("""COMPUTED_VALUE""")," মাতা: বাসিরন নেছা ")</f>
        <v> মাতা: বাসিরন নেছা </v>
      </c>
      <c r="G594" s="3" t="str">
        <f>IFERROR(__xludf.DUMMYFUNCTION("""COMPUTED_VALUE""")," ০২/০৩/১৯৮০ ")</f>
        <v> ০২/০৩/১৯৮০ </v>
      </c>
      <c r="H594" s="3" t="str">
        <f>IFERROR(__xludf.DUMMYFUNCTION("""COMPUTED_VALUE""")," কৃষক ")</f>
        <v> কৃষক </v>
      </c>
      <c r="I594" s="3" t="str">
        <f>IFERROR(__xludf.DUMMYFUNCTION("""COMPUTED_VALUE""")," জালশুকা, গাংনী, মেহেরপুর ")</f>
        <v> জালশুকা, গাংনী, মেহেরপুর </v>
      </c>
    </row>
    <row r="595" ht="15.75" customHeight="1">
      <c r="A595" s="3" t="s">
        <v>3716</v>
      </c>
      <c r="B595" s="3">
        <f>IFERROR(__xludf.DUMMYFUNCTION("SPLIT(A595,""|"")"),755.0)</f>
        <v>755</v>
      </c>
      <c r="C595" s="3" t="str">
        <f>IFERROR(__xludf.DUMMYFUNCTION("""COMPUTED_VALUE""")," নাম: মোঃ শাকিল ")</f>
        <v> নাম: মোঃ শাকিল </v>
      </c>
      <c r="D595" s="3">
        <f>IFERROR(__xludf.DUMMYFUNCTION("""COMPUTED_VALUE"""),5.70056000462E11)</f>
        <v>570056000462</v>
      </c>
      <c r="E595" s="3" t="str">
        <f>IFERROR(__xludf.DUMMYFUNCTION("""COMPUTED_VALUE""")," পিতা: মোঃ মুন্টু আলী ")</f>
        <v> পিতা: মোঃ মুন্টু আলী </v>
      </c>
      <c r="F595" s="3" t="str">
        <f>IFERROR(__xludf.DUMMYFUNCTION("""COMPUTED_VALUE""")," মাতা: মোছাঃ আসমিনা খাতুন ")</f>
        <v> মাতা: মোছাঃ আসমিনা খাতুন </v>
      </c>
      <c r="G595" s="3" t="str">
        <f>IFERROR(__xludf.DUMMYFUNCTION("""COMPUTED_VALUE""")," ০১/০১/২০০২ ")</f>
        <v> ০১/০১/২০০২ </v>
      </c>
      <c r="H595" s="3" t="str">
        <f>IFERROR(__xludf.DUMMYFUNCTION("""COMPUTED_VALUE""")," কৃষক ")</f>
        <v> কৃষক </v>
      </c>
      <c r="I595" s="3" t="str">
        <f>IFERROR(__xludf.DUMMYFUNCTION("""COMPUTED_VALUE""")," জালশুকা, গাংনী, মেহেরপুর ")</f>
        <v> জালশুকা, গাংনী, মেহেরপুর </v>
      </c>
    </row>
    <row r="596" ht="15.75" customHeight="1">
      <c r="A596" s="3" t="s">
        <v>3717</v>
      </c>
      <c r="B596" s="3">
        <f>IFERROR(__xludf.DUMMYFUNCTION("SPLIT(A596,""|"")"),756.0)</f>
        <v>756</v>
      </c>
      <c r="C596" s="3" t="str">
        <f>IFERROR(__xludf.DUMMYFUNCTION("""COMPUTED_VALUE""")," নাম: মোঃ আঃ সামাদ ")</f>
        <v> নাম: মোঃ আঃ সামাদ </v>
      </c>
      <c r="D596" s="3">
        <f>IFERROR(__xludf.DUMMYFUNCTION("""COMPUTED_VALUE"""),5.70056000463E11)</f>
        <v>570056000463</v>
      </c>
      <c r="E596" s="3" t="str">
        <f>IFERROR(__xludf.DUMMYFUNCTION("""COMPUTED_VALUE""")," পিতা: মোঃ আঃ ওহাব ")</f>
        <v> পিতা: মোঃ আঃ ওহাব </v>
      </c>
      <c r="F596" s="3" t="str">
        <f>IFERROR(__xludf.DUMMYFUNCTION("""COMPUTED_VALUE""")," মাতা: মোছাঃ হাজেরা খাতুন ")</f>
        <v> মাতা: মোছাঃ হাজেরা খাতুন </v>
      </c>
      <c r="G596" s="3" t="str">
        <f>IFERROR(__xludf.DUMMYFUNCTION("""COMPUTED_VALUE""")," ২৭/১২/১৯৯৯ ")</f>
        <v> ২৭/১২/১৯৯৯ </v>
      </c>
      <c r="H596" s="3" t="str">
        <f>IFERROR(__xludf.DUMMYFUNCTION("""COMPUTED_VALUE""")," কৃষক ")</f>
        <v> কৃষক </v>
      </c>
      <c r="I596" s="3" t="str">
        <f>IFERROR(__xludf.DUMMYFUNCTION("""COMPUTED_VALUE""")," জালশুকা, গাংনী, মেহেরপুর ")</f>
        <v> জালশুকা, গাংনী, মেহেরপুর </v>
      </c>
    </row>
    <row r="597" ht="15.75" customHeight="1">
      <c r="A597" s="3" t="s">
        <v>3718</v>
      </c>
      <c r="B597" s="3">
        <f>IFERROR(__xludf.DUMMYFUNCTION("SPLIT(A597,""|"")"),757.0)</f>
        <v>757</v>
      </c>
      <c r="C597" s="3" t="str">
        <f>IFERROR(__xludf.DUMMYFUNCTION("""COMPUTED_VALUE""")," নাম: মোঃ সজিব রানা ")</f>
        <v> নাম: মোঃ সজিব রানা </v>
      </c>
      <c r="D597" s="3">
        <f>IFERROR(__xludf.DUMMYFUNCTION("""COMPUTED_VALUE"""),5.70056000467E11)</f>
        <v>570056000467</v>
      </c>
      <c r="E597" s="3" t="str">
        <f>IFERROR(__xludf.DUMMYFUNCTION("""COMPUTED_VALUE""")," পিতা: মোঃ শাহজান আলী ")</f>
        <v> পিতা: মোঃ শাহজান আলী </v>
      </c>
      <c r="F597" s="3" t="str">
        <f>IFERROR(__xludf.DUMMYFUNCTION("""COMPUTED_VALUE""")," মাতা: মোছাঃ রহিমা খাতুন ")</f>
        <v> মাতা: মোছাঃ রহিমা খাতুন </v>
      </c>
      <c r="G597" s="3" t="str">
        <f>IFERROR(__xludf.DUMMYFUNCTION("""COMPUTED_VALUE""")," ১৯/১২/১৯৯৭ ")</f>
        <v> ১৯/১২/১৯৯৭ </v>
      </c>
      <c r="H597" s="3" t="str">
        <f>IFERROR(__xludf.DUMMYFUNCTION("""COMPUTED_VALUE""")," ছাত্র/ছাত্রী ")</f>
        <v> ছাত্র/ছাত্রী </v>
      </c>
      <c r="I597" s="3" t="str">
        <f>IFERROR(__xludf.DUMMYFUNCTION("""COMPUTED_VALUE""")," জালশুকা, গাংনী, মেহেরপুর ")</f>
        <v> জালশুকা, গাংনী, মেহেরপুর </v>
      </c>
    </row>
    <row r="598" ht="15.75" customHeight="1">
      <c r="A598" s="3" t="s">
        <v>3719</v>
      </c>
      <c r="B598" s="3">
        <f>IFERROR(__xludf.DUMMYFUNCTION("SPLIT(A598,""|"")"),758.0)</f>
        <v>758</v>
      </c>
      <c r="C598" s="3" t="str">
        <f>IFERROR(__xludf.DUMMYFUNCTION("""COMPUTED_VALUE""")," নাম: মোঃ শরিফুল ইসলাম ")</f>
        <v> নাম: মোঃ শরিফুল ইসলাম </v>
      </c>
      <c r="D598" s="3">
        <f>IFERROR(__xludf.DUMMYFUNCTION("""COMPUTED_VALUE"""),5.70056000469E11)</f>
        <v>570056000469</v>
      </c>
      <c r="E598" s="3" t="str">
        <f>IFERROR(__xludf.DUMMYFUNCTION("""COMPUTED_VALUE""")," পিতা: মোঃ তারাচাঁদ মন্ডল ")</f>
        <v> পিতা: মোঃ তারাচাঁদ মন্ডল </v>
      </c>
      <c r="F598" s="3" t="str">
        <f>IFERROR(__xludf.DUMMYFUNCTION("""COMPUTED_VALUE""")," মাতা: মোছাঃ রেবেকা খাতুন ")</f>
        <v> মাতা: মোছাঃ রেবেকা খাতুন </v>
      </c>
      <c r="G598" s="3" t="str">
        <f>IFERROR(__xludf.DUMMYFUNCTION("""COMPUTED_VALUE""")," ২০/০১/১৯৯৬ ")</f>
        <v> ২০/০১/১৯৯৬ </v>
      </c>
      <c r="H598" s="3" t="str">
        <f>IFERROR(__xludf.DUMMYFUNCTION("""COMPUTED_VALUE""")," কৃষক ")</f>
        <v> কৃষক </v>
      </c>
      <c r="I598" s="3" t="str">
        <f>IFERROR(__xludf.DUMMYFUNCTION("""COMPUTED_VALUE""")," জালশুকা, গাংনী, মেহেরপুর ")</f>
        <v> জালশুকা, গাংনী, মেহেরপুর </v>
      </c>
    </row>
    <row r="599" ht="15.75" customHeight="1">
      <c r="A599" s="3" t="s">
        <v>3720</v>
      </c>
      <c r="B599" s="3">
        <f>IFERROR(__xludf.DUMMYFUNCTION("SPLIT(A599,""|"")"),759.0)</f>
        <v>759</v>
      </c>
      <c r="C599" s="3" t="str">
        <f>IFERROR(__xludf.DUMMYFUNCTION("""COMPUTED_VALUE""")," নাম: মোঃ সেন্টু আলী ")</f>
        <v> নাম: মোঃ সেন্টু আলী </v>
      </c>
      <c r="D599" s="3">
        <f>IFERROR(__xludf.DUMMYFUNCTION("""COMPUTED_VALUE"""),5.70056000472E11)</f>
        <v>570056000472</v>
      </c>
      <c r="E599" s="3" t="str">
        <f>IFERROR(__xludf.DUMMYFUNCTION("""COMPUTED_VALUE""")," পিতা: নজরুল ইসলাম ")</f>
        <v> পিতা: নজরুল ইসলাম </v>
      </c>
      <c r="F599" s="3" t="str">
        <f>IFERROR(__xludf.DUMMYFUNCTION("""COMPUTED_VALUE""")," মাতা: মোছাঃ মহিলা ")</f>
        <v> মাতা: মোছাঃ মহিলা </v>
      </c>
      <c r="G599" s="3" t="str">
        <f>IFERROR(__xludf.DUMMYFUNCTION("""COMPUTED_VALUE""")," ০৫/১২/১৯৯৭ ")</f>
        <v> ০৫/১২/১৯৯৭ </v>
      </c>
      <c r="H599" s="3" t="str">
        <f>IFERROR(__xludf.DUMMYFUNCTION("""COMPUTED_VALUE""")," কৃষক ")</f>
        <v> কৃষক </v>
      </c>
      <c r="I599" s="3" t="str">
        <f>IFERROR(__xludf.DUMMYFUNCTION("""COMPUTED_VALUE""")," জালশুকা, গাংনী, মেহেরপুর ")</f>
        <v> জালশুকা, গাংনী, মেহেরপুর </v>
      </c>
    </row>
    <row r="600" ht="15.75" customHeight="1">
      <c r="A600" s="3" t="s">
        <v>3721</v>
      </c>
      <c r="B600" s="3">
        <f>IFERROR(__xludf.DUMMYFUNCTION("SPLIT(A600,""|"")"),760.0)</f>
        <v>760</v>
      </c>
      <c r="C600" s="3" t="str">
        <f>IFERROR(__xludf.DUMMYFUNCTION("""COMPUTED_VALUE""")," নাম: মোঃ ফারুক হোসেন ")</f>
        <v> নাম: মোঃ ফারুক হোসেন </v>
      </c>
      <c r="D600" s="3">
        <f>IFERROR(__xludf.DUMMYFUNCTION("""COMPUTED_VALUE"""),5.70056000473E11)</f>
        <v>570056000473</v>
      </c>
      <c r="E600" s="3" t="str">
        <f>IFERROR(__xludf.DUMMYFUNCTION("""COMPUTED_VALUE""")," পিতা: মোঃ মমতাজ আলী ")</f>
        <v> পিতা: মোঃ মমতাজ আলী </v>
      </c>
      <c r="F600" s="3" t="str">
        <f>IFERROR(__xludf.DUMMYFUNCTION("""COMPUTED_VALUE""")," মাতা: মোছাঃ ইশারন নেছা ")</f>
        <v> মাতা: মোছাঃ ইশারন নেছা </v>
      </c>
      <c r="G600" s="3" t="str">
        <f>IFERROR(__xludf.DUMMYFUNCTION("""COMPUTED_VALUE""")," ১৫/১২/২০০০ ")</f>
        <v> ১৫/১২/২০০০ </v>
      </c>
      <c r="H600" s="3" t="str">
        <f>IFERROR(__xludf.DUMMYFUNCTION("""COMPUTED_VALUE""")," ছাত্র/ছাত্রী ")</f>
        <v> ছাত্র/ছাত্রী </v>
      </c>
      <c r="I600" s="3" t="str">
        <f>IFERROR(__xludf.DUMMYFUNCTION("""COMPUTED_VALUE""")," জালশুকা, গাংনী, মেহেরপুর ")</f>
        <v> জালশুকা, গাংনী, মেহেরপুর </v>
      </c>
    </row>
    <row r="601" ht="15.75" customHeight="1">
      <c r="A601" s="3" t="s">
        <v>3722</v>
      </c>
      <c r="B601" s="3">
        <f>IFERROR(__xludf.DUMMYFUNCTION("SPLIT(A601,""|"")"),761.0)</f>
        <v>761</v>
      </c>
      <c r="C601" s="3" t="str">
        <f>IFERROR(__xludf.DUMMYFUNCTION("""COMPUTED_VALUE""")," নাম: মোঃ শিমুল ")</f>
        <v> নাম: মোঃ শিমুল </v>
      </c>
      <c r="D601" s="3">
        <f>IFERROR(__xludf.DUMMYFUNCTION("""COMPUTED_VALUE"""),5.70056000475E11)</f>
        <v>570056000475</v>
      </c>
      <c r="E601" s="3" t="str">
        <f>IFERROR(__xludf.DUMMYFUNCTION("""COMPUTED_VALUE""")," পিতা: মোঃ আশাদুল ইসলাম ")</f>
        <v> পিতা: মোঃ আশাদুল ইসলাম </v>
      </c>
      <c r="F601" s="3" t="str">
        <f>IFERROR(__xludf.DUMMYFUNCTION("""COMPUTED_VALUE""")," মাতা: শাহনাজ বেগম ")</f>
        <v> মাতা: শাহনাজ বেগম </v>
      </c>
      <c r="G601" s="3" t="str">
        <f>IFERROR(__xludf.DUMMYFUNCTION("""COMPUTED_VALUE""")," ২১/১১/২০০১ ")</f>
        <v> ২১/১১/২০০১ </v>
      </c>
      <c r="H601" s="3" t="str">
        <f>IFERROR(__xludf.DUMMYFUNCTION("""COMPUTED_VALUE""")," ছাত্র/ছাত্রী ")</f>
        <v> ছাত্র/ছাত্রী </v>
      </c>
      <c r="I601" s="3" t="str">
        <f>IFERROR(__xludf.DUMMYFUNCTION("""COMPUTED_VALUE""")," জালশুকা, গাংনী, মেহেরপুর ")</f>
        <v> জালশুকা, গাংনী, মেহেরপুর </v>
      </c>
    </row>
    <row r="602" ht="15.75" customHeight="1">
      <c r="A602" s="3" t="s">
        <v>3723</v>
      </c>
      <c r="B602" s="3">
        <f>IFERROR(__xludf.DUMMYFUNCTION("SPLIT(A602,""|"")"),762.0)</f>
        <v>762</v>
      </c>
      <c r="C602" s="3" t="str">
        <f>IFERROR(__xludf.DUMMYFUNCTION("""COMPUTED_VALUE""")," নাম: মোঃ আঃ মমিন ")</f>
        <v> নাম: মোঃ আঃ মমিন </v>
      </c>
      <c r="D602" s="3">
        <f>IFERROR(__xludf.DUMMYFUNCTION("""COMPUTED_VALUE"""),5.70056000481E11)</f>
        <v>570056000481</v>
      </c>
      <c r="E602" s="3" t="str">
        <f>IFERROR(__xludf.DUMMYFUNCTION("""COMPUTED_VALUE""")," পিতা: মৃত মাদার শেখ ")</f>
        <v> পিতা: মৃত মাদার শেখ </v>
      </c>
      <c r="F602" s="3" t="str">
        <f>IFERROR(__xludf.DUMMYFUNCTION("""COMPUTED_VALUE""")," মাতা: মোছাঃ জহুরা খাতুন ")</f>
        <v> মাতা: মোছাঃ জহুরা খাতুন </v>
      </c>
      <c r="G602" s="3" t="str">
        <f>IFERROR(__xludf.DUMMYFUNCTION("""COMPUTED_VALUE""")," ১০/০৭/১৯৮৪ ")</f>
        <v> ১০/০৭/১৯৮৪ </v>
      </c>
      <c r="H602" s="3" t="str">
        <f>IFERROR(__xludf.DUMMYFUNCTION("""COMPUTED_VALUE""")," ব্যবসা ")</f>
        <v> ব্যবসা </v>
      </c>
      <c r="I602" s="3" t="str">
        <f>IFERROR(__xludf.DUMMYFUNCTION("""COMPUTED_VALUE""")," জালশুকা, গাংনী, মেহেরপুর ")</f>
        <v> জালশুকা, গাংনী, মেহেরপুর </v>
      </c>
    </row>
    <row r="603" ht="15.75" customHeight="1">
      <c r="A603" s="3" t="s">
        <v>3724</v>
      </c>
      <c r="B603" s="3">
        <f>IFERROR(__xludf.DUMMYFUNCTION("SPLIT(A603,""|"")"),763.0)</f>
        <v>763</v>
      </c>
      <c r="C603" s="3" t="str">
        <f>IFERROR(__xludf.DUMMYFUNCTION("""COMPUTED_VALUE""")," নাম: মোঃ শরিফুল ইসলাম ")</f>
        <v> নাম: মোঃ শরিফুল ইসলাম </v>
      </c>
      <c r="D603" s="3">
        <f>IFERROR(__xludf.DUMMYFUNCTION("""COMPUTED_VALUE"""),5.70056000483E11)</f>
        <v>570056000483</v>
      </c>
      <c r="E603" s="3" t="str">
        <f>IFERROR(__xludf.DUMMYFUNCTION("""COMPUTED_VALUE""")," পিতা: মোঃ বিল্টু আলী ")</f>
        <v> পিতা: মোঃ বিল্টু আলী </v>
      </c>
      <c r="F603" s="3" t="str">
        <f>IFERROR(__xludf.DUMMYFUNCTION("""COMPUTED_VALUE""")," মাতা: মোছাঃ ফেরদৌসি খাতুন ")</f>
        <v> মাতা: মোছাঃ ফেরদৌসি খাতুন </v>
      </c>
      <c r="G603" s="3" t="str">
        <f>IFERROR(__xludf.DUMMYFUNCTION("""COMPUTED_VALUE""")," ১৩/০৩/২০০৩ ")</f>
        <v> ১৩/০৩/২০০৩ </v>
      </c>
      <c r="H603" s="3" t="str">
        <f>IFERROR(__xludf.DUMMYFUNCTION("""COMPUTED_VALUE""")," ছাত্র/ছাত্রী ")</f>
        <v> ছাত্র/ছাত্রী </v>
      </c>
      <c r="I603" s="3" t="str">
        <f>IFERROR(__xludf.DUMMYFUNCTION("""COMPUTED_VALUE""")," জালশুকা, গাংনী, মেহেরপুর ")</f>
        <v> জালশুকা, গাংনী, মেহেরপুর </v>
      </c>
    </row>
    <row r="604" ht="15.75" customHeight="1">
      <c r="A604" s="3" t="s">
        <v>3725</v>
      </c>
      <c r="B604" s="3">
        <f>IFERROR(__xludf.DUMMYFUNCTION("SPLIT(A604,""|"")"),764.0)</f>
        <v>764</v>
      </c>
      <c r="C604" s="3" t="str">
        <f>IFERROR(__xludf.DUMMYFUNCTION("""COMPUTED_VALUE""")," নাম: শাহিনুজ্জামান ")</f>
        <v> নাম: শাহিনুজ্জামান </v>
      </c>
      <c r="D604" s="3">
        <f>IFERROR(__xludf.DUMMYFUNCTION("""COMPUTED_VALUE"""),5.70056000485E11)</f>
        <v>570056000485</v>
      </c>
      <c r="E604" s="3" t="str">
        <f>IFERROR(__xludf.DUMMYFUNCTION("""COMPUTED_VALUE""")," পিতা: মোঃ শফিকুল ইসলাম ")</f>
        <v> পিতা: মোঃ শফিকুল ইসলাম </v>
      </c>
      <c r="F604" s="3" t="str">
        <f>IFERROR(__xludf.DUMMYFUNCTION("""COMPUTED_VALUE""")," মাতা: মোছাঃ আনজিরা খাতুন ")</f>
        <v> মাতা: মোছাঃ আনজিরা খাতুন </v>
      </c>
      <c r="G604" s="3" t="str">
        <f>IFERROR(__xludf.DUMMYFUNCTION("""COMPUTED_VALUE""")," ০৩/০২/১৯৮৩ ")</f>
        <v> ০৩/০২/১৯৮৩ </v>
      </c>
      <c r="H604" s="3" t="str">
        <f>IFERROR(__xludf.DUMMYFUNCTION("""COMPUTED_VALUE""")," কৃষক ")</f>
        <v> কৃষক </v>
      </c>
      <c r="I604" s="3" t="str">
        <f>IFERROR(__xludf.DUMMYFUNCTION("""COMPUTED_VALUE""")," জালশুকা, গাংনী, মেহেরপুর ")</f>
        <v> জালশুকা, গাংনী, মেহেরপুর </v>
      </c>
    </row>
    <row r="605" ht="15.75" customHeight="1">
      <c r="A605" s="3" t="s">
        <v>3726</v>
      </c>
      <c r="B605" s="3">
        <f>IFERROR(__xludf.DUMMYFUNCTION("SPLIT(A605,""|"")"),765.0)</f>
        <v>765</v>
      </c>
      <c r="C605" s="3" t="str">
        <f>IFERROR(__xludf.DUMMYFUNCTION("""COMPUTED_VALUE""")," নাম: মোঃ রাকিব আলী ")</f>
        <v> নাম: মোঃ রাকিব আলী </v>
      </c>
      <c r="D605" s="3">
        <f>IFERROR(__xludf.DUMMYFUNCTION("""COMPUTED_VALUE"""),5.70056000486E11)</f>
        <v>570056000486</v>
      </c>
      <c r="E605" s="3" t="str">
        <f>IFERROR(__xludf.DUMMYFUNCTION("""COMPUTED_VALUE""")," পিতা: মোঃ রুহুল আমিন ")</f>
        <v> পিতা: মোঃ রুহুল আমিন </v>
      </c>
      <c r="F605" s="3" t="str">
        <f>IFERROR(__xludf.DUMMYFUNCTION("""COMPUTED_VALUE""")," মাতা: মোছাঃ রেহেনা খাতুন ")</f>
        <v> মাতা: মোছাঃ রেহেনা খাতুন </v>
      </c>
      <c r="G605" s="3" t="str">
        <f>IFERROR(__xludf.DUMMYFUNCTION("""COMPUTED_VALUE""")," ১৮/০২/২০০২ ")</f>
        <v> ১৮/০২/২০০২ </v>
      </c>
      <c r="H605" s="3" t="str">
        <f>IFERROR(__xludf.DUMMYFUNCTION("""COMPUTED_VALUE""")," কৃষক ")</f>
        <v> কৃষক </v>
      </c>
      <c r="I605" s="3" t="str">
        <f>IFERROR(__xludf.DUMMYFUNCTION("""COMPUTED_VALUE""")," জালশুকা, গাংনী, মেহেরপুর ")</f>
        <v> জালশুকা, গাংনী, মেহেরপুর </v>
      </c>
    </row>
    <row r="606" ht="15.75" customHeight="1">
      <c r="A606" s="3" t="s">
        <v>3727</v>
      </c>
      <c r="B606" s="3">
        <f>IFERROR(__xludf.DUMMYFUNCTION("SPLIT(A606,""|"")"),766.0)</f>
        <v>766</v>
      </c>
      <c r="C606" s="3" t="str">
        <f>IFERROR(__xludf.DUMMYFUNCTION("""COMPUTED_VALUE""")," নাম: আলীরাাজ ")</f>
        <v> নাম: আলীরাাজ </v>
      </c>
      <c r="D606" s="3">
        <f>IFERROR(__xludf.DUMMYFUNCTION("""COMPUTED_VALUE"""),5.70056000489E11)</f>
        <v>570056000489</v>
      </c>
      <c r="E606" s="3" t="str">
        <f>IFERROR(__xludf.DUMMYFUNCTION("""COMPUTED_VALUE""")," পিতা: মহিবুল ")</f>
        <v> পিতা: মহিবুল </v>
      </c>
      <c r="F606" s="3" t="str">
        <f>IFERROR(__xludf.DUMMYFUNCTION("""COMPUTED_VALUE""")," মাতা: মর্জিনা ")</f>
        <v> মাতা: মর্জিনা </v>
      </c>
      <c r="G606" s="3" t="str">
        <f>IFERROR(__xludf.DUMMYFUNCTION("""COMPUTED_VALUE""")," ২৯/১০/২০০১ ")</f>
        <v> ২৯/১০/২০০১ </v>
      </c>
      <c r="H606" s="3" t="str">
        <f>IFERROR(__xludf.DUMMYFUNCTION("""COMPUTED_VALUE""")," ছাত্র/ছাত্রী ")</f>
        <v> ছাত্র/ছাত্রী </v>
      </c>
      <c r="I606" s="3" t="str">
        <f>IFERROR(__xludf.DUMMYFUNCTION("""COMPUTED_VALUE""")," জালশুকা, গাংনী, মেহেরপুর ")</f>
        <v> জালশুকা, গাংনী, মেহেরপুর </v>
      </c>
    </row>
    <row r="607" ht="15.75" customHeight="1">
      <c r="A607" s="3" t="s">
        <v>3728</v>
      </c>
      <c r="B607" s="3">
        <f>IFERROR(__xludf.DUMMYFUNCTION("SPLIT(A607,""|"")"),767.0)</f>
        <v>767</v>
      </c>
      <c r="C607" s="3" t="str">
        <f>IFERROR(__xludf.DUMMYFUNCTION("""COMPUTED_VALUE""")," নাম: মোঃ হানিফ আলী ")</f>
        <v> নাম: মোঃ হানিফ আলী </v>
      </c>
      <c r="D607" s="3">
        <f>IFERROR(__xludf.DUMMYFUNCTION("""COMPUTED_VALUE"""),5.7005600049E11)</f>
        <v>570056000490</v>
      </c>
      <c r="E607" s="3" t="str">
        <f>IFERROR(__xludf.DUMMYFUNCTION("""COMPUTED_VALUE""")," পিতা: মোঃ শফিকুল ইসলাম ")</f>
        <v> পিতা: মোঃ শফিকুল ইসলাম </v>
      </c>
      <c r="F607" s="3" t="str">
        <f>IFERROR(__xludf.DUMMYFUNCTION("""COMPUTED_VALUE""")," মাতা: মোছাঃ সাহানা খাতুন ")</f>
        <v> মাতা: মোছাঃ সাহানা খাতুন </v>
      </c>
      <c r="G607" s="3" t="str">
        <f>IFERROR(__xludf.DUMMYFUNCTION("""COMPUTED_VALUE""")," ১৯/০৯/১৯৯৯ ")</f>
        <v> ১৯/০৯/১৯৯৯ </v>
      </c>
      <c r="H607" s="3" t="str">
        <f>IFERROR(__xludf.DUMMYFUNCTION("""COMPUTED_VALUE""")," কৃষক ")</f>
        <v> কৃষক </v>
      </c>
      <c r="I607" s="3" t="str">
        <f>IFERROR(__xludf.DUMMYFUNCTION("""COMPUTED_VALUE""")," জালশুকা, গাংনী, মেহেরপুর ")</f>
        <v> জালশুকা, গাংনী, মেহেরপুর </v>
      </c>
    </row>
    <row r="608" ht="15.75" customHeight="1">
      <c r="A608" s="3" t="s">
        <v>3729</v>
      </c>
      <c r="B608" s="3">
        <f>IFERROR(__xludf.DUMMYFUNCTION("SPLIT(A608,""|"")"),768.0)</f>
        <v>768</v>
      </c>
      <c r="C608" s="3" t="str">
        <f>IFERROR(__xludf.DUMMYFUNCTION("""COMPUTED_VALUE""")," নাম: মোঃ শান্ত ")</f>
        <v> নাম: মোঃ শান্ত </v>
      </c>
      <c r="D608" s="3">
        <f>IFERROR(__xludf.DUMMYFUNCTION("""COMPUTED_VALUE"""),5.70056000491E11)</f>
        <v>570056000491</v>
      </c>
      <c r="E608" s="3" t="str">
        <f>IFERROR(__xludf.DUMMYFUNCTION("""COMPUTED_VALUE""")," পিতা: মোঃ বাবলু হোসেন ")</f>
        <v> পিতা: মোঃ বাবলু হোসেন </v>
      </c>
      <c r="F608" s="3" t="str">
        <f>IFERROR(__xludf.DUMMYFUNCTION("""COMPUTED_VALUE""")," মাতা: মোছাঃ ধনী খাতুন ")</f>
        <v> মাতা: মোছাঃ ধনী খাতুন </v>
      </c>
      <c r="G608" s="3" t="str">
        <f>IFERROR(__xludf.DUMMYFUNCTION("""COMPUTED_VALUE""")," ০১/০৪/২০০১ ")</f>
        <v> ০১/০৪/২০০১ </v>
      </c>
      <c r="H608" s="3" t="str">
        <f>IFERROR(__xludf.DUMMYFUNCTION("""COMPUTED_VALUE""")," ছাত্র/ছাত্রী ")</f>
        <v> ছাত্র/ছাত্রী </v>
      </c>
      <c r="I608" s="3" t="str">
        <f>IFERROR(__xludf.DUMMYFUNCTION("""COMPUTED_VALUE""")," জালশুকা, গাংনী, মেহেরপুর ")</f>
        <v> জালশুকা, গাংনী, মেহেরপুর </v>
      </c>
    </row>
    <row r="609" ht="15.75" customHeight="1">
      <c r="A609" s="3" t="s">
        <v>3730</v>
      </c>
      <c r="B609" s="3">
        <f>IFERROR(__xludf.DUMMYFUNCTION("SPLIT(A609,""|"")"),769.0)</f>
        <v>769</v>
      </c>
      <c r="C609" s="3" t="str">
        <f>IFERROR(__xludf.DUMMYFUNCTION("""COMPUTED_VALUE""")," নাম: মোহাম্মাদ দেলোয়ার হোসেন ")</f>
        <v> নাম: মোহাম্মাদ দেলোয়ার হোসেন </v>
      </c>
      <c r="D609" s="3">
        <f>IFERROR(__xludf.DUMMYFUNCTION("""COMPUTED_VALUE"""),5.70056000492E11)</f>
        <v>570056000492</v>
      </c>
      <c r="E609" s="3" t="str">
        <f>IFERROR(__xludf.DUMMYFUNCTION("""COMPUTED_VALUE""")," পিতা: আব্দুল খালেক ")</f>
        <v> পিতা: আব্দুল খালেক </v>
      </c>
      <c r="F609" s="3" t="str">
        <f>IFERROR(__xludf.DUMMYFUNCTION("""COMPUTED_VALUE""")," মাতা: মোছাঃ মনোয়ারা ")</f>
        <v> মাতা: মোছাঃ মনোয়ারা </v>
      </c>
      <c r="G609" s="3" t="str">
        <f>IFERROR(__xludf.DUMMYFUNCTION("""COMPUTED_VALUE""")," ০৪/১০/১৯৯০ ")</f>
        <v> ০৪/১০/১৯৯০ </v>
      </c>
      <c r="H609" s="3" t="str">
        <f>IFERROR(__xludf.DUMMYFUNCTION("""COMPUTED_VALUE""")," কৃষক ")</f>
        <v> কৃষক </v>
      </c>
      <c r="I609" s="3" t="str">
        <f>IFERROR(__xludf.DUMMYFUNCTION("""COMPUTED_VALUE""")," -০, জালশুকা, গাংনী, মেহেরপুর ")</f>
        <v> -০, জালশুকা, গাংনী, মেহেরপুর </v>
      </c>
    </row>
    <row r="610" ht="15.75" customHeight="1">
      <c r="A610" s="3" t="s">
        <v>3731</v>
      </c>
      <c r="B610" s="3">
        <f>IFERROR(__xludf.DUMMYFUNCTION("SPLIT(A610,""|"")"),770.0)</f>
        <v>770</v>
      </c>
      <c r="C610" s="3" t="str">
        <f>IFERROR(__xludf.DUMMYFUNCTION("""COMPUTED_VALUE""")," নাম: মোঃ সোহাগ মিয়া ")</f>
        <v> নাম: মোঃ সোহাগ মিয়া </v>
      </c>
      <c r="D610" s="3">
        <f>IFERROR(__xludf.DUMMYFUNCTION("""COMPUTED_VALUE"""),5.70056000493E11)</f>
        <v>570056000493</v>
      </c>
      <c r="E610" s="3" t="str">
        <f>IFERROR(__xludf.DUMMYFUNCTION("""COMPUTED_VALUE""")," পিতা: মৃত হাসেম আলী ")</f>
        <v> পিতা: মৃত হাসেম আলী </v>
      </c>
      <c r="F610" s="3" t="str">
        <f>IFERROR(__xludf.DUMMYFUNCTION("""COMPUTED_VALUE""")," মাতা: মোছাঃ মদিনা খাতুন ")</f>
        <v> মাতা: মোছাঃ মদিনা খাতুন </v>
      </c>
      <c r="G610" s="3" t="str">
        <f>IFERROR(__xludf.DUMMYFUNCTION("""COMPUTED_VALUE""")," ০২/০১/১৯৯৬ ")</f>
        <v> ০২/০১/১৯৯৬ </v>
      </c>
      <c r="H610" s="3" t="str">
        <f>IFERROR(__xludf.DUMMYFUNCTION("""COMPUTED_VALUE""")," কৃষক ")</f>
        <v> কৃষক </v>
      </c>
      <c r="I610" s="3" t="str">
        <f>IFERROR(__xludf.DUMMYFUNCTION("""COMPUTED_VALUE""")," জালশুকা, গাংনী, মেহেরপুর ")</f>
        <v> জালশুকা, গাংনী, মেহেরপুর </v>
      </c>
    </row>
    <row r="611" ht="15.75" customHeight="1">
      <c r="A611" s="3" t="s">
        <v>3732</v>
      </c>
      <c r="B611" s="3">
        <f>IFERROR(__xludf.DUMMYFUNCTION("SPLIT(A611,""|"")"),771.0)</f>
        <v>771</v>
      </c>
      <c r="C611" s="3" t="str">
        <f>IFERROR(__xludf.DUMMYFUNCTION("""COMPUTED_VALUE""")," নাম: মোঃ শিলু মিয়া ")</f>
        <v> নাম: মোঃ শিলু মিয়া </v>
      </c>
      <c r="D611" s="3">
        <f>IFERROR(__xludf.DUMMYFUNCTION("""COMPUTED_VALUE"""),5.70056000495E11)</f>
        <v>570056000495</v>
      </c>
      <c r="E611" s="3" t="str">
        <f>IFERROR(__xludf.DUMMYFUNCTION("""COMPUTED_VALUE""")," পিতা: মোঃ শুকুর আলী ")</f>
        <v> পিতা: মোঃ শুকুর আলী </v>
      </c>
      <c r="F611" s="3" t="str">
        <f>IFERROR(__xludf.DUMMYFUNCTION("""COMPUTED_VALUE""")," মাতা: মোছাঃ হালিমা খাতুন ")</f>
        <v> মাতা: মোছাঃ হালিমা খাতুন </v>
      </c>
      <c r="G611" s="3" t="str">
        <f>IFERROR(__xludf.DUMMYFUNCTION("""COMPUTED_VALUE""")," ২৪/১২/২০০১ ")</f>
        <v> ২৪/১২/২০০১ </v>
      </c>
      <c r="H611" s="3" t="str">
        <f>IFERROR(__xludf.DUMMYFUNCTION("""COMPUTED_VALUE""")," ছাত্র/ছাত্রী ")</f>
        <v> ছাত্র/ছাত্রী </v>
      </c>
      <c r="I611" s="3" t="str">
        <f>IFERROR(__xludf.DUMMYFUNCTION("""COMPUTED_VALUE""")," জালশুকা, গাংনী, মেহেরপুর ")</f>
        <v> জালশুকা, গাংনী, মেহেরপুর </v>
      </c>
    </row>
    <row r="612" ht="15.75" customHeight="1">
      <c r="A612" s="3" t="s">
        <v>3733</v>
      </c>
      <c r="B612" s="3">
        <f>IFERROR(__xludf.DUMMYFUNCTION("SPLIT(A612,""|"")"),772.0)</f>
        <v>772</v>
      </c>
      <c r="C612" s="3" t="str">
        <f>IFERROR(__xludf.DUMMYFUNCTION("""COMPUTED_VALUE""")," মোঃ টনিক ")</f>
        <v> মোঃ টনিক </v>
      </c>
      <c r="D612" s="3">
        <f>IFERROR(__xludf.DUMMYFUNCTION("""COMPUTED_VALUE"""),5.70056000497E11)</f>
        <v>570056000497</v>
      </c>
      <c r="E612" s="3" t="str">
        <f>IFERROR(__xludf.DUMMYFUNCTION("""COMPUTED_VALUE""")," মোঃ গোলাম রসুল ")</f>
        <v> মোঃ গোলাম রসুল </v>
      </c>
      <c r="F612" s="3" t="str">
        <f>IFERROR(__xludf.DUMMYFUNCTION("""COMPUTED_VALUE""")," মোছাঃ নাগিসয়ারা ")</f>
        <v> মোছাঃ নাগিসয়ারা </v>
      </c>
      <c r="G612" s="3" t="str">
        <f>IFERROR(__xludf.DUMMYFUNCTION("""COMPUTED_VALUE""")," ১৫/০৭/২০০১ ")</f>
        <v> ১৫/০৭/২০০১ </v>
      </c>
      <c r="H612" s="3" t="str">
        <f>IFERROR(__xludf.DUMMYFUNCTION("""COMPUTED_VALUE""")," ছাত্র/ছাত্রী ")</f>
        <v> ছাত্র/ছাত্রী </v>
      </c>
      <c r="I612" s="3" t="str">
        <f>IFERROR(__xludf.DUMMYFUNCTION("""COMPUTED_VALUE""")," জালশুকা, গাংনী, মেহেরপুর ")</f>
        <v> জালশুকা, গাংনী, মেহেরপুর </v>
      </c>
    </row>
    <row r="613" ht="15.75" customHeight="1">
      <c r="A613" s="3" t="s">
        <v>3734</v>
      </c>
      <c r="B613" s="3">
        <f>IFERROR(__xludf.DUMMYFUNCTION("SPLIT(A613,""|"")"),773.0)</f>
        <v>773</v>
      </c>
      <c r="C613" s="3" t="str">
        <f>IFERROR(__xludf.DUMMYFUNCTION("""COMPUTED_VALUE""")," মোঃ সজিব আলী ")</f>
        <v> মোঃ সজিব আলী </v>
      </c>
      <c r="D613" s="3">
        <f>IFERROR(__xludf.DUMMYFUNCTION("""COMPUTED_VALUE"""),5.70056000498E11)</f>
        <v>570056000498</v>
      </c>
      <c r="E613" s="3" t="str">
        <f>IFERROR(__xludf.DUMMYFUNCTION("""COMPUTED_VALUE""")," মোঃ সাহাজুল হক ")</f>
        <v> মোঃ সাহাজুল হক </v>
      </c>
      <c r="F613" s="3" t="str">
        <f>IFERROR(__xludf.DUMMYFUNCTION("""COMPUTED_VALUE""")," মোছাঃ হালিমা খাতুন ")</f>
        <v> মোছাঃ হালিমা খাতুন </v>
      </c>
      <c r="G613" s="3" t="str">
        <f>IFERROR(__xludf.DUMMYFUNCTION("""COMPUTED_VALUE""")," ১৫/০৫/২০০০ ")</f>
        <v> ১৫/০৫/২০০০ </v>
      </c>
      <c r="H613" s="3" t="str">
        <f>IFERROR(__xludf.DUMMYFUNCTION("""COMPUTED_VALUE""")," ছাত্র/ছাত্রী ")</f>
        <v> ছাত্র/ছাত্রী </v>
      </c>
      <c r="I613" s="3" t="str">
        <f>IFERROR(__xludf.DUMMYFUNCTION("""COMPUTED_VALUE""")," জালশুকা, গাংনী, মেহেরপুর ")</f>
        <v> জালশুকা, গাংনী, মেহেরপুর </v>
      </c>
    </row>
    <row r="614" ht="15.75" customHeight="1">
      <c r="A614" s="3" t="s">
        <v>3735</v>
      </c>
      <c r="B614" s="3">
        <f>IFERROR(__xludf.DUMMYFUNCTION("SPLIT(A614,""|"")"),774.0)</f>
        <v>774</v>
      </c>
      <c r="C614" s="3" t="str">
        <f>IFERROR(__xludf.DUMMYFUNCTION("""COMPUTED_VALUE""")," মোঃ ইলিয়াস হোসেন ")</f>
        <v> মোঃ ইলিয়াস হোসেন </v>
      </c>
      <c r="D614" s="3">
        <f>IFERROR(__xludf.DUMMYFUNCTION("""COMPUTED_VALUE"""),5.70056000499E11)</f>
        <v>570056000499</v>
      </c>
      <c r="E614" s="3" t="str">
        <f>IFERROR(__xludf.DUMMYFUNCTION("""COMPUTED_VALUE""")," ইদ্রিস আলী ")</f>
        <v> ইদ্রিস আলী </v>
      </c>
      <c r="F614" s="3" t="str">
        <f>IFERROR(__xludf.DUMMYFUNCTION("""COMPUTED_VALUE""")," সারা খাতুন ")</f>
        <v> সারা খাতুন </v>
      </c>
      <c r="G614" s="3" t="str">
        <f>IFERROR(__xludf.DUMMYFUNCTION("""COMPUTED_VALUE""")," ২০/১০/১৯৮৩ ")</f>
        <v> ২০/১০/১৯৮৩ </v>
      </c>
      <c r="H614" s="3" t="str">
        <f>IFERROR(__xludf.DUMMYFUNCTION("""COMPUTED_VALUE""")," কৃষক ")</f>
        <v> কৃষক </v>
      </c>
      <c r="I614" s="3" t="str">
        <f>IFERROR(__xludf.DUMMYFUNCTION("""COMPUTED_VALUE""")," জালশুকা, গাংনী, মেহেরপুর ")</f>
        <v> জালশুকা, গাংনী, মেহেরপুর </v>
      </c>
    </row>
    <row r="615" ht="15.75" customHeight="1">
      <c r="A615" s="3" t="s">
        <v>3736</v>
      </c>
      <c r="B615" s="3">
        <f>IFERROR(__xludf.DUMMYFUNCTION("SPLIT(A615,""|"")"),775.0)</f>
        <v>775</v>
      </c>
      <c r="C615" s="3" t="str">
        <f>IFERROR(__xludf.DUMMYFUNCTION("""COMPUTED_VALUE""")," মোঃ ওয়াহেদ ইসলাম ")</f>
        <v> মোঃ ওয়াহেদ ইসলাম </v>
      </c>
      <c r="D615" s="3">
        <f>IFERROR(__xludf.DUMMYFUNCTION("""COMPUTED_VALUE"""),5.700560005E11)</f>
        <v>570056000500</v>
      </c>
      <c r="E615" s="3" t="str">
        <f>IFERROR(__xludf.DUMMYFUNCTION("""COMPUTED_VALUE""")," মোঃ আব্দুল গফুর ")</f>
        <v> মোঃ আব্দুল গফুর </v>
      </c>
      <c r="F615" s="3" t="str">
        <f>IFERROR(__xludf.DUMMYFUNCTION("""COMPUTED_VALUE""")," মোছাঃ উফিয়া খাতুন ")</f>
        <v> মোছাঃ উফিয়া খাতুন </v>
      </c>
      <c r="G615" s="3" t="str">
        <f>IFERROR(__xludf.DUMMYFUNCTION("""COMPUTED_VALUE""")," ০১/০৩/২০০২ ")</f>
        <v> ০১/০৩/২০০২ </v>
      </c>
      <c r="H615" s="3" t="str">
        <f>IFERROR(__xludf.DUMMYFUNCTION("""COMPUTED_VALUE""")," ছাত্র/ছাত্রী ")</f>
        <v> ছাত্র/ছাত্রী </v>
      </c>
      <c r="I615" s="3" t="str">
        <f>IFERROR(__xludf.DUMMYFUNCTION("""COMPUTED_VALUE""")," জালশুকা, গাংনী, মেহেরপুর ")</f>
        <v> জালশুকা, গাংনী, মেহেরপুর </v>
      </c>
    </row>
    <row r="616" ht="15.75" customHeight="1">
      <c r="A616" s="3" t="s">
        <v>3737</v>
      </c>
      <c r="B616" s="3">
        <f>IFERROR(__xludf.DUMMYFUNCTION("SPLIT(A616,""|"")"),776.0)</f>
        <v>776</v>
      </c>
      <c r="C616" s="3" t="str">
        <f>IFERROR(__xludf.DUMMYFUNCTION("""COMPUTED_VALUE""")," মোঃ আলী কবির ")</f>
        <v> মোঃ আলী কবির </v>
      </c>
      <c r="D616" s="3">
        <f>IFERROR(__xludf.DUMMYFUNCTION("""COMPUTED_VALUE"""),5.70056000503E11)</f>
        <v>570056000503</v>
      </c>
      <c r="E616" s="3" t="str">
        <f>IFERROR(__xludf.DUMMYFUNCTION("""COMPUTED_VALUE""")," মোঃ ইউছুফ আলী ")</f>
        <v> মোঃ ইউছুফ আলী </v>
      </c>
      <c r="F616" s="3" t="str">
        <f>IFERROR(__xludf.DUMMYFUNCTION("""COMPUTED_VALUE""")," মোছাঃ রহিলা খাতুন ")</f>
        <v> মোছাঃ রহিলা খাতুন </v>
      </c>
      <c r="G616" s="3" t="str">
        <f>IFERROR(__xludf.DUMMYFUNCTION("""COMPUTED_VALUE""")," ১০/০৬/১৯৯৫ ")</f>
        <v> ১০/০৬/১৯৯৫ </v>
      </c>
      <c r="H616" s="3" t="str">
        <f>IFERROR(__xludf.DUMMYFUNCTION("""COMPUTED_VALUE""")," কৃষক ")</f>
        <v> কৃষক </v>
      </c>
      <c r="I616" s="3" t="str">
        <f>IFERROR(__xludf.DUMMYFUNCTION("""COMPUTED_VALUE""")," জালশুকা, গাংনী, মেহেরপুর ")</f>
        <v> জালশুকা, গাংনী, মেহেরপুর </v>
      </c>
    </row>
    <row r="617" ht="15.75" customHeight="1">
      <c r="A617" s="3" t="s">
        <v>3738</v>
      </c>
      <c r="B617" s="3">
        <f>IFERROR(__xludf.DUMMYFUNCTION("SPLIT(A617,""|"")"),777.0)</f>
        <v>777</v>
      </c>
      <c r="C617" s="3" t="str">
        <f>IFERROR(__xludf.DUMMYFUNCTION("""COMPUTED_VALUE""")," মোঃ রাশেদ খান ")</f>
        <v> মোঃ রাশেদ খান </v>
      </c>
      <c r="D617" s="3">
        <f>IFERROR(__xludf.DUMMYFUNCTION("""COMPUTED_VALUE"""),5.70056000506E11)</f>
        <v>570056000506</v>
      </c>
      <c r="E617" s="3" t="str">
        <f>IFERROR(__xludf.DUMMYFUNCTION("""COMPUTED_VALUE""")," মোঃ ইসরাফ আলী ")</f>
        <v> মোঃ ইসরাফ আলী </v>
      </c>
      <c r="F617" s="3" t="str">
        <f>IFERROR(__xludf.DUMMYFUNCTION("""COMPUTED_VALUE""")," মোছাঃ জরিনা খাতুন ")</f>
        <v> মোছাঃ জরিনা খাতুন </v>
      </c>
      <c r="G617" s="3" t="str">
        <f>IFERROR(__xludf.DUMMYFUNCTION("""COMPUTED_VALUE""")," ০৫/০৩/২০০২ ")</f>
        <v> ০৫/০৩/২০০২ </v>
      </c>
      <c r="H617" s="3" t="str">
        <f>IFERROR(__xludf.DUMMYFUNCTION("""COMPUTED_VALUE""")," কৃষক ")</f>
        <v> কৃষক </v>
      </c>
      <c r="I617" s="3" t="str">
        <f>IFERROR(__xludf.DUMMYFUNCTION("""COMPUTED_VALUE""")," জালশুকা, গাংনী, মেহেরপুর ")</f>
        <v> জালশুকা, গাংনী, মেহেরপুর </v>
      </c>
    </row>
    <row r="618" ht="15.75" customHeight="1">
      <c r="A618" s="3" t="s">
        <v>3739</v>
      </c>
      <c r="B618" s="3">
        <f>IFERROR(__xludf.DUMMYFUNCTION("SPLIT(A618,""|"")"),778.0)</f>
        <v>778</v>
      </c>
      <c r="C618" s="3" t="str">
        <f>IFERROR(__xludf.DUMMYFUNCTION("""COMPUTED_VALUE""")," নাম: আনোয়ার আলী ")</f>
        <v> নাম: আনোয়ার আলী </v>
      </c>
      <c r="D618" s="3">
        <f>IFERROR(__xludf.DUMMYFUNCTION("""COMPUTED_VALUE"""),5.70056000367E11)</f>
        <v>570056000367</v>
      </c>
      <c r="E618" s="3" t="str">
        <f>IFERROR(__xludf.DUMMYFUNCTION("""COMPUTED_VALUE""")," ওয়াজ আলী (মুল্লা) ")</f>
        <v> ওয়াজ আলী (মুল্লা) </v>
      </c>
      <c r="F618" s="3" t="str">
        <f>IFERROR(__xludf.DUMMYFUNCTION("""COMPUTED_VALUE""")," রমেছা ")</f>
        <v> রমেছা </v>
      </c>
      <c r="G618" s="3" t="str">
        <f>IFERROR(__xludf.DUMMYFUNCTION("""COMPUTED_VALUE""")," ০৭/০৫/১৯৫২ ")</f>
        <v> ০৭/০৫/১৯৫২ </v>
      </c>
      <c r="H618" s="3" t="str">
        <f>IFERROR(__xludf.DUMMYFUNCTION("""COMPUTED_VALUE""")," দিনমজুর ")</f>
        <v> দিনমজুর </v>
      </c>
      <c r="I618" s="3" t="str">
        <f>IFERROR(__xludf.DUMMYFUNCTION("""COMPUTED_VALUE""")," জালশুকা, গাংনী, মেহেরপুর ")</f>
        <v> জালশুকা, গাংনী, মেহেরপুর </v>
      </c>
    </row>
    <row r="619" ht="15.75" customHeight="1">
      <c r="A619" s="3" t="s">
        <v>3740</v>
      </c>
      <c r="B619" s="3">
        <f>IFERROR(__xludf.DUMMYFUNCTION("SPLIT(A619,""|"")"),779.0)</f>
        <v>779</v>
      </c>
      <c r="C619" s="3" t="str">
        <f>IFERROR(__xludf.DUMMYFUNCTION("""COMPUTED_VALUE""")," নাম: মাহাবুল ")</f>
        <v> নাম: মাহাবুল </v>
      </c>
      <c r="D619" s="3">
        <f>IFERROR(__xludf.DUMMYFUNCTION("""COMPUTED_VALUE"""),5.70056000407E11)</f>
        <v>570056000407</v>
      </c>
      <c r="E619" s="3" t="str">
        <f>IFERROR(__xludf.DUMMYFUNCTION("""COMPUTED_VALUE""")," তারাচাঁদ ")</f>
        <v> তারাচাঁদ </v>
      </c>
      <c r="F619" s="3" t="str">
        <f>IFERROR(__xludf.DUMMYFUNCTION("""COMPUTED_VALUE""")," রেবেকা ")</f>
        <v> রেবেকা </v>
      </c>
      <c r="G619" s="3" t="str">
        <f>IFERROR(__xludf.DUMMYFUNCTION("""COMPUTED_VALUE""")," ১৭/১১/১৯৯১ ")</f>
        <v> ১৭/১১/১৯৯১ </v>
      </c>
      <c r="H619" s="3" t="str">
        <f>IFERROR(__xludf.DUMMYFUNCTION("""COMPUTED_VALUE""")," কৃষক ")</f>
        <v> কৃষক </v>
      </c>
      <c r="I619" s="3" t="str">
        <f>IFERROR(__xludf.DUMMYFUNCTION("""COMPUTED_VALUE""")," জালশুকা, গাংনী, মেহেরপুর ")</f>
        <v> জালশুকা, গাংনী, মেহেরপুর </v>
      </c>
    </row>
    <row r="620" ht="15.75" customHeight="1">
      <c r="A620" s="3" t="s">
        <v>3741</v>
      </c>
      <c r="B620" s="3">
        <f>IFERROR(__xludf.DUMMYFUNCTION("SPLIT(A620,""|"")"),780.0)</f>
        <v>780</v>
      </c>
      <c r="C620" s="3" t="str">
        <f>IFERROR(__xludf.DUMMYFUNCTION("""COMPUTED_VALUE""")," মোঃ ইলিয়াস হোসেন ")</f>
        <v> মোঃ ইলিয়াস হোসেন </v>
      </c>
      <c r="D620" s="3">
        <f>IFERROR(__xludf.DUMMYFUNCTION("""COMPUTED_VALUE"""),5.700562444634E12)</f>
        <v>5700562444634</v>
      </c>
      <c r="E620" s="3" t="str">
        <f>IFERROR(__xludf.DUMMYFUNCTION("""COMPUTED_VALUE""")," মোঃ রমিনু উদ্দীন মন্ডল ")</f>
        <v> মোঃ রমিনু উদ্দীন মন্ডল </v>
      </c>
      <c r="F620" s="3" t="str">
        <f>IFERROR(__xludf.DUMMYFUNCTION("""COMPUTED_VALUE""")," মোছাঃ আকলিমা বেগম ")</f>
        <v> মোছাঃ আকলিমা বেগম </v>
      </c>
      <c r="G620" s="3" t="str">
        <f>IFERROR(__xludf.DUMMYFUNCTION("""COMPUTED_VALUE""")," ০২/০৩/১৯৭৪ ")</f>
        <v> ০২/০৩/১৯৭৪ </v>
      </c>
      <c r="H620" s="3" t="str">
        <f>IFERROR(__xludf.DUMMYFUNCTION("""COMPUTED_VALUE""")," কৃষক ")</f>
        <v> কৃষক </v>
      </c>
      <c r="I620" s="3" t="str">
        <f>IFERROR(__xludf.DUMMYFUNCTION("""COMPUTED_VALUE""")," জালশুকা, জালশুকা, গাংনী, মেহেরপুর ")</f>
        <v> জালশুকা, জালশুকা, গাংনী, মেহেরপুর </v>
      </c>
    </row>
    <row r="621" ht="15.75" customHeight="1">
      <c r="A621" s="3" t="s">
        <v>3742</v>
      </c>
      <c r="B621" s="3">
        <f>IFERROR(__xludf.DUMMYFUNCTION("SPLIT(A621,""|"")"),781.0)</f>
        <v>781</v>
      </c>
      <c r="C621" s="3" t="str">
        <f>IFERROR(__xludf.DUMMYFUNCTION("""COMPUTED_VALUE""")," নাম: মোঃ ইয়াকুব মন্ডল ")</f>
        <v> নাম: মোঃ ইয়াকুব মন্ডল </v>
      </c>
      <c r="D621" s="3">
        <f>IFERROR(__xludf.DUMMYFUNCTION("""COMPUTED_VALUE"""),5.70056000507E11)</f>
        <v>570056000507</v>
      </c>
      <c r="E621" s="3" t="str">
        <f>IFERROR(__xludf.DUMMYFUNCTION("""COMPUTED_VALUE""")," শামসুদ্দীন মন্ডল ")</f>
        <v> শামসুদ্দীন মন্ডল </v>
      </c>
      <c r="F621" s="3" t="str">
        <f>IFERROR(__xludf.DUMMYFUNCTION("""COMPUTED_VALUE""")," মোছাঃ রুবিয়া বেগম ")</f>
        <v> মোছাঃ রুবিয়া বেগম </v>
      </c>
      <c r="G621" s="3" t="str">
        <f>IFERROR(__xludf.DUMMYFUNCTION("""COMPUTED_VALUE""")," ১৮/০১/১৯৭৭ ")</f>
        <v> ১৮/০১/১৯৭৭ </v>
      </c>
      <c r="H621" s="3" t="str">
        <f>IFERROR(__xludf.DUMMYFUNCTION("""COMPUTED_VALUE""")," রিক্সা/ভ্যান চালক ")</f>
        <v> রিক্সা/ভ্যান চালক </v>
      </c>
      <c r="I621" s="3" t="str">
        <f>IFERROR(__xludf.DUMMYFUNCTION("""COMPUTED_VALUE""")," জালশুকা, গাংনী, মেহেরপুর ")</f>
        <v> জালশুকা, গাংনী, মেহেরপুর </v>
      </c>
    </row>
    <row r="622" ht="15.75" customHeight="1">
      <c r="A622" s="3" t="s">
        <v>3743</v>
      </c>
      <c r="B622" s="3">
        <f>IFERROR(__xludf.DUMMYFUNCTION("SPLIT(A622,""|"")"),782.0)</f>
        <v>782</v>
      </c>
      <c r="C622" s="3" t="str">
        <f>IFERROR(__xludf.DUMMYFUNCTION("""COMPUTED_VALUE""")," নাম: মোঃ বকুল শিকদার ")</f>
        <v> নাম: মোঃ বকুল শিকদার </v>
      </c>
      <c r="D622" s="3">
        <f>IFERROR(__xludf.DUMMYFUNCTION("""COMPUTED_VALUE"""),5.700562444636E12)</f>
        <v>5700562444636</v>
      </c>
      <c r="E622" s="3" t="str">
        <f>IFERROR(__xludf.DUMMYFUNCTION("""COMPUTED_VALUE""")," পিতা: মোঃ ইদ্রিস আলী ")</f>
        <v> পিতা: মোঃ ইদ্রিস আলী </v>
      </c>
      <c r="F622" s="3" t="str">
        <f>IFERROR(__xludf.DUMMYFUNCTION("""COMPUTED_VALUE""")," মাতা: মোছাঃ রোকেয়া খাতুন ")</f>
        <v> মাতা: মোছাঃ রোকেয়া খাতুন </v>
      </c>
      <c r="G622" s="3" t="str">
        <f>IFERROR(__xludf.DUMMYFUNCTION("""COMPUTED_VALUE""")," ০১/০১/২০০২ ")</f>
        <v> ০১/০১/২০০২ </v>
      </c>
      <c r="H622" s="3" t="str">
        <f>IFERROR(__xludf.DUMMYFUNCTION("""COMPUTED_VALUE""")," শ্রমিক ")</f>
        <v> শ্রমিক </v>
      </c>
      <c r="I622" s="3" t="str">
        <f>IFERROR(__xludf.DUMMYFUNCTION("""COMPUTED_VALUE""")," ১২৫৩, জালশুকা, গাংনী, মেহেরপুর ")</f>
        <v> ১২৫৩, জালশুকা, গাংনী, মেহেরপুর </v>
      </c>
    </row>
    <row r="623" ht="15.75" customHeight="1">
      <c r="A623" s="3" t="s">
        <v>3744</v>
      </c>
      <c r="B623" s="3">
        <f>IFERROR(__xludf.DUMMYFUNCTION("SPLIT(A623,""|"")"),783.0)</f>
        <v>783</v>
      </c>
      <c r="C623" s="3" t="str">
        <f>IFERROR(__xludf.DUMMYFUNCTION("""COMPUTED_VALUE""")," নাম: মোঃ ফিরোজ আলী ")</f>
        <v> নাম: মোঃ ফিরোজ আলী </v>
      </c>
      <c r="D623" s="3">
        <f>IFERROR(__xludf.DUMMYFUNCTION("""COMPUTED_VALUE"""),5.700562444638E12)</f>
        <v>5700562444638</v>
      </c>
      <c r="E623" s="3" t="str">
        <f>IFERROR(__xludf.DUMMYFUNCTION("""COMPUTED_VALUE""")," পিতা: মোছাঃ তক্কেল ")</f>
        <v> পিতা: মোছাঃ তক্কেল </v>
      </c>
      <c r="F623" s="3" t="str">
        <f>IFERROR(__xludf.DUMMYFUNCTION("""COMPUTED_VALUE""")," মাতা: মোছাঃ ফাতেমা খাতুন ")</f>
        <v> মাতা: মোছাঃ ফাতেমা খাতুন </v>
      </c>
      <c r="G623" s="3" t="str">
        <f>IFERROR(__xludf.DUMMYFUNCTION("""COMPUTED_VALUE""")," ১২/০৩/১৯৯৯ ")</f>
        <v> ১২/০৩/১৯৯৯ </v>
      </c>
      <c r="H623" s="3" t="str">
        <f>IFERROR(__xludf.DUMMYFUNCTION("""COMPUTED_VALUE""")," বেকার ")</f>
        <v> বেকার </v>
      </c>
      <c r="I623" s="3" t="str">
        <f>IFERROR(__xludf.DUMMYFUNCTION("""COMPUTED_VALUE""")," জালশুকা, গাংনী, মেহেরপুর ")</f>
        <v> জালশুকা, গাংনী, মেহেরপুর </v>
      </c>
    </row>
    <row r="624" ht="15.75" customHeight="1">
      <c r="A624" s="3" t="s">
        <v>3745</v>
      </c>
      <c r="B624" s="3">
        <f>IFERROR(__xludf.DUMMYFUNCTION("SPLIT(A624,""|"")"),784.0)</f>
        <v>784</v>
      </c>
      <c r="C624" s="3" t="str">
        <f>IFERROR(__xludf.DUMMYFUNCTION("""COMPUTED_VALUE""")," নাম: মোঃ স্বাধীন আলী ")</f>
        <v> নাম: মোঃ স্বাধীন আলী </v>
      </c>
      <c r="D624" s="3">
        <f>IFERROR(__xludf.DUMMYFUNCTION("""COMPUTED_VALUE"""),5.70056244464E12)</f>
        <v>5700562444640</v>
      </c>
      <c r="E624" s="3" t="str">
        <f>IFERROR(__xludf.DUMMYFUNCTION("""COMPUTED_VALUE""")," পিতা: মোঃ মজিবুল ইসলাম ")</f>
        <v> পিতা: মোঃ মজিবুল ইসলাম </v>
      </c>
      <c r="F624" s="3" t="str">
        <f>IFERROR(__xludf.DUMMYFUNCTION("""COMPUTED_VALUE""")," মাতা: মোছা: মুক্তা খাতুন ")</f>
        <v> মাতা: মোছা: মুক্তা খাতুন </v>
      </c>
      <c r="G624" s="3" t="str">
        <f>IFERROR(__xludf.DUMMYFUNCTION("""COMPUTED_VALUE""")," ১৩/০২/২০০১ ")</f>
        <v> ১৩/০২/২০০১ </v>
      </c>
      <c r="H624" s="3" t="str">
        <f>IFERROR(__xludf.DUMMYFUNCTION("""COMPUTED_VALUE""")," শ্রমিক ")</f>
        <v> শ্রমিক </v>
      </c>
      <c r="I624" s="3" t="str">
        <f>IFERROR(__xludf.DUMMYFUNCTION("""COMPUTED_VALUE""")," ১৫০, জালশুকা, গাংনী, মেহেরপুর ")</f>
        <v> ১৫০, জালশুকা, গাংনী, মেহেরপুর </v>
      </c>
    </row>
    <row r="625" ht="15.75" customHeight="1">
      <c r="A625" s="3" t="s">
        <v>3746</v>
      </c>
      <c r="B625" s="3">
        <f>IFERROR(__xludf.DUMMYFUNCTION("SPLIT(A625,""|"")"),785.0)</f>
        <v>785</v>
      </c>
      <c r="C625" s="3" t="str">
        <f>IFERROR(__xludf.DUMMYFUNCTION("""COMPUTED_VALUE""")," নাম: মোঃ জিয়ারুল ")</f>
        <v> নাম: মোঃ জিয়ারুল </v>
      </c>
      <c r="D625" s="3">
        <f>IFERROR(__xludf.DUMMYFUNCTION("""COMPUTED_VALUE"""),5.700562444641E12)</f>
        <v>5700562444641</v>
      </c>
      <c r="E625" s="3" t="str">
        <f>IFERROR(__xludf.DUMMYFUNCTION("""COMPUTED_VALUE""")," পিতা: মোঃ জমির উদ্দীন ")</f>
        <v> পিতা: মোঃ জমির উদ্দীন </v>
      </c>
      <c r="F625" s="3" t="str">
        <f>IFERROR(__xludf.DUMMYFUNCTION("""COMPUTED_VALUE""")," মাতা: মোছা: হাজেরা বেগম ")</f>
        <v> মাতা: মোছা: হাজেরা বেগম </v>
      </c>
      <c r="G625" s="3" t="str">
        <f>IFERROR(__xludf.DUMMYFUNCTION("""COMPUTED_VALUE""")," ২০/০৩/১৯৮৫ ")</f>
        <v> ২০/০৩/১৯৮৫ </v>
      </c>
      <c r="H625" s="3" t="str">
        <f>IFERROR(__xludf.DUMMYFUNCTION("""COMPUTED_VALUE""")," কৃষক ")</f>
        <v> কৃষক </v>
      </c>
      <c r="I625" s="3" t="str">
        <f>IFERROR(__xludf.DUMMYFUNCTION("""COMPUTED_VALUE""")," জালশুকা, জালশুকা, গাংনী, মেহেরপুর ")</f>
        <v> জালশুকা, জালশুকা, গাংনী, মেহেরপুর </v>
      </c>
    </row>
    <row r="626" ht="15.75" customHeight="1">
      <c r="A626" s="3" t="s">
        <v>3747</v>
      </c>
      <c r="B626" s="3">
        <f>IFERROR(__xludf.DUMMYFUNCTION("SPLIT(A626,""|"")"),786.0)</f>
        <v>786</v>
      </c>
      <c r="C626" s="3" t="str">
        <f>IFERROR(__xludf.DUMMYFUNCTION("""COMPUTED_VALUE""")," নাম: আজাদ ")</f>
        <v> নাম: আজাদ </v>
      </c>
      <c r="D626" s="3">
        <f>IFERROR(__xludf.DUMMYFUNCTION("""COMPUTED_VALUE"""),5.700562444642E12)</f>
        <v>5700562444642</v>
      </c>
      <c r="E626" s="3" t="str">
        <f>IFERROR(__xludf.DUMMYFUNCTION("""COMPUTED_VALUE""")," পিতা: আবুহুদ্দিন ")</f>
        <v> পিতা: আবুহুদ্দিন </v>
      </c>
      <c r="F626" s="3" t="str">
        <f>IFERROR(__xludf.DUMMYFUNCTION("""COMPUTED_VALUE""")," মাতা: কুলছন ")</f>
        <v> মাতা: কুলছন </v>
      </c>
      <c r="G626" s="3" t="str">
        <f>IFERROR(__xludf.DUMMYFUNCTION("""COMPUTED_VALUE""")," ১৭/০২/১৯৯২ ")</f>
        <v> ১৭/০২/১৯৯২ </v>
      </c>
      <c r="H626" s="3" t="str">
        <f>IFERROR(__xludf.DUMMYFUNCTION("""COMPUTED_VALUE""")," ব্যবসা ")</f>
        <v> ব্যবসা </v>
      </c>
      <c r="I626" s="3" t="str">
        <f>IFERROR(__xludf.DUMMYFUNCTION("""COMPUTED_VALUE""")," জালশুকা, গাংনী, মেহেরপুর ")</f>
        <v> জালশুকা, গাংনী, মেহেরপুর </v>
      </c>
    </row>
    <row r="627" ht="15.75" customHeight="1">
      <c r="A627" s="3" t="s">
        <v>3748</v>
      </c>
      <c r="B627" s="3">
        <f>IFERROR(__xludf.DUMMYFUNCTION("SPLIT(A627,""|"")"),787.0)</f>
        <v>787</v>
      </c>
      <c r="C627" s="3" t="str">
        <f>IFERROR(__xludf.DUMMYFUNCTION("""COMPUTED_VALUE""")," নাম: মোঃ সবুর আলী ")</f>
        <v> নাম: মোঃ সবুর আলী </v>
      </c>
      <c r="D627" s="3">
        <f>IFERROR(__xludf.DUMMYFUNCTION("""COMPUTED_VALUE"""),5.700560000045E12)</f>
        <v>5700560000045</v>
      </c>
      <c r="E627" s="3" t="str">
        <f>IFERROR(__xludf.DUMMYFUNCTION("""COMPUTED_VALUE""")," পিতা: মোঃ হযরত আলী ")</f>
        <v> পিতা: মোঃ হযরত আলী </v>
      </c>
      <c r="F627" s="3" t="str">
        <f>IFERROR(__xludf.DUMMYFUNCTION("""COMPUTED_VALUE""")," মাতা: মোছা: জরিনা খাতুন ")</f>
        <v> মাতা: মোছা: জরিনা খাতুন </v>
      </c>
      <c r="G627" s="3" t="str">
        <f>IFERROR(__xludf.DUMMYFUNCTION("""COMPUTED_VALUE""")," ০৩/০৯/২০০৪ ")</f>
        <v> ০৩/০৯/২০০৪ </v>
      </c>
      <c r="H627" s="3" t="str">
        <f>IFERROR(__xludf.DUMMYFUNCTION("""COMPUTED_VALUE""")," ছাত্র/ছাত্রী ")</f>
        <v> ছাত্র/ছাত্রী </v>
      </c>
      <c r="I627" s="3" t="str">
        <f>IFERROR(__xludf.DUMMYFUNCTION("""COMPUTED_VALUE""")," জালশুকা, গাংনী, মেহেরপুর ")</f>
        <v> জালশুকা, গাংনী, মেহেরপুর </v>
      </c>
    </row>
    <row r="628" ht="15.75" customHeight="1">
      <c r="A628" s="3" t="s">
        <v>3749</v>
      </c>
      <c r="B628" s="3">
        <f>IFERROR(__xludf.DUMMYFUNCTION("SPLIT(A628,""|"")"),788.0)</f>
        <v>788</v>
      </c>
      <c r="C628" s="3" t="str">
        <f>IFERROR(__xludf.DUMMYFUNCTION("""COMPUTED_VALUE""")," নাম: মোঃ রাশেদ আলী ")</f>
        <v> নাম: মোঃ রাশেদ আলী </v>
      </c>
      <c r="D628" s="3">
        <f>IFERROR(__xludf.DUMMYFUNCTION("""COMPUTED_VALUE"""),5.7005600000509E13)</f>
        <v>57005600000509</v>
      </c>
      <c r="E628" s="3" t="str">
        <f>IFERROR(__xludf.DUMMYFUNCTION("""COMPUTED_VALUE""")," পিতা: মোঃ চাঁদালী ")</f>
        <v> পিতা: মোঃ চাঁদালী </v>
      </c>
      <c r="F628" s="3" t="str">
        <f>IFERROR(__xludf.DUMMYFUNCTION("""COMPUTED_VALUE""")," মাতা: মোছাঃ রুশিয়া খাতুন ")</f>
        <v> মাতা: মোছাঃ রুশিয়া খাতুন </v>
      </c>
      <c r="G628" s="3" t="str">
        <f>IFERROR(__xludf.DUMMYFUNCTION("""COMPUTED_VALUE""")," ০১/০১/২০০৫ ")</f>
        <v> ০১/০১/২০০৫ </v>
      </c>
      <c r="H628" s="3" t="str">
        <f>IFERROR(__xludf.DUMMYFUNCTION("""COMPUTED_VALUE""")," ছাত্র/ছাত্রী ")</f>
        <v> ছাত্র/ছাত্রী </v>
      </c>
      <c r="I628" s="3" t="str">
        <f>IFERROR(__xludf.DUMMYFUNCTION("""COMPUTED_VALUE""")," ৯৪০, জালশুকা, গাংনী, মেহেরপুর ")</f>
        <v> ৯৪০, জালশুকা, গাংনী, মেহেরপুর </v>
      </c>
    </row>
    <row r="629" ht="15.75" customHeight="1">
      <c r="A629" s="3" t="s">
        <v>3750</v>
      </c>
      <c r="B629" s="3">
        <f>IFERROR(__xludf.DUMMYFUNCTION("SPLIT(A629,""|"")"),789.0)</f>
        <v>789</v>
      </c>
      <c r="C629" s="3" t="str">
        <f>IFERROR(__xludf.DUMMYFUNCTION("""COMPUTED_VALUE""")," নাম: মোঃ লিখন ")</f>
        <v> নাম: মোঃ লিখন </v>
      </c>
      <c r="D629" s="3">
        <f>IFERROR(__xludf.DUMMYFUNCTION("""COMPUTED_VALUE"""),5.70056000051E12)</f>
        <v>5700560000510</v>
      </c>
      <c r="E629" s="3" t="str">
        <f>IFERROR(__xludf.DUMMYFUNCTION("""COMPUTED_VALUE""")," পিতা: মোহা: মহিবুল ইসলাম ")</f>
        <v> পিতা: মোহা: মহিবুল ইসলাম </v>
      </c>
      <c r="F629" s="3" t="str">
        <f>IFERROR(__xludf.DUMMYFUNCTION("""COMPUTED_VALUE""")," মাতা: মোছাঃ সুরভী খাতুন ")</f>
        <v> মাতা: মোছাঃ সুরভী খাতুন </v>
      </c>
      <c r="G629" s="3" t="str">
        <f>IFERROR(__xludf.DUMMYFUNCTION("""COMPUTED_VALUE""")," ০১/০১/২০০৫ ")</f>
        <v> ০১/০১/২০০৫ </v>
      </c>
      <c r="H629" s="3" t="str">
        <f>IFERROR(__xludf.DUMMYFUNCTION("""COMPUTED_VALUE""")," ছাত্র/ছাত্রী ")</f>
        <v> ছাত্র/ছাত্রী </v>
      </c>
      <c r="I629" s="3" t="str">
        <f>IFERROR(__xludf.DUMMYFUNCTION("""COMPUTED_VALUE""")," ১১৬০, জালশুকা, গাংনী, মেহেরপুর ")</f>
        <v> ১১৬০, জালশুকা, গাংনী, মেহেরপুর </v>
      </c>
    </row>
    <row r="630" ht="15.75" customHeight="1">
      <c r="A630" s="3" t="s">
        <v>3138</v>
      </c>
      <c r="B630" s="3" t="str">
        <f>IFERROR(__xludf.DUMMYFUNCTION("SPLIT(A630,""|"")")," ক্রমিক নং ")</f>
        <v> ক্রমিক নং </v>
      </c>
      <c r="C630" s="3" t="str">
        <f>IFERROR(__xludf.DUMMYFUNCTION("""COMPUTED_VALUE""")," নাম ")</f>
        <v> নাম </v>
      </c>
      <c r="D630" s="3" t="str">
        <f>IFERROR(__xludf.DUMMYFUNCTION("""COMPUTED_VALUE""")," ভোটার নং ")</f>
        <v> ভোটার নং </v>
      </c>
      <c r="E630" s="3" t="str">
        <f>IFERROR(__xludf.DUMMYFUNCTION("""COMPUTED_VALUE""")," পিতা ")</f>
        <v> পিতা </v>
      </c>
      <c r="F630" s="3" t="str">
        <f>IFERROR(__xludf.DUMMYFUNCTION("""COMPUTED_VALUE""")," মাতা ")</f>
        <v> মাতা </v>
      </c>
      <c r="G630" s="3" t="str">
        <f>IFERROR(__xludf.DUMMYFUNCTION("""COMPUTED_VALUE""")," জন্ম তারিখ ")</f>
        <v> জন্ম তারিখ </v>
      </c>
      <c r="H630" s="3" t="str">
        <f>IFERROR(__xludf.DUMMYFUNCTION("""COMPUTED_VALUE""")," পেশা ")</f>
        <v> পেশা </v>
      </c>
      <c r="I630" s="3" t="str">
        <f>IFERROR(__xludf.DUMMYFUNCTION("""COMPUTED_VALUE""")," ঠিকানা ")</f>
        <v> ঠিকানা </v>
      </c>
    </row>
    <row r="631" ht="15.75" customHeight="1">
      <c r="A631" s="3" t="s">
        <v>3139</v>
      </c>
      <c r="B631" s="3" t="str">
        <f>IFERROR(__xludf.DUMMYFUNCTION("SPLIT(A631,""|"")"),"---")</f>
        <v>---</v>
      </c>
      <c r="C631" s="3" t="str">
        <f>IFERROR(__xludf.DUMMYFUNCTION("""COMPUTED_VALUE"""),"---")</f>
        <v>---</v>
      </c>
      <c r="D631" s="3" t="str">
        <f>IFERROR(__xludf.DUMMYFUNCTION("""COMPUTED_VALUE"""),"---")</f>
        <v>---</v>
      </c>
      <c r="E631" s="3" t="str">
        <f>IFERROR(__xludf.DUMMYFUNCTION("""COMPUTED_VALUE"""),"---")</f>
        <v>---</v>
      </c>
      <c r="F631" s="3" t="str">
        <f>IFERROR(__xludf.DUMMYFUNCTION("""COMPUTED_VALUE"""),"---")</f>
        <v>---</v>
      </c>
      <c r="G631" s="3" t="str">
        <f>IFERROR(__xludf.DUMMYFUNCTION("""COMPUTED_VALUE"""),"---")</f>
        <v>---</v>
      </c>
      <c r="H631" s="3" t="str">
        <f>IFERROR(__xludf.DUMMYFUNCTION("""COMPUTED_VALUE"""),"---")</f>
        <v>---</v>
      </c>
      <c r="I631" s="3" t="str">
        <f>IFERROR(__xludf.DUMMYFUNCTION("""COMPUTED_VALUE"""),"---")</f>
        <v>---</v>
      </c>
    </row>
    <row r="632" ht="15.75" customHeight="1">
      <c r="A632" s="3" t="s">
        <v>3751</v>
      </c>
      <c r="B632" s="3">
        <f>IFERROR(__xludf.DUMMYFUNCTION("SPLIT(A632,""|"")"),790.0)</f>
        <v>790</v>
      </c>
      <c r="C632" s="3" t="str">
        <f>IFERROR(__xludf.DUMMYFUNCTION("""COMPUTED_VALUE""")," মো: তামিম আলী ")</f>
        <v> মো: তামিম আলী </v>
      </c>
      <c r="D632" s="3">
        <f>IFERROR(__xludf.DUMMYFUNCTION("""COMPUTED_VALUE"""),5.700565000512E12)</f>
        <v>5700565000512</v>
      </c>
      <c r="E632" s="3" t="str">
        <f>IFERROR(__xludf.DUMMYFUNCTION("""COMPUTED_VALUE""")," মো: আব্দুল আলিম ")</f>
        <v> মো: আব্দুল আলিম </v>
      </c>
      <c r="F632" s="3" t="str">
        <f>IFERROR(__xludf.DUMMYFUNCTION("""COMPUTED_VALUE""")," মোছা: মমতাজ খাতুন ")</f>
        <v> মোছা: মমতাজ খাতুন </v>
      </c>
      <c r="G632" s="3" t="str">
        <f>IFERROR(__xludf.DUMMYFUNCTION("""COMPUTED_VALUE""")," ০১/০৩/২০০৪ ")</f>
        <v> ০১/০৩/২০০৪ </v>
      </c>
      <c r="H632" s="3" t="str">
        <f>IFERROR(__xludf.DUMMYFUNCTION("""COMPUTED_VALUE""")," কৃষক ")</f>
        <v> কৃষক </v>
      </c>
      <c r="I632" s="3" t="str">
        <f>IFERROR(__xludf.DUMMYFUNCTION("""COMPUTED_VALUE""")," ২৭৮, জালশুকা, গাংনী, মেহেরপুর ")</f>
        <v> ২৭৮, জালশুকা, গাংনী, মেহেরপুর </v>
      </c>
    </row>
    <row r="633" ht="15.75" customHeight="1">
      <c r="A633" s="3" t="s">
        <v>3752</v>
      </c>
      <c r="B633" s="3">
        <f>IFERROR(__xludf.DUMMYFUNCTION("SPLIT(A633,""|"")"),791.0)</f>
        <v>791</v>
      </c>
      <c r="C633" s="3" t="str">
        <f>IFERROR(__xludf.DUMMYFUNCTION("""COMPUTED_VALUE""")," মোঃ সুমন আলী ")</f>
        <v> মোঃ সুমন আলী </v>
      </c>
      <c r="D633" s="3">
        <f>IFERROR(__xludf.DUMMYFUNCTION("""COMPUTED_VALUE"""),5.700565000513E12)</f>
        <v>5700565000513</v>
      </c>
      <c r="E633" s="3" t="str">
        <f>IFERROR(__xludf.DUMMYFUNCTION("""COMPUTED_VALUE""")," মো: হাফিজুর রহমান ")</f>
        <v> মো: হাফিজুর রহমান </v>
      </c>
      <c r="F633" s="3" t="str">
        <f>IFERROR(__xludf.DUMMYFUNCTION("""COMPUTED_VALUE""")," মোছাঃ সাজেদা বেগম ")</f>
        <v> মোছাঃ সাজেদা বেগম </v>
      </c>
      <c r="G633" s="3" t="str">
        <f>IFERROR(__xludf.DUMMYFUNCTION("""COMPUTED_VALUE""")," ০১/০১/২০০৫ ")</f>
        <v> ০১/০১/২০০৫ </v>
      </c>
      <c r="H633" s="3" t="str">
        <f>IFERROR(__xludf.DUMMYFUNCTION("""COMPUTED_VALUE""")," ছাত্র/ছাত্রী ")</f>
        <v> ছাত্র/ছাত্রী </v>
      </c>
      <c r="I633" s="3" t="str">
        <f>IFERROR(__xludf.DUMMYFUNCTION("""COMPUTED_VALUE""")," ৯৭৪, জালশুকা, গাংনী, মেহেরপুর ")</f>
        <v> ৯৭৪, জালশুকা, গাংনী, মেহেরপুর </v>
      </c>
    </row>
    <row r="634" ht="15.75" customHeight="1">
      <c r="A634" s="3" t="s">
        <v>3753</v>
      </c>
      <c r="B634" s="3">
        <f>IFERROR(__xludf.DUMMYFUNCTION("SPLIT(A634,""|"")"),792.0)</f>
        <v>792</v>
      </c>
      <c r="C634" s="3" t="str">
        <f>IFERROR(__xludf.DUMMYFUNCTION("""COMPUTED_VALUE""")," মো: লিপন আলী ")</f>
        <v> মো: লিপন আলী </v>
      </c>
      <c r="D634" s="3">
        <f>IFERROR(__xludf.DUMMYFUNCTION("""COMPUTED_VALUE"""),5.700565000516E12)</f>
        <v>5700565000516</v>
      </c>
      <c r="E634" s="3" t="str">
        <f>IFERROR(__xludf.DUMMYFUNCTION("""COMPUTED_VALUE""")," মো: লিটন আলী ")</f>
        <v> মো: লিটন আলী </v>
      </c>
      <c r="F634" s="3" t="str">
        <f>IFERROR(__xludf.DUMMYFUNCTION("""COMPUTED_VALUE""")," মোছা: রাশিদা খাতুন ")</f>
        <v> মোছা: রাশিদা খাতুন </v>
      </c>
      <c r="G634" s="3" t="str">
        <f>IFERROR(__xludf.DUMMYFUNCTION("""COMPUTED_VALUE""")," ০১/০১/২০০৫ ")</f>
        <v> ০১/০১/২০০৫ </v>
      </c>
      <c r="H634" s="3" t="str">
        <f>IFERROR(__xludf.DUMMYFUNCTION("""COMPUTED_VALUE""")," ছাত্র/ছাত্রী ")</f>
        <v> ছাত্র/ছাত্রী </v>
      </c>
      <c r="I634" s="3" t="str">
        <f>IFERROR(__xludf.DUMMYFUNCTION("""COMPUTED_VALUE""")," ১০৯৭, জালশুকা, গাংনী, মেহেরপুর ")</f>
        <v> ১০৯৭, জালশুকা, গাংনী, মেহেরপুর </v>
      </c>
    </row>
    <row r="635" ht="15.75" customHeight="1">
      <c r="A635" s="3" t="s">
        <v>3754</v>
      </c>
      <c r="B635" s="3">
        <f>IFERROR(__xludf.DUMMYFUNCTION("SPLIT(A635,""|"")"),793.0)</f>
        <v>793</v>
      </c>
      <c r="C635" s="3" t="str">
        <f>IFERROR(__xludf.DUMMYFUNCTION("""COMPUTED_VALUE""")," মো: মাহফুজুর রহমান ")</f>
        <v> মো: মাহফুজুর রহমান </v>
      </c>
      <c r="D635" s="3">
        <f>IFERROR(__xludf.DUMMYFUNCTION("""COMPUTED_VALUE"""),5.700565000518E12)</f>
        <v>5700565000518</v>
      </c>
      <c r="E635" s="3" t="str">
        <f>IFERROR(__xludf.DUMMYFUNCTION("""COMPUTED_VALUE""")," মো: আব্দুস সাত্তার ")</f>
        <v> মো: আব্দুস সাত্তার </v>
      </c>
      <c r="F635" s="3" t="str">
        <f>IFERROR(__xludf.DUMMYFUNCTION("""COMPUTED_VALUE""")," মোছা: লিলি খাতুন ")</f>
        <v> মোছা: লিলি খাতুন </v>
      </c>
      <c r="G635" s="3" t="str">
        <f>IFERROR(__xludf.DUMMYFUNCTION("""COMPUTED_VALUE""")," ০১/০৬/২০০৪ ")</f>
        <v> ০১/০৬/২০০৪ </v>
      </c>
      <c r="H635" s="3" t="str">
        <f>IFERROR(__xludf.DUMMYFUNCTION("""COMPUTED_VALUE""")," ছাত্র/ছাত্রী ")</f>
        <v> ছাত্র/ছাত্রী </v>
      </c>
      <c r="I635" s="3" t="str">
        <f>IFERROR(__xludf.DUMMYFUNCTION("""COMPUTED_VALUE""")," ১০০৮, জালশুকা, গাংনী, মেহেরপুর ")</f>
        <v> ১০০৮, জালশুকা, গাংনী, মেহেরপুর </v>
      </c>
    </row>
    <row r="636" ht="15.75" customHeight="1">
      <c r="A636" s="3" t="s">
        <v>3755</v>
      </c>
      <c r="B636" s="3">
        <f>IFERROR(__xludf.DUMMYFUNCTION("SPLIT(A636,""|"")"),794.0)</f>
        <v>794</v>
      </c>
      <c r="C636" s="3" t="str">
        <f>IFERROR(__xludf.DUMMYFUNCTION("""COMPUTED_VALUE""")," মো: সাব্বির হোসেন ")</f>
        <v> মো: সাব্বির হোসেন </v>
      </c>
      <c r="D636" s="3">
        <f>IFERROR(__xludf.DUMMYFUNCTION("""COMPUTED_VALUE"""),5.700565000521E12)</f>
        <v>5700565000521</v>
      </c>
      <c r="E636" s="3" t="str">
        <f>IFERROR(__xludf.DUMMYFUNCTION("""COMPUTED_VALUE""")," মো: আবুল বাশার মনা ")</f>
        <v> মো: আবুল বাশার মনা </v>
      </c>
      <c r="F636" s="3" t="str">
        <f>IFERROR(__xludf.DUMMYFUNCTION("""COMPUTED_VALUE""")," মোছা: ছাবিনা খাতুন ")</f>
        <v> মোছা: ছাবিনা খাতুন </v>
      </c>
      <c r="G636" s="3" t="str">
        <f>IFERROR(__xludf.DUMMYFUNCTION("""COMPUTED_VALUE""")," ২৫/১১/২০০৪ ")</f>
        <v> ২৫/১১/২০০৪ </v>
      </c>
      <c r="H636" s="3" t="str">
        <f>IFERROR(__xludf.DUMMYFUNCTION("""COMPUTED_VALUE""")," ছাত্র/ছাত্রী ")</f>
        <v> ছাত্র/ছাত্রী </v>
      </c>
      <c r="I636" s="3" t="str">
        <f>IFERROR(__xludf.DUMMYFUNCTION("""COMPUTED_VALUE""")," জালশুকা, গাংনী, মেহেরপুর ")</f>
        <v> জালশুকা, গাংনী, মেহেরপুর </v>
      </c>
    </row>
    <row r="637" ht="15.75" customHeight="1">
      <c r="A637" s="3" t="s">
        <v>3756</v>
      </c>
      <c r="B637" s="3">
        <f>IFERROR(__xludf.DUMMYFUNCTION("SPLIT(A637,""|"")"),795.0)</f>
        <v>795</v>
      </c>
      <c r="C637" s="3" t="str">
        <f>IFERROR(__xludf.DUMMYFUNCTION("""COMPUTED_VALUE""")," মো: বুলবুল মাহমুদ ")</f>
        <v> মো: বুলবুল মাহমুদ </v>
      </c>
      <c r="D637" s="3">
        <f>IFERROR(__xludf.DUMMYFUNCTION("""COMPUTED_VALUE"""),5.700565000523E12)</f>
        <v>5700565000523</v>
      </c>
      <c r="E637" s="3" t="str">
        <f>IFERROR(__xludf.DUMMYFUNCTION("""COMPUTED_VALUE""")," মো: মোক্কেল আলী ")</f>
        <v> মো: মোক্কেল আলী </v>
      </c>
      <c r="F637" s="3" t="str">
        <f>IFERROR(__xludf.DUMMYFUNCTION("""COMPUTED_VALUE""")," মোছা: গুলশান আরা ")</f>
        <v> মোছা: গুলশান আরা </v>
      </c>
      <c r="G637" s="3" t="str">
        <f>IFERROR(__xludf.DUMMYFUNCTION("""COMPUTED_VALUE""")," ০১/০১/২০০৫ ")</f>
        <v> ০১/০১/২০০৫ </v>
      </c>
      <c r="H637" s="3" t="str">
        <f>IFERROR(__xludf.DUMMYFUNCTION("""COMPUTED_VALUE""")," ছাত্র/ছাত্রী ")</f>
        <v> ছাত্র/ছাত্রী </v>
      </c>
      <c r="I637" s="3" t="str">
        <f>IFERROR(__xludf.DUMMYFUNCTION("""COMPUTED_VALUE""")," জালশুকা, গাংনী, মেহেরপুর ")</f>
        <v> জালশুকা, গাংনী, মেহেরপুর </v>
      </c>
    </row>
    <row r="638" ht="15.75" customHeight="1">
      <c r="A638" s="3" t="s">
        <v>3757</v>
      </c>
      <c r="B638" s="3">
        <f>IFERROR(__xludf.DUMMYFUNCTION("SPLIT(A638,""|"")"),796.0)</f>
        <v>796</v>
      </c>
      <c r="C638" s="3" t="str">
        <f>IFERROR(__xludf.DUMMYFUNCTION("""COMPUTED_VALUE""")," মো: মোজাহিদ ইসলাম ")</f>
        <v> মো: মোজাহিদ ইসলাম </v>
      </c>
      <c r="D638" s="3">
        <f>IFERROR(__xludf.DUMMYFUNCTION("""COMPUTED_VALUE"""),5.700565000531E12)</f>
        <v>5700565000531</v>
      </c>
      <c r="E638" s="3" t="str">
        <f>IFERROR(__xludf.DUMMYFUNCTION("""COMPUTED_VALUE""")," মো: লিটন আলী ")</f>
        <v> মো: লিটন আলী </v>
      </c>
      <c r="F638" s="3" t="str">
        <f>IFERROR(__xludf.DUMMYFUNCTION("""COMPUTED_VALUE""")," মোছা: আনজিরা বেগম ")</f>
        <v> মোছা: আনজিরা বেগম </v>
      </c>
      <c r="G638" s="3" t="str">
        <f>IFERROR(__xludf.DUMMYFUNCTION("""COMPUTED_VALUE""")," ০৩/০২/২০০৫ ")</f>
        <v> ০৩/০২/২০০৫ </v>
      </c>
      <c r="H638" s="3" t="str">
        <f>IFERROR(__xludf.DUMMYFUNCTION("""COMPUTED_VALUE""")," ছাত্র/ছাত্রী ")</f>
        <v> ছাত্র/ছাত্রী </v>
      </c>
      <c r="I638" s="3" t="str">
        <f>IFERROR(__xludf.DUMMYFUNCTION("""COMPUTED_VALUE""")," জালশুকা, গাংনী, মেহেরপুর ")</f>
        <v> জালশুকা, গাংনী, মেহেরপুর </v>
      </c>
    </row>
    <row r="639" ht="15.75" customHeight="1">
      <c r="A639" s="3" t="s">
        <v>3758</v>
      </c>
      <c r="B639" s="3">
        <f>IFERROR(__xludf.DUMMYFUNCTION("SPLIT(A639,""|"")"),797.0)</f>
        <v>797</v>
      </c>
      <c r="C639" s="3" t="str">
        <f>IFERROR(__xludf.DUMMYFUNCTION("""COMPUTED_VALUE""")," মো: রাজু আহমেদ ")</f>
        <v> মো: রাজু আহমেদ </v>
      </c>
      <c r="D639" s="3">
        <f>IFERROR(__xludf.DUMMYFUNCTION("""COMPUTED_VALUE"""),5.700565000532E12)</f>
        <v>5700565000532</v>
      </c>
      <c r="E639" s="3" t="str">
        <f>IFERROR(__xludf.DUMMYFUNCTION("""COMPUTED_VALUE""")," মো: আবু তাহের ")</f>
        <v> মো: আবু তাহের </v>
      </c>
      <c r="F639" s="3" t="str">
        <f>IFERROR(__xludf.DUMMYFUNCTION("""COMPUTED_VALUE""")," মোছা: নাছিমা খাতুন ")</f>
        <v> মোছা: নাছিমা খাতুন </v>
      </c>
      <c r="G639" s="3" t="str">
        <f>IFERROR(__xludf.DUMMYFUNCTION("""COMPUTED_VALUE""")," ২৫/১২/২০০৫ ")</f>
        <v> ২৫/১২/২০০৫ </v>
      </c>
      <c r="H639" s="3" t="str">
        <f>IFERROR(__xludf.DUMMYFUNCTION("""COMPUTED_VALUE""")," কৃষক ")</f>
        <v> কৃষক </v>
      </c>
      <c r="I639" s="3" t="str">
        <f>IFERROR(__xludf.DUMMYFUNCTION("""COMPUTED_VALUE""")," ৭৯১, জালশুকা, গাংনী, মেহেরপুর ")</f>
        <v> ৭৯১, জালশুকা, গাংনী, মেহেরপুর </v>
      </c>
    </row>
    <row r="640" ht="15.75" customHeight="1">
      <c r="A640" s="3" t="s">
        <v>3759</v>
      </c>
      <c r="B640" s="3">
        <f>IFERROR(__xludf.DUMMYFUNCTION("SPLIT(A640,""|"")"),798.0)</f>
        <v>798</v>
      </c>
      <c r="C640" s="3" t="str">
        <f>IFERROR(__xludf.DUMMYFUNCTION("""COMPUTED_VALUE""")," মো: আ: ছালাম ")</f>
        <v> মো: আ: ছালাম </v>
      </c>
      <c r="D640" s="3">
        <f>IFERROR(__xludf.DUMMYFUNCTION("""COMPUTED_VALUE"""),5.700565000535E12)</f>
        <v>5700565000535</v>
      </c>
      <c r="E640" s="3" t="str">
        <f>IFERROR(__xludf.DUMMYFUNCTION("""COMPUTED_VALUE""")," আবু সাঈদ ")</f>
        <v> আবু সাঈদ </v>
      </c>
      <c r="F640" s="3" t="str">
        <f>IFERROR(__xludf.DUMMYFUNCTION("""COMPUTED_VALUE""")," শিরিনা ")</f>
        <v> শিরিনা </v>
      </c>
      <c r="G640" s="3" t="str">
        <f>IFERROR(__xludf.DUMMYFUNCTION("""COMPUTED_VALUE""")," ০১/০৩/২০০৫ ")</f>
        <v> ০১/০৩/২০০৫ </v>
      </c>
      <c r="H640" s="3" t="str">
        <f>IFERROR(__xludf.DUMMYFUNCTION("""COMPUTED_VALUE""")," ছাত্র/ছাত্রী ")</f>
        <v> ছাত্র/ছাত্রী </v>
      </c>
      <c r="I640" s="3" t="str">
        <f>IFERROR(__xludf.DUMMYFUNCTION("""COMPUTED_VALUE""")," জালশুকা, গাংনী, মেহেরপুর ")</f>
        <v> জালশুকা, গাংনী, মেহেরপুর </v>
      </c>
    </row>
    <row r="641" ht="15.75" customHeight="1">
      <c r="A641" s="3" t="s">
        <v>3760</v>
      </c>
      <c r="B641" s="3">
        <f>IFERROR(__xludf.DUMMYFUNCTION("SPLIT(A641,""|"")"),799.0)</f>
        <v>799</v>
      </c>
      <c r="C641" s="3" t="str">
        <f>IFERROR(__xludf.DUMMYFUNCTION("""COMPUTED_VALUE""")," মো: তুষার আলী ")</f>
        <v> মো: তুষার আলী </v>
      </c>
      <c r="D641" s="3">
        <f>IFERROR(__xludf.DUMMYFUNCTION("""COMPUTED_VALUE"""),5.700565000536E12)</f>
        <v>5700565000536</v>
      </c>
      <c r="E641" s="3" t="str">
        <f>IFERROR(__xludf.DUMMYFUNCTION("""COMPUTED_VALUE""")," মো: হাবিবুর রহমান ")</f>
        <v> মো: হাবিবুর রহমান </v>
      </c>
      <c r="F641" s="3" t="str">
        <f>IFERROR(__xludf.DUMMYFUNCTION("""COMPUTED_VALUE""")," মোছা: এসমেতারা ")</f>
        <v> মোছা: এসমেতারা </v>
      </c>
      <c r="G641" s="3" t="str">
        <f>IFERROR(__xludf.DUMMYFUNCTION("""COMPUTED_VALUE""")," ০১/০৬/২০০৫ ")</f>
        <v> ০১/০৬/২০০৫ </v>
      </c>
      <c r="H641" s="3" t="str">
        <f>IFERROR(__xludf.DUMMYFUNCTION("""COMPUTED_VALUE""")," ছাত্র/ছাত্রী ")</f>
        <v> ছাত্র/ছাত্রী </v>
      </c>
      <c r="I641" s="3" t="str">
        <f>IFERROR(__xludf.DUMMYFUNCTION("""COMPUTED_VALUE""")," ১২৬৪, জালশুকা, গাংনী, মেহেরপুর ")</f>
        <v> ১২৬৪, জালশুকা, গাংনী, মেহেরপুর </v>
      </c>
    </row>
    <row r="642" ht="15.75" customHeight="1">
      <c r="A642" s="3" t="s">
        <v>3761</v>
      </c>
      <c r="B642" s="3">
        <f>IFERROR(__xludf.DUMMYFUNCTION("SPLIT(A642,""|"")"),800.0)</f>
        <v>800</v>
      </c>
      <c r="C642" s="3" t="str">
        <f>IFERROR(__xludf.DUMMYFUNCTION("""COMPUTED_VALUE""")," মো: সুমন আলী ")</f>
        <v> মো: সুমন আলী </v>
      </c>
      <c r="D642" s="3">
        <f>IFERROR(__xludf.DUMMYFUNCTION("""COMPUTED_VALUE"""),5.700565000537E12)</f>
        <v>5700565000537</v>
      </c>
      <c r="E642" s="3" t="str">
        <f>IFERROR(__xludf.DUMMYFUNCTION("""COMPUTED_VALUE""")," মো: বিল্লাল হোসেন ")</f>
        <v> মো: বিল্লাল হোসেন </v>
      </c>
      <c r="F642" s="3" t="str">
        <f>IFERROR(__xludf.DUMMYFUNCTION("""COMPUTED_VALUE""")," মোছা: রেহেনা খাতুন ")</f>
        <v> মোছা: রেহেনা খাতুন </v>
      </c>
      <c r="G642" s="3" t="str">
        <f>IFERROR(__xludf.DUMMYFUNCTION("""COMPUTED_VALUE""")," ৩০/০৬/২০০৪ ")</f>
        <v> ৩০/০৬/২০০৪ </v>
      </c>
      <c r="H642" s="3" t="str">
        <f>IFERROR(__xludf.DUMMYFUNCTION("""COMPUTED_VALUE""")," ছাত্র/ছাত্রী ")</f>
        <v> ছাত্র/ছাত্রী </v>
      </c>
      <c r="I642" s="3" t="str">
        <f>IFERROR(__xludf.DUMMYFUNCTION("""COMPUTED_VALUE""")," ১০৭৫, জালশুকা, গাংনী, মেহেরপুর ")</f>
        <v> ১০৭৫, জালশুকা, গাংনী, মেহেরপুর </v>
      </c>
    </row>
    <row r="643" ht="15.75" customHeight="1">
      <c r="A643" s="3" t="s">
        <v>3762</v>
      </c>
      <c r="B643" s="3">
        <f>IFERROR(__xludf.DUMMYFUNCTION("SPLIT(A643,""|"")"),801.0)</f>
        <v>801</v>
      </c>
      <c r="C643" s="3" t="str">
        <f>IFERROR(__xludf.DUMMYFUNCTION("""COMPUTED_VALUE""")," মো: মোহাদ্দিক হোসেন ")</f>
        <v> মো: মোহাদ্দিক হোসেন </v>
      </c>
      <c r="D643" s="3">
        <f>IFERROR(__xludf.DUMMYFUNCTION("""COMPUTED_VALUE"""),5.700565000542E12)</f>
        <v>5700565000542</v>
      </c>
      <c r="E643" s="3" t="str">
        <f>IFERROR(__xludf.DUMMYFUNCTION("""COMPUTED_VALUE""")," মো: খায়রুল ইসলাম ")</f>
        <v> মো: খায়রুল ইসলাম </v>
      </c>
      <c r="F643" s="3" t="str">
        <f>IFERROR(__xludf.DUMMYFUNCTION("""COMPUTED_VALUE""")," মোছা: পপিয়ারা বেগম ")</f>
        <v> মোছা: পপিয়ারা বেগম </v>
      </c>
      <c r="G643" s="3" t="str">
        <f>IFERROR(__xludf.DUMMYFUNCTION("""COMPUTED_VALUE""")," ০১/০২/২০০৬ ")</f>
        <v> ০১/০২/২০০৬ </v>
      </c>
      <c r="H643" s="3" t="str">
        <f>IFERROR(__xludf.DUMMYFUNCTION("""COMPUTED_VALUE""")," ছাত্র/ছাত্রী ")</f>
        <v> ছাত্র/ছাত্রী </v>
      </c>
      <c r="I643" s="3" t="str">
        <f>IFERROR(__xludf.DUMMYFUNCTION("""COMPUTED_VALUE""")," ১৩১১, জালশুকা, গাংনী, মেহেরপুর ")</f>
        <v> ১৩১১, জালশুকা, গাংনী, মেহেরপুর </v>
      </c>
    </row>
    <row r="644" ht="15.75" customHeight="1">
      <c r="A644" s="3" t="s">
        <v>3763</v>
      </c>
      <c r="B644" s="3">
        <f>IFERROR(__xludf.DUMMYFUNCTION("SPLIT(A644,""|"")"),802.0)</f>
        <v>802</v>
      </c>
      <c r="C644" s="3" t="str">
        <f>IFERROR(__xludf.DUMMYFUNCTION("""COMPUTED_VALUE""")," মো: হুসাইন আলী ")</f>
        <v> মো: হুসাইন আলী </v>
      </c>
      <c r="D644" s="3">
        <f>IFERROR(__xludf.DUMMYFUNCTION("""COMPUTED_VALUE"""),5.700565000545E12)</f>
        <v>5700565000545</v>
      </c>
      <c r="E644" s="3" t="str">
        <f>IFERROR(__xludf.DUMMYFUNCTION("""COMPUTED_VALUE""")," মো: নিজাম উদ্দীন ")</f>
        <v> মো: নিজাম উদ্দীন </v>
      </c>
      <c r="F644" s="3" t="str">
        <f>IFERROR(__xludf.DUMMYFUNCTION("""COMPUTED_VALUE""")," মোছা: হোসেনারা ")</f>
        <v> মোছা: হোসেনারা </v>
      </c>
      <c r="G644" s="3" t="str">
        <f>IFERROR(__xludf.DUMMYFUNCTION("""COMPUTED_VALUE""")," ০১/০৪/২০০৬ ")</f>
        <v> ০১/০৪/২০০৬ </v>
      </c>
      <c r="H644" s="3" t="str">
        <f>IFERROR(__xludf.DUMMYFUNCTION("""COMPUTED_VALUE""")," কৃষক ")</f>
        <v> কৃষক </v>
      </c>
      <c r="I644" s="3" t="str">
        <f>IFERROR(__xludf.DUMMYFUNCTION("""COMPUTED_VALUE""")," ১২৬৫, জালশুকা, গাংনী, মেহেরপুর ")</f>
        <v> ১২৬৫, জালশুকা, গাংনী, মেহেরপুর </v>
      </c>
    </row>
    <row r="645" ht="15.75" customHeight="1">
      <c r="A645" s="3" t="s">
        <v>3764</v>
      </c>
      <c r="B645" s="3">
        <f>IFERROR(__xludf.DUMMYFUNCTION("SPLIT(A645,""|"")"),803.0)</f>
        <v>803</v>
      </c>
      <c r="C645" s="3" t="str">
        <f>IFERROR(__xludf.DUMMYFUNCTION("""COMPUTED_VALUE""")," মো: নাহিম আলী ")</f>
        <v> মো: নাহিম আলী </v>
      </c>
      <c r="D645" s="3">
        <f>IFERROR(__xludf.DUMMYFUNCTION("""COMPUTED_VALUE"""),5.700565000546E12)</f>
        <v>5700565000546</v>
      </c>
      <c r="E645" s="3" t="str">
        <f>IFERROR(__xludf.DUMMYFUNCTION("""COMPUTED_VALUE""")," মো: সাহাবুল ")</f>
        <v> মো: সাহাবুল </v>
      </c>
      <c r="F645" s="3" t="str">
        <f>IFERROR(__xludf.DUMMYFUNCTION("""COMPUTED_VALUE""")," মোছা: নাছরিন ")</f>
        <v> মোছা: নাছরিন </v>
      </c>
      <c r="G645" s="3" t="str">
        <f>IFERROR(__xludf.DUMMYFUNCTION("""COMPUTED_VALUE""")," ৩০/১২/২০০৬ ")</f>
        <v> ৩০/১২/২০০৬ </v>
      </c>
      <c r="H645" s="3" t="str">
        <f>IFERROR(__xludf.DUMMYFUNCTION("""COMPUTED_VALUE""")," ছাত্র/ছাত্রী ")</f>
        <v> ছাত্র/ছাত্রী </v>
      </c>
      <c r="I645" s="3" t="str">
        <f>IFERROR(__xludf.DUMMYFUNCTION("""COMPUTED_VALUE""")," ১১৫১, জালশুকা, গাংনী, মেহেরপুর ")</f>
        <v> ১১৫১, জালশুকা, গাংনী, মেহেরপুর </v>
      </c>
    </row>
    <row r="646" ht="15.75" customHeight="1">
      <c r="A646" s="3" t="s">
        <v>3765</v>
      </c>
      <c r="B646" s="3">
        <f>IFERROR(__xludf.DUMMYFUNCTION("SPLIT(A646,""|"")"),804.0)</f>
        <v>804</v>
      </c>
      <c r="C646" s="3" t="str">
        <f>IFERROR(__xludf.DUMMYFUNCTION("""COMPUTED_VALUE""")," কাউছার আলী ")</f>
        <v> কাউছার আলী </v>
      </c>
      <c r="D646" s="3">
        <f>IFERROR(__xludf.DUMMYFUNCTION("""COMPUTED_VALUE"""),5.700565444645E12)</f>
        <v>5700565444645</v>
      </c>
      <c r="E646" s="3" t="str">
        <f>IFERROR(__xludf.DUMMYFUNCTION("""COMPUTED_VALUE""")," মৃত আকবার আলী ")</f>
        <v> মৃত আকবার আলী </v>
      </c>
      <c r="F646" s="3" t="str">
        <f>IFERROR(__xludf.DUMMYFUNCTION("""COMPUTED_VALUE""")," মোছা: মনোয়ারা খাতুন ")</f>
        <v> মোছা: মনোয়ারা খাতুন </v>
      </c>
      <c r="G646" s="3" t="str">
        <f>IFERROR(__xludf.DUMMYFUNCTION("""COMPUTED_VALUE""")," ১১/০১/১৯৮৮ ")</f>
        <v> ১১/০১/১৯৮৮ </v>
      </c>
      <c r="H646" s="3" t="str">
        <f>IFERROR(__xludf.DUMMYFUNCTION("""COMPUTED_VALUE""")," শ্রমিক ")</f>
        <v> শ্রমিক </v>
      </c>
      <c r="I646" s="3" t="str">
        <f>IFERROR(__xludf.DUMMYFUNCTION("""COMPUTED_VALUE""")," জালশুকা, গাংনী, মেহেরপুর ")</f>
        <v> জালশুকা, গাংনী, মেহেরপুর </v>
      </c>
    </row>
    <row r="647" ht="15.75" customHeight="1">
      <c r="A647" s="3" t="s">
        <v>3766</v>
      </c>
      <c r="B647" s="3">
        <f>IFERROR(__xludf.DUMMYFUNCTION("SPLIT(A647,""|"")"),805.0)</f>
        <v>805</v>
      </c>
      <c r="C647" s="3" t="str">
        <f>IFERROR(__xludf.DUMMYFUNCTION("""COMPUTED_VALUE""")," মো: শাহিনুজ্জামান ")</f>
        <v> মো: শাহিনুজ্জামান </v>
      </c>
      <c r="D647" s="3">
        <f>IFERROR(__xludf.DUMMYFUNCTION("""COMPUTED_VALUE"""),5.700565444647E12)</f>
        <v>5700565444647</v>
      </c>
      <c r="E647" s="3" t="str">
        <f>IFERROR(__xludf.DUMMYFUNCTION("""COMPUTED_VALUE""")," মো: আহাদ আলী ")</f>
        <v> মো: আহাদ আলী </v>
      </c>
      <c r="F647" s="3" t="str">
        <f>IFERROR(__xludf.DUMMYFUNCTION("""COMPUTED_VALUE""")," জহুরা খাতুন ")</f>
        <v> জহুরা খাতুন </v>
      </c>
      <c r="G647" s="3" t="str">
        <f>IFERROR(__xludf.DUMMYFUNCTION("""COMPUTED_VALUE""")," ০১/১১/১৯৯৯ ")</f>
        <v> ০১/১১/১৯৯৯ </v>
      </c>
      <c r="H647" s="3" t="str">
        <f>IFERROR(__xludf.DUMMYFUNCTION("""COMPUTED_VALUE""")," ছাত্র/ছাত্রী ")</f>
        <v> ছাত্র/ছাত্রী </v>
      </c>
      <c r="I647" s="3" t="str">
        <f>IFERROR(__xludf.DUMMYFUNCTION("""COMPUTED_VALUE""")," জালশুকা, গাংনী, মেহেরপুর ")</f>
        <v> জালশুকা, গাংনী, মেহেরপুর </v>
      </c>
    </row>
    <row r="648" ht="15.75" customHeight="1">
      <c r="A648" s="3" t="s">
        <v>3767</v>
      </c>
      <c r="B648" s="3">
        <f>IFERROR(__xludf.DUMMYFUNCTION("SPLIT(A648,""|"")"),806.0)</f>
        <v>806</v>
      </c>
      <c r="C648" s="3" t="str">
        <f>IFERROR(__xludf.DUMMYFUNCTION("""COMPUTED_VALUE""")," মোহাঃ রিপন আলী ")</f>
        <v> মোহাঃ রিপন আলী </v>
      </c>
      <c r="D648" s="3">
        <f>IFERROR(__xludf.DUMMYFUNCTION("""COMPUTED_VALUE"""),5.700565444648E12)</f>
        <v>5700565444648</v>
      </c>
      <c r="E648" s="3" t="str">
        <f>IFERROR(__xludf.DUMMYFUNCTION("""COMPUTED_VALUE""")," মোহাঃ আঃজাম্মেল ")</f>
        <v> মোহাঃ আঃজাম্মেল </v>
      </c>
      <c r="F648" s="3" t="str">
        <f>IFERROR(__xludf.DUMMYFUNCTION("""COMPUTED_VALUE""")," মোহাঃ হানেয়ারা ")</f>
        <v> মোহাঃ হানেয়ারা </v>
      </c>
      <c r="G648" s="3" t="str">
        <f>IFERROR(__xludf.DUMMYFUNCTION("""COMPUTED_VALUE""")," ০১/০৬/১৯৯৯ ")</f>
        <v> ০১/০৬/১৯৯৯ </v>
      </c>
      <c r="H648" s="3" t="str">
        <f>IFERROR(__xludf.DUMMYFUNCTION("""COMPUTED_VALUE""")," শ্রমিক ")</f>
        <v> শ্রমিক </v>
      </c>
      <c r="I648" s="3" t="str">
        <f>IFERROR(__xludf.DUMMYFUNCTION("""COMPUTED_VALUE""")," জালশুকা, গাংনী, মেহেরপুর ")</f>
        <v> জালশুকা, গাংনী, মেহেরপুর </v>
      </c>
    </row>
    <row r="649" ht="15.75" customHeight="1">
      <c r="A649" s="3" t="s">
        <v>3768</v>
      </c>
      <c r="B649" s="3">
        <f>IFERROR(__xludf.DUMMYFUNCTION("SPLIT(A649,""|"")"),807.0)</f>
        <v>807</v>
      </c>
      <c r="C649" s="3" t="str">
        <f>IFERROR(__xludf.DUMMYFUNCTION("""COMPUTED_VALUE""")," মো: রুবেল আলী ")</f>
        <v> মো: রুবেল আলী </v>
      </c>
      <c r="D649" s="3">
        <f>IFERROR(__xludf.DUMMYFUNCTION("""COMPUTED_VALUE"""),5.700565444649E12)</f>
        <v>5700565444649</v>
      </c>
      <c r="E649" s="3" t="str">
        <f>IFERROR(__xludf.DUMMYFUNCTION("""COMPUTED_VALUE""")," মো: জহুরুল ইসলাম ")</f>
        <v> মো: জহুরুল ইসলাম </v>
      </c>
      <c r="F649" s="3" t="str">
        <f>IFERROR(__xludf.DUMMYFUNCTION("""COMPUTED_VALUE""")," মোছা: রেহেনা খাতুন ")</f>
        <v> মোছা: রেহেনা খাতুন </v>
      </c>
      <c r="G649" s="3" t="str">
        <f>IFERROR(__xludf.DUMMYFUNCTION("""COMPUTED_VALUE""")," ২৭/১২/২০০০ ")</f>
        <v> ২৭/১২/২০০০ </v>
      </c>
      <c r="H649" s="3" t="str">
        <f>IFERROR(__xludf.DUMMYFUNCTION("""COMPUTED_VALUE""")," ছাত্র/ছাত্রী ")</f>
        <v> ছাত্র/ছাত্রী </v>
      </c>
      <c r="I649" s="3" t="str">
        <f>IFERROR(__xludf.DUMMYFUNCTION("""COMPUTED_VALUE""")," ১২৬১, জালশুকা, গাংনী, মেহেরপুর ")</f>
        <v> ১২৬১, জালশুকা, গাংনী, মেহেরপুর </v>
      </c>
    </row>
    <row r="650" ht="15.75" customHeight="1">
      <c r="A650" s="3" t="s">
        <v>3769</v>
      </c>
      <c r="B650" s="3">
        <f>IFERROR(__xludf.DUMMYFUNCTION("SPLIT(A650,""|"")"),826.0)</f>
        <v>826</v>
      </c>
      <c r="C650" s="3" t="str">
        <f>IFERROR(__xludf.DUMMYFUNCTION("""COMPUTED_VALUE""")," মো: হাবিবুর রহমান ")</f>
        <v> মো: হাবিবুর রহমান </v>
      </c>
      <c r="D650" s="3">
        <f>IFERROR(__xludf.DUMMYFUNCTION("""COMPUTED_VALUE"""),5.700565444677E12)</f>
        <v>5700565444677</v>
      </c>
      <c r="E650" s="3" t="str">
        <f>IFERROR(__xludf.DUMMYFUNCTION("""COMPUTED_VALUE""")," মো: আসান আলী ")</f>
        <v> মো: আসান আলী </v>
      </c>
      <c r="F650" s="3" t="str">
        <f>IFERROR(__xludf.DUMMYFUNCTION("""COMPUTED_VALUE""")," মোছা: মর্জিনা খাতুন ")</f>
        <v> মোছা: মর্জিনা খাতুন </v>
      </c>
      <c r="G650" s="3" t="str">
        <f>IFERROR(__xludf.DUMMYFUNCTION("""COMPUTED_VALUE""")," ১৭/১২/১৯৯৯ ")</f>
        <v> ১৭/১২/১৯৯৯ </v>
      </c>
      <c r="H650" s="3" t="str">
        <f>IFERROR(__xludf.DUMMYFUNCTION("""COMPUTED_VALUE""")," শ্রমিক ")</f>
        <v> শ্রমিক </v>
      </c>
      <c r="I650" s="3" t="str">
        <f>IFERROR(__xludf.DUMMYFUNCTION("""COMPUTED_VALUE""")," জালশুকা, গাংনী, মেহেরপুর ")</f>
        <v> জালশুকা, গাংনী, মেহেরপুর </v>
      </c>
    </row>
    <row r="651" ht="15.75" customHeight="1">
      <c r="A651" s="3" t="s">
        <v>3770</v>
      </c>
      <c r="B651" s="3">
        <f>IFERROR(__xludf.DUMMYFUNCTION("SPLIT(A651,""|"")"),827.0)</f>
        <v>827</v>
      </c>
      <c r="C651" s="3" t="str">
        <f>IFERROR(__xludf.DUMMYFUNCTION("""COMPUTED_VALUE""")," লিকেন আলী ")</f>
        <v> লিকেন আলী </v>
      </c>
      <c r="D651" s="3">
        <f>IFERROR(__xludf.DUMMYFUNCTION("""COMPUTED_VALUE"""),5.700565444679E12)</f>
        <v>5700565444679</v>
      </c>
      <c r="E651" s="3" t="str">
        <f>IFERROR(__xludf.DUMMYFUNCTION("""COMPUTED_VALUE""")," মো: জাহাঙ্গীর আলম ")</f>
        <v> মো: জাহাঙ্গীর আলম </v>
      </c>
      <c r="F651" s="3" t="str">
        <f>IFERROR(__xludf.DUMMYFUNCTION("""COMPUTED_VALUE""")," মোছা: শাহনাজ খাতুন ")</f>
        <v> মোছা: শাহনাজ খাতুন </v>
      </c>
      <c r="G651" s="3" t="str">
        <f>IFERROR(__xludf.DUMMYFUNCTION("""COMPUTED_VALUE""")," ০১/০১/২০০৪ ")</f>
        <v> ০১/০১/২০০৪ </v>
      </c>
      <c r="H651" s="3" t="str">
        <f>IFERROR(__xludf.DUMMYFUNCTION("""COMPUTED_VALUE""")," ছাত্র/ছাত্রী ")</f>
        <v> ছাত্র/ছাত্রী </v>
      </c>
      <c r="I651" s="3" t="str">
        <f>IFERROR(__xludf.DUMMYFUNCTION("""COMPUTED_VALUE""")," জালশুকা, গাংনী, মেহেরপুর ")</f>
        <v> জালশুকা, গাংনী, মেহেরপুর </v>
      </c>
    </row>
    <row r="652" ht="15.75" customHeight="1">
      <c r="A652" s="3" t="s">
        <v>3771</v>
      </c>
      <c r="B652" s="3">
        <f>IFERROR(__xludf.DUMMYFUNCTION("SPLIT(A652,""|"")"),828.0)</f>
        <v>828</v>
      </c>
      <c r="C652" s="3" t="str">
        <f>IFERROR(__xludf.DUMMYFUNCTION("""COMPUTED_VALUE""")," মো: জুয়েল আলী ")</f>
        <v> মো: জুয়েল আলী </v>
      </c>
      <c r="D652" s="3">
        <f>IFERROR(__xludf.DUMMYFUNCTION("""COMPUTED_VALUE"""),5.700565444684E12)</f>
        <v>5700565444684</v>
      </c>
      <c r="E652" s="3" t="str">
        <f>IFERROR(__xludf.DUMMYFUNCTION("""COMPUTED_VALUE""")," মো: কালু বিশ্বাস ")</f>
        <v> মো: কালু বিশ্বাস </v>
      </c>
      <c r="F652" s="3" t="str">
        <f>IFERROR(__xludf.DUMMYFUNCTION("""COMPUTED_VALUE""")," মোছা: জুলেখা খাতুন ")</f>
        <v> মোছা: জুলেখা খাতুন </v>
      </c>
      <c r="G652" s="3" t="str">
        <f>IFERROR(__xludf.DUMMYFUNCTION("""COMPUTED_VALUE""")," ০৬/০৬/১৯৯৯ ")</f>
        <v> ০৬/০৬/১৯৯৯ </v>
      </c>
      <c r="H652" s="3" t="str">
        <f>IFERROR(__xludf.DUMMYFUNCTION("""COMPUTED_VALUE""")," কৃষক ")</f>
        <v> কৃষক </v>
      </c>
      <c r="I652" s="3" t="str">
        <f>IFERROR(__xludf.DUMMYFUNCTION("""COMPUTED_VALUE""")," ১১৩২, জালশুকা, গাংনী, মেহেরপুর ")</f>
        <v> ১১৩২, জালশুকা, গাংনী, মেহেরপুর </v>
      </c>
    </row>
    <row r="653" ht="15.75" customHeight="1">
      <c r="A653" s="3" t="s">
        <v>3772</v>
      </c>
      <c r="B653" s="3">
        <f>IFERROR(__xludf.DUMMYFUNCTION("SPLIT(A653,""|"")"),829.0)</f>
        <v>829</v>
      </c>
      <c r="C653" s="3" t="str">
        <f>IFERROR(__xludf.DUMMYFUNCTION("""COMPUTED_VALUE""")," মো: সাইফুল ")</f>
        <v> মো: সাইফুল </v>
      </c>
      <c r="D653" s="3">
        <f>IFERROR(__xludf.DUMMYFUNCTION("""COMPUTED_VALUE"""),5.700565444685E12)</f>
        <v>5700565444685</v>
      </c>
      <c r="E653" s="3" t="str">
        <f>IFERROR(__xludf.DUMMYFUNCTION("""COMPUTED_VALUE""")," মো: মিরাজুল ")</f>
        <v> মো: মিরাজুল </v>
      </c>
      <c r="F653" s="3" t="str">
        <f>IFERROR(__xludf.DUMMYFUNCTION("""COMPUTED_VALUE""")," ছলেহা ")</f>
        <v> ছলেহা </v>
      </c>
      <c r="G653" s="3" t="str">
        <f>IFERROR(__xludf.DUMMYFUNCTION("""COMPUTED_VALUE""")," ০২/০৫/১৯৯০ ")</f>
        <v> ০২/০৫/১৯৯০ </v>
      </c>
      <c r="H653" s="3" t="str">
        <f>IFERROR(__xludf.DUMMYFUNCTION("""COMPUTED_VALUE""")," প্রবাসী ")</f>
        <v> প্রবাসী </v>
      </c>
      <c r="I653" s="3" t="str">
        <f>IFERROR(__xludf.DUMMYFUNCTION("""COMPUTED_VALUE""")," জালশুকা, গাংনী, মেহেরপুর ")</f>
        <v> জালশুকা, গাংনী, মেহেরপুর </v>
      </c>
    </row>
    <row r="654" ht="15.75" customHeight="1">
      <c r="A654" s="3" t="s">
        <v>3773</v>
      </c>
      <c r="B654" s="3">
        <f>IFERROR(__xludf.DUMMYFUNCTION("SPLIT(A654,""|"")"),830.0)</f>
        <v>830</v>
      </c>
      <c r="C654" s="3" t="str">
        <f>IFERROR(__xludf.DUMMYFUNCTION("""COMPUTED_VALUE""")," মো: আরিফুল ইসলাম ")</f>
        <v> মো: আরিফুল ইসলাম </v>
      </c>
      <c r="D654" s="3">
        <f>IFERROR(__xludf.DUMMYFUNCTION("""COMPUTED_VALUE"""),5.700565444686E12)</f>
        <v>5700565444686</v>
      </c>
      <c r="E654" s="3" t="str">
        <f>IFERROR(__xludf.DUMMYFUNCTION("""COMPUTED_VALUE""")," মো: রেজাউল ")</f>
        <v> মো: রেজাউল </v>
      </c>
      <c r="F654" s="3" t="str">
        <f>IFERROR(__xludf.DUMMYFUNCTION("""COMPUTED_VALUE""")," মৃত মিনা খাতুন ")</f>
        <v> মৃত মিনা খাতুন </v>
      </c>
      <c r="G654" s="3" t="str">
        <f>IFERROR(__xludf.DUMMYFUNCTION("""COMPUTED_VALUE""")," ০১/০১/২০০২ ")</f>
        <v> ০১/০১/২০০২ </v>
      </c>
      <c r="H654" s="3" t="str">
        <f>IFERROR(__xludf.DUMMYFUNCTION("""COMPUTED_VALUE""")," কৃষক ")</f>
        <v> কৃষক </v>
      </c>
      <c r="I654" s="3" t="str">
        <f>IFERROR(__xludf.DUMMYFUNCTION("""COMPUTED_VALUE""")," জালশুকা, গাংনী, মেহেরপুর ")</f>
        <v> জালশুকা, গাংনী, মেহেরপুর </v>
      </c>
    </row>
    <row r="655" ht="15.75" customHeight="1">
      <c r="A655" s="3" t="s">
        <v>3774</v>
      </c>
      <c r="B655" s="3">
        <f>IFERROR(__xludf.DUMMYFUNCTION("SPLIT(A655,""|"")"),831.0)</f>
        <v>831</v>
      </c>
      <c r="C655" s="3" t="str">
        <f>IFERROR(__xludf.DUMMYFUNCTION("""COMPUTED_VALUE""")," মো: সজিব হোসেন ")</f>
        <v> মো: সজিব হোসেন </v>
      </c>
      <c r="D655" s="3">
        <f>IFERROR(__xludf.DUMMYFUNCTION("""COMPUTED_VALUE"""),5.700565444687E12)</f>
        <v>5700565444687</v>
      </c>
      <c r="E655" s="3" t="str">
        <f>IFERROR(__xludf.DUMMYFUNCTION("""COMPUTED_VALUE""")," মো: নজরুল ইসলাম ")</f>
        <v> মো: নজরুল ইসলাম </v>
      </c>
      <c r="F655" s="3" t="str">
        <f>IFERROR(__xludf.DUMMYFUNCTION("""COMPUTED_VALUE""")," মোছা: বানেয়া খাতুন ")</f>
        <v> মোছা: বানেয়া খাতুন </v>
      </c>
      <c r="G655" s="3" t="str">
        <f>IFERROR(__xludf.DUMMYFUNCTION("""COMPUTED_VALUE""")," ০৮/০২/২০০৩ ")</f>
        <v> ০৮/০২/২০০৩ </v>
      </c>
      <c r="H655" s="3" t="str">
        <f>IFERROR(__xludf.DUMMYFUNCTION("""COMPUTED_VALUE""")," মিস্ত্রী ")</f>
        <v> মিস্ত্রী </v>
      </c>
      <c r="I655" s="3" t="str">
        <f>IFERROR(__xludf.DUMMYFUNCTION("""COMPUTED_VALUE""")," জালশুকা, গাংনী, মেহেরপুর ")</f>
        <v> জালশুকা, গাংনী, মেহেরপুর </v>
      </c>
    </row>
    <row r="656" ht="15.75" customHeight="1">
      <c r="A656" s="3" t="s">
        <v>3775</v>
      </c>
      <c r="B656" s="3">
        <f>IFERROR(__xludf.DUMMYFUNCTION("SPLIT(A656,""|"")"),832.0)</f>
        <v>832</v>
      </c>
      <c r="C656" s="3" t="str">
        <f>IFERROR(__xludf.DUMMYFUNCTION("""COMPUTED_VALUE""")," মো: শাহজান আলী ")</f>
        <v> মো: শাহজান আলী </v>
      </c>
      <c r="D656" s="3">
        <f>IFERROR(__xludf.DUMMYFUNCTION("""COMPUTED_VALUE"""),5.700565444688E12)</f>
        <v>5700565444688</v>
      </c>
      <c r="E656" s="3" t="str">
        <f>IFERROR(__xludf.DUMMYFUNCTION("""COMPUTED_VALUE""")," মো: মোকসেদ আলী ")</f>
        <v> মো: মোকসেদ আলী </v>
      </c>
      <c r="F656" s="3" t="str">
        <f>IFERROR(__xludf.DUMMYFUNCTION("""COMPUTED_VALUE""")," মোছা: শাহনাজ খাতুন ")</f>
        <v> মোছা: শাহনাজ খাতুন </v>
      </c>
      <c r="G656" s="3" t="str">
        <f>IFERROR(__xludf.DUMMYFUNCTION("""COMPUTED_VALUE""")," ২৬/১১/১৯৯৫ ")</f>
        <v> ২৬/১১/১৯৯৫ </v>
      </c>
      <c r="H656" s="3" t="str">
        <f>IFERROR(__xludf.DUMMYFUNCTION("""COMPUTED_VALUE""")," কৃষক ")</f>
        <v> কৃষক </v>
      </c>
      <c r="I656" s="3" t="str">
        <f>IFERROR(__xludf.DUMMYFUNCTION("""COMPUTED_VALUE""")," জালশুকা, গাংনী, মেহেরপুর ")</f>
        <v> জালশুকা, গাংনী, মেহেরপুর </v>
      </c>
    </row>
    <row r="657" ht="15.75" customHeight="1">
      <c r="A657" s="3" t="s">
        <v>3776</v>
      </c>
      <c r="B657" s="3">
        <f>IFERROR(__xludf.DUMMYFUNCTION("SPLIT(A657,""|"")"),833.0)</f>
        <v>833</v>
      </c>
      <c r="C657" s="3" t="str">
        <f>IFERROR(__xludf.DUMMYFUNCTION("""COMPUTED_VALUE""")," মো: মাসুদ মিয়া ")</f>
        <v> মো: মাসুদ মিয়া </v>
      </c>
      <c r="D657" s="3">
        <f>IFERROR(__xludf.DUMMYFUNCTION("""COMPUTED_VALUE"""),5.700565444689E12)</f>
        <v>5700565444689</v>
      </c>
      <c r="E657" s="3" t="str">
        <f>IFERROR(__xludf.DUMMYFUNCTION("""COMPUTED_VALUE""")," মো: মুনসাদ আলী ")</f>
        <v> মো: মুনসাদ আলী </v>
      </c>
      <c r="F657" s="3" t="str">
        <f>IFERROR(__xludf.DUMMYFUNCTION("""COMPUTED_VALUE""")," মোছা: মাছুরা খাতুন ")</f>
        <v> মোছা: মাছুরা খাতুন </v>
      </c>
      <c r="G657" s="3" t="str">
        <f>IFERROR(__xludf.DUMMYFUNCTION("""COMPUTED_VALUE""")," ০১/০৯/২০০৩ ")</f>
        <v> ০১/০৯/২০০৩ </v>
      </c>
      <c r="H657" s="3" t="str">
        <f>IFERROR(__xludf.DUMMYFUNCTION("""COMPUTED_VALUE""")," ছাত্র/ছাত্রী ")</f>
        <v> ছাত্র/ছাত্রী </v>
      </c>
      <c r="I657" s="3" t="str">
        <f>IFERROR(__xludf.DUMMYFUNCTION("""COMPUTED_VALUE""")," জালশুকা, গাংনী, মেহেরপুর ")</f>
        <v> জালশুকা, গাংনী, মেহেরপুর </v>
      </c>
    </row>
    <row r="658" ht="15.75" customHeight="1">
      <c r="A658" s="3" t="s">
        <v>3777</v>
      </c>
      <c r="B658" s="3">
        <f>IFERROR(__xludf.DUMMYFUNCTION("SPLIT(A658,""|"")"),834.0)</f>
        <v>834</v>
      </c>
      <c r="C658" s="3" t="str">
        <f>IFERROR(__xludf.DUMMYFUNCTION("""COMPUTED_VALUE""")," মো: মিজানুর রহমান ")</f>
        <v> মো: মিজানুর রহমান </v>
      </c>
      <c r="D658" s="3">
        <f>IFERROR(__xludf.DUMMYFUNCTION("""COMPUTED_VALUE"""),5.70056544469E12)</f>
        <v>5700565444690</v>
      </c>
      <c r="E658" s="3" t="str">
        <f>IFERROR(__xludf.DUMMYFUNCTION("""COMPUTED_VALUE""")," মো: মহাবুল হক ")</f>
        <v> মো: মহাবুল হক </v>
      </c>
      <c r="F658" s="3" t="str">
        <f>IFERROR(__xludf.DUMMYFUNCTION("""COMPUTED_VALUE""")," মোছা: আংগুরা খাতুন ")</f>
        <v> মোছা: আংগুরা খাতুন </v>
      </c>
      <c r="G658" s="3" t="str">
        <f>IFERROR(__xludf.DUMMYFUNCTION("""COMPUTED_VALUE""")," ১২/০৩/২০০৩ ")</f>
        <v> ১২/০৩/২০০৩ </v>
      </c>
      <c r="H658" s="3" t="str">
        <f>IFERROR(__xludf.DUMMYFUNCTION("""COMPUTED_VALUE""")," ছাত্র/ছাত্রী ")</f>
        <v> ছাত্র/ছাত্রী </v>
      </c>
      <c r="I658" s="3" t="str">
        <f>IFERROR(__xludf.DUMMYFUNCTION("""COMPUTED_VALUE""")," জালশুকা, গাংনী, মেহেরপুর ")</f>
        <v> জালশুকা, গাংনী, মেহেরপুর </v>
      </c>
    </row>
    <row r="659" ht="15.75" customHeight="1">
      <c r="A659" s="3" t="s">
        <v>3778</v>
      </c>
      <c r="B659" s="3">
        <f>IFERROR(__xludf.DUMMYFUNCTION("SPLIT(A659,""|"")"),835.0)</f>
        <v>835</v>
      </c>
      <c r="C659" s="3" t="str">
        <f>IFERROR(__xludf.DUMMYFUNCTION("""COMPUTED_VALUE""")," মো: রায়হান আলী ")</f>
        <v> মো: রায়হান আলী </v>
      </c>
      <c r="D659" s="3">
        <f>IFERROR(__xludf.DUMMYFUNCTION("""COMPUTED_VALUE"""),5.700565444697E12)</f>
        <v>5700565444697</v>
      </c>
      <c r="E659" s="3" t="str">
        <f>IFERROR(__xludf.DUMMYFUNCTION("""COMPUTED_VALUE""")," মো: জামাত আলী ")</f>
        <v> মো: জামাত আলী </v>
      </c>
      <c r="F659" s="3" t="str">
        <f>IFERROR(__xludf.DUMMYFUNCTION("""COMPUTED_VALUE""")," মোছা: ছালিমা খাতুন ")</f>
        <v> মোছা: ছালিমা খাতুন </v>
      </c>
      <c r="G659" s="3" t="str">
        <f>IFERROR(__xludf.DUMMYFUNCTION("""COMPUTED_VALUE""")," ০১/০৬/২০০২ ")</f>
        <v> ০১/০৬/২০০২ </v>
      </c>
      <c r="H659" s="3" t="str">
        <f>IFERROR(__xludf.DUMMYFUNCTION("""COMPUTED_VALUE""")," কৃষক ")</f>
        <v> কৃষক </v>
      </c>
      <c r="I659" s="3" t="str">
        <f>IFERROR(__xludf.DUMMYFUNCTION("""COMPUTED_VALUE""")," জালশুকা, গাংনী, মেহেরপুর ")</f>
        <v> জালশুকা, গাংনী, মেহেরপুর </v>
      </c>
    </row>
    <row r="660" ht="15.75" customHeight="1">
      <c r="A660" s="3" t="s">
        <v>3779</v>
      </c>
      <c r="B660" s="3">
        <f>IFERROR(__xludf.DUMMYFUNCTION("SPLIT(A660,""|"")"),836.0)</f>
        <v>836</v>
      </c>
      <c r="C660" s="3" t="str">
        <f>IFERROR(__xludf.DUMMYFUNCTION("""COMPUTED_VALUE""")," মো: শিপন আলী ")</f>
        <v> মো: শিপন আলী </v>
      </c>
      <c r="D660" s="3">
        <f>IFERROR(__xludf.DUMMYFUNCTION("""COMPUTED_VALUE"""),5.700565444698E12)</f>
        <v>5700565444698</v>
      </c>
      <c r="E660" s="3" t="str">
        <f>IFERROR(__xludf.DUMMYFUNCTION("""COMPUTED_VALUE""")," মো: বিশারত আলী ")</f>
        <v> মো: বিশারত আলী </v>
      </c>
      <c r="F660" s="3" t="str">
        <f>IFERROR(__xludf.DUMMYFUNCTION("""COMPUTED_VALUE""")," মোছা: রিনা খাতুন ")</f>
        <v> মোছা: রিনা খাতুন </v>
      </c>
      <c r="G660" s="3" t="str">
        <f>IFERROR(__xludf.DUMMYFUNCTION("""COMPUTED_VALUE""")," ০১/০২/২০০০ ")</f>
        <v> ০১/০২/২০০০ </v>
      </c>
      <c r="H660" s="3" t="str">
        <f>IFERROR(__xludf.DUMMYFUNCTION("""COMPUTED_VALUE""")," কৃষক ")</f>
        <v> কৃষক </v>
      </c>
      <c r="I660" s="3" t="str">
        <f>IFERROR(__xludf.DUMMYFUNCTION("""COMPUTED_VALUE""")," জালশুকা, গাংনী, মেহেরপুর ")</f>
        <v> জালশুকা, গাংনী, মেহেরপুর </v>
      </c>
    </row>
    <row r="661" ht="15.75" customHeight="1">
      <c r="A661" s="3" t="s">
        <v>3780</v>
      </c>
      <c r="B661" s="3">
        <f>IFERROR(__xludf.DUMMYFUNCTION("SPLIT(A661,""|"")"),837.0)</f>
        <v>837</v>
      </c>
      <c r="C661" s="3" t="str">
        <f>IFERROR(__xludf.DUMMYFUNCTION("""COMPUTED_VALUE""")," মো: আলহামদু ")</f>
        <v> মো: আলহামদু </v>
      </c>
      <c r="D661" s="3">
        <f>IFERROR(__xludf.DUMMYFUNCTION("""COMPUTED_VALUE"""),5.700565444699E12)</f>
        <v>5700565444699</v>
      </c>
      <c r="E661" s="3" t="str">
        <f>IFERROR(__xludf.DUMMYFUNCTION("""COMPUTED_VALUE""")," মো: নওশাদ আলী ")</f>
        <v> মো: নওশাদ আলী </v>
      </c>
      <c r="F661" s="3" t="str">
        <f>IFERROR(__xludf.DUMMYFUNCTION("""COMPUTED_VALUE""")," মোছা: ববিতা খাতুন ")</f>
        <v> মোছা: ববিতা খাতুন </v>
      </c>
      <c r="G661" s="3" t="str">
        <f>IFERROR(__xludf.DUMMYFUNCTION("""COMPUTED_VALUE""")," ০১/০১/২০০৪ ")</f>
        <v> ০১/০১/২০০৪ </v>
      </c>
      <c r="H661" s="3" t="str">
        <f>IFERROR(__xludf.DUMMYFUNCTION("""COMPUTED_VALUE""")," ছাত্র/ছাত্রী ")</f>
        <v> ছাত্র/ছাত্রী </v>
      </c>
      <c r="I661" s="3" t="str">
        <f>IFERROR(__xludf.DUMMYFUNCTION("""COMPUTED_VALUE""")," ৮২৬, জালশুকা, গাংনী, মেহেরপুর ")</f>
        <v> ৮২৬, জালশুকা, গাংনী, মেহেরপুর </v>
      </c>
    </row>
    <row r="662" ht="15.75" customHeight="1">
      <c r="A662" s="3" t="s">
        <v>3781</v>
      </c>
      <c r="B662" s="3">
        <f>IFERROR(__xludf.DUMMYFUNCTION("SPLIT(A662,""|"")"),838.0)</f>
        <v>838</v>
      </c>
      <c r="C662" s="3" t="str">
        <f>IFERROR(__xludf.DUMMYFUNCTION("""COMPUTED_VALUE""")," মো: জুবায়ের আলী ")</f>
        <v> মো: জুবায়ের আলী </v>
      </c>
      <c r="D662" s="3">
        <f>IFERROR(__xludf.DUMMYFUNCTION("""COMPUTED_VALUE"""),5.7005654447E12)</f>
        <v>5700565444700</v>
      </c>
      <c r="E662" s="3" t="str">
        <f>IFERROR(__xludf.DUMMYFUNCTION("""COMPUTED_VALUE""")," জিনারুল ইসলাম ")</f>
        <v> জিনারুল ইসলাম </v>
      </c>
      <c r="F662" s="3" t="str">
        <f>IFERROR(__xludf.DUMMYFUNCTION("""COMPUTED_VALUE""")," মোছা: বেদেনা খাতুন ")</f>
        <v> মোছা: বেদেনা খাতুন </v>
      </c>
      <c r="G662" s="3" t="str">
        <f>IFERROR(__xludf.DUMMYFUNCTION("""COMPUTED_VALUE""")," ১০/০২/২০০২ ")</f>
        <v> ১০/০২/২০০২ </v>
      </c>
      <c r="H662" s="3" t="str">
        <f>IFERROR(__xludf.DUMMYFUNCTION("""COMPUTED_VALUE""")," কৃষক ")</f>
        <v> কৃষক </v>
      </c>
      <c r="I662" s="3" t="str">
        <f>IFERROR(__xludf.DUMMYFUNCTION("""COMPUTED_VALUE""")," জালশুকা, গাংনী, মেহেরপুর ")</f>
        <v> জালশুকা, গাংনী, মেহেরপুর </v>
      </c>
    </row>
    <row r="663" ht="15.75" customHeight="1">
      <c r="A663" s="3" t="s">
        <v>3782</v>
      </c>
      <c r="B663" s="3">
        <f>IFERROR(__xludf.DUMMYFUNCTION("SPLIT(A663,""|"")"),839.0)</f>
        <v>839</v>
      </c>
      <c r="C663" s="3" t="str">
        <f>IFERROR(__xludf.DUMMYFUNCTION("""COMPUTED_VALUE""")," মো: বিপুল হোসেন ")</f>
        <v> মো: বিপুল হোসেন </v>
      </c>
      <c r="D663" s="3">
        <f>IFERROR(__xludf.DUMMYFUNCTION("""COMPUTED_VALUE"""),5.700565000514E12)</f>
        <v>5700565000514</v>
      </c>
      <c r="E663" s="3" t="str">
        <f>IFERROR(__xludf.DUMMYFUNCTION("""COMPUTED_VALUE""")," মো: বাবুল হোসেন ")</f>
        <v> মো: বাবুল হোসেন </v>
      </c>
      <c r="F663" s="3" t="str">
        <f>IFERROR(__xludf.DUMMYFUNCTION("""COMPUTED_VALUE""")," মোছা: ডলিয়ার খাতুন ")</f>
        <v> মোছা: ডলিয়ার খাতুন </v>
      </c>
      <c r="G663" s="3" t="str">
        <f>IFERROR(__xludf.DUMMYFUNCTION("""COMPUTED_VALUE""")," ০৪/০৩/২০০৪ ")</f>
        <v> ০৪/০৩/২০০৪ </v>
      </c>
      <c r="H663" s="3" t="str">
        <f>IFERROR(__xludf.DUMMYFUNCTION("""COMPUTED_VALUE""")," ছাত্র/ছাত্রী ")</f>
        <v> ছাত্র/ছাত্রী </v>
      </c>
      <c r="I663" s="3" t="str">
        <f>IFERROR(__xludf.DUMMYFUNCTION("""COMPUTED_VALUE""")," জালশুকা, গাংনী, মেহেরপুর ")</f>
        <v> জালশুকা, গাংনী, মেহেরপুর </v>
      </c>
    </row>
    <row r="664" ht="15.75" customHeight="1">
      <c r="A664" s="3" t="s">
        <v>3783</v>
      </c>
      <c r="B664" s="3">
        <f>IFERROR(__xludf.DUMMYFUNCTION("SPLIT(A664,""|"")"),840.0)</f>
        <v>840</v>
      </c>
      <c r="C664" s="3" t="str">
        <f>IFERROR(__xludf.DUMMYFUNCTION("""COMPUTED_VALUE""")," মো: সাব্বির আহমদ ")</f>
        <v> মো: সাব্বির আহমদ </v>
      </c>
      <c r="D664" s="3">
        <f>IFERROR(__xludf.DUMMYFUNCTION("""COMPUTED_VALUE"""),5.700565000529E12)</f>
        <v>5700565000529</v>
      </c>
      <c r="E664" s="3" t="str">
        <f>IFERROR(__xludf.DUMMYFUNCTION("""COMPUTED_VALUE""")," মো: আতিয়ার রহমান ")</f>
        <v> মো: আতিয়ার রহমান </v>
      </c>
      <c r="F664" s="3" t="str">
        <f>IFERROR(__xludf.DUMMYFUNCTION("""COMPUTED_VALUE""")," মোছা: সাহেরা খাতুন ")</f>
        <v> মোছা: সাহেরা খাতুন </v>
      </c>
      <c r="G664" s="3" t="str">
        <f>IFERROR(__xludf.DUMMYFUNCTION("""COMPUTED_VALUE""")," ০৫/০৬/২০০৫ ")</f>
        <v> ০৫/০৬/২০০৫ </v>
      </c>
      <c r="H664" s="3" t="str">
        <f>IFERROR(__xludf.DUMMYFUNCTION("""COMPUTED_VALUE""")," কৃষক ")</f>
        <v> কৃষক </v>
      </c>
      <c r="I664" s="3" t="str">
        <f>IFERROR(__xludf.DUMMYFUNCTION("""COMPUTED_VALUE""")," জালশুকা, গাংনী, মেহেরপুর ")</f>
        <v> জালশুকা, গাংনী, মেহেরপুর </v>
      </c>
    </row>
    <row r="665" ht="15.75" customHeight="1">
      <c r="A665" s="3" t="s">
        <v>3784</v>
      </c>
      <c r="B665" s="3">
        <f>IFERROR(__xludf.DUMMYFUNCTION("SPLIT(A665,""|"")"),841.0)</f>
        <v>841</v>
      </c>
      <c r="C665" s="3" t="str">
        <f>IFERROR(__xludf.DUMMYFUNCTION("""COMPUTED_VALUE""")," মো: ফরজ আলী ")</f>
        <v> মো: ফরজ আলী </v>
      </c>
      <c r="D665" s="3">
        <f>IFERROR(__xludf.DUMMYFUNCTION("""COMPUTED_VALUE"""),5.700565000544E12)</f>
        <v>5700565000544</v>
      </c>
      <c r="E665" s="3" t="str">
        <f>IFERROR(__xludf.DUMMYFUNCTION("""COMPUTED_VALUE""")," মো: আবু শাহিন ")</f>
        <v> মো: আবু শাহিন </v>
      </c>
      <c r="F665" s="3" t="str">
        <f>IFERROR(__xludf.DUMMYFUNCTION("""COMPUTED_VALUE""")," মোছা: শিল্পীয়ারা খাতুন ")</f>
        <v> মোছা: শিল্পীয়ারা খাতুন </v>
      </c>
      <c r="G665" s="3" t="str">
        <f>IFERROR(__xludf.DUMMYFUNCTION("""COMPUTED_VALUE""")," ৩০/১২/২০০৬ ")</f>
        <v> ৩০/১২/২০০৬ </v>
      </c>
      <c r="H665" s="3" t="str">
        <f>IFERROR(__xludf.DUMMYFUNCTION("""COMPUTED_VALUE""")," কৃষক ")</f>
        <v> কৃষক </v>
      </c>
      <c r="I665" s="3" t="str">
        <f>IFERROR(__xludf.DUMMYFUNCTION("""COMPUTED_VALUE""")," জালশুকা, গাংনী, মেহেরপুর ")</f>
        <v> জালশুকা, গাংনী, মেহেরপুর </v>
      </c>
    </row>
    <row r="666" ht="15.75" customHeight="1">
      <c r="A666" s="3" t="s">
        <v>3785</v>
      </c>
      <c r="B666" s="3">
        <f>IFERROR(__xludf.DUMMYFUNCTION("SPLIT(A666,""|"")"),842.0)</f>
        <v>842</v>
      </c>
      <c r="C666" s="3" t="str">
        <f>IFERROR(__xludf.DUMMYFUNCTION("""COMPUTED_VALUE""")," মো: পারভেজ হোসেন ")</f>
        <v> মো: পারভেজ হোসেন </v>
      </c>
      <c r="D666" s="3">
        <f>IFERROR(__xludf.DUMMYFUNCTION("""COMPUTED_VALUE"""),5.700565444703E12)</f>
        <v>5700565444703</v>
      </c>
      <c r="E666" s="3" t="str">
        <f>IFERROR(__xludf.DUMMYFUNCTION("""COMPUTED_VALUE""")," মো: শহিদুল ")</f>
        <v> মো: শহিদুল </v>
      </c>
      <c r="F666" s="3" t="str">
        <f>IFERROR(__xludf.DUMMYFUNCTION("""COMPUTED_VALUE""")," মোছা: পারভিনা খাতুন ")</f>
        <v> মোছা: পারভিনা খাতুন </v>
      </c>
      <c r="G666" s="3" t="str">
        <f>IFERROR(__xludf.DUMMYFUNCTION("""COMPUTED_VALUE""")," ০১/০১/২০০২ ")</f>
        <v> ০১/০১/২০০২ </v>
      </c>
      <c r="H666" s="3" t="str">
        <f>IFERROR(__xludf.DUMMYFUNCTION("""COMPUTED_VALUE""")," ছাত্র/ছাত্রী ")</f>
        <v> ছাত্র/ছাত্রী </v>
      </c>
      <c r="I666" s="3" t="str">
        <f>IFERROR(__xludf.DUMMYFUNCTION("""COMPUTED_VALUE""")," জালশুকা, গাংনী, মেহেরপুর ")</f>
        <v> জালশুকা, গাংনী, মেহেরপুর </v>
      </c>
    </row>
    <row r="667" ht="15.75" customHeight="1">
      <c r="A667" s="3" t="s">
        <v>3786</v>
      </c>
      <c r="B667" s="3">
        <f>IFERROR(__xludf.DUMMYFUNCTION("SPLIT(A667,""|"")"),843.0)</f>
        <v>843</v>
      </c>
      <c r="C667" s="3" t="str">
        <f>IFERROR(__xludf.DUMMYFUNCTION("""COMPUTED_VALUE""")," মো: পারভেজ ")</f>
        <v> মো: পারভেজ </v>
      </c>
      <c r="D667" s="3">
        <f>IFERROR(__xludf.DUMMYFUNCTION("""COMPUTED_VALUE"""),5.700565444708E12)</f>
        <v>5700565444708</v>
      </c>
      <c r="E667" s="3" t="str">
        <f>IFERROR(__xludf.DUMMYFUNCTION("""COMPUTED_VALUE""")," মো: মোশারফ ")</f>
        <v> মো: মোশারফ </v>
      </c>
      <c r="F667" s="3" t="str">
        <f>IFERROR(__xludf.DUMMYFUNCTION("""COMPUTED_VALUE""")," মোছা: পারিছা খাতুন ")</f>
        <v> মোছা: পারিছা খাতুন </v>
      </c>
      <c r="G667" s="3" t="str">
        <f>IFERROR(__xludf.DUMMYFUNCTION("""COMPUTED_VALUE""")," ০১/০১/১৯৯৫ ")</f>
        <v> ০১/০১/১৯৯৫ </v>
      </c>
      <c r="H667" s="3" t="str">
        <f>IFERROR(__xludf.DUMMYFUNCTION("""COMPUTED_VALUE""")," শ্রমিক ")</f>
        <v> শ্রমিক </v>
      </c>
      <c r="I667" s="3" t="str">
        <f>IFERROR(__xludf.DUMMYFUNCTION("""COMPUTED_VALUE""")," জালশুকা, গাংনী, মেহেরপুর ")</f>
        <v> জালশুকা, গাংনী, মেহেরপুর </v>
      </c>
    </row>
    <row r="668" ht="15.75" customHeight="1">
      <c r="A668" s="3" t="s">
        <v>3787</v>
      </c>
      <c r="B668" s="3">
        <f>IFERROR(__xludf.DUMMYFUNCTION("SPLIT(A668,""|"")"),844.0)</f>
        <v>844</v>
      </c>
      <c r="C668" s="3" t="str">
        <f>IFERROR(__xludf.DUMMYFUNCTION("""COMPUTED_VALUE""")," মোহামাদ রাকিব রেজা ")</f>
        <v> মোহামাদ রাকিব রেজা </v>
      </c>
      <c r="D668" s="3">
        <f>IFERROR(__xludf.DUMMYFUNCTION("""COMPUTED_VALUE"""),5.700565000539E12)</f>
        <v>5700565000539</v>
      </c>
      <c r="E668" s="3" t="str">
        <f>IFERROR(__xludf.DUMMYFUNCTION("""COMPUTED_VALUE""")," সিরাজুল হক ")</f>
        <v> সিরাজুল হক </v>
      </c>
      <c r="F668" s="3" t="str">
        <f>IFERROR(__xludf.DUMMYFUNCTION("""COMPUTED_VALUE""")," রওশনারা খাতুন ")</f>
        <v> রওশনারা খাতুন </v>
      </c>
      <c r="G668" s="3" t="str">
        <f>IFERROR(__xludf.DUMMYFUNCTION("""COMPUTED_VALUE""")," ১২/১০/১৯৯০ ")</f>
        <v> ১২/১০/১৯৯০ </v>
      </c>
      <c r="H668" s="3" t="str">
        <f>IFERROR(__xludf.DUMMYFUNCTION("""COMPUTED_VALUE""")," শ্রমিক ")</f>
        <v> শ্রমিক </v>
      </c>
      <c r="I668" s="3" t="str">
        <f>IFERROR(__xludf.DUMMYFUNCTION("""COMPUTED_VALUE""")," ৯৭১, জালশুকা, গাংনী, মেহেরপুর ")</f>
        <v> ৯৭১, জালশুকা, গাংনী, মেহেরপুর </v>
      </c>
    </row>
    <row r="669" ht="15.75" customHeight="1">
      <c r="A669" s="3" t="s">
        <v>3788</v>
      </c>
      <c r="B669" s="3">
        <f>IFERROR(__xludf.DUMMYFUNCTION("SPLIT(A669,""|"")"),845.0)</f>
        <v>845</v>
      </c>
      <c r="C669" s="3" t="str">
        <f>IFERROR(__xludf.DUMMYFUNCTION("""COMPUTED_VALUE""")," মো: রকিবুল হক ")</f>
        <v> মো: রকিবুল হক </v>
      </c>
      <c r="D669" s="3">
        <f>IFERROR(__xludf.DUMMYFUNCTION("""COMPUTED_VALUE"""),5.70056500054E12)</f>
        <v>5700565000540</v>
      </c>
      <c r="E669" s="3" t="str">
        <f>IFERROR(__xludf.DUMMYFUNCTION("""COMPUTED_VALUE""")," মোহা: আশাদুল ")</f>
        <v> মোহা: আশাদুল </v>
      </c>
      <c r="F669" s="3" t="str">
        <f>IFERROR(__xludf.DUMMYFUNCTION("""COMPUTED_VALUE""")," মোহা: চাইনা খাতুন ")</f>
        <v> মোহা: চাইনা খাতুন </v>
      </c>
      <c r="G669" s="3" t="str">
        <f>IFERROR(__xludf.DUMMYFUNCTION("""COMPUTED_VALUE""")," ১৫/০২/১৯৯৬ ")</f>
        <v> ১৫/০২/১৯৯৬ </v>
      </c>
      <c r="H669" s="3" t="str">
        <f>IFERROR(__xludf.DUMMYFUNCTION("""COMPUTED_VALUE""")," কৃষক ")</f>
        <v> কৃষক </v>
      </c>
      <c r="I669" s="3" t="str">
        <f>IFERROR(__xludf.DUMMYFUNCTION("""COMPUTED_VALUE""")," জালশুকা, গাংনী, মেহেরপুর ")</f>
        <v> জালশুকা, গাংনী, মেহেরপুর </v>
      </c>
    </row>
    <row r="670" ht="15.75" customHeight="1">
      <c r="A670" s="3" t="s">
        <v>3789</v>
      </c>
      <c r="B670" s="3">
        <f>IFERROR(__xludf.DUMMYFUNCTION("SPLIT(A670,""|"")"),846.0)</f>
        <v>846</v>
      </c>
      <c r="C670" s="3" t="str">
        <f>IFERROR(__xludf.DUMMYFUNCTION("""COMPUTED_VALUE""")," মো: সুমন আলী ")</f>
        <v> মো: সুমন আলী </v>
      </c>
      <c r="D670" s="3">
        <f>IFERROR(__xludf.DUMMYFUNCTION("""COMPUTED_VALUE"""),5.700565444711E12)</f>
        <v>5700565444711</v>
      </c>
      <c r="E670" s="3" t="str">
        <f>IFERROR(__xludf.DUMMYFUNCTION("""COMPUTED_VALUE""")," মো: আনুছদ্দিন ")</f>
        <v> মো: আনুছদ্দিন </v>
      </c>
      <c r="F670" s="3" t="str">
        <f>IFERROR(__xludf.DUMMYFUNCTION("""COMPUTED_VALUE""")," মোছা: ফিরোজা খাতুন ")</f>
        <v> মোছা: ফিরোজা খাতুন </v>
      </c>
      <c r="G670" s="3" t="str">
        <f>IFERROR(__xludf.DUMMYFUNCTION("""COMPUTED_VALUE""")," ২৫/০২/২০০৪ ")</f>
        <v> ২৫/০২/২০০৪ </v>
      </c>
      <c r="H670" s="3" t="str">
        <f>IFERROR(__xludf.DUMMYFUNCTION("""COMPUTED_VALUE""")," শ্রমিক ")</f>
        <v> শ্রমিক </v>
      </c>
      <c r="I670" s="3" t="str">
        <f>IFERROR(__xludf.DUMMYFUNCTION("""COMPUTED_VALUE""")," জালশুকা, গাংনী, মেহেরপুর ")</f>
        <v> জালশুকা, গাংনী, মেহেরপুর </v>
      </c>
    </row>
    <row r="671" ht="15.75" customHeight="1">
      <c r="A671" s="3" t="s">
        <v>3790</v>
      </c>
      <c r="B671" s="3">
        <f>IFERROR(__xludf.DUMMYFUNCTION("SPLIT(A671,""|"")"),847.0)</f>
        <v>847</v>
      </c>
      <c r="C671" s="3" t="str">
        <f>IFERROR(__xludf.DUMMYFUNCTION("""COMPUTED_VALUE""")," সাকিল আহমেদ ")</f>
        <v> সাকিল আহমেদ </v>
      </c>
      <c r="D671" s="3">
        <f>IFERROR(__xludf.DUMMYFUNCTION("""COMPUTED_VALUE"""),5.700565444712E12)</f>
        <v>5700565444712</v>
      </c>
      <c r="E671" s="3" t="str">
        <f>IFERROR(__xludf.DUMMYFUNCTION("""COMPUTED_VALUE""")," মো: রইছউদ্দিন ")</f>
        <v> মো: রইছউদ্দিন </v>
      </c>
      <c r="F671" s="3" t="str">
        <f>IFERROR(__xludf.DUMMYFUNCTION("""COMPUTED_VALUE""")," মোছা: সুবারোন ")</f>
        <v> মোছা: সুবারোন </v>
      </c>
      <c r="G671" s="3" t="str">
        <f>IFERROR(__xludf.DUMMYFUNCTION("""COMPUTED_VALUE""")," ১৮/০১/২০০৪ ")</f>
        <v> ১৮/০১/২০০৪ </v>
      </c>
      <c r="H671" s="3" t="str">
        <f>IFERROR(__xludf.DUMMYFUNCTION("""COMPUTED_VALUE""")," শ্রমিক ")</f>
        <v> শ্রমিক </v>
      </c>
      <c r="I671" s="3" t="str">
        <f>IFERROR(__xludf.DUMMYFUNCTION("""COMPUTED_VALUE""")," জালশুকা, গাংনী, মেহেরপুর ")</f>
        <v> জালশুকা, গাংনী, মেহেরপুর </v>
      </c>
    </row>
    <row r="672" ht="15.75" customHeight="1">
      <c r="A672" s="3" t="s">
        <v>3791</v>
      </c>
      <c r="B672" s="3">
        <f>IFERROR(__xludf.DUMMYFUNCTION("SPLIT(A672,""|"")"),848.0)</f>
        <v>848</v>
      </c>
      <c r="C672" s="3" t="str">
        <f>IFERROR(__xludf.DUMMYFUNCTION("""COMPUTED_VALUE""")," মো: আরাফাত আলী ")</f>
        <v> মো: আরাফাত আলী </v>
      </c>
      <c r="D672" s="3">
        <f>IFERROR(__xludf.DUMMYFUNCTION("""COMPUTED_VALUE"""),5.700565444713E12)</f>
        <v>5700565444713</v>
      </c>
      <c r="E672" s="3" t="str">
        <f>IFERROR(__xludf.DUMMYFUNCTION("""COMPUTED_VALUE""")," মো: মোজাম্মেল ")</f>
        <v> মো: মোজাম্মেল </v>
      </c>
      <c r="F672" s="3" t="str">
        <f>IFERROR(__xludf.DUMMYFUNCTION("""COMPUTED_VALUE""")," মোছা: রাবিয়া খাতুন ")</f>
        <v> মোছা: রাবিয়া খাতুন </v>
      </c>
      <c r="G672" s="3" t="str">
        <f>IFERROR(__xludf.DUMMYFUNCTION("""COMPUTED_VALUE""")," ০১/০১/২০০৫ ")</f>
        <v> ০১/০১/২০০৫ </v>
      </c>
      <c r="H672" s="3" t="str">
        <f>IFERROR(__xludf.DUMMYFUNCTION("""COMPUTED_VALUE""")," শ্রমিক ")</f>
        <v> শ্রমিক </v>
      </c>
      <c r="I672" s="3" t="str">
        <f>IFERROR(__xludf.DUMMYFUNCTION("""COMPUTED_VALUE""")," জালশুকা, গাংনী, মেহেরপুর ")</f>
        <v> জালশুকা, গাংনী, মেহেরপুর </v>
      </c>
    </row>
    <row r="673" ht="15.75" customHeight="1">
      <c r="A673" s="3" t="s">
        <v>3792</v>
      </c>
      <c r="B673" s="3">
        <f>IFERROR(__xludf.DUMMYFUNCTION("SPLIT(A673,""|"")"),849.0)</f>
        <v>849</v>
      </c>
      <c r="C673" s="3" t="str">
        <f>IFERROR(__xludf.DUMMYFUNCTION("""COMPUTED_VALUE""")," মো: হাসান ")</f>
        <v> মো: হাসান </v>
      </c>
      <c r="D673" s="3">
        <f>IFERROR(__xludf.DUMMYFUNCTION("""COMPUTED_VALUE"""),5.70056500053E12)</f>
        <v>5700565000530</v>
      </c>
      <c r="E673" s="3" t="str">
        <f>IFERROR(__xludf.DUMMYFUNCTION("""COMPUTED_VALUE""")," মো: আবুল কাশেম ")</f>
        <v> মো: আবুল কাশেম </v>
      </c>
      <c r="F673" s="3" t="str">
        <f>IFERROR(__xludf.DUMMYFUNCTION("""COMPUTED_VALUE""")," মোছা: নুরজাহান ")</f>
        <v> মোছা: নুরজাহান </v>
      </c>
      <c r="G673" s="3" t="str">
        <f>IFERROR(__xludf.DUMMYFUNCTION("""COMPUTED_VALUE""")," ০২/০৬/২০০৩ ")</f>
        <v> ০২/০৬/২০০৩ </v>
      </c>
      <c r="H673" s="3" t="str">
        <f>IFERROR(__xludf.DUMMYFUNCTION("""COMPUTED_VALUE""")," শ্রমিক ")</f>
        <v> শ্রমিক </v>
      </c>
      <c r="I673" s="3" t="str">
        <f>IFERROR(__xludf.DUMMYFUNCTION("""COMPUTED_VALUE""")," ৯২৫, জালশুকা, গাংনী, মেহেরপুর ")</f>
        <v> ৯২৫, জালশুকা, গাংনী, মেহেরপুর </v>
      </c>
    </row>
    <row r="674" ht="15.75" customHeight="1">
      <c r="A674" s="3" t="s">
        <v>3793</v>
      </c>
      <c r="B674" s="3">
        <f>IFERROR(__xludf.DUMMYFUNCTION("SPLIT(A674,""|"")"),850.0)</f>
        <v>850</v>
      </c>
      <c r="C674" s="3" t="str">
        <f>IFERROR(__xludf.DUMMYFUNCTION("""COMPUTED_VALUE""")," মো: মুনছের ")</f>
        <v> মো: মুনছের </v>
      </c>
      <c r="D674" s="3">
        <f>IFERROR(__xludf.DUMMYFUNCTION("""COMPUTED_VALUE"""),5.700565000541E12)</f>
        <v>5700565000541</v>
      </c>
      <c r="E674" s="3" t="str">
        <f>IFERROR(__xludf.DUMMYFUNCTION("""COMPUTED_VALUE""")," মো: আকাল উদ্দিন ")</f>
        <v> মো: আকাল উদ্দিন </v>
      </c>
      <c r="F674" s="3" t="str">
        <f>IFERROR(__xludf.DUMMYFUNCTION("""COMPUTED_VALUE""")," মোছা: জাহানারা খাতুন ")</f>
        <v> মোছা: জাহানারা খাতুন </v>
      </c>
      <c r="G674" s="3" t="str">
        <f>IFERROR(__xludf.DUMMYFUNCTION("""COMPUTED_VALUE""")," ১০/০৪/১৯৮১ ")</f>
        <v> ১০/০৪/১৯৮১ </v>
      </c>
      <c r="H674" s="3" t="str">
        <f>IFERROR(__xludf.DUMMYFUNCTION("""COMPUTED_VALUE""")," কৃষক ")</f>
        <v> কৃষক </v>
      </c>
      <c r="I674" s="3" t="str">
        <f>IFERROR(__xludf.DUMMYFUNCTION("""COMPUTED_VALUE""")," জালশুকা, গাংনী, মেহেরপুর ")</f>
        <v> জালশুকা, গাংনী, মেহেরপুর </v>
      </c>
    </row>
    <row r="675" ht="15.75" customHeight="1">
      <c r="A675" s="3" t="s">
        <v>3794</v>
      </c>
      <c r="B675" s="3">
        <f>IFERROR(__xludf.DUMMYFUNCTION("SPLIT(A675,""|"")"),851.0)</f>
        <v>851</v>
      </c>
      <c r="C675" s="3" t="str">
        <f>IFERROR(__xludf.DUMMYFUNCTION("""COMPUTED_VALUE""")," শফি উদ্দীন ")</f>
        <v> শফি উদ্দীন </v>
      </c>
      <c r="D675" s="3">
        <f>IFERROR(__xludf.DUMMYFUNCTION("""COMPUTED_VALUE"""),5.70056544472E12)</f>
        <v>5700565444720</v>
      </c>
      <c r="E675" s="3" t="str">
        <f>IFERROR(__xludf.DUMMYFUNCTION("""COMPUTED_VALUE""")," ছাদেক আলী ")</f>
        <v> ছাদেক আলী </v>
      </c>
      <c r="F675" s="3" t="str">
        <f>IFERROR(__xludf.DUMMYFUNCTION("""COMPUTED_VALUE""")," হাজেরা খাতুন ")</f>
        <v> হাজেরা খাতুন </v>
      </c>
      <c r="G675" s="3" t="str">
        <f>IFERROR(__xludf.DUMMYFUNCTION("""COMPUTED_VALUE""")," ০২/০১/১৯৮৫ ")</f>
        <v> ০২/০১/১৯৮৫ </v>
      </c>
      <c r="H675" s="3" t="str">
        <f>IFERROR(__xludf.DUMMYFUNCTION("""COMPUTED_VALUE""")," শ্রমিক ")</f>
        <v> শ্রমিক </v>
      </c>
      <c r="I675" s="3" t="str">
        <f>IFERROR(__xludf.DUMMYFUNCTION("""COMPUTED_VALUE""")," ৭৭৯, জালশুকা, গাংনী, মেহেরপুর ")</f>
        <v> ৭৭৯, জালশুকা, গাংনী, মেহেরপুর </v>
      </c>
    </row>
    <row r="676" ht="15.75" customHeight="1">
      <c r="A676" s="3" t="s">
        <v>3795</v>
      </c>
      <c r="B676" s="3">
        <f>IFERROR(__xludf.DUMMYFUNCTION("SPLIT(A676,""|"")"),852.0)</f>
        <v>852</v>
      </c>
      <c r="C676" s="3" t="str">
        <f>IFERROR(__xludf.DUMMYFUNCTION("""COMPUTED_VALUE""")," মো: আতিয়ার রহমান ")</f>
        <v> মো: আতিয়ার রহমান </v>
      </c>
      <c r="D676" s="3">
        <f>IFERROR(__xludf.DUMMYFUNCTION("""COMPUTED_VALUE"""),5.700565444721E12)</f>
        <v>5700565444721</v>
      </c>
      <c r="E676" s="3" t="str">
        <f>IFERROR(__xludf.DUMMYFUNCTION("""COMPUTED_VALUE""")," ছামছের ")</f>
        <v> ছামছের </v>
      </c>
      <c r="F676" s="3" t="str">
        <f>IFERROR(__xludf.DUMMYFUNCTION("""COMPUTED_VALUE""")," মোছা: ফুলছুরাতন খাতুন ")</f>
        <v> মোছা: ফুলছুরাতন খাতুন </v>
      </c>
      <c r="G676" s="3" t="str">
        <f>IFERROR(__xludf.DUMMYFUNCTION("""COMPUTED_VALUE""")," ২০/০৪/১৯৭২ ")</f>
        <v> ২০/০৪/১৯৭২ </v>
      </c>
      <c r="H676" s="3" t="str">
        <f>IFERROR(__xludf.DUMMYFUNCTION("""COMPUTED_VALUE""")," কৃষক ")</f>
        <v> কৃষক </v>
      </c>
      <c r="I676" s="3" t="str">
        <f>IFERROR(__xludf.DUMMYFUNCTION("""COMPUTED_VALUE""")," ৭৭৯, জালশুকা, গাংনী, মেহেরপুর ")</f>
        <v> ৭৭৯, জালশুকা, গাংনী, মেহেরপুর </v>
      </c>
    </row>
    <row r="677" ht="15.75" customHeight="1">
      <c r="A677" s="3" t="s">
        <v>3796</v>
      </c>
      <c r="B677" s="3">
        <f>IFERROR(__xludf.DUMMYFUNCTION("SPLIT(A677,""|"")"),853.0)</f>
        <v>853</v>
      </c>
      <c r="C677" s="3" t="str">
        <f>IFERROR(__xludf.DUMMYFUNCTION("""COMPUTED_VALUE""")," মো: পলাশ আলী ")</f>
        <v> মো: পলাশ আলী </v>
      </c>
      <c r="D677" s="3">
        <f>IFERROR(__xludf.DUMMYFUNCTION("""COMPUTED_VALUE"""),5.700565000543E12)</f>
        <v>5700565000543</v>
      </c>
      <c r="E677" s="3" t="str">
        <f>IFERROR(__xludf.DUMMYFUNCTION("""COMPUTED_VALUE""")," মো: নাসির উদ্দীন ")</f>
        <v> মো: নাসির উদ্দীন </v>
      </c>
      <c r="F677" s="3" t="str">
        <f>IFERROR(__xludf.DUMMYFUNCTION("""COMPUTED_VALUE""")," মোছা: সাহেরা খাতুন ")</f>
        <v> মোছা: সাহেরা খাতুন </v>
      </c>
      <c r="G677" s="3" t="str">
        <f>IFERROR(__xludf.DUMMYFUNCTION("""COMPUTED_VALUE""")," ২৯/০৯/২০০৬ ")</f>
        <v> ২৯/০৯/২০০৬ </v>
      </c>
      <c r="H677" s="3" t="str">
        <f>IFERROR(__xludf.DUMMYFUNCTION("""COMPUTED_VALUE""")," বেকার ")</f>
        <v> বেকার </v>
      </c>
      <c r="I677" s="3" t="str">
        <f>IFERROR(__xludf.DUMMYFUNCTION("""COMPUTED_VALUE""")," ৮৬৭, জালশুকা, গাংনী, মেহেরপুর ")</f>
        <v> ৮৬৭, জালশুকা, গাংনী, মেহেরপুর </v>
      </c>
    </row>
    <row r="678" ht="15.75" customHeight="1">
      <c r="A678" s="3" t="s">
        <v>3797</v>
      </c>
      <c r="B678" s="3">
        <f>IFERROR(__xludf.DUMMYFUNCTION("SPLIT(A678,""|"")"),854.0)</f>
        <v>854</v>
      </c>
      <c r="C678" s="3" t="str">
        <f>IFERROR(__xludf.DUMMYFUNCTION("""COMPUTED_VALUE""")," মো: মশিউর রহমান ")</f>
        <v> মো: মশিউর রহমান </v>
      </c>
      <c r="D678" s="3">
        <f>IFERROR(__xludf.DUMMYFUNCTION("""COMPUTED_VALUE"""),5.700565444733E12)</f>
        <v>5700565444733</v>
      </c>
      <c r="E678" s="3" t="str">
        <f>IFERROR(__xludf.DUMMYFUNCTION("""COMPUTED_VALUE""")," মো: দুলাল হোসেন ")</f>
        <v> মো: দুলাল হোসেন </v>
      </c>
      <c r="F678" s="3" t="str">
        <f>IFERROR(__xludf.DUMMYFUNCTION("""COMPUTED_VALUE""")," মোছা: আরজিয়া খাতুন ")</f>
        <v> মোছা: আরজিয়া খাতুন </v>
      </c>
      <c r="G678" s="3" t="str">
        <f>IFERROR(__xludf.DUMMYFUNCTION("""COMPUTED_VALUE""")," ১০/০৫/২০০৩ ")</f>
        <v> ১০/০৫/২০০৩ </v>
      </c>
      <c r="H678" s="3" t="str">
        <f>IFERROR(__xludf.DUMMYFUNCTION("""COMPUTED_VALUE""")," শ্রমিক ")</f>
        <v> শ্রমিক </v>
      </c>
      <c r="I678" s="3" t="str">
        <f>IFERROR(__xludf.DUMMYFUNCTION("""COMPUTED_VALUE""")," ১২৫২, জালশুকা, গাংনী, মেহেরপুর ")</f>
        <v> ১২৫২, জালশুকা, গাংনী, মেহেরপুর </v>
      </c>
    </row>
    <row r="679" ht="15.75" customHeight="1">
      <c r="A679" s="3" t="s">
        <v>3798</v>
      </c>
      <c r="B679" s="3">
        <f>IFERROR(__xludf.DUMMYFUNCTION("SPLIT(A679,""|"")"),855.0)</f>
        <v>855</v>
      </c>
      <c r="C679" s="3" t="str">
        <f>IFERROR(__xludf.DUMMYFUNCTION("""COMPUTED_VALUE""")," মো: সবুজ আলী ")</f>
        <v> মো: সবুজ আলী </v>
      </c>
      <c r="D679" s="3">
        <f>IFERROR(__xludf.DUMMYFUNCTION("""COMPUTED_VALUE"""),5.700565444734E12)</f>
        <v>5700565444734</v>
      </c>
      <c r="E679" s="3" t="str">
        <f>IFERROR(__xludf.DUMMYFUNCTION("""COMPUTED_VALUE""")," মো: ইসরাফিল হোসেন ")</f>
        <v> মো: ইসরাফিল হোসেন </v>
      </c>
      <c r="F679" s="3" t="str">
        <f>IFERROR(__xludf.DUMMYFUNCTION("""COMPUTED_VALUE""")," মোছা: রোজিফা খাতুন ")</f>
        <v> মোছা: রোজিফা খাতুন </v>
      </c>
      <c r="G679" s="3" t="str">
        <f>IFERROR(__xludf.DUMMYFUNCTION("""COMPUTED_VALUE""")," ২৯/০৭/২০০৩ ")</f>
        <v> ২৯/০৭/২০০৩ </v>
      </c>
      <c r="H679" s="3" t="str">
        <f>IFERROR(__xludf.DUMMYFUNCTION("""COMPUTED_VALUE""")," শ্রমিক ")</f>
        <v> শ্রমিক </v>
      </c>
      <c r="I679" s="3" t="str">
        <f>IFERROR(__xludf.DUMMYFUNCTION("""COMPUTED_VALUE""")," ৭৯৯, জালশুকা, গাংনী, মেহেরপুর ")</f>
        <v> ৭৯৯, জালশুকা, গাংনী, মেহেরপুর </v>
      </c>
    </row>
    <row r="680" ht="15.75" customHeight="1">
      <c r="A680" s="3" t="s">
        <v>3799</v>
      </c>
      <c r="B680" s="3">
        <f>IFERROR(__xludf.DUMMYFUNCTION("SPLIT(A680,""|"")"),856.0)</f>
        <v>856</v>
      </c>
      <c r="C680" s="3" t="str">
        <f>IFERROR(__xludf.DUMMYFUNCTION("""COMPUTED_VALUE""")," মো: মুরছালিন মিয়া ")</f>
        <v> মো: মুরছালিন মিয়া </v>
      </c>
      <c r="D680" s="3">
        <f>IFERROR(__xludf.DUMMYFUNCTION("""COMPUTED_VALUE"""),5.700565444736E12)</f>
        <v>5700565444736</v>
      </c>
      <c r="E680" s="3" t="str">
        <f>IFERROR(__xludf.DUMMYFUNCTION("""COMPUTED_VALUE""")," মো: বাবুল হোসেন ")</f>
        <v> মো: বাবুল হোসেন </v>
      </c>
      <c r="F680" s="3" t="str">
        <f>IFERROR(__xludf.DUMMYFUNCTION("""COMPUTED_VALUE""")," মোছা: তহুরা খাতুন ")</f>
        <v> মোছা: তহুরা খাতুন </v>
      </c>
      <c r="G680" s="3" t="str">
        <f>IFERROR(__xludf.DUMMYFUNCTION("""COMPUTED_VALUE""")," ১০/০৫/২০০৫ ")</f>
        <v> ১০/০৫/২০০৫ </v>
      </c>
      <c r="H680" s="3" t="str">
        <f>IFERROR(__xludf.DUMMYFUNCTION("""COMPUTED_VALUE""")," কৃষক ")</f>
        <v> কৃষক </v>
      </c>
      <c r="I680" s="3" t="str">
        <f>IFERROR(__xludf.DUMMYFUNCTION("""COMPUTED_VALUE""")," জালশুকা, গাংনী, মেহেরপুর ")</f>
        <v> জালশুকা, গাংনী, মেহেরপুর </v>
      </c>
    </row>
    <row r="681" ht="15.75" customHeight="1">
      <c r="A681" s="3" t="s">
        <v>3800</v>
      </c>
      <c r="B681" s="3">
        <f>IFERROR(__xludf.DUMMYFUNCTION("SPLIT(A681,""|"")"),857.0)</f>
        <v>857</v>
      </c>
      <c r="C681" s="3" t="str">
        <f>IFERROR(__xludf.DUMMYFUNCTION("""COMPUTED_VALUE""")," মো: জিয়ারুল হক ")</f>
        <v> মো: জিয়ারুল হক </v>
      </c>
      <c r="D681" s="3">
        <f>IFERROR(__xludf.DUMMYFUNCTION("""COMPUTED_VALUE"""),5.70056544474E12)</f>
        <v>5700565444740</v>
      </c>
      <c r="E681" s="3" t="str">
        <f>IFERROR(__xludf.DUMMYFUNCTION("""COMPUTED_VALUE""")," মো: আশাদুল ইসলাম ")</f>
        <v> মো: আশাদুল ইসলাম </v>
      </c>
      <c r="F681" s="3" t="str">
        <f>IFERROR(__xludf.DUMMYFUNCTION("""COMPUTED_VALUE""")," মোছা: আনোয়ারা খাতুন ")</f>
        <v> মোছা: আনোয়ারা খাতুন </v>
      </c>
      <c r="G681" s="3" t="str">
        <f>IFERROR(__xludf.DUMMYFUNCTION("""COMPUTED_VALUE""")," ০১/০১/২০০৪ ")</f>
        <v> ০১/০১/২০০৪ </v>
      </c>
      <c r="H681" s="3" t="str">
        <f>IFERROR(__xludf.DUMMYFUNCTION("""COMPUTED_VALUE""")," কৃষক ")</f>
        <v> কৃষক </v>
      </c>
      <c r="I681" s="3" t="str">
        <f>IFERROR(__xludf.DUMMYFUNCTION("""COMPUTED_VALUE""")," জালশুকা, গাংনী, মেহেরপুর ")</f>
        <v> জালশুকা, গাংনী, মেহেরপুর </v>
      </c>
    </row>
    <row r="682" ht="15.75" customHeight="1">
      <c r="A682" s="3" t="s">
        <v>3801</v>
      </c>
      <c r="B682" s="3">
        <f>IFERROR(__xludf.DUMMYFUNCTION("SPLIT(A682,""|"")"),858.0)</f>
        <v>858</v>
      </c>
      <c r="C682" s="3" t="str">
        <f>IFERROR(__xludf.DUMMYFUNCTION("""COMPUTED_VALUE""")," রিপন ")</f>
        <v> রিপন </v>
      </c>
      <c r="D682" s="3">
        <f>IFERROR(__xludf.DUMMYFUNCTION("""COMPUTED_VALUE"""),5.70056544473E12)</f>
        <v>5700565444730</v>
      </c>
      <c r="E682" s="3" t="str">
        <f>IFERROR(__xludf.DUMMYFUNCTION("""COMPUTED_VALUE""")," মো: বিশারত ")</f>
        <v> মো: বিশারত </v>
      </c>
      <c r="F682" s="3" t="str">
        <f>IFERROR(__xludf.DUMMYFUNCTION("""COMPUTED_VALUE""")," রিনা খাতুন ")</f>
        <v> রিনা খাতুন </v>
      </c>
      <c r="G682" s="3" t="str">
        <f>IFERROR(__xludf.DUMMYFUNCTION("""COMPUTED_VALUE""")," ২২/১০/১৯৯২ ")</f>
        <v> ২২/১০/১৯৯২ </v>
      </c>
      <c r="H682" s="3" t="str">
        <f>IFERROR(__xludf.DUMMYFUNCTION("""COMPUTED_VALUE""")," শ্রমিক ")</f>
        <v> শ্রমিক </v>
      </c>
      <c r="I682" s="3" t="str">
        <f>IFERROR(__xludf.DUMMYFUNCTION("""COMPUTED_VALUE""")," জালশুকা, গাংনী, মেহেরপুর ")</f>
        <v> জালশুকা, গাংনী, মেহেরপুর </v>
      </c>
    </row>
    <row r="683" ht="15.75" customHeight="1">
      <c r="A683" s="3" t="s">
        <v>3802</v>
      </c>
      <c r="B683" s="3">
        <f>IFERROR(__xludf.DUMMYFUNCTION("SPLIT(A683,""|"")"),859.0)</f>
        <v>859</v>
      </c>
      <c r="C683" s="3" t="str">
        <f>IFERROR(__xludf.DUMMYFUNCTION("""COMPUTED_VALUE""")," উজ্জ্বল ")</f>
        <v> উজ্জ্বল </v>
      </c>
      <c r="D683" s="3">
        <f>IFERROR(__xludf.DUMMYFUNCTION("""COMPUTED_VALUE"""),5.700565444741E12)</f>
        <v>5700565444741</v>
      </c>
      <c r="E683" s="3" t="str">
        <f>IFERROR(__xludf.DUMMYFUNCTION("""COMPUTED_VALUE""")," গোলাম রসুল ")</f>
        <v> গোলাম রসুল </v>
      </c>
      <c r="F683" s="3" t="str">
        <f>IFERROR(__xludf.DUMMYFUNCTION("""COMPUTED_VALUE""")," রবিছন ")</f>
        <v> রবিছন </v>
      </c>
      <c r="G683" s="3" t="str">
        <f>IFERROR(__xludf.DUMMYFUNCTION("""COMPUTED_VALUE""")," ১১/০৪/১৯৭৭ ")</f>
        <v> ১১/০৪/১৯৭৭ </v>
      </c>
      <c r="H683" s="3" t="str">
        <f>IFERROR(__xludf.DUMMYFUNCTION("""COMPUTED_VALUE""")," কৃষক ")</f>
        <v> কৃষক </v>
      </c>
      <c r="I683" s="3" t="str">
        <f>IFERROR(__xludf.DUMMYFUNCTION("""COMPUTED_VALUE""")," জালশুকা, গাংনী, মেহেরপুর ")</f>
        <v> জালশুকা, গাংনী, মেহেরপুর </v>
      </c>
    </row>
    <row r="684" ht="15.75" customHeight="1">
      <c r="A684" s="3" t="s">
        <v>3803</v>
      </c>
      <c r="B684" s="3">
        <f>IFERROR(__xludf.DUMMYFUNCTION("SPLIT(A684,""|"")"),860.0)</f>
        <v>860</v>
      </c>
      <c r="C684" s="3" t="str">
        <f>IFERROR(__xludf.DUMMYFUNCTION("""COMPUTED_VALUE""")," মো: আশিক আহমেদ ")</f>
        <v> মো: আশিক আহমেদ </v>
      </c>
      <c r="D684" s="3">
        <f>IFERROR(__xludf.DUMMYFUNCTION("""COMPUTED_VALUE"""),5.700565444743E12)</f>
        <v>5700565444743</v>
      </c>
      <c r="E684" s="3" t="str">
        <f>IFERROR(__xludf.DUMMYFUNCTION("""COMPUTED_VALUE""")," মো: আ: আলীম ")</f>
        <v> মো: আ: আলীম </v>
      </c>
      <c r="F684" s="3" t="str">
        <f>IFERROR(__xludf.DUMMYFUNCTION("""COMPUTED_VALUE""")," মোছা: রূপালী খাতুন ")</f>
        <v> মোছা: রূপালী খাতুন </v>
      </c>
      <c r="G684" s="3" t="str">
        <f>IFERROR(__xludf.DUMMYFUNCTION("""COMPUTED_VALUE""")," ০১/০১/২০০৪ ")</f>
        <v> ০১/০১/২০০৪ </v>
      </c>
      <c r="H684" s="3" t="str">
        <f>IFERROR(__xludf.DUMMYFUNCTION("""COMPUTED_VALUE""")," শ্রমিক ")</f>
        <v> শ্রমিক </v>
      </c>
      <c r="I684" s="3" t="str">
        <f>IFERROR(__xludf.DUMMYFUNCTION("""COMPUTED_VALUE""")," ৯১২, জালশুকা, গাংনী, মেহেরপুর ")</f>
        <v> ৯১২, জালশুকা, গাংনী, মেহেরপুর </v>
      </c>
    </row>
    <row r="685" ht="15.75" customHeight="1">
      <c r="A685" s="3" t="s">
        <v>3804</v>
      </c>
      <c r="B685" s="3">
        <f>IFERROR(__xludf.DUMMYFUNCTION("SPLIT(A685,""|"")"),861.0)</f>
        <v>861</v>
      </c>
      <c r="C685" s="3" t="str">
        <f>IFERROR(__xludf.DUMMYFUNCTION("""COMPUTED_VALUE""")," মাসুদ রানা ")</f>
        <v> মাসুদ রানা </v>
      </c>
      <c r="D685" s="3">
        <f>IFERROR(__xludf.DUMMYFUNCTION("""COMPUTED_VALUE"""),5.700565444744E12)</f>
        <v>5700565444744</v>
      </c>
      <c r="E685" s="3" t="str">
        <f>IFERROR(__xludf.DUMMYFUNCTION("""COMPUTED_VALUE""")," দবির উদ্দীন ")</f>
        <v> দবির উদ্দীন </v>
      </c>
      <c r="F685" s="3" t="str">
        <f>IFERROR(__xludf.DUMMYFUNCTION("""COMPUTED_VALUE""")," জয়নব ")</f>
        <v> জয়নব </v>
      </c>
      <c r="G685" s="3" t="str">
        <f>IFERROR(__xludf.DUMMYFUNCTION("""COMPUTED_VALUE""")," ০১/০৩/১৯৮৩ ")</f>
        <v> ০১/০৩/১৯৮৩ </v>
      </c>
      <c r="H685" s="3" t="str">
        <f>IFERROR(__xludf.DUMMYFUNCTION("""COMPUTED_VALUE""")," প্রবাসী ")</f>
        <v> প্রবাসী </v>
      </c>
      <c r="I685" s="3" t="str">
        <f>IFERROR(__xludf.DUMMYFUNCTION("""COMPUTED_VALUE""")," জালশুকা, গাংনী, মেহেরপুর ")</f>
        <v> জালশুকা, গাংনী, মেহেরপুর </v>
      </c>
    </row>
    <row r="686" ht="15.75" customHeight="1">
      <c r="A686" s="3" t="s">
        <v>3805</v>
      </c>
      <c r="B686" s="3">
        <f>IFERROR(__xludf.DUMMYFUNCTION("SPLIT(A686,""|"")"),808.0)</f>
        <v>808</v>
      </c>
      <c r="C686" s="3" t="str">
        <f>IFERROR(__xludf.DUMMYFUNCTION("""COMPUTED_VALUE""")," মামুন ")</f>
        <v> মামুন </v>
      </c>
      <c r="D686" s="3">
        <f>IFERROR(__xludf.DUMMYFUNCTION("""COMPUTED_VALUE"""),5.700565444651E12)</f>
        <v>5700565444651</v>
      </c>
      <c r="E686" s="3" t="str">
        <f>IFERROR(__xludf.DUMMYFUNCTION("""COMPUTED_VALUE""")," মোজাম্মেল হক ")</f>
        <v> মোজাম্মেল হক </v>
      </c>
      <c r="F686" s="3" t="str">
        <f>IFERROR(__xludf.DUMMYFUNCTION("""COMPUTED_VALUE""")," মুক্তি ")</f>
        <v> মুক্তি </v>
      </c>
      <c r="G686" s="3" t="str">
        <f>IFERROR(__xludf.DUMMYFUNCTION("""COMPUTED_VALUE""")," ০২/০৩/১৯৮৮ ")</f>
        <v> ০২/০৩/১৯৮৮ </v>
      </c>
      <c r="H686" s="3" t="str">
        <f>IFERROR(__xludf.DUMMYFUNCTION("""COMPUTED_VALUE""")," ব্যবসা ")</f>
        <v> ব্যবসা </v>
      </c>
      <c r="I686" s="3" t="str">
        <f>IFERROR(__xludf.DUMMYFUNCTION("""COMPUTED_VALUE""")," জালশুকা, গাংনী, মেহেরপুর ")</f>
        <v> জালশুকা, গাংনী, মেহেরপুর </v>
      </c>
    </row>
    <row r="687" ht="15.75" customHeight="1">
      <c r="A687" s="3" t="s">
        <v>3806</v>
      </c>
      <c r="B687" s="3">
        <f>IFERROR(__xludf.DUMMYFUNCTION("SPLIT(A687,""|"")"),809.0)</f>
        <v>809</v>
      </c>
      <c r="C687" s="3" t="str">
        <f>IFERROR(__xludf.DUMMYFUNCTION("""COMPUTED_VALUE""")," মো: কাশেম চৌধুরী ")</f>
        <v> মো: কাশেম চৌধুরী </v>
      </c>
      <c r="D687" s="3">
        <f>IFERROR(__xludf.DUMMYFUNCTION("""COMPUTED_VALUE"""),5.700565444652E12)</f>
        <v>5700565444652</v>
      </c>
      <c r="E687" s="3" t="str">
        <f>IFERROR(__xludf.DUMMYFUNCTION("""COMPUTED_VALUE""")," মৃত উকিল চৌধুরী ")</f>
        <v> মৃত উকিল চৌধুরী </v>
      </c>
      <c r="F687" s="3" t="str">
        <f>IFERROR(__xludf.DUMMYFUNCTION("""COMPUTED_VALUE""")," মৃত হাসিনা বেগম ")</f>
        <v> মৃত হাসিনা বেগম </v>
      </c>
      <c r="G687" s="3" t="str">
        <f>IFERROR(__xludf.DUMMYFUNCTION("""COMPUTED_VALUE""")," ০১/০২/১৯৭৮ ")</f>
        <v> ০১/০২/১৯৭৮ </v>
      </c>
      <c r="H687" s="3" t="str">
        <f>IFERROR(__xludf.DUMMYFUNCTION("""COMPUTED_VALUE""")," প্রবাসী ")</f>
        <v> প্রবাসী </v>
      </c>
      <c r="I687" s="3" t="str">
        <f>IFERROR(__xludf.DUMMYFUNCTION("""COMPUTED_VALUE""")," জালশুকা, গাংনী, মেহেরপুর ")</f>
        <v> জালশুকা, গাংনী, মেহেরপুর </v>
      </c>
    </row>
    <row r="688" ht="15.75" customHeight="1">
      <c r="A688" s="3" t="s">
        <v>3807</v>
      </c>
      <c r="B688" s="3">
        <f>IFERROR(__xludf.DUMMYFUNCTION("SPLIT(A688,""|"")"),810.0)</f>
        <v>810</v>
      </c>
      <c r="C688" s="3" t="str">
        <f>IFERROR(__xludf.DUMMYFUNCTION("""COMPUTED_VALUE""")," মো: আশিকুর রহমান ")</f>
        <v> মো: আশিকুর রহমান </v>
      </c>
      <c r="D688" s="3">
        <f>IFERROR(__xludf.DUMMYFUNCTION("""COMPUTED_VALUE"""),5.700565444653E12)</f>
        <v>5700565444653</v>
      </c>
      <c r="E688" s="3" t="str">
        <f>IFERROR(__xludf.DUMMYFUNCTION("""COMPUTED_VALUE""")," মো: সিদ্দিক আলী ")</f>
        <v> মো: সিদ্দিক আলী </v>
      </c>
      <c r="F688" s="3" t="str">
        <f>IFERROR(__xludf.DUMMYFUNCTION("""COMPUTED_VALUE""")," মোছা: রমেলা খাতুন ")</f>
        <v> মোছা: রমেলা খাতুন </v>
      </c>
      <c r="G688" s="3" t="str">
        <f>IFERROR(__xludf.DUMMYFUNCTION("""COMPUTED_VALUE""")," ০১/১২/২০০০ ")</f>
        <v> ০১/১২/২০০০ </v>
      </c>
      <c r="H688" s="3" t="str">
        <f>IFERROR(__xludf.DUMMYFUNCTION("""COMPUTED_VALUE""")," শ্রমিক ")</f>
        <v> শ্রমিক </v>
      </c>
      <c r="I688" s="3" t="str">
        <f>IFERROR(__xludf.DUMMYFUNCTION("""COMPUTED_VALUE""")," জালশুকা, গাংনী, মেহেরপুর ")</f>
        <v> জালশুকা, গাংনী, মেহেরপুর </v>
      </c>
    </row>
    <row r="689" ht="15.75" customHeight="1">
      <c r="A689" s="3" t="s">
        <v>3808</v>
      </c>
      <c r="B689" s="3">
        <f>IFERROR(__xludf.DUMMYFUNCTION("SPLIT(A689,""|"")"),811.0)</f>
        <v>811</v>
      </c>
      <c r="C689" s="3" t="str">
        <f>IFERROR(__xludf.DUMMYFUNCTION("""COMPUTED_VALUE""")," মো: আসাদ আলী ")</f>
        <v> মো: আসাদ আলী </v>
      </c>
      <c r="D689" s="3">
        <f>IFERROR(__xludf.DUMMYFUNCTION("""COMPUTED_VALUE"""),5.700565444654E12)</f>
        <v>5700565444654</v>
      </c>
      <c r="E689" s="3" t="str">
        <f>IFERROR(__xludf.DUMMYFUNCTION("""COMPUTED_VALUE""")," মো: মহিবুল হক ")</f>
        <v> মো: মহিবুল হক </v>
      </c>
      <c r="F689" s="3" t="str">
        <f>IFERROR(__xludf.DUMMYFUNCTION("""COMPUTED_VALUE""")," মোছা: ময়না খাতুন ")</f>
        <v> মোছা: ময়না খাতুন </v>
      </c>
      <c r="G689" s="3" t="str">
        <f>IFERROR(__xludf.DUMMYFUNCTION("""COMPUTED_VALUE""")," ১৩/১০/১৯৯৯ ")</f>
        <v> ১৩/১০/১৯৯৯ </v>
      </c>
      <c r="H689" s="3" t="str">
        <f>IFERROR(__xludf.DUMMYFUNCTION("""COMPUTED_VALUE""")," ছাত্র/ছাত্রী ")</f>
        <v> ছাত্র/ছাত্রী </v>
      </c>
      <c r="I689" s="3" t="str">
        <f>IFERROR(__xludf.DUMMYFUNCTION("""COMPUTED_VALUE""")," জালশুকা, গাংনী, মেহেরপুর ")</f>
        <v> জালশুকা, গাংনী, মেহেরপুর </v>
      </c>
    </row>
    <row r="690" ht="15.75" customHeight="1">
      <c r="A690" s="3" t="s">
        <v>3809</v>
      </c>
      <c r="B690" s="3">
        <f>IFERROR(__xludf.DUMMYFUNCTION("SPLIT(A690,""|"")"),812.0)</f>
        <v>812</v>
      </c>
      <c r="C690" s="3" t="str">
        <f>IFERROR(__xludf.DUMMYFUNCTION("""COMPUTED_VALUE""")," মো: নয়ন আলী ")</f>
        <v> মো: নয়ন আলী </v>
      </c>
      <c r="D690" s="3">
        <f>IFERROR(__xludf.DUMMYFUNCTION("""COMPUTED_VALUE"""),5.700565444655E12)</f>
        <v>5700565444655</v>
      </c>
      <c r="E690" s="3" t="str">
        <f>IFERROR(__xludf.DUMMYFUNCTION("""COMPUTED_VALUE""")," মোহাঃ আব্দুর রাজ্জাক ")</f>
        <v> মোহাঃ আব্দুর রাজ্জাক </v>
      </c>
      <c r="F690" s="3" t="str">
        <f>IFERROR(__xludf.DUMMYFUNCTION("""COMPUTED_VALUE""")," মোহাঃ বেদানা ")</f>
        <v> মোহাঃ বেদানা </v>
      </c>
      <c r="G690" s="3" t="str">
        <f>IFERROR(__xludf.DUMMYFUNCTION("""COMPUTED_VALUE""")," ০১/০১/২০০৪ ")</f>
        <v> ০১/০১/২০০৪ </v>
      </c>
      <c r="H690" s="3" t="str">
        <f>IFERROR(__xludf.DUMMYFUNCTION("""COMPUTED_VALUE""")," শ্রমিক ")</f>
        <v> শ্রমিক </v>
      </c>
      <c r="I690" s="3" t="str">
        <f>IFERROR(__xludf.DUMMYFUNCTION("""COMPUTED_VALUE""")," ১০৪৭, জালশুকা, গাংনী, মেহেরপুর ")</f>
        <v> ১০৪৭, জালশুকা, গাংনী, মেহেরপুর </v>
      </c>
    </row>
    <row r="691" ht="15.75" customHeight="1">
      <c r="A691" s="3" t="s">
        <v>3810</v>
      </c>
      <c r="B691" s="3">
        <f>IFERROR(__xludf.DUMMYFUNCTION("SPLIT(A691,""|"")"),813.0)</f>
        <v>813</v>
      </c>
      <c r="C691" s="3" t="str">
        <f>IFERROR(__xludf.DUMMYFUNCTION("""COMPUTED_VALUE""")," মো: ইউনুস আলি ")</f>
        <v> মো: ইউনুস আলি </v>
      </c>
      <c r="D691" s="3">
        <f>IFERROR(__xludf.DUMMYFUNCTION("""COMPUTED_VALUE"""),5.700565444656E12)</f>
        <v>5700565444656</v>
      </c>
      <c r="E691" s="3" t="str">
        <f>IFERROR(__xludf.DUMMYFUNCTION("""COMPUTED_VALUE""")," মো: মিনারুল ইসলাম ")</f>
        <v> মো: মিনারুল ইসলাম </v>
      </c>
      <c r="F691" s="3" t="str">
        <f>IFERROR(__xludf.DUMMYFUNCTION("""COMPUTED_VALUE""")," মো: অর্শিদা খাতুন ")</f>
        <v> মো: অর্শিদা খাতুন </v>
      </c>
      <c r="G691" s="3" t="str">
        <f>IFERROR(__xludf.DUMMYFUNCTION("""COMPUTED_VALUE""")," ২০/০২/২০০২ ")</f>
        <v> ২০/০২/২০০২ </v>
      </c>
      <c r="H691" s="3" t="str">
        <f>IFERROR(__xludf.DUMMYFUNCTION("""COMPUTED_VALUE""")," কৃষক ")</f>
        <v> কৃষক </v>
      </c>
      <c r="I691" s="3" t="str">
        <f>IFERROR(__xludf.DUMMYFUNCTION("""COMPUTED_VALUE""")," জালশুকা, গাংনী, মেহেরপুর ")</f>
        <v> জালশুকা, গাংনী, মেহেরপুর </v>
      </c>
    </row>
    <row r="692" ht="15.75" customHeight="1">
      <c r="A692" s="3" t="s">
        <v>3811</v>
      </c>
      <c r="B692" s="3">
        <f>IFERROR(__xludf.DUMMYFUNCTION("SPLIT(A692,""|"")"),814.0)</f>
        <v>814</v>
      </c>
      <c r="C692" s="3" t="str">
        <f>IFERROR(__xludf.DUMMYFUNCTION("""COMPUTED_VALUE""")," মো: সাগর আলী ")</f>
        <v> মো: সাগর আলী </v>
      </c>
      <c r="D692" s="3">
        <f>IFERROR(__xludf.DUMMYFUNCTION("""COMPUTED_VALUE"""),5.700565444657E12)</f>
        <v>5700565444657</v>
      </c>
      <c r="E692" s="3" t="str">
        <f>IFERROR(__xludf.DUMMYFUNCTION("""COMPUTED_VALUE""")," মো: মুকুল হোসেন ")</f>
        <v> মো: মুকুল হোসেন </v>
      </c>
      <c r="F692" s="3" t="str">
        <f>IFERROR(__xludf.DUMMYFUNCTION("""COMPUTED_VALUE""")," মোছা: শান্তিয়ারা খাতুন ")</f>
        <v> মোছা: শান্তিয়ারা খাতুন </v>
      </c>
      <c r="G692" s="3" t="str">
        <f>IFERROR(__xludf.DUMMYFUNCTION("""COMPUTED_VALUE""")," ১৭/১১/২০০২ ")</f>
        <v> ১৭/১১/২০০২ </v>
      </c>
      <c r="H692" s="3" t="str">
        <f>IFERROR(__xludf.DUMMYFUNCTION("""COMPUTED_VALUE""")," ছাত্র/ছাত্রী ")</f>
        <v> ছাত্র/ছাত্রী </v>
      </c>
      <c r="I692" s="3" t="str">
        <f>IFERROR(__xludf.DUMMYFUNCTION("""COMPUTED_VALUE""")," ৮৬৭, জালশুকা, গাংনী, মেহেরপুর ")</f>
        <v> ৮৬৭, জালশুকা, গাংনী, মেহেরপুর </v>
      </c>
    </row>
    <row r="693" ht="15.75" customHeight="1">
      <c r="A693" s="3" t="s">
        <v>3812</v>
      </c>
      <c r="B693" s="3">
        <f>IFERROR(__xludf.DUMMYFUNCTION("SPLIT(A693,""|"")"),815.0)</f>
        <v>815</v>
      </c>
      <c r="C693" s="3" t="str">
        <f>IFERROR(__xludf.DUMMYFUNCTION("""COMPUTED_VALUE""")," মো: সাব্বির হোসেন ")</f>
        <v> মো: সাব্বির হোসেন </v>
      </c>
      <c r="D693" s="3">
        <f>IFERROR(__xludf.DUMMYFUNCTION("""COMPUTED_VALUE"""),5.700565444658E12)</f>
        <v>5700565444658</v>
      </c>
      <c r="E693" s="3" t="str">
        <f>IFERROR(__xludf.DUMMYFUNCTION("""COMPUTED_VALUE""")," মো: দাউদ হোসেন ")</f>
        <v> মো: দাউদ হোসেন </v>
      </c>
      <c r="F693" s="3" t="str">
        <f>IFERROR(__xludf.DUMMYFUNCTION("""COMPUTED_VALUE""")," মোছা: আফরোজা খাতুন ")</f>
        <v> মোছা: আফরোজা খাতুন </v>
      </c>
      <c r="G693" s="3" t="str">
        <f>IFERROR(__xludf.DUMMYFUNCTION("""COMPUTED_VALUE""")," ০৪/০৬/২০০০ ")</f>
        <v> ০৪/০৬/২০০০ </v>
      </c>
      <c r="H693" s="3" t="str">
        <f>IFERROR(__xludf.DUMMYFUNCTION("""COMPUTED_VALUE""")," শ্রমিক ")</f>
        <v> শ্রমিক </v>
      </c>
      <c r="I693" s="3" t="str">
        <f>IFERROR(__xludf.DUMMYFUNCTION("""COMPUTED_VALUE""")," জালশুকা, গাংনী, মেহেরপুর ")</f>
        <v> জালশুকা, গাংনী, মেহেরপুর </v>
      </c>
    </row>
    <row r="694" ht="15.75" customHeight="1">
      <c r="A694" s="3" t="s">
        <v>3813</v>
      </c>
      <c r="B694" s="3">
        <f>IFERROR(__xludf.DUMMYFUNCTION("SPLIT(A694,""|"")"),816.0)</f>
        <v>816</v>
      </c>
      <c r="C694" s="3" t="str">
        <f>IFERROR(__xludf.DUMMYFUNCTION("""COMPUTED_VALUE""")," মো: তৌফিক হোসেন ")</f>
        <v> মো: তৌফিক হোসেন </v>
      </c>
      <c r="D694" s="3">
        <f>IFERROR(__xludf.DUMMYFUNCTION("""COMPUTED_VALUE"""),5.700565444659E12)</f>
        <v>5700565444659</v>
      </c>
      <c r="E694" s="3" t="str">
        <f>IFERROR(__xludf.DUMMYFUNCTION("""COMPUTED_VALUE""")," মোছা: তৈয়ব আলী ")</f>
        <v> মোছা: তৈয়ব আলী </v>
      </c>
      <c r="F694" s="3" t="str">
        <f>IFERROR(__xludf.DUMMYFUNCTION("""COMPUTED_VALUE""")," মোছা: মহিমা খাতুন ")</f>
        <v> মোছা: মহিমা খাতুন </v>
      </c>
      <c r="G694" s="3" t="str">
        <f>IFERROR(__xludf.DUMMYFUNCTION("""COMPUTED_VALUE""")," ০৫/০৮/২০০০ ")</f>
        <v> ০৫/০৮/২০০০ </v>
      </c>
      <c r="H694" s="3" t="str">
        <f>IFERROR(__xludf.DUMMYFUNCTION("""COMPUTED_VALUE""")," কৃষক ")</f>
        <v> কৃষক </v>
      </c>
      <c r="I694" s="3" t="str">
        <f>IFERROR(__xludf.DUMMYFUNCTION("""COMPUTED_VALUE""")," ১২২৫, জালশুকা, গাংনী, মেহেরপুর ")</f>
        <v> ১২২৫, জালশুকা, গাংনী, মেহেরপুর </v>
      </c>
    </row>
    <row r="695" ht="15.75" customHeight="1">
      <c r="A695" s="3" t="s">
        <v>3814</v>
      </c>
      <c r="B695" s="3">
        <f>IFERROR(__xludf.DUMMYFUNCTION("SPLIT(A695,""|"")"),817.0)</f>
        <v>817</v>
      </c>
      <c r="C695" s="3" t="str">
        <f>IFERROR(__xludf.DUMMYFUNCTION("""COMPUTED_VALUE""")," মো: নূরামিন ")</f>
        <v> মো: নূরামিন </v>
      </c>
      <c r="D695" s="3">
        <f>IFERROR(__xludf.DUMMYFUNCTION("""COMPUTED_VALUE"""),5.70056544466E12)</f>
        <v>5700565444660</v>
      </c>
      <c r="E695" s="3" t="str">
        <f>IFERROR(__xludf.DUMMYFUNCTION("""COMPUTED_VALUE""")," মোহা: আব্দুল খালেক ")</f>
        <v> মোহা: আব্দুল খালেক </v>
      </c>
      <c r="F695" s="3" t="str">
        <f>IFERROR(__xludf.DUMMYFUNCTION("""COMPUTED_VALUE""")," মোছা: সাহানারা ")</f>
        <v> মোছা: সাহানারা </v>
      </c>
      <c r="G695" s="3" t="str">
        <f>IFERROR(__xludf.DUMMYFUNCTION("""COMPUTED_VALUE""")," ০৫/০২/২০০০ ")</f>
        <v> ০৫/০২/২০০০ </v>
      </c>
      <c r="H695" s="3" t="str">
        <f>IFERROR(__xludf.DUMMYFUNCTION("""COMPUTED_VALUE""")," কৃষক ")</f>
        <v> কৃষক </v>
      </c>
      <c r="I695" s="3" t="str">
        <f>IFERROR(__xludf.DUMMYFUNCTION("""COMPUTED_VALUE""")," ১২১৩, জালশুকা, গাংনী, মেহেরপুর ")</f>
        <v> ১২১৩, জালশুকা, গাংনী, মেহেরপুর </v>
      </c>
    </row>
    <row r="696" ht="15.75" customHeight="1">
      <c r="A696" s="3" t="s">
        <v>3815</v>
      </c>
      <c r="B696" s="3">
        <f>IFERROR(__xludf.DUMMYFUNCTION("SPLIT(A696,""|"")"),818.0)</f>
        <v>818</v>
      </c>
      <c r="C696" s="3" t="str">
        <f>IFERROR(__xludf.DUMMYFUNCTION("""COMPUTED_VALUE""")," মো: নাহিদ ")</f>
        <v> মো: নাহিদ </v>
      </c>
      <c r="D696" s="3">
        <f>IFERROR(__xludf.DUMMYFUNCTION("""COMPUTED_VALUE"""),5.700565444662E12)</f>
        <v>5700565444662</v>
      </c>
      <c r="E696" s="3" t="str">
        <f>IFERROR(__xludf.DUMMYFUNCTION("""COMPUTED_VALUE""")," মো: আতিয়ার রহমান ")</f>
        <v> মো: আতিয়ার রহমান </v>
      </c>
      <c r="F696" s="3" t="str">
        <f>IFERROR(__xludf.DUMMYFUNCTION("""COMPUTED_VALUE""")," মোছা: নাছরিন খাতুন ")</f>
        <v> মোছা: নাছরিন খাতুন </v>
      </c>
      <c r="G696" s="3" t="str">
        <f>IFERROR(__xludf.DUMMYFUNCTION("""COMPUTED_VALUE""")," ০২/১১/২০০৩ ")</f>
        <v> ০২/১১/২০০৩ </v>
      </c>
      <c r="H696" s="3" t="str">
        <f>IFERROR(__xludf.DUMMYFUNCTION("""COMPUTED_VALUE""")," কৃষক ")</f>
        <v> কৃষক </v>
      </c>
      <c r="I696" s="3" t="str">
        <f>IFERROR(__xludf.DUMMYFUNCTION("""COMPUTED_VALUE""")," ১১১৯, জালশুকা, গাংনী, মেহেরপুর ")</f>
        <v> ১১১৯, জালশুকা, গাংনী, মেহেরপুর </v>
      </c>
    </row>
    <row r="697" ht="15.75" customHeight="1">
      <c r="A697" s="3" t="s">
        <v>3816</v>
      </c>
      <c r="B697" s="3">
        <f>IFERROR(__xludf.DUMMYFUNCTION("SPLIT(A697,""|"")"),819.0)</f>
        <v>819</v>
      </c>
      <c r="C697" s="3" t="str">
        <f>IFERROR(__xludf.DUMMYFUNCTION("""COMPUTED_VALUE""")," মো: হুমায়ন কবির ")</f>
        <v> মো: হুমায়ন কবির </v>
      </c>
      <c r="D697" s="3">
        <f>IFERROR(__xludf.DUMMYFUNCTION("""COMPUTED_VALUE"""),5.700565444663E12)</f>
        <v>5700565444663</v>
      </c>
      <c r="E697" s="3" t="str">
        <f>IFERROR(__xludf.DUMMYFUNCTION("""COMPUTED_VALUE""")," মো: আলী হোসেন ")</f>
        <v> মো: আলী হোসেন </v>
      </c>
      <c r="F697" s="3" t="str">
        <f>IFERROR(__xludf.DUMMYFUNCTION("""COMPUTED_VALUE""")," মোছা: আবেদা খাতুন ")</f>
        <v> মোছা: আবেদা খাতুন </v>
      </c>
      <c r="G697" s="3" t="str">
        <f>IFERROR(__xludf.DUMMYFUNCTION("""COMPUTED_VALUE""")," ০১/০১/২০০৪ ")</f>
        <v> ০১/০১/২০০৪ </v>
      </c>
      <c r="H697" s="3" t="str">
        <f>IFERROR(__xludf.DUMMYFUNCTION("""COMPUTED_VALUE""")," কৃষক ")</f>
        <v> কৃষক </v>
      </c>
      <c r="I697" s="3" t="str">
        <f>IFERROR(__xludf.DUMMYFUNCTION("""COMPUTED_VALUE""")," জালশুকা, গাংনী, মেহেরপুর ")</f>
        <v> জালশুকা, গাংনী, মেহেরপুর </v>
      </c>
    </row>
    <row r="698" ht="15.75" customHeight="1">
      <c r="A698" s="3" t="s">
        <v>3817</v>
      </c>
      <c r="B698" s="3">
        <f>IFERROR(__xludf.DUMMYFUNCTION("SPLIT(A698,""|"")"),820.0)</f>
        <v>820</v>
      </c>
      <c r="C698" s="3" t="str">
        <f>IFERROR(__xludf.DUMMYFUNCTION("""COMPUTED_VALUE""")," মো: শাকিব আলী ")</f>
        <v> মো: শাকিব আলী </v>
      </c>
      <c r="D698" s="3">
        <f>IFERROR(__xludf.DUMMYFUNCTION("""COMPUTED_VALUE"""),5.700565444664E12)</f>
        <v>5700565444664</v>
      </c>
      <c r="E698" s="3" t="str">
        <f>IFERROR(__xludf.DUMMYFUNCTION("""COMPUTED_VALUE""")," মো: হাবিবুর রহমান ")</f>
        <v> মো: হাবিবুর রহমান </v>
      </c>
      <c r="F698" s="3" t="str">
        <f>IFERROR(__xludf.DUMMYFUNCTION("""COMPUTED_VALUE""")," মোছা: তছলিমা খাতুন ")</f>
        <v> মোছা: তছলিমা খাতুন </v>
      </c>
      <c r="G698" s="3" t="str">
        <f>IFERROR(__xludf.DUMMYFUNCTION("""COMPUTED_VALUE""")," ০৫/০৭/২০০৩ ")</f>
        <v> ০৫/০৭/২০০৩ </v>
      </c>
      <c r="H698" s="3" t="str">
        <f>IFERROR(__xludf.DUMMYFUNCTION("""COMPUTED_VALUE""")," ছাত্র/ছাত্রী ")</f>
        <v> ছাত্র/ছাত্রী </v>
      </c>
      <c r="I698" s="3" t="str">
        <f>IFERROR(__xludf.DUMMYFUNCTION("""COMPUTED_VALUE""")," জালশুকা, গাংনী, মেহেরপুর ")</f>
        <v> জালশুকা, গাংনী, মেহেরপুর </v>
      </c>
    </row>
    <row r="699" ht="15.75" customHeight="1">
      <c r="A699" s="3" t="s">
        <v>3818</v>
      </c>
      <c r="B699" s="3">
        <f>IFERROR(__xludf.DUMMYFUNCTION("SPLIT(A699,""|"")"),821.0)</f>
        <v>821</v>
      </c>
      <c r="C699" s="3" t="str">
        <f>IFERROR(__xludf.DUMMYFUNCTION("""COMPUTED_VALUE""")," সুমন ")</f>
        <v> সুমন </v>
      </c>
      <c r="D699" s="3">
        <f>IFERROR(__xludf.DUMMYFUNCTION("""COMPUTED_VALUE"""),5.700565444665E12)</f>
        <v>5700565444665</v>
      </c>
      <c r="E699" s="3" t="str">
        <f>IFERROR(__xludf.DUMMYFUNCTION("""COMPUTED_VALUE""")," মোহা: মোশারফ ")</f>
        <v> মোহা: মোশারফ </v>
      </c>
      <c r="F699" s="3" t="str">
        <f>IFERROR(__xludf.DUMMYFUNCTION("""COMPUTED_VALUE""")," মোহা: তছলিমা ")</f>
        <v> মোহা: তছলিমা </v>
      </c>
      <c r="G699" s="3" t="str">
        <f>IFERROR(__xludf.DUMMYFUNCTION("""COMPUTED_VALUE""")," ০১/০১/২০০০ ")</f>
        <v> ০১/০১/২০০০ </v>
      </c>
      <c r="H699" s="3" t="str">
        <f>IFERROR(__xludf.DUMMYFUNCTION("""COMPUTED_VALUE""")," কৃষক ")</f>
        <v> কৃষক </v>
      </c>
      <c r="I699" s="3" t="str">
        <f>IFERROR(__xludf.DUMMYFUNCTION("""COMPUTED_VALUE""")," ১০৬৯, জালশুকা, গাংনী, মেহেরপুর ")</f>
        <v> ১০৬৯, জালশুকা, গাংনী, মেহেরপুর </v>
      </c>
    </row>
    <row r="700" ht="15.75" customHeight="1">
      <c r="A700" s="3" t="s">
        <v>3819</v>
      </c>
      <c r="B700" s="3">
        <f>IFERROR(__xludf.DUMMYFUNCTION("SPLIT(A700,""|"")"),822.0)</f>
        <v>822</v>
      </c>
      <c r="C700" s="3" t="str">
        <f>IFERROR(__xludf.DUMMYFUNCTION("""COMPUTED_VALUE""")," মো: সাব্বির হোসেন ")</f>
        <v> মো: সাব্বির হোসেন </v>
      </c>
      <c r="D700" s="3">
        <f>IFERROR(__xludf.DUMMYFUNCTION("""COMPUTED_VALUE"""),5.700565444667E12)</f>
        <v>5700565444667</v>
      </c>
      <c r="E700" s="3" t="str">
        <f>IFERROR(__xludf.DUMMYFUNCTION("""COMPUTED_VALUE""")," মো: ইমদাদুল ")</f>
        <v> মো: ইমদাদুল </v>
      </c>
      <c r="F700" s="3" t="str">
        <f>IFERROR(__xludf.DUMMYFUNCTION("""COMPUTED_VALUE""")," মোছা: রূপালী খাতুন ")</f>
        <v> মোছা: রূপালী খাতুন </v>
      </c>
      <c r="G700" s="3" t="str">
        <f>IFERROR(__xludf.DUMMYFUNCTION("""COMPUTED_VALUE""")," ০১/০১/২০০৩ ")</f>
        <v> ০১/০১/২০০৩ </v>
      </c>
      <c r="H700" s="3" t="str">
        <f>IFERROR(__xludf.DUMMYFUNCTION("""COMPUTED_VALUE""")," কৃষক ")</f>
        <v> কৃষক </v>
      </c>
      <c r="I700" s="3" t="str">
        <f>IFERROR(__xludf.DUMMYFUNCTION("""COMPUTED_VALUE""")," ১১৭৫, জালশুকা, গাংনী, মেহেরপুর ")</f>
        <v> ১১৭৫, জালশুকা, গাংনী, মেহেরপুর </v>
      </c>
    </row>
    <row r="701" ht="15.75" customHeight="1">
      <c r="A701" s="3" t="s">
        <v>3820</v>
      </c>
      <c r="B701" s="3">
        <f>IFERROR(__xludf.DUMMYFUNCTION("SPLIT(A701,""|"")"),823.0)</f>
        <v>823</v>
      </c>
      <c r="C701" s="3" t="str">
        <f>IFERROR(__xludf.DUMMYFUNCTION("""COMPUTED_VALUE""")," মো: ইসমাইল হক ")</f>
        <v> মো: ইসমাইল হক </v>
      </c>
      <c r="D701" s="3">
        <f>IFERROR(__xludf.DUMMYFUNCTION("""COMPUTED_VALUE"""),5.70056544467E12)</f>
        <v>5700565444670</v>
      </c>
      <c r="E701" s="3" t="str">
        <f>IFERROR(__xludf.DUMMYFUNCTION("""COMPUTED_VALUE""")," মো: আ: রাজ্জাক ")</f>
        <v> মো: আ: রাজ্জাক </v>
      </c>
      <c r="F701" s="3" t="str">
        <f>IFERROR(__xludf.DUMMYFUNCTION("""COMPUTED_VALUE""")," মোছা: আত্তরা খাতুন ")</f>
        <v> মোছা: আত্তরা খাতুন </v>
      </c>
      <c r="G701" s="3" t="str">
        <f>IFERROR(__xludf.DUMMYFUNCTION("""COMPUTED_VALUE""")," ০১/০৫/২০০০ ")</f>
        <v> ০১/০৫/২০০০ </v>
      </c>
      <c r="H701" s="3" t="str">
        <f>IFERROR(__xludf.DUMMYFUNCTION("""COMPUTED_VALUE""")," কৃষক ")</f>
        <v> কৃষক </v>
      </c>
      <c r="I701" s="3" t="str">
        <f>IFERROR(__xludf.DUMMYFUNCTION("""COMPUTED_VALUE""")," জালশুকা, গাংনী, মেহেরপুর ")</f>
        <v> জালশুকা, গাংনী, মেহেরপুর </v>
      </c>
    </row>
    <row r="702" ht="15.75" customHeight="1">
      <c r="A702" s="3" t="s">
        <v>3821</v>
      </c>
      <c r="B702" s="3">
        <f>IFERROR(__xludf.DUMMYFUNCTION("SPLIT(A702,""|"")"),824.0)</f>
        <v>824</v>
      </c>
      <c r="C702" s="3" t="str">
        <f>IFERROR(__xludf.DUMMYFUNCTION("""COMPUTED_VALUE""")," মো: রাসেল আলী ")</f>
        <v> মো: রাসেল আলী </v>
      </c>
      <c r="D702" s="3">
        <f>IFERROR(__xludf.DUMMYFUNCTION("""COMPUTED_VALUE"""),5.700565444674E12)</f>
        <v>5700565444674</v>
      </c>
      <c r="E702" s="3" t="str">
        <f>IFERROR(__xludf.DUMMYFUNCTION("""COMPUTED_VALUE""")," মো: জিনারুল ইসলাম ")</f>
        <v> মো: জিনারুল ইসলাম </v>
      </c>
      <c r="F702" s="3" t="str">
        <f>IFERROR(__xludf.DUMMYFUNCTION("""COMPUTED_VALUE""")," মোছা: বিলকিস বানু ")</f>
        <v> মোছা: বিলকিস বানু </v>
      </c>
      <c r="G702" s="3" t="str">
        <f>IFERROR(__xludf.DUMMYFUNCTION("""COMPUTED_VALUE""")," ০১/০৩/২০০০ ")</f>
        <v> ০১/০৩/২০০০ </v>
      </c>
      <c r="H702" s="3" t="str">
        <f>IFERROR(__xludf.DUMMYFUNCTION("""COMPUTED_VALUE""")," কৃষক ")</f>
        <v> কৃষক </v>
      </c>
      <c r="I702" s="3" t="str">
        <f>IFERROR(__xludf.DUMMYFUNCTION("""COMPUTED_VALUE""")," ১০৪২, জালশুকা, গাংনী, মেহেরপুর ")</f>
        <v> ১০৪২, জালশুকা, গাংনী, মেহেরপুর </v>
      </c>
    </row>
    <row r="703" ht="15.75" customHeight="1">
      <c r="A703" s="3" t="s">
        <v>3822</v>
      </c>
      <c r="B703" s="3">
        <f>IFERROR(__xludf.DUMMYFUNCTION("SPLIT(A703,""|"")"),825.0)</f>
        <v>825</v>
      </c>
      <c r="C703" s="3" t="str">
        <f>IFERROR(__xludf.DUMMYFUNCTION("""COMPUTED_VALUE""")," মো: আম্মার ")</f>
        <v> মো: আম্মার </v>
      </c>
      <c r="D703" s="3">
        <f>IFERROR(__xludf.DUMMYFUNCTION("""COMPUTED_VALUE"""),5.700565444676E12)</f>
        <v>5700565444676</v>
      </c>
      <c r="E703" s="3" t="str">
        <f>IFERROR(__xludf.DUMMYFUNCTION("""COMPUTED_VALUE""")," মো: মিরাজুল ")</f>
        <v> মো: মিরাজুল </v>
      </c>
      <c r="F703" s="3" t="str">
        <f>IFERROR(__xludf.DUMMYFUNCTION("""COMPUTED_VALUE""")," শিল্পী বেগম ")</f>
        <v> শিল্পী বেগম </v>
      </c>
      <c r="G703" s="3" t="str">
        <f>IFERROR(__xludf.DUMMYFUNCTION("""COMPUTED_VALUE""")," ০২/০৯/১৯৯০ ")</f>
        <v> ০২/০৯/১৯৯০ </v>
      </c>
      <c r="H703" s="3" t="str">
        <f>IFERROR(__xludf.DUMMYFUNCTION("""COMPUTED_VALUE""")," মিস্ত্রী ")</f>
        <v> মিস্ত্রী </v>
      </c>
      <c r="I703" s="3" t="str">
        <f>IFERROR(__xludf.DUMMYFUNCTION("""COMPUTED_VALUE""")," ৯৪৫, জালশুকা, গাংনী, মেহেরপুর ")</f>
        <v> ৯৪৫, জালশুকা, গাংনী, মেহেরপুর </v>
      </c>
    </row>
    <row r="704" ht="15.75" customHeight="1">
      <c r="A704" s="3" t="s">
        <v>3138</v>
      </c>
      <c r="B704" s="3" t="str">
        <f>IFERROR(__xludf.DUMMYFUNCTION("SPLIT(A704,""|"")")," ক্রমিক নং ")</f>
        <v> ক্রমিক নং </v>
      </c>
      <c r="C704" s="3" t="str">
        <f>IFERROR(__xludf.DUMMYFUNCTION("""COMPUTED_VALUE""")," নাম ")</f>
        <v> নাম </v>
      </c>
      <c r="D704" s="3" t="str">
        <f>IFERROR(__xludf.DUMMYFUNCTION("""COMPUTED_VALUE""")," ভোটার নং ")</f>
        <v> ভোটার নং </v>
      </c>
      <c r="E704" s="3" t="str">
        <f>IFERROR(__xludf.DUMMYFUNCTION("""COMPUTED_VALUE""")," পিতা ")</f>
        <v> পিতা </v>
      </c>
      <c r="F704" s="3" t="str">
        <f>IFERROR(__xludf.DUMMYFUNCTION("""COMPUTED_VALUE""")," মাতা ")</f>
        <v> মাতা </v>
      </c>
      <c r="G704" s="3" t="str">
        <f>IFERROR(__xludf.DUMMYFUNCTION("""COMPUTED_VALUE""")," জন্ম তারিখ ")</f>
        <v> জন্ম তারিখ </v>
      </c>
      <c r="H704" s="3" t="str">
        <f>IFERROR(__xludf.DUMMYFUNCTION("""COMPUTED_VALUE""")," পেশা ")</f>
        <v> পেশা </v>
      </c>
      <c r="I704" s="3" t="str">
        <f>IFERROR(__xludf.DUMMYFUNCTION("""COMPUTED_VALUE""")," ঠিকানা ")</f>
        <v> ঠিকানা </v>
      </c>
    </row>
    <row r="705" ht="15.75" customHeight="1">
      <c r="A705" s="3" t="s">
        <v>3139</v>
      </c>
      <c r="B705" s="3" t="str">
        <f>IFERROR(__xludf.DUMMYFUNCTION("SPLIT(A705,""|"")"),"---")</f>
        <v>---</v>
      </c>
      <c r="C705" s="3" t="str">
        <f>IFERROR(__xludf.DUMMYFUNCTION("""COMPUTED_VALUE"""),"---")</f>
        <v>---</v>
      </c>
      <c r="D705" s="3" t="str">
        <f>IFERROR(__xludf.DUMMYFUNCTION("""COMPUTED_VALUE"""),"---")</f>
        <v>---</v>
      </c>
      <c r="E705" s="3" t="str">
        <f>IFERROR(__xludf.DUMMYFUNCTION("""COMPUTED_VALUE"""),"---")</f>
        <v>---</v>
      </c>
      <c r="F705" s="3" t="str">
        <f>IFERROR(__xludf.DUMMYFUNCTION("""COMPUTED_VALUE"""),"---")</f>
        <v>---</v>
      </c>
      <c r="G705" s="3" t="str">
        <f>IFERROR(__xludf.DUMMYFUNCTION("""COMPUTED_VALUE"""),"---")</f>
        <v>---</v>
      </c>
      <c r="H705" s="3" t="str">
        <f>IFERROR(__xludf.DUMMYFUNCTION("""COMPUTED_VALUE"""),"---")</f>
        <v>---</v>
      </c>
      <c r="I705" s="3" t="str">
        <f>IFERROR(__xludf.DUMMYFUNCTION("""COMPUTED_VALUE"""),"---")</f>
        <v>---</v>
      </c>
    </row>
    <row r="706" ht="15.75" customHeight="1">
      <c r="A706" s="3" t="s">
        <v>3823</v>
      </c>
      <c r="B706" s="3">
        <f>IFERROR(__xludf.DUMMYFUNCTION("SPLIT(A706,""|"")"),826.0)</f>
        <v>826</v>
      </c>
      <c r="C706" s="3" t="str">
        <f>IFERROR(__xludf.DUMMYFUNCTION("""COMPUTED_VALUE""")," মোঃ হাবিবুর রহমান ")</f>
        <v> মোঃ হাবিবুর রহমান </v>
      </c>
      <c r="D706" s="3">
        <f>IFERROR(__xludf.DUMMYFUNCTION("""COMPUTED_VALUE"""),5.70056584677E11)</f>
        <v>570056584677</v>
      </c>
      <c r="E706" s="3" t="str">
        <f>IFERROR(__xludf.DUMMYFUNCTION("""COMPUTED_VALUE""")," মো আসাদ আলী ")</f>
        <v> মো আসাদ আলী </v>
      </c>
      <c r="F706" s="3" t="str">
        <f>IFERROR(__xludf.DUMMYFUNCTION("""COMPUTED_VALUE""")," মোছাঃ মর্জিনা খাতুন ")</f>
        <v> মোছাঃ মর্জিনা খাতুন </v>
      </c>
      <c r="G706" s="3" t="str">
        <f>IFERROR(__xludf.DUMMYFUNCTION("""COMPUTED_VALUE""")," ১৭/১২/১৯৯৯ ")</f>
        <v> ১৭/১২/১৯৯৯ </v>
      </c>
      <c r="H706" s="3" t="str">
        <f>IFERROR(__xludf.DUMMYFUNCTION("""COMPUTED_VALUE""")," শ্রমিক ")</f>
        <v> শ্রমিক </v>
      </c>
      <c r="I706" s="3" t="str">
        <f>IFERROR(__xludf.DUMMYFUNCTION("""COMPUTED_VALUE""")," জালশুকা, গাংনী, মেহেরপুর ")</f>
        <v> জালশুকা, গাংনী, মেহেরপুর </v>
      </c>
    </row>
    <row r="707" ht="15.75" customHeight="1">
      <c r="A707" s="3" t="s">
        <v>3824</v>
      </c>
      <c r="B707" s="3">
        <f>IFERROR(__xludf.DUMMYFUNCTION("SPLIT(A707,""|"")"),827.0)</f>
        <v>827</v>
      </c>
      <c r="C707" s="3" t="str">
        <f>IFERROR(__xludf.DUMMYFUNCTION("""COMPUTED_VALUE""")," লিকেল আলী ")</f>
        <v> লিকেল আলী </v>
      </c>
      <c r="D707" s="3">
        <f>IFERROR(__xludf.DUMMYFUNCTION("""COMPUTED_VALUE"""),5.70056584679E11)</f>
        <v>570056584679</v>
      </c>
      <c r="E707" s="3" t="str">
        <f>IFERROR(__xludf.DUMMYFUNCTION("""COMPUTED_VALUE""")," মোঃ জাহাঙ্গীর আলম ")</f>
        <v> মোঃ জাহাঙ্গীর আলম </v>
      </c>
      <c r="F707" s="3" t="str">
        <f>IFERROR(__xludf.DUMMYFUNCTION("""COMPUTED_VALUE""")," মোছাঃ শাহনাজ খাতুন ")</f>
        <v> মোছাঃ শাহনাজ খাতুন </v>
      </c>
      <c r="G707" s="3" t="str">
        <f>IFERROR(__xludf.DUMMYFUNCTION("""COMPUTED_VALUE""")," ০১/০১/২০০৪ ")</f>
        <v> ০১/০১/২০০৪ </v>
      </c>
      <c r="H707" s="3" t="str">
        <f>IFERROR(__xludf.DUMMYFUNCTION("""COMPUTED_VALUE""")," ছাত্র/ছাত্রী ")</f>
        <v> ছাত্র/ছাত্রী </v>
      </c>
      <c r="I707" s="3" t="str">
        <f>IFERROR(__xludf.DUMMYFUNCTION("""COMPUTED_VALUE""")," জালশুকা, গাংনী, মেহেরপুর ")</f>
        <v> জালশুকা, গাংনী, মেহেরপুর </v>
      </c>
    </row>
    <row r="708" ht="15.75" customHeight="1">
      <c r="A708" s="3" t="s">
        <v>3825</v>
      </c>
      <c r="B708" s="3">
        <f>IFERROR(__xludf.DUMMYFUNCTION("SPLIT(A708,""|"")"),828.0)</f>
        <v>828</v>
      </c>
      <c r="C708" s="3" t="str">
        <f>IFERROR(__xludf.DUMMYFUNCTION("""COMPUTED_VALUE""")," মোঃ জুয়েল আলী ")</f>
        <v> মোঃ জুয়েল আলী </v>
      </c>
      <c r="D708" s="3">
        <f>IFERROR(__xludf.DUMMYFUNCTION("""COMPUTED_VALUE"""),5.70056584684E11)</f>
        <v>570056584684</v>
      </c>
      <c r="E708" s="3" t="str">
        <f>IFERROR(__xludf.DUMMYFUNCTION("""COMPUTED_VALUE""")," মোঃ কালু বিশ্বাস ")</f>
        <v> মোঃ কালু বিশ্বাস </v>
      </c>
      <c r="F708" s="3" t="str">
        <f>IFERROR(__xludf.DUMMYFUNCTION("""COMPUTED_VALUE""")," মোছাঃ জুলেখা খাতুন ")</f>
        <v> মোছাঃ জুলেখা খাতুন </v>
      </c>
      <c r="G708" s="3" t="str">
        <f>IFERROR(__xludf.DUMMYFUNCTION("""COMPUTED_VALUE""")," ০৬/০৬/১৯৯৯ ")</f>
        <v> ০৬/০৬/১৯৯৯ </v>
      </c>
      <c r="H708" s="3" t="str">
        <f>IFERROR(__xludf.DUMMYFUNCTION("""COMPUTED_VALUE""")," কৃষক ")</f>
        <v> কৃষক </v>
      </c>
      <c r="I708" s="3" t="str">
        <f>IFERROR(__xludf.DUMMYFUNCTION("""COMPUTED_VALUE""")," ১১৩২, জালশুকা, গাংনী, মেহেরপুর ")</f>
        <v> ১১৩২, জালশুকা, গাংনী, মেহেরপুর </v>
      </c>
    </row>
    <row r="709" ht="15.75" customHeight="1">
      <c r="A709" s="3" t="s">
        <v>3826</v>
      </c>
      <c r="B709" s="3">
        <f>IFERROR(__xludf.DUMMYFUNCTION("SPLIT(A709,""|"")"),829.0)</f>
        <v>829</v>
      </c>
      <c r="C709" s="3" t="str">
        <f>IFERROR(__xludf.DUMMYFUNCTION("""COMPUTED_VALUE""")," মোঃ সাইফুল ")</f>
        <v> মোঃ সাইফুল </v>
      </c>
      <c r="D709" s="3">
        <f>IFERROR(__xludf.DUMMYFUNCTION("""COMPUTED_VALUE"""),5.70056584685E11)</f>
        <v>570056584685</v>
      </c>
      <c r="E709" s="3" t="str">
        <f>IFERROR(__xludf.DUMMYFUNCTION("""COMPUTED_VALUE""")," মোঃ সিরাজুল ")</f>
        <v> মোঃ সিরাজুল </v>
      </c>
      <c r="F709" s="3" t="str">
        <f>IFERROR(__xludf.DUMMYFUNCTION("""COMPUTED_VALUE""")," মৃতঃ ছলেহা ")</f>
        <v> মৃতঃ ছলেহা </v>
      </c>
      <c r="G709" s="3" t="str">
        <f>IFERROR(__xludf.DUMMYFUNCTION("""COMPUTED_VALUE""")," ০২/০৫/১৯৯০ ")</f>
        <v> ০২/০৫/১৯৯০ </v>
      </c>
      <c r="H709" s="3" t="str">
        <f>IFERROR(__xludf.DUMMYFUNCTION("""COMPUTED_VALUE""")," প্রবাসী ")</f>
        <v> প্রবাসী </v>
      </c>
      <c r="I709" s="3" t="str">
        <f>IFERROR(__xludf.DUMMYFUNCTION("""COMPUTED_VALUE""")," জালশুকা, গাংনী, মেহেরপুর ")</f>
        <v> জালশুকা, গাংনী, মেহেরপুর </v>
      </c>
    </row>
    <row r="710" ht="15.75" customHeight="1">
      <c r="A710" s="3" t="s">
        <v>3827</v>
      </c>
      <c r="B710" s="3">
        <f>IFERROR(__xludf.DUMMYFUNCTION("SPLIT(A710,""|"")"),830.0)</f>
        <v>830</v>
      </c>
      <c r="C710" s="3" t="str">
        <f>IFERROR(__xludf.DUMMYFUNCTION("""COMPUTED_VALUE""")," মোঃ আরিফুল ইসলাম ")</f>
        <v> মোঃ আরিফুল ইসলাম </v>
      </c>
      <c r="D710" s="3">
        <f>IFERROR(__xludf.DUMMYFUNCTION("""COMPUTED_VALUE"""),5.70056584686E11)</f>
        <v>570056584686</v>
      </c>
      <c r="E710" s="3" t="str">
        <f>IFERROR(__xludf.DUMMYFUNCTION("""COMPUTED_VALUE""")," মোঃ রেজাউল ")</f>
        <v> মোঃ রেজাউল </v>
      </c>
      <c r="F710" s="3" t="str">
        <f>IFERROR(__xludf.DUMMYFUNCTION("""COMPUTED_VALUE""")," মৃতঃ মিনা খাতুন ")</f>
        <v> মৃতঃ মিনা খাতুন </v>
      </c>
      <c r="G710" s="3" t="str">
        <f>IFERROR(__xludf.DUMMYFUNCTION("""COMPUTED_VALUE""")," ০১/০১/২০০২ ")</f>
        <v> ০১/০১/২০০২ </v>
      </c>
      <c r="H710" s="3" t="str">
        <f>IFERROR(__xludf.DUMMYFUNCTION("""COMPUTED_VALUE""")," কৃষক ")</f>
        <v> কৃষক </v>
      </c>
      <c r="I710" s="3" t="str">
        <f>IFERROR(__xludf.DUMMYFUNCTION("""COMPUTED_VALUE""")," জালশুকা, গাংনী, মেহেরপুর ")</f>
        <v> জালশুকা, গাংনী, মেহেরপুর </v>
      </c>
    </row>
    <row r="711" ht="15.75" customHeight="1">
      <c r="A711" s="3" t="s">
        <v>3828</v>
      </c>
      <c r="B711" s="3">
        <f>IFERROR(__xludf.DUMMYFUNCTION("SPLIT(A711,""|"")"),831.0)</f>
        <v>831</v>
      </c>
      <c r="C711" s="3" t="str">
        <f>IFERROR(__xludf.DUMMYFUNCTION("""COMPUTED_VALUE""")," মোঃ সজিব হোসেন ")</f>
        <v> মোঃ সজিব হোসেন </v>
      </c>
      <c r="D711" s="3">
        <f>IFERROR(__xludf.DUMMYFUNCTION("""COMPUTED_VALUE"""),5.70056584687E11)</f>
        <v>570056584687</v>
      </c>
      <c r="E711" s="3" t="str">
        <f>IFERROR(__xludf.DUMMYFUNCTION("""COMPUTED_VALUE""")," মোঃ নজরুল ইসলাম ")</f>
        <v> মোঃ নজরুল ইসলাম </v>
      </c>
      <c r="F711" s="3" t="str">
        <f>IFERROR(__xludf.DUMMYFUNCTION("""COMPUTED_VALUE""")," মোছাঃ বালেছা খাতুন ")</f>
        <v> মোছাঃ বালেছা খাতুন </v>
      </c>
      <c r="G711" s="3" t="str">
        <f>IFERROR(__xludf.DUMMYFUNCTION("""COMPUTED_VALUE""")," ০৮/০১/২০০৩ ")</f>
        <v> ০৮/০১/২০০৩ </v>
      </c>
      <c r="H711" s="3" t="str">
        <f>IFERROR(__xludf.DUMMYFUNCTION("""COMPUTED_VALUE""")," মিস্ত্রী ")</f>
        <v> মিস্ত্রী </v>
      </c>
      <c r="I711" s="3" t="str">
        <f>IFERROR(__xludf.DUMMYFUNCTION("""COMPUTED_VALUE""")," জালশুকা, গাংনী, মেহেরপুর ")</f>
        <v> জালশুকা, গাংনী, মেহেরপুর </v>
      </c>
    </row>
    <row r="712" ht="15.75" customHeight="1">
      <c r="A712" s="3" t="s">
        <v>3829</v>
      </c>
      <c r="B712" s="3">
        <f>IFERROR(__xludf.DUMMYFUNCTION("SPLIT(A712,""|"")"),832.0)</f>
        <v>832</v>
      </c>
      <c r="C712" s="3" t="str">
        <f>IFERROR(__xludf.DUMMYFUNCTION("""COMPUTED_VALUE""")," মোঃ শাহজান আলী ")</f>
        <v> মোঃ শাহজান আলী </v>
      </c>
      <c r="D712" s="3">
        <f>IFERROR(__xludf.DUMMYFUNCTION("""COMPUTED_VALUE"""),5.70056584688E11)</f>
        <v>570056584688</v>
      </c>
      <c r="E712" s="3" t="str">
        <f>IFERROR(__xludf.DUMMYFUNCTION("""COMPUTED_VALUE""")," মোঃ মোক্কেল আলী ")</f>
        <v> মোঃ মোক্কেল আলী </v>
      </c>
      <c r="F712" s="3" t="str">
        <f>IFERROR(__xludf.DUMMYFUNCTION("""COMPUTED_VALUE""")," মোছাঃ শাহনাজ খাতুন ")</f>
        <v> মোছাঃ শাহনাজ খাতুন </v>
      </c>
      <c r="G712" s="3" t="str">
        <f>IFERROR(__xludf.DUMMYFUNCTION("""COMPUTED_VALUE""")," ২৬/১১/১৯৯৫ ")</f>
        <v> ২৬/১১/১৯৯৫ </v>
      </c>
      <c r="H712" s="3" t="str">
        <f>IFERROR(__xludf.DUMMYFUNCTION("""COMPUTED_VALUE""")," কৃষক ")</f>
        <v> কৃষক </v>
      </c>
      <c r="I712" s="3" t="str">
        <f>IFERROR(__xludf.DUMMYFUNCTION("""COMPUTED_VALUE""")," জালশুকা, গাংনী, মেহেরপুর ")</f>
        <v> জালশুকা, গাংনী, মেহেরপুর </v>
      </c>
    </row>
    <row r="713" ht="15.75" customHeight="1">
      <c r="A713" s="3" t="s">
        <v>3830</v>
      </c>
      <c r="B713" s="3">
        <f>IFERROR(__xludf.DUMMYFUNCTION("SPLIT(A713,""|"")"),833.0)</f>
        <v>833</v>
      </c>
      <c r="C713" s="3" t="str">
        <f>IFERROR(__xludf.DUMMYFUNCTION("""COMPUTED_VALUE""")," মোঃ মাসুদ মিয়্যা ")</f>
        <v> মোঃ মাসুদ মিয়্যা </v>
      </c>
      <c r="D713" s="3">
        <f>IFERROR(__xludf.DUMMYFUNCTION("""COMPUTED_VALUE"""),5.70056584689E11)</f>
        <v>570056584689</v>
      </c>
      <c r="E713" s="3" t="str">
        <f>IFERROR(__xludf.DUMMYFUNCTION("""COMPUTED_VALUE""")," মোঃ মুনসাদ আলী ")</f>
        <v> মোঃ মুনসাদ আলী </v>
      </c>
      <c r="F713" s="3" t="str">
        <f>IFERROR(__xludf.DUMMYFUNCTION("""COMPUTED_VALUE""")," মোছাঃ মকছুরা খাতুন ")</f>
        <v> মোছাঃ মকছুরা খাতুন </v>
      </c>
      <c r="G713" s="3" t="str">
        <f>IFERROR(__xludf.DUMMYFUNCTION("""COMPUTED_VALUE""")," ০১/০৯/২০০০ ")</f>
        <v> ০১/০৯/২০০০ </v>
      </c>
      <c r="H713" s="3" t="str">
        <f>IFERROR(__xludf.DUMMYFUNCTION("""COMPUTED_VALUE""")," ছাত্র/ছাত্রী ")</f>
        <v> ছাত্র/ছাত্রী </v>
      </c>
      <c r="I713" s="3" t="str">
        <f>IFERROR(__xludf.DUMMYFUNCTION("""COMPUTED_VALUE""")," জালশুকা, গাংনী, মেহেরপুর ")</f>
        <v> জালশুকা, গাংনী, মেহেরপুর </v>
      </c>
    </row>
    <row r="714" ht="15.75" customHeight="1">
      <c r="A714" s="3" t="s">
        <v>3831</v>
      </c>
      <c r="B714" s="3">
        <f>IFERROR(__xludf.DUMMYFUNCTION("SPLIT(A714,""|"")"),834.0)</f>
        <v>834</v>
      </c>
      <c r="C714" s="3" t="str">
        <f>IFERROR(__xludf.DUMMYFUNCTION("""COMPUTED_VALUE""")," মোঃ মিজানুর রহমান ")</f>
        <v> মোঃ মিজানুর রহমান </v>
      </c>
      <c r="D714" s="3">
        <f>IFERROR(__xludf.DUMMYFUNCTION("""COMPUTED_VALUE"""),5.7005658469E11)</f>
        <v>570056584690</v>
      </c>
      <c r="E714" s="3" t="str">
        <f>IFERROR(__xludf.DUMMYFUNCTION("""COMPUTED_VALUE""")," মোঃ মহাবুল হক ")</f>
        <v> মোঃ মহাবুল হক </v>
      </c>
      <c r="F714" s="3" t="str">
        <f>IFERROR(__xludf.DUMMYFUNCTION("""COMPUTED_VALUE""")," মোছাঃ আলেরা খাতুন ")</f>
        <v> মোছাঃ আলেরা খাতুন </v>
      </c>
      <c r="G714" s="3" t="str">
        <f>IFERROR(__xludf.DUMMYFUNCTION("""COMPUTED_VALUE""")," ১২/০৩/২০০৩ ")</f>
        <v> ১২/০৩/২০০৩ </v>
      </c>
      <c r="H714" s="3" t="str">
        <f>IFERROR(__xludf.DUMMYFUNCTION("""COMPUTED_VALUE""")," ছাত্র/ছাত্রী ")</f>
        <v> ছাত্র/ছাত্রী </v>
      </c>
      <c r="I714" s="3" t="str">
        <f>IFERROR(__xludf.DUMMYFUNCTION("""COMPUTED_VALUE""")," জালশুকা, গাংনী, মেহেরপুর ")</f>
        <v> জালশুকা, গাংনী, মেহেরপুর </v>
      </c>
    </row>
    <row r="715" ht="15.75" customHeight="1">
      <c r="A715" s="3" t="s">
        <v>3832</v>
      </c>
      <c r="B715" s="3">
        <f>IFERROR(__xludf.DUMMYFUNCTION("SPLIT(A715,""|"")"),835.0)</f>
        <v>835</v>
      </c>
      <c r="C715" s="3" t="str">
        <f>IFERROR(__xludf.DUMMYFUNCTION("""COMPUTED_VALUE""")," মোঃ রায়হান আলী ")</f>
        <v> মোঃ রায়হান আলী </v>
      </c>
      <c r="D715" s="3">
        <f>IFERROR(__xludf.DUMMYFUNCTION("""COMPUTED_VALUE"""),5.70056584697E11)</f>
        <v>570056584697</v>
      </c>
      <c r="E715" s="3" t="str">
        <f>IFERROR(__xludf.DUMMYFUNCTION("""COMPUTED_VALUE""")," মোঃ জামাত আলী ")</f>
        <v> মোঃ জামাত আলী </v>
      </c>
      <c r="F715" s="3" t="str">
        <f>IFERROR(__xludf.DUMMYFUNCTION("""COMPUTED_VALUE""")," মোছাঃ হালিমা খাতুন ")</f>
        <v> মোছাঃ হালিমা খাতুন </v>
      </c>
      <c r="G715" s="3" t="str">
        <f>IFERROR(__xludf.DUMMYFUNCTION("""COMPUTED_VALUE""")," ০১/০৬/২০০২ ")</f>
        <v> ০১/০৬/২০০২ </v>
      </c>
      <c r="H715" s="3" t="str">
        <f>IFERROR(__xludf.DUMMYFUNCTION("""COMPUTED_VALUE""")," কৃষক ")</f>
        <v> কৃষক </v>
      </c>
      <c r="I715" s="3" t="str">
        <f>IFERROR(__xludf.DUMMYFUNCTION("""COMPUTED_VALUE""")," জালশুকা, গাংনী, মেহেরপুর ")</f>
        <v> জালশুকা, গাংনী, মেহেরপুর </v>
      </c>
    </row>
    <row r="716" ht="15.75" customHeight="1">
      <c r="A716" s="3" t="s">
        <v>3833</v>
      </c>
      <c r="B716" s="3">
        <f>IFERROR(__xludf.DUMMYFUNCTION("SPLIT(A716,""|"")"),836.0)</f>
        <v>836</v>
      </c>
      <c r="C716" s="3" t="str">
        <f>IFERROR(__xludf.DUMMYFUNCTION("""COMPUTED_VALUE""")," মোঃ শিপন আলী ")</f>
        <v> মোঃ শিপন আলী </v>
      </c>
      <c r="D716" s="3">
        <f>IFERROR(__xludf.DUMMYFUNCTION("""COMPUTED_VALUE"""),5.70056584698E11)</f>
        <v>570056584698</v>
      </c>
      <c r="E716" s="3" t="str">
        <f>IFERROR(__xludf.DUMMYFUNCTION("""COMPUTED_VALUE""")," মোঃ বিশারত আলী ")</f>
        <v> মোঃ বিশারত আলী </v>
      </c>
      <c r="F716" s="3" t="str">
        <f>IFERROR(__xludf.DUMMYFUNCTION("""COMPUTED_VALUE""")," মোছাঃ রিণা খাতুন ")</f>
        <v> মোছাঃ রিণা খাতুন </v>
      </c>
      <c r="G716" s="3" t="str">
        <f>IFERROR(__xludf.DUMMYFUNCTION("""COMPUTED_VALUE""")," ০১/০২/২০০০ ")</f>
        <v> ০১/০২/২০০০ </v>
      </c>
      <c r="H716" s="3" t="str">
        <f>IFERROR(__xludf.DUMMYFUNCTION("""COMPUTED_VALUE""")," কৃষক ")</f>
        <v> কৃষক </v>
      </c>
      <c r="I716" s="3" t="str">
        <f>IFERROR(__xludf.DUMMYFUNCTION("""COMPUTED_VALUE""")," জালশুকা, গাংনী, মেহেরপুর ")</f>
        <v> জালশুকা, গাংনী, মেহেরপুর </v>
      </c>
    </row>
    <row r="717" ht="15.75" customHeight="1">
      <c r="A717" s="3" t="s">
        <v>3834</v>
      </c>
      <c r="B717" s="3">
        <f>IFERROR(__xludf.DUMMYFUNCTION("SPLIT(A717,""|"")"),837.0)</f>
        <v>837</v>
      </c>
      <c r="C717" s="3" t="str">
        <f>IFERROR(__xludf.DUMMYFUNCTION("""COMPUTED_VALUE""")," মোঃ আলহামদু ")</f>
        <v> মোঃ আলহামদু </v>
      </c>
      <c r="D717" s="3">
        <f>IFERROR(__xludf.DUMMYFUNCTION("""COMPUTED_VALUE"""),5.70056584699E11)</f>
        <v>570056584699</v>
      </c>
      <c r="E717" s="3" t="str">
        <f>IFERROR(__xludf.DUMMYFUNCTION("""COMPUTED_VALUE""")," মোঃ নওশাদ আলী ")</f>
        <v> মোঃ নওশাদ আলী </v>
      </c>
      <c r="F717" s="3" t="str">
        <f>IFERROR(__xludf.DUMMYFUNCTION("""COMPUTED_VALUE""")," মোছাঃ ববিতা খাতুন ")</f>
        <v> মোছাঃ ববিতা খাতুন </v>
      </c>
      <c r="G717" s="3" t="str">
        <f>IFERROR(__xludf.DUMMYFUNCTION("""COMPUTED_VALUE""")," ০১/০১/২০০৪ ")</f>
        <v> ০১/০১/২০০৪ </v>
      </c>
      <c r="H717" s="3" t="str">
        <f>IFERROR(__xludf.DUMMYFUNCTION("""COMPUTED_VALUE""")," ছাত্র/ছাত্রী ")</f>
        <v> ছাত্র/ছাত্রী </v>
      </c>
      <c r="I717" s="3" t="str">
        <f>IFERROR(__xludf.DUMMYFUNCTION("""COMPUTED_VALUE""")," ৮২৬, জালশুকা, গাংনী, মেহেরপুর ")</f>
        <v> ৮২৬, জালশুকা, গাংনী, মেহেরপুর </v>
      </c>
    </row>
    <row r="718" ht="15.75" customHeight="1">
      <c r="A718" s="3" t="s">
        <v>3835</v>
      </c>
      <c r="B718" s="3">
        <f>IFERROR(__xludf.DUMMYFUNCTION("SPLIT(A718,""|"")"),838.0)</f>
        <v>838</v>
      </c>
      <c r="C718" s="3" t="str">
        <f>IFERROR(__xludf.DUMMYFUNCTION("""COMPUTED_VALUE""")," মোঃ জুবায়ের আলী ")</f>
        <v> মোঃ জুবায়ের আলী </v>
      </c>
      <c r="D718" s="3">
        <f>IFERROR(__xludf.DUMMYFUNCTION("""COMPUTED_VALUE"""),5.700565847E11)</f>
        <v>570056584700</v>
      </c>
      <c r="E718" s="3" t="str">
        <f>IFERROR(__xludf.DUMMYFUNCTION("""COMPUTED_VALUE""")," জিনারুল ইসলাম ")</f>
        <v> জিনারুল ইসলাম </v>
      </c>
      <c r="F718" s="3" t="str">
        <f>IFERROR(__xludf.DUMMYFUNCTION("""COMPUTED_VALUE""")," মোছাঃ বেদেনা খাতুন ")</f>
        <v> মোছাঃ বেদেনা খাতুন </v>
      </c>
      <c r="G718" s="3" t="str">
        <f>IFERROR(__xludf.DUMMYFUNCTION("""COMPUTED_VALUE""")," ১০/০২/২০০২ ")</f>
        <v> ১০/০২/২০০২ </v>
      </c>
      <c r="H718" s="3" t="str">
        <f>IFERROR(__xludf.DUMMYFUNCTION("""COMPUTED_VALUE""")," কৃষক ")</f>
        <v> কৃষক </v>
      </c>
      <c r="I718" s="3" t="str">
        <f>IFERROR(__xludf.DUMMYFUNCTION("""COMPUTED_VALUE""")," জালশুকা, গাংনী, মেহেরপুর ")</f>
        <v> জালশুকা, গাংনী, মেহেরপুর </v>
      </c>
    </row>
    <row r="719" ht="15.75" customHeight="1">
      <c r="A719" s="3" t="s">
        <v>3836</v>
      </c>
      <c r="B719" s="3">
        <f>IFERROR(__xludf.DUMMYFUNCTION("SPLIT(A719,""|"")"),839.0)</f>
        <v>839</v>
      </c>
      <c r="C719" s="3" t="str">
        <f>IFERROR(__xludf.DUMMYFUNCTION("""COMPUTED_VALUE""")," মোঃ বিপুল হোসেন ")</f>
        <v> মোঃ বিপুল হোসেন </v>
      </c>
      <c r="D719" s="3">
        <f>IFERROR(__xludf.DUMMYFUNCTION("""COMPUTED_VALUE"""),5.70056000514E11)</f>
        <v>570056000514</v>
      </c>
      <c r="E719" s="3" t="str">
        <f>IFERROR(__xludf.DUMMYFUNCTION("""COMPUTED_VALUE""")," মোঃ বাবুল হোসেন ")</f>
        <v> মোঃ বাবুল হোসেন </v>
      </c>
      <c r="F719" s="3" t="str">
        <f>IFERROR(__xludf.DUMMYFUNCTION("""COMPUTED_VALUE""")," মোছাঃ ডলিয়ার খাতুন ")</f>
        <v> মোছাঃ ডলিয়ার খাতুন </v>
      </c>
      <c r="G719" s="3" t="str">
        <f>IFERROR(__xludf.DUMMYFUNCTION("""COMPUTED_VALUE""")," ০৪/০৩/২০০৪ ")</f>
        <v> ০৪/০৩/২০০৪ </v>
      </c>
      <c r="H719" s="3" t="str">
        <f>IFERROR(__xludf.DUMMYFUNCTION("""COMPUTED_VALUE""")," ছাত্র/ছাত্রী ")</f>
        <v> ছাত্র/ছাত্রী </v>
      </c>
      <c r="I719" s="3" t="str">
        <f>IFERROR(__xludf.DUMMYFUNCTION("""COMPUTED_VALUE""")," জালশুকা, গাংনী, মেহেরপুর ")</f>
        <v> জালশুকা, গাংনী, মেহেরপুর </v>
      </c>
    </row>
    <row r="720" ht="15.75" customHeight="1">
      <c r="A720" s="3" t="s">
        <v>3837</v>
      </c>
      <c r="B720" s="3">
        <f>IFERROR(__xludf.DUMMYFUNCTION("SPLIT(A720,""|"")"),840.0)</f>
        <v>840</v>
      </c>
      <c r="C720" s="3" t="str">
        <f>IFERROR(__xludf.DUMMYFUNCTION("""COMPUTED_VALUE""")," মোঃ সাব্বির আহমদ ")</f>
        <v> মোঃ সাব্বির আহমদ </v>
      </c>
      <c r="D720" s="3">
        <f>IFERROR(__xludf.DUMMYFUNCTION("""COMPUTED_VALUE"""),5.70056000529E11)</f>
        <v>570056000529</v>
      </c>
      <c r="E720" s="3" t="str">
        <f>IFERROR(__xludf.DUMMYFUNCTION("""COMPUTED_VALUE""")," মোঃ আতিয়ার রহমান ")</f>
        <v> মোঃ আতিয়ার রহমান </v>
      </c>
      <c r="F720" s="3" t="str">
        <f>IFERROR(__xludf.DUMMYFUNCTION("""COMPUTED_VALUE""")," মোছাঃ সাহেরা খাতুন ")</f>
        <v> মোছাঃ সাহেরা খাতুন </v>
      </c>
      <c r="G720" s="3" t="str">
        <f>IFERROR(__xludf.DUMMYFUNCTION("""COMPUTED_VALUE""")," ০৫/০৬/২০০৫ ")</f>
        <v> ০৫/০৬/২০০৫ </v>
      </c>
      <c r="H720" s="3" t="str">
        <f>IFERROR(__xludf.DUMMYFUNCTION("""COMPUTED_VALUE""")," কৃষক ")</f>
        <v> কৃষক </v>
      </c>
      <c r="I720" s="3" t="str">
        <f>IFERROR(__xludf.DUMMYFUNCTION("""COMPUTED_VALUE""")," জালশুকা, গাংনী, মেহেরপুর ")</f>
        <v> জালশুকা, গাংনী, মেহেরপুর </v>
      </c>
    </row>
    <row r="721" ht="15.75" customHeight="1">
      <c r="A721" s="3" t="s">
        <v>3838</v>
      </c>
      <c r="B721" s="3">
        <f>IFERROR(__xludf.DUMMYFUNCTION("SPLIT(A721,""|"")"),841.0)</f>
        <v>841</v>
      </c>
      <c r="C721" s="3" t="str">
        <f>IFERROR(__xludf.DUMMYFUNCTION("""COMPUTED_VALUE""")," মোঃ ফরজ আলী ")</f>
        <v> মোঃ ফরজ আলী </v>
      </c>
      <c r="D721" s="3">
        <f>IFERROR(__xludf.DUMMYFUNCTION("""COMPUTED_VALUE"""),5.70056000544E11)</f>
        <v>570056000544</v>
      </c>
      <c r="E721" s="3" t="str">
        <f>IFERROR(__xludf.DUMMYFUNCTION("""COMPUTED_VALUE""")," মোঃ আবু শাহিন ")</f>
        <v> মোঃ আবু শাহিন </v>
      </c>
      <c r="F721" s="3" t="str">
        <f>IFERROR(__xludf.DUMMYFUNCTION("""COMPUTED_VALUE""")," মোছাঃ পিলিয়ার খাতুন ")</f>
        <v> মোছাঃ পিলিয়ার খাতুন </v>
      </c>
      <c r="G721" s="3" t="str">
        <f>IFERROR(__xludf.DUMMYFUNCTION("""COMPUTED_VALUE""")," ৩০/১২/২০০৬ ")</f>
        <v> ৩০/১২/২০০৬ </v>
      </c>
      <c r="H721" s="3" t="str">
        <f>IFERROR(__xludf.DUMMYFUNCTION("""COMPUTED_VALUE""")," কৃষক ")</f>
        <v> কৃষক </v>
      </c>
      <c r="I721" s="3" t="str">
        <f>IFERROR(__xludf.DUMMYFUNCTION("""COMPUTED_VALUE""")," জালশুকা, গাংনী, মেহেরপুর ")</f>
        <v> জালশুকা, গাংনী, মেহেরপুর </v>
      </c>
    </row>
    <row r="722" ht="15.75" customHeight="1">
      <c r="A722" s="3" t="s">
        <v>3839</v>
      </c>
      <c r="B722" s="3">
        <f>IFERROR(__xludf.DUMMYFUNCTION("SPLIT(A722,""|"")"),842.0)</f>
        <v>842</v>
      </c>
      <c r="C722" s="3" t="str">
        <f>IFERROR(__xludf.DUMMYFUNCTION("""COMPUTED_VALUE""")," মোঃ পারভেজ হোসেন ")</f>
        <v> মোঃ পারভেজ হোসেন </v>
      </c>
      <c r="D722" s="3">
        <f>IFERROR(__xludf.DUMMYFUNCTION("""COMPUTED_VALUE"""),5.70056584703E11)</f>
        <v>570056584703</v>
      </c>
      <c r="E722" s="3" t="str">
        <f>IFERROR(__xludf.DUMMYFUNCTION("""COMPUTED_VALUE""")," মোঃ শহিদুল ")</f>
        <v> মোঃ শহিদুল </v>
      </c>
      <c r="F722" s="3" t="str">
        <f>IFERROR(__xludf.DUMMYFUNCTION("""COMPUTED_VALUE""")," মোছাঃ পারভিনা খাতুন ")</f>
        <v> মোছাঃ পারভিনা খাতুন </v>
      </c>
      <c r="G722" s="3" t="str">
        <f>IFERROR(__xludf.DUMMYFUNCTION("""COMPUTED_VALUE""")," ০১/০১/২০০২ ")</f>
        <v> ০১/০১/২০০২ </v>
      </c>
      <c r="H722" s="3" t="str">
        <f>IFERROR(__xludf.DUMMYFUNCTION("""COMPUTED_VALUE""")," ছাত্র/ছাত্রী ")</f>
        <v> ছাত্র/ছাত্রী </v>
      </c>
      <c r="I722" s="3" t="str">
        <f>IFERROR(__xludf.DUMMYFUNCTION("""COMPUTED_VALUE""")," জালশুকা, গাংনী, মেহেরপুর ")</f>
        <v> জালশুকা, গাংনী, মেহেরপুর </v>
      </c>
    </row>
    <row r="723" ht="15.75" customHeight="1">
      <c r="A723" s="3" t="s">
        <v>3840</v>
      </c>
      <c r="B723" s="3">
        <f>IFERROR(__xludf.DUMMYFUNCTION("SPLIT(A723,""|"")"),843.0)</f>
        <v>843</v>
      </c>
      <c r="C723" s="3" t="str">
        <f>IFERROR(__xludf.DUMMYFUNCTION("""COMPUTED_VALUE""")," পারভেজ ")</f>
        <v> পারভেজ </v>
      </c>
      <c r="D723" s="3">
        <f>IFERROR(__xludf.DUMMYFUNCTION("""COMPUTED_VALUE"""),5.70056584708E11)</f>
        <v>570056584708</v>
      </c>
      <c r="E723" s="3" t="str">
        <f>IFERROR(__xludf.DUMMYFUNCTION("""COMPUTED_VALUE""")," মোঃ মোশারফ ")</f>
        <v> মোঃ মোশারফ </v>
      </c>
      <c r="F723" s="3" t="str">
        <f>IFERROR(__xludf.DUMMYFUNCTION("""COMPUTED_VALUE""")," মোছাঃ পারিছা খাতুন ")</f>
        <v> মোছাঃ পারিছা খাতুন </v>
      </c>
      <c r="G723" s="3" t="str">
        <f>IFERROR(__xludf.DUMMYFUNCTION("""COMPUTED_VALUE""")," ০১/০১/১৯৯৫ ")</f>
        <v> ০১/০১/১৯৯৫ </v>
      </c>
      <c r="H723" s="3" t="str">
        <f>IFERROR(__xludf.DUMMYFUNCTION("""COMPUTED_VALUE""")," শ্রমিক ")</f>
        <v> শ্রমিক </v>
      </c>
      <c r="I723" s="3" t="str">
        <f>IFERROR(__xludf.DUMMYFUNCTION("""COMPUTED_VALUE""")," জালশুকা, গাংনী, মেহেরপুর ")</f>
        <v> জালশুকা, গাংনী, মেহেরপুর </v>
      </c>
    </row>
    <row r="724" ht="15.75" customHeight="1">
      <c r="A724" s="3" t="s">
        <v>3841</v>
      </c>
      <c r="B724" s="3">
        <f>IFERROR(__xludf.DUMMYFUNCTION("SPLIT(A724,""|"")"),844.0)</f>
        <v>844</v>
      </c>
      <c r="C724" s="3" t="str">
        <f>IFERROR(__xludf.DUMMYFUNCTION("""COMPUTED_VALUE""")," নাম: মোহাম্মাদ রাকিব রেজা ")</f>
        <v> নাম: মোহাম্মাদ রাকিব রেজা </v>
      </c>
      <c r="D724" s="3">
        <f>IFERROR(__xludf.DUMMYFUNCTION("""COMPUTED_VALUE"""),5.70056000539E11)</f>
        <v>570056000539</v>
      </c>
      <c r="E724" s="3" t="str">
        <f>IFERROR(__xludf.DUMMYFUNCTION("""COMPUTED_VALUE""")," সিরাজুল হক ")</f>
        <v> সিরাজুল হক </v>
      </c>
      <c r="F724" s="3" t="str">
        <f>IFERROR(__xludf.DUMMYFUNCTION("""COMPUTED_VALUE""")," রওশনারা খাতুন ")</f>
        <v> রওশনারা খাতুন </v>
      </c>
      <c r="G724" s="3" t="str">
        <f>IFERROR(__xludf.DUMMYFUNCTION("""COMPUTED_VALUE""")," ১২/১০/১৯৯০ ")</f>
        <v> ১২/১০/১৯৯০ </v>
      </c>
      <c r="H724" s="3" t="str">
        <f>IFERROR(__xludf.DUMMYFUNCTION("""COMPUTED_VALUE""")," শ্রমিক ")</f>
        <v> শ্রমিক </v>
      </c>
      <c r="I724" s="3" t="str">
        <f>IFERROR(__xludf.DUMMYFUNCTION("""COMPUTED_VALUE""")," ১৭১, জালশুকা, গাংনী, মেহেরপুর ")</f>
        <v> ১৭১, জালশুকা, গাংনী, মেহেরপুর </v>
      </c>
    </row>
    <row r="725" ht="15.75" customHeight="1">
      <c r="A725" s="3" t="s">
        <v>3842</v>
      </c>
      <c r="B725" s="3">
        <f>IFERROR(__xludf.DUMMYFUNCTION("SPLIT(A725,""|"")"),845.0)</f>
        <v>845</v>
      </c>
      <c r="C725" s="3" t="str">
        <f>IFERROR(__xludf.DUMMYFUNCTION("""COMPUTED_VALUE""")," নাম: মোঃ রকিবুল হক ")</f>
        <v> নাম: মোঃ রকিবুল হক </v>
      </c>
      <c r="D725" s="3">
        <f>IFERROR(__xludf.DUMMYFUNCTION("""COMPUTED_VALUE"""),5.7005600054E11)</f>
        <v>570056000540</v>
      </c>
      <c r="E725" s="3" t="str">
        <f>IFERROR(__xludf.DUMMYFUNCTION("""COMPUTED_VALUE""")," মোঃ আশাদুল ")</f>
        <v> মোঃ আশাদুল </v>
      </c>
      <c r="F725" s="3" t="str">
        <f>IFERROR(__xludf.DUMMYFUNCTION("""COMPUTED_VALUE""")," মোছাঃ চাইনা খাতুন ")</f>
        <v> মোছাঃ চাইনা খাতুন </v>
      </c>
      <c r="G725" s="3" t="str">
        <f>IFERROR(__xludf.DUMMYFUNCTION("""COMPUTED_VALUE""")," ১৫/০২/১৯৯৬ ")</f>
        <v> ১৫/০২/১৯৯৬ </v>
      </c>
      <c r="H725" s="3" t="str">
        <f>IFERROR(__xludf.DUMMYFUNCTION("""COMPUTED_VALUE""")," কৃষক ")</f>
        <v> কৃষক </v>
      </c>
      <c r="I725" s="3" t="str">
        <f>IFERROR(__xludf.DUMMYFUNCTION("""COMPUTED_VALUE""")," জালশুকা, গাংনী, মেহেরপুর ")</f>
        <v> জালশুকা, গাংনী, মেহেরপুর </v>
      </c>
    </row>
    <row r="726" ht="15.75" customHeight="1">
      <c r="A726" s="3" t="s">
        <v>3843</v>
      </c>
      <c r="B726" s="3">
        <f>IFERROR(__xludf.DUMMYFUNCTION("SPLIT(A726,""|"")"),846.0)</f>
        <v>846</v>
      </c>
      <c r="C726" s="3" t="str">
        <f>IFERROR(__xludf.DUMMYFUNCTION("""COMPUTED_VALUE""")," নাম: মোঃ সুমন আলী ")</f>
        <v> নাম: মোঃ সুমন আলী </v>
      </c>
      <c r="D726" s="3">
        <f>IFERROR(__xludf.DUMMYFUNCTION("""COMPUTED_VALUE"""),5.70056584711E11)</f>
        <v>570056584711</v>
      </c>
      <c r="E726" s="3" t="str">
        <f>IFERROR(__xludf.DUMMYFUNCTION("""COMPUTED_VALUE""")," মোঃ আনুছদ্দিন ")</f>
        <v> মোঃ আনুছদ্দিন </v>
      </c>
      <c r="F726" s="3" t="str">
        <f>IFERROR(__xludf.DUMMYFUNCTION("""COMPUTED_VALUE""")," মোছাঃ ফিরোজা খাতুন ")</f>
        <v> মোছাঃ ফিরোজা খাতুন </v>
      </c>
      <c r="G726" s="3" t="str">
        <f>IFERROR(__xludf.DUMMYFUNCTION("""COMPUTED_VALUE""")," ২৫/০২/২০০৪ ")</f>
        <v> ২৫/০২/২০০৪ </v>
      </c>
      <c r="H726" s="3" t="str">
        <f>IFERROR(__xludf.DUMMYFUNCTION("""COMPUTED_VALUE""")," শ্রমিক ")</f>
        <v> শ্রমিক </v>
      </c>
      <c r="I726" s="3" t="str">
        <f>IFERROR(__xludf.DUMMYFUNCTION("""COMPUTED_VALUE""")," জালশুকা, গাংনী, মেহেরপুর ")</f>
        <v> জালশুকা, গাংনী, মেহেরপুর </v>
      </c>
    </row>
    <row r="727" ht="15.75" customHeight="1">
      <c r="A727" s="3" t="s">
        <v>3844</v>
      </c>
      <c r="B727" s="3">
        <f>IFERROR(__xludf.DUMMYFUNCTION("SPLIT(A727,""|"")"),847.0)</f>
        <v>847</v>
      </c>
      <c r="C727" s="3" t="str">
        <f>IFERROR(__xludf.DUMMYFUNCTION("""COMPUTED_VALUE""")," নাম: সাকিল আহমেদ ")</f>
        <v> নাম: সাকিল আহমেদ </v>
      </c>
      <c r="D727" s="3">
        <f>IFERROR(__xludf.DUMMYFUNCTION("""COMPUTED_VALUE"""),5.70056584712E11)</f>
        <v>570056584712</v>
      </c>
      <c r="E727" s="3" t="str">
        <f>IFERROR(__xludf.DUMMYFUNCTION("""COMPUTED_VALUE""")," মোঃ রইছউদ্দীন ")</f>
        <v> মোঃ রইছউদ্দীন </v>
      </c>
      <c r="F727" s="3" t="str">
        <f>IFERROR(__xludf.DUMMYFUNCTION("""COMPUTED_VALUE""")," মোছাঃ সুবারোন ")</f>
        <v> মোছাঃ সুবারোন </v>
      </c>
      <c r="G727" s="3" t="str">
        <f>IFERROR(__xludf.DUMMYFUNCTION("""COMPUTED_VALUE""")," ১৮/০১/২০০৪ ")</f>
        <v> ১৮/০১/২০০৪ </v>
      </c>
      <c r="H727" s="3" t="str">
        <f>IFERROR(__xludf.DUMMYFUNCTION("""COMPUTED_VALUE""")," শ্রমিক ")</f>
        <v> শ্রমিক </v>
      </c>
      <c r="I727" s="3" t="str">
        <f>IFERROR(__xludf.DUMMYFUNCTION("""COMPUTED_VALUE""")," জালশুকা, গাংনী, মেহেরপুর ")</f>
        <v> জালশুকা, গাংনী, মেহেরপুর </v>
      </c>
    </row>
    <row r="728" ht="15.75" customHeight="1">
      <c r="A728" s="3" t="s">
        <v>3845</v>
      </c>
      <c r="B728" s="3">
        <f>IFERROR(__xludf.DUMMYFUNCTION("SPLIT(A728,""|"")"),848.0)</f>
        <v>848</v>
      </c>
      <c r="C728" s="3" t="str">
        <f>IFERROR(__xludf.DUMMYFUNCTION("""COMPUTED_VALUE""")," নাম: মোঃ আরাফাত আলী ")</f>
        <v> নাম: মোঃ আরাফাত আলী </v>
      </c>
      <c r="D728" s="3">
        <f>IFERROR(__xludf.DUMMYFUNCTION("""COMPUTED_VALUE"""),5.70056584713E11)</f>
        <v>570056584713</v>
      </c>
      <c r="E728" s="3" t="str">
        <f>IFERROR(__xludf.DUMMYFUNCTION("""COMPUTED_VALUE""")," মোছাঃ মোজাম্মেল ")</f>
        <v> মোছাঃ মোজাম্মেল </v>
      </c>
      <c r="F728" s="3" t="str">
        <f>IFERROR(__xludf.DUMMYFUNCTION("""COMPUTED_VALUE""")," মোছাঃ রাবিয়া খাতুন ")</f>
        <v> মোছাঃ রাবিয়া খাতুন </v>
      </c>
      <c r="G728" s="3" t="str">
        <f>IFERROR(__xludf.DUMMYFUNCTION("""COMPUTED_VALUE""")," ০১/০১/২০০৫ ")</f>
        <v> ০১/০১/২০০৫ </v>
      </c>
      <c r="H728" s="3" t="str">
        <f>IFERROR(__xludf.DUMMYFUNCTION("""COMPUTED_VALUE""")," শ্রমিক ")</f>
        <v> শ্রমিক </v>
      </c>
      <c r="I728" s="3" t="str">
        <f>IFERROR(__xludf.DUMMYFUNCTION("""COMPUTED_VALUE""")," জালশুকা, গাংনী, মেহেরপুর ")</f>
        <v> জালশুকা, গাংনী, মেহেরপুর </v>
      </c>
    </row>
    <row r="729" ht="15.75" customHeight="1">
      <c r="A729" s="3" t="s">
        <v>3846</v>
      </c>
      <c r="B729" s="3">
        <f>IFERROR(__xludf.DUMMYFUNCTION("SPLIT(A729,""|"")"),849.0)</f>
        <v>849</v>
      </c>
      <c r="C729" s="3" t="str">
        <f>IFERROR(__xludf.DUMMYFUNCTION("""COMPUTED_VALUE""")," নাম: মোঃ হাসান ")</f>
        <v> নাম: মোঃ হাসান </v>
      </c>
      <c r="D729" s="3">
        <f>IFERROR(__xludf.DUMMYFUNCTION("""COMPUTED_VALUE"""),5.7005600053E11)</f>
        <v>570056000530</v>
      </c>
      <c r="E729" s="3" t="str">
        <f>IFERROR(__xludf.DUMMYFUNCTION("""COMPUTED_VALUE""")," মোঃ আবুল কাশেম ")</f>
        <v> মোঃ আবুল কাশেম </v>
      </c>
      <c r="F729" s="3" t="str">
        <f>IFERROR(__xludf.DUMMYFUNCTION("""COMPUTED_VALUE""")," মোছাঃ নুরজাহান ")</f>
        <v> মোছাঃ নুরজাহান </v>
      </c>
      <c r="G729" s="3" t="str">
        <f>IFERROR(__xludf.DUMMYFUNCTION("""COMPUTED_VALUE""")," ০২/০৬/২০০৩ ")</f>
        <v> ০২/০৬/২০০৩ </v>
      </c>
      <c r="H729" s="3" t="str">
        <f>IFERROR(__xludf.DUMMYFUNCTION("""COMPUTED_VALUE""")," শ্রমিক ")</f>
        <v> শ্রমিক </v>
      </c>
      <c r="I729" s="3" t="str">
        <f>IFERROR(__xludf.DUMMYFUNCTION("""COMPUTED_VALUE""")," ৯২৩, জালশুকা, গাংনী, মেহেরপুর ")</f>
        <v> ৯২৩, জালশুকা, গাংনী, মেহেরপুর </v>
      </c>
    </row>
    <row r="730" ht="15.75" customHeight="1">
      <c r="A730" s="3" t="s">
        <v>3847</v>
      </c>
      <c r="B730" s="3">
        <f>IFERROR(__xludf.DUMMYFUNCTION("SPLIT(A730,""|"")"),850.0)</f>
        <v>850</v>
      </c>
      <c r="C730" s="3" t="str">
        <f>IFERROR(__xludf.DUMMYFUNCTION("""COMPUTED_VALUE""")," নাম: মোঃ মুনছের ")</f>
        <v> নাম: মোঃ মুনছের </v>
      </c>
      <c r="D730" s="3">
        <f>IFERROR(__xludf.DUMMYFUNCTION("""COMPUTED_VALUE"""),5.70056000541E11)</f>
        <v>570056000541</v>
      </c>
      <c r="E730" s="3" t="str">
        <f>IFERROR(__xludf.DUMMYFUNCTION("""COMPUTED_VALUE""")," মোঃ আকাল উদ্দিন ")</f>
        <v> মোঃ আকাল উদ্দিন </v>
      </c>
      <c r="F730" s="3" t="str">
        <f>IFERROR(__xludf.DUMMYFUNCTION("""COMPUTED_VALUE""")," মোছাঃ জাহানারা খাতুন ")</f>
        <v> মোছাঃ জাহানারা খাতুন </v>
      </c>
      <c r="G730" s="3" t="str">
        <f>IFERROR(__xludf.DUMMYFUNCTION("""COMPUTED_VALUE""")," ১০/০৮/১৯৮১ ")</f>
        <v> ১০/০৮/১৯৮১ </v>
      </c>
      <c r="H730" s="3" t="str">
        <f>IFERROR(__xludf.DUMMYFUNCTION("""COMPUTED_VALUE""")," কৃষক ")</f>
        <v> কৃষক </v>
      </c>
      <c r="I730" s="3" t="str">
        <f>IFERROR(__xludf.DUMMYFUNCTION("""COMPUTED_VALUE""")," জালশুকা, গাংনী, মেহেরপুর ")</f>
        <v> জালশুকা, গাংনী, মেহেরপুর </v>
      </c>
    </row>
    <row r="731" ht="15.75" customHeight="1">
      <c r="A731" s="3" t="s">
        <v>3848</v>
      </c>
      <c r="B731" s="3">
        <f>IFERROR(__xludf.DUMMYFUNCTION("SPLIT(A731,""|"")"),851.0)</f>
        <v>851</v>
      </c>
      <c r="C731" s="3" t="str">
        <f>IFERROR(__xludf.DUMMYFUNCTION("""COMPUTED_VALUE""")," নাম: শফি উদ্দীন ")</f>
        <v> নাম: শফি উদ্দীন </v>
      </c>
      <c r="D731" s="3">
        <f>IFERROR(__xludf.DUMMYFUNCTION("""COMPUTED_VALUE"""),5.7005658472E11)</f>
        <v>570056584720</v>
      </c>
      <c r="E731" s="3" t="str">
        <f>IFERROR(__xludf.DUMMYFUNCTION("""COMPUTED_VALUE""")," ছাদেক আলী ")</f>
        <v> ছাদেক আলী </v>
      </c>
      <c r="F731" s="3" t="str">
        <f>IFERROR(__xludf.DUMMYFUNCTION("""COMPUTED_VALUE""")," হাজেরা খাতুন ")</f>
        <v> হাজেরা খাতুন </v>
      </c>
      <c r="G731" s="3" t="str">
        <f>IFERROR(__xludf.DUMMYFUNCTION("""COMPUTED_VALUE""")," ০২/০১/১৯৮৫ ")</f>
        <v> ০২/০১/১৯৮৫ </v>
      </c>
      <c r="H731" s="3" t="str">
        <f>IFERROR(__xludf.DUMMYFUNCTION("""COMPUTED_VALUE""")," শ্রমিক ")</f>
        <v> শ্রমিক </v>
      </c>
      <c r="I731" s="3" t="str">
        <f>IFERROR(__xludf.DUMMYFUNCTION("""COMPUTED_VALUE""")," ৭৭৯, জালশুকা, গাংনী, মেহেরপুর ")</f>
        <v> ৭৭৯, জালশুকা, গাংনী, মেহেরপুর </v>
      </c>
    </row>
    <row r="732" ht="15.75" customHeight="1">
      <c r="A732" s="3" t="s">
        <v>3849</v>
      </c>
      <c r="B732" s="3">
        <f>IFERROR(__xludf.DUMMYFUNCTION("SPLIT(A732,""|"")"),852.0)</f>
        <v>852</v>
      </c>
      <c r="C732" s="3" t="str">
        <f>IFERROR(__xludf.DUMMYFUNCTION("""COMPUTED_VALUE""")," নাম: মোঃ আতিয়ার রহমান ")</f>
        <v> নাম: মোঃ আতিয়ার রহমান </v>
      </c>
      <c r="D732" s="3">
        <f>IFERROR(__xludf.DUMMYFUNCTION("""COMPUTED_VALUE"""),5.70056584721E11)</f>
        <v>570056584721</v>
      </c>
      <c r="E732" s="3" t="str">
        <f>IFERROR(__xludf.DUMMYFUNCTION("""COMPUTED_VALUE""")," ছামছের ")</f>
        <v> ছামছের </v>
      </c>
      <c r="F732" s="3" t="str">
        <f>IFERROR(__xludf.DUMMYFUNCTION("""COMPUTED_VALUE""")," মোছাঃ ফুলছুরাতন খাতুন ")</f>
        <v> মোছাঃ ফুলছুরাতন খাতুন </v>
      </c>
      <c r="G732" s="3" t="str">
        <f>IFERROR(__xludf.DUMMYFUNCTION("""COMPUTED_VALUE""")," ২০/০৪/১৯৭২ ")</f>
        <v> ২০/০৪/১৯৭২ </v>
      </c>
      <c r="H732" s="3" t="str">
        <f>IFERROR(__xludf.DUMMYFUNCTION("""COMPUTED_VALUE""")," কৃষক ")</f>
        <v> কৃষক </v>
      </c>
      <c r="I732" s="3" t="str">
        <f>IFERROR(__xludf.DUMMYFUNCTION("""COMPUTED_VALUE""")," ৭৭৯, জালশুকা, গাংনী, মেহেরপুর ")</f>
        <v> ৭৭৯, জালশুকা, গাংনী, মেহেরপুর </v>
      </c>
    </row>
    <row r="733" ht="15.75" customHeight="1">
      <c r="A733" s="3" t="s">
        <v>3850</v>
      </c>
      <c r="B733" s="3">
        <f>IFERROR(__xludf.DUMMYFUNCTION("SPLIT(A733,""|"")"),853.0)</f>
        <v>853</v>
      </c>
      <c r="C733" s="3" t="str">
        <f>IFERROR(__xludf.DUMMYFUNCTION("""COMPUTED_VALUE""")," নাম: মোঃ পলাশ আলী ")</f>
        <v> নাম: মোঃ পলাশ আলী </v>
      </c>
      <c r="D733" s="3">
        <f>IFERROR(__xludf.DUMMYFUNCTION("""COMPUTED_VALUE"""),5.70056000543E11)</f>
        <v>570056000543</v>
      </c>
      <c r="E733" s="3" t="str">
        <f>IFERROR(__xludf.DUMMYFUNCTION("""COMPUTED_VALUE""")," মোঃ নাছীর উদ্দীন ")</f>
        <v> মোঃ নাছীর উদ্দীন </v>
      </c>
      <c r="F733" s="3" t="str">
        <f>IFERROR(__xludf.DUMMYFUNCTION("""COMPUTED_VALUE""")," মোছাঃ সাহেরা খাতুন ")</f>
        <v> মোছাঃ সাহেরা খাতুন </v>
      </c>
      <c r="G733" s="3" t="str">
        <f>IFERROR(__xludf.DUMMYFUNCTION("""COMPUTED_VALUE""")," ২৯/০৯/২০০৬ ")</f>
        <v> ২৯/০৯/২০০৬ </v>
      </c>
      <c r="H733" s="3" t="str">
        <f>IFERROR(__xludf.DUMMYFUNCTION("""COMPUTED_VALUE""")," বেকার ")</f>
        <v> বেকার </v>
      </c>
      <c r="I733" s="3" t="str">
        <f>IFERROR(__xludf.DUMMYFUNCTION("""COMPUTED_VALUE""")," ৮৬৭, জালশুকা, গাংনী, মেহেরপুর ")</f>
        <v> ৮৬৭, জালশুকা, গাংনী, মেহেরপুর </v>
      </c>
    </row>
    <row r="734" ht="15.75" customHeight="1">
      <c r="A734" s="3" t="s">
        <v>3851</v>
      </c>
      <c r="B734" s="3">
        <f>IFERROR(__xludf.DUMMYFUNCTION("SPLIT(A734,""|"")"),854.0)</f>
        <v>854</v>
      </c>
      <c r="C734" s="3" t="str">
        <f>IFERROR(__xludf.DUMMYFUNCTION("""COMPUTED_VALUE""")," নাম: মোঃ মশিউর রহমান ")</f>
        <v> নাম: মোঃ মশিউর রহমান </v>
      </c>
      <c r="D734" s="3">
        <f>IFERROR(__xludf.DUMMYFUNCTION("""COMPUTED_VALUE"""),5.70056584733E11)</f>
        <v>570056584733</v>
      </c>
      <c r="E734" s="3" t="str">
        <f>IFERROR(__xludf.DUMMYFUNCTION("""COMPUTED_VALUE""")," মোঃ দুলাল হোসেন ")</f>
        <v> মোঃ দুলাল হোসেন </v>
      </c>
      <c r="F734" s="3" t="str">
        <f>IFERROR(__xludf.DUMMYFUNCTION("""COMPUTED_VALUE""")," মোছাঃ আরবিয়া খাতুন ")</f>
        <v> মোছাঃ আরবিয়া খাতুন </v>
      </c>
      <c r="G734" s="3" t="str">
        <f>IFERROR(__xludf.DUMMYFUNCTION("""COMPUTED_VALUE""")," ১০/০৫/২০০৩ ")</f>
        <v> ১০/০৫/২০০৩ </v>
      </c>
      <c r="H734" s="3" t="str">
        <f>IFERROR(__xludf.DUMMYFUNCTION("""COMPUTED_VALUE""")," শ্রমিক ")</f>
        <v> শ্রমিক </v>
      </c>
      <c r="I734" s="3" t="str">
        <f>IFERROR(__xludf.DUMMYFUNCTION("""COMPUTED_VALUE""")," ২৩২, জালশুকা, গাংনী, মেহেরপুর ")</f>
        <v> ২৩২, জালশুকা, গাংনী, মেহেরপুর </v>
      </c>
    </row>
    <row r="735" ht="15.75" customHeight="1">
      <c r="A735" s="3" t="s">
        <v>3852</v>
      </c>
      <c r="B735" s="3">
        <f>IFERROR(__xludf.DUMMYFUNCTION("SPLIT(A735,""|"")"),855.0)</f>
        <v>855</v>
      </c>
      <c r="C735" s="3" t="str">
        <f>IFERROR(__xludf.DUMMYFUNCTION("""COMPUTED_VALUE""")," নাম: মোঃ সবুজ আলী ")</f>
        <v> নাম: মোঃ সবুজ আলী </v>
      </c>
      <c r="D735" s="3">
        <f>IFERROR(__xludf.DUMMYFUNCTION("""COMPUTED_VALUE"""),5.70056584734E11)</f>
        <v>570056584734</v>
      </c>
      <c r="E735" s="3" t="str">
        <f>IFERROR(__xludf.DUMMYFUNCTION("""COMPUTED_VALUE""")," মোঃ ইসরাফিল হোসেন ")</f>
        <v> মোঃ ইসরাফিল হোসেন </v>
      </c>
      <c r="F735" s="3" t="str">
        <f>IFERROR(__xludf.DUMMYFUNCTION("""COMPUTED_VALUE""")," মোছাঃ রোজিফা খাতুন ")</f>
        <v> মোছাঃ রোজিফা খাতুন </v>
      </c>
      <c r="G735" s="3" t="str">
        <f>IFERROR(__xludf.DUMMYFUNCTION("""COMPUTED_VALUE""")," ২৯/০৭/২০০৩ ")</f>
        <v> ২৯/০৭/২০০৩ </v>
      </c>
      <c r="H735" s="3" t="str">
        <f>IFERROR(__xludf.DUMMYFUNCTION("""COMPUTED_VALUE""")," শ্রমিক ")</f>
        <v> শ্রমিক </v>
      </c>
      <c r="I735" s="3" t="str">
        <f>IFERROR(__xludf.DUMMYFUNCTION("""COMPUTED_VALUE""")," ৭৯৯, জালশুকা, গাংনী, মেহেরপুর ")</f>
        <v> ৭৯৯, জালশুকা, গাংনী, মেহেরপুর </v>
      </c>
    </row>
    <row r="736" ht="15.75" customHeight="1">
      <c r="A736" s="3" t="s">
        <v>3853</v>
      </c>
      <c r="B736" s="3">
        <f>IFERROR(__xludf.DUMMYFUNCTION("SPLIT(A736,""|"")"),856.0)</f>
        <v>856</v>
      </c>
      <c r="C736" s="3" t="str">
        <f>IFERROR(__xludf.DUMMYFUNCTION("""COMPUTED_VALUE""")," নাম: মোঃ মুরছালিন মিয়া ")</f>
        <v> নাম: মোঃ মুরছালিন মিয়া </v>
      </c>
      <c r="D736" s="3">
        <f>IFERROR(__xludf.DUMMYFUNCTION("""COMPUTED_VALUE"""),5.70056584736E11)</f>
        <v>570056584736</v>
      </c>
      <c r="E736" s="3" t="str">
        <f>IFERROR(__xludf.DUMMYFUNCTION("""COMPUTED_VALUE""")," মোঃ বাবুল হোসেন ")</f>
        <v> মোঃ বাবুল হোসেন </v>
      </c>
      <c r="F736" s="3" t="str">
        <f>IFERROR(__xludf.DUMMYFUNCTION("""COMPUTED_VALUE""")," মোছাঃ তহুরা খাতুন ")</f>
        <v> মোছাঃ তহুরা খাতুন </v>
      </c>
      <c r="G736" s="3" t="str">
        <f>IFERROR(__xludf.DUMMYFUNCTION("""COMPUTED_VALUE""")," ১০/০৫/২০০৫ ")</f>
        <v> ১০/০৫/২০০৫ </v>
      </c>
      <c r="H736" s="3" t="str">
        <f>IFERROR(__xludf.DUMMYFUNCTION("""COMPUTED_VALUE""")," কৃষক ")</f>
        <v> কৃষক </v>
      </c>
      <c r="I736" s="3" t="str">
        <f>IFERROR(__xludf.DUMMYFUNCTION("""COMPUTED_VALUE""")," জালশুকা, গাংনী, মেহেরপুর ")</f>
        <v> জালশুকা, গাংনী, মেহেরপুর </v>
      </c>
    </row>
    <row r="737" ht="15.75" customHeight="1">
      <c r="A737" s="3" t="s">
        <v>3854</v>
      </c>
      <c r="B737" s="3">
        <f>IFERROR(__xludf.DUMMYFUNCTION("SPLIT(A737,""|"")"),857.0)</f>
        <v>857</v>
      </c>
      <c r="C737" s="3" t="str">
        <f>IFERROR(__xludf.DUMMYFUNCTION("""COMPUTED_VALUE""")," নাম: মোঃ জিয়ারুল হক ")</f>
        <v> নাম: মোঃ জিয়ারুল হক </v>
      </c>
      <c r="D737" s="3">
        <f>IFERROR(__xludf.DUMMYFUNCTION("""COMPUTED_VALUE"""),5.7005658474E11)</f>
        <v>570056584740</v>
      </c>
      <c r="E737" s="3" t="str">
        <f>IFERROR(__xludf.DUMMYFUNCTION("""COMPUTED_VALUE""")," মোঃ আশাদুল ইসলাম ")</f>
        <v> মোঃ আশাদুল ইসলাম </v>
      </c>
      <c r="F737" s="3" t="str">
        <f>IFERROR(__xludf.DUMMYFUNCTION("""COMPUTED_VALUE""")," মোছাঃ আনোয়ারা খাতুন ")</f>
        <v> মোছাঃ আনোয়ারা খাতুন </v>
      </c>
      <c r="G737" s="3" t="str">
        <f>IFERROR(__xludf.DUMMYFUNCTION("""COMPUTED_VALUE""")," ০১/০১/২০০৪ ")</f>
        <v> ০১/০১/২০০৪ </v>
      </c>
      <c r="H737" s="3" t="str">
        <f>IFERROR(__xludf.DUMMYFUNCTION("""COMPUTED_VALUE""")," কৃষক ")</f>
        <v> কৃষক </v>
      </c>
      <c r="I737" s="3" t="str">
        <f>IFERROR(__xludf.DUMMYFUNCTION("""COMPUTED_VALUE""")," জালশুকা, গাংনী, মেহেরপুর ")</f>
        <v> জালশুকা, গাংনী, মেহেরপুর </v>
      </c>
    </row>
    <row r="738" ht="15.75" customHeight="1">
      <c r="A738" s="3" t="s">
        <v>3855</v>
      </c>
      <c r="B738" s="3">
        <f>IFERROR(__xludf.DUMMYFUNCTION("SPLIT(A738,""|"")"),858.0)</f>
        <v>858</v>
      </c>
      <c r="C738" s="3" t="str">
        <f>IFERROR(__xludf.DUMMYFUNCTION("""COMPUTED_VALUE""")," নাম: রিপন ")</f>
        <v> নাম: রিপন </v>
      </c>
      <c r="D738" s="3">
        <f>IFERROR(__xludf.DUMMYFUNCTION("""COMPUTED_VALUE"""),5.7005658473E11)</f>
        <v>570056584730</v>
      </c>
      <c r="E738" s="3" t="str">
        <f>IFERROR(__xludf.DUMMYFUNCTION("""COMPUTED_VALUE""")," মোঃ বিশারত ")</f>
        <v> মোঃ বিশারত </v>
      </c>
      <c r="F738" s="3" t="str">
        <f>IFERROR(__xludf.DUMMYFUNCTION("""COMPUTED_VALUE""")," রিনা খাতুন ")</f>
        <v> রিনা খাতুন </v>
      </c>
      <c r="G738" s="3" t="str">
        <f>IFERROR(__xludf.DUMMYFUNCTION("""COMPUTED_VALUE""")," ২২/১০/১৯৯২ ")</f>
        <v> ২২/১০/১৯৯২ </v>
      </c>
      <c r="H738" s="3" t="str">
        <f>IFERROR(__xludf.DUMMYFUNCTION("""COMPUTED_VALUE""")," শ্রমিক ")</f>
        <v> শ্রমিক </v>
      </c>
      <c r="I738" s="3" t="str">
        <f>IFERROR(__xludf.DUMMYFUNCTION("""COMPUTED_VALUE""")," জালশুকা, গাংনী, মেহেরপুর ")</f>
        <v> জালশুকা, গাংনী, মেহেরপুর </v>
      </c>
    </row>
    <row r="739" ht="15.75" customHeight="1">
      <c r="A739" s="3" t="s">
        <v>3856</v>
      </c>
      <c r="B739" s="3">
        <f>IFERROR(__xludf.DUMMYFUNCTION("SPLIT(A739,""|"")"),859.0)</f>
        <v>859</v>
      </c>
      <c r="C739" s="3" t="str">
        <f>IFERROR(__xludf.DUMMYFUNCTION("""COMPUTED_VALUE""")," নাম: উজ্জ্বল ")</f>
        <v> নাম: উজ্জ্বল </v>
      </c>
      <c r="D739" s="3">
        <f>IFERROR(__xludf.DUMMYFUNCTION("""COMPUTED_VALUE"""),5.70056584741E11)</f>
        <v>570056584741</v>
      </c>
      <c r="E739" s="3" t="str">
        <f>IFERROR(__xludf.DUMMYFUNCTION("""COMPUTED_VALUE""")," গোলাম রসুল ")</f>
        <v> গোলাম রসুল </v>
      </c>
      <c r="F739" s="3" t="str">
        <f>IFERROR(__xludf.DUMMYFUNCTION("""COMPUTED_VALUE""")," রবিছন ")</f>
        <v> রবিছন </v>
      </c>
      <c r="G739" s="3" t="str">
        <f>IFERROR(__xludf.DUMMYFUNCTION("""COMPUTED_VALUE""")," ১১/০৪/১৯৭৭ ")</f>
        <v> ১১/০৪/১৯৭৭ </v>
      </c>
      <c r="H739" s="3" t="str">
        <f>IFERROR(__xludf.DUMMYFUNCTION("""COMPUTED_VALUE""")," কৃষক ")</f>
        <v> কৃষক </v>
      </c>
      <c r="I739" s="3" t="str">
        <f>IFERROR(__xludf.DUMMYFUNCTION("""COMPUTED_VALUE""")," জালশুকা, গাংনী, মেহেরপুর ")</f>
        <v> জালশুকা, গাংনী, মেহেরপুর </v>
      </c>
    </row>
    <row r="740" ht="15.75" customHeight="1">
      <c r="A740" s="3" t="s">
        <v>3857</v>
      </c>
      <c r="B740" s="3">
        <f>IFERROR(__xludf.DUMMYFUNCTION("SPLIT(A740,""|"")"),860.0)</f>
        <v>860</v>
      </c>
      <c r="C740" s="3" t="str">
        <f>IFERROR(__xludf.DUMMYFUNCTION("""COMPUTED_VALUE""")," নাম: মোঃ আশিক আহমেদ ")</f>
        <v> নাম: মোঃ আশিক আহমেদ </v>
      </c>
      <c r="D740" s="3">
        <f>IFERROR(__xludf.DUMMYFUNCTION("""COMPUTED_VALUE"""),5.70056584743E11)</f>
        <v>570056584743</v>
      </c>
      <c r="E740" s="3" t="str">
        <f>IFERROR(__xludf.DUMMYFUNCTION("""COMPUTED_VALUE""")," মোঃ আলীম ")</f>
        <v> মোঃ আলীম </v>
      </c>
      <c r="F740" s="3" t="str">
        <f>IFERROR(__xludf.DUMMYFUNCTION("""COMPUTED_VALUE""")," মোছাঃ রূপালী খাতুন ")</f>
        <v> মোছাঃ রূপালী খাতুন </v>
      </c>
      <c r="G740" s="3" t="str">
        <f>IFERROR(__xludf.DUMMYFUNCTION("""COMPUTED_VALUE""")," ০১/০১/২০০৪ ")</f>
        <v> ০১/০১/২০০৪ </v>
      </c>
      <c r="H740" s="3" t="str">
        <f>IFERROR(__xludf.DUMMYFUNCTION("""COMPUTED_VALUE""")," শ্রমিক ")</f>
        <v> শ্রমিক </v>
      </c>
      <c r="I740" s="3" t="str">
        <f>IFERROR(__xludf.DUMMYFUNCTION("""COMPUTED_VALUE""")," ৯১২, জালশুকা, গাংনী, মেহেরপুর ")</f>
        <v> ৯১২, জালশুকা, গাংনী, মেহেরপুর </v>
      </c>
    </row>
    <row r="741" ht="15.75" customHeight="1">
      <c r="A741" s="3" t="s">
        <v>3858</v>
      </c>
      <c r="B741" s="3">
        <f>IFERROR(__xludf.DUMMYFUNCTION("SPLIT(A741,""|"")"),861.0)</f>
        <v>861</v>
      </c>
      <c r="C741" s="3" t="str">
        <f>IFERROR(__xludf.DUMMYFUNCTION("""COMPUTED_VALUE""")," নাম: মাসুদ রানা ")</f>
        <v> নাম: মাসুদ রানা </v>
      </c>
      <c r="D741" s="3">
        <f>IFERROR(__xludf.DUMMYFUNCTION("""COMPUTED_VALUE"""),5.70056584744E11)</f>
        <v>570056584744</v>
      </c>
      <c r="E741" s="3" t="str">
        <f>IFERROR(__xludf.DUMMYFUNCTION("""COMPUTED_VALUE""")," দবির উদ্দীন ")</f>
        <v> দবির উদ্দীন </v>
      </c>
      <c r="F741" s="3" t="str">
        <f>IFERROR(__xludf.DUMMYFUNCTION("""COMPUTED_VALUE""")," জয়নব ")</f>
        <v> জয়নব </v>
      </c>
      <c r="G741" s="3" t="str">
        <f>IFERROR(__xludf.DUMMYFUNCTION("""COMPUTED_VALUE""")," ০১/০৩/১৯৮৩ ")</f>
        <v> ০১/০৩/১৯৮৩ </v>
      </c>
      <c r="H741" s="3" t="str">
        <f>IFERROR(__xludf.DUMMYFUNCTION("""COMPUTED_VALUE""")," প্রবাসী ")</f>
        <v> প্রবাসী </v>
      </c>
      <c r="I741" s="3" t="str">
        <f>IFERROR(__xludf.DUMMYFUNCTION("""COMPUTED_VALUE""")," জালশুকা, গাংনী, মেহেরপুর ")</f>
        <v> জালশুকা, গাংনী, মেহেরপুর </v>
      </c>
    </row>
    <row r="742" ht="15.75" customHeight="1">
      <c r="A742" s="3" t="s">
        <v>3138</v>
      </c>
      <c r="B742" s="3" t="str">
        <f>IFERROR(__xludf.DUMMYFUNCTION("SPLIT(A742,""|"")")," ক্রমিক নং ")</f>
        <v> ক্রমিক নং </v>
      </c>
      <c r="C742" s="3" t="str">
        <f>IFERROR(__xludf.DUMMYFUNCTION("""COMPUTED_VALUE""")," নাম ")</f>
        <v> নাম </v>
      </c>
      <c r="D742" s="3" t="str">
        <f>IFERROR(__xludf.DUMMYFUNCTION("""COMPUTED_VALUE""")," ভোটার নং ")</f>
        <v> ভোটার নং </v>
      </c>
      <c r="E742" s="3" t="str">
        <f>IFERROR(__xludf.DUMMYFUNCTION("""COMPUTED_VALUE""")," পিতা ")</f>
        <v> পিতা </v>
      </c>
      <c r="F742" s="3" t="str">
        <f>IFERROR(__xludf.DUMMYFUNCTION("""COMPUTED_VALUE""")," মাতা ")</f>
        <v> মাতা </v>
      </c>
      <c r="G742" s="3" t="str">
        <f>IFERROR(__xludf.DUMMYFUNCTION("""COMPUTED_VALUE""")," জন্ম তারিখ ")</f>
        <v> জন্ম তারিখ </v>
      </c>
      <c r="H742" s="3" t="str">
        <f>IFERROR(__xludf.DUMMYFUNCTION("""COMPUTED_VALUE""")," পেশা ")</f>
        <v> পেশা </v>
      </c>
      <c r="I742" s="3" t="str">
        <f>IFERROR(__xludf.DUMMYFUNCTION("""COMPUTED_VALUE""")," ঠিকানা ")</f>
        <v> ঠিকানা </v>
      </c>
    </row>
    <row r="743" ht="15.75" customHeight="1">
      <c r="A743" s="3" t="s">
        <v>3139</v>
      </c>
      <c r="B743" s="3" t="str">
        <f>IFERROR(__xludf.DUMMYFUNCTION("SPLIT(A743,""|"")"),"---")</f>
        <v>---</v>
      </c>
      <c r="C743" s="3" t="str">
        <f>IFERROR(__xludf.DUMMYFUNCTION("""COMPUTED_VALUE"""),"---")</f>
        <v>---</v>
      </c>
      <c r="D743" s="3" t="str">
        <f>IFERROR(__xludf.DUMMYFUNCTION("""COMPUTED_VALUE"""),"---")</f>
        <v>---</v>
      </c>
      <c r="E743" s="3" t="str">
        <f>IFERROR(__xludf.DUMMYFUNCTION("""COMPUTED_VALUE"""),"---")</f>
        <v>---</v>
      </c>
      <c r="F743" s="3" t="str">
        <f>IFERROR(__xludf.DUMMYFUNCTION("""COMPUTED_VALUE"""),"---")</f>
        <v>---</v>
      </c>
      <c r="G743" s="3" t="str">
        <f>IFERROR(__xludf.DUMMYFUNCTION("""COMPUTED_VALUE"""),"---")</f>
        <v>---</v>
      </c>
      <c r="H743" s="3" t="str">
        <f>IFERROR(__xludf.DUMMYFUNCTION("""COMPUTED_VALUE"""),"---")</f>
        <v>---</v>
      </c>
      <c r="I743" s="3" t="str">
        <f>IFERROR(__xludf.DUMMYFUNCTION("""COMPUTED_VALUE"""),"---")</f>
        <v>---</v>
      </c>
    </row>
    <row r="744" ht="15.75" customHeight="1">
      <c r="A744" s="3" t="s">
        <v>3859</v>
      </c>
      <c r="B744" s="3">
        <f>IFERROR(__xludf.DUMMYFUNCTION("SPLIT(A744,""|"")"),862.0)</f>
        <v>862</v>
      </c>
      <c r="C744" s="3" t="str">
        <f>IFERROR(__xludf.DUMMYFUNCTION("""COMPUTED_VALUE""")," মোঃ তৈয়ব আলী ")</f>
        <v> মোঃ তৈয়ব আলী </v>
      </c>
      <c r="D744" s="3">
        <f>IFERROR(__xludf.DUMMYFUNCTION("""COMPUTED_VALUE"""),5.70056584745E11)</f>
        <v>570056584745</v>
      </c>
      <c r="E744" s="3" t="str">
        <f>IFERROR(__xludf.DUMMYFUNCTION("""COMPUTED_VALUE""")," হিলাল উদ্দীন ")</f>
        <v> হিলাল উদ্দীন </v>
      </c>
      <c r="F744" s="3" t="str">
        <f>IFERROR(__xludf.DUMMYFUNCTION("""COMPUTED_VALUE""")," ঝরনা খাতুন ")</f>
        <v> ঝরনা খাতুন </v>
      </c>
      <c r="G744" s="3" t="str">
        <f>IFERROR(__xludf.DUMMYFUNCTION("""COMPUTED_VALUE""")," ০৫/০১/১৯৮৬ ")</f>
        <v> ০৫/০১/১৯৮৬ </v>
      </c>
      <c r="H744" s="3" t="str">
        <f>IFERROR(__xludf.DUMMYFUNCTION("""COMPUTED_VALUE""")," শ্রমিক ")</f>
        <v> শ্রমিক </v>
      </c>
      <c r="I744" s="3" t="str">
        <f>IFERROR(__xludf.DUMMYFUNCTION("""COMPUTED_VALUE""")," ৮৭৮, জালশুকা, গাংনী, মেহেরপুর ")</f>
        <v> ৮৭৮, জালশুকা, গাংনী, মেহেরপুর </v>
      </c>
    </row>
    <row r="745" ht="15.75" customHeight="1">
      <c r="A745" s="3" t="s">
        <v>3860</v>
      </c>
      <c r="B745" s="3">
        <f>IFERROR(__xludf.DUMMYFUNCTION("SPLIT(A745,""|"")"),863.0)</f>
        <v>863</v>
      </c>
      <c r="C745" s="3" t="str">
        <f>IFERROR(__xludf.DUMMYFUNCTION("""COMPUTED_VALUE""")," মোঃ হৃদয় ")</f>
        <v> মোঃ হৃদয় </v>
      </c>
      <c r="D745" s="3">
        <f>IFERROR(__xludf.DUMMYFUNCTION("""COMPUTED_VALUE"""),5.70056584749E11)</f>
        <v>570056584749</v>
      </c>
      <c r="E745" s="3" t="str">
        <f>IFERROR(__xludf.DUMMYFUNCTION("""COMPUTED_VALUE""")," মোঃ জিনারুল ")</f>
        <v> মোঃ জিনারুল </v>
      </c>
      <c r="F745" s="3" t="str">
        <f>IFERROR(__xludf.DUMMYFUNCTION("""COMPUTED_VALUE""")," মোছাঃ পিজিলা (আসমা) ")</f>
        <v> মোছাঃ পিজিলা (আসমা) </v>
      </c>
      <c r="G745" s="3" t="str">
        <f>IFERROR(__xludf.DUMMYFUNCTION("""COMPUTED_VALUE""")," ২০/০৬/২০০২ ")</f>
        <v> ২০/০৬/২০০২ </v>
      </c>
      <c r="H745" s="3" t="str">
        <f>IFERROR(__xludf.DUMMYFUNCTION("""COMPUTED_VALUE""")," শ্রমিক ")</f>
        <v> শ্রমিক </v>
      </c>
      <c r="I745" s="3" t="str">
        <f>IFERROR(__xludf.DUMMYFUNCTION("""COMPUTED_VALUE""")," জালশুকা, গাংনী, মেহেরপুর ")</f>
        <v> জালশুকা, গাংনী, মেহেরপুর </v>
      </c>
    </row>
    <row r="746" ht="15.75" customHeight="1">
      <c r="A746" s="3" t="s">
        <v>3861</v>
      </c>
      <c r="B746" s="3">
        <f>IFERROR(__xludf.DUMMYFUNCTION("SPLIT(A746,""|"")"),864.0)</f>
        <v>864</v>
      </c>
      <c r="C746" s="3" t="str">
        <f>IFERROR(__xludf.DUMMYFUNCTION("""COMPUTED_VALUE""")," মোঃ কাকন আহমেদ ")</f>
        <v> মোঃ কাকন আহমেদ </v>
      </c>
      <c r="D746" s="3">
        <f>IFERROR(__xludf.DUMMYFUNCTION("""COMPUTED_VALUE"""),5.70056584751E11)</f>
        <v>570056584751</v>
      </c>
      <c r="E746" s="3" t="str">
        <f>IFERROR(__xludf.DUMMYFUNCTION("""COMPUTED_VALUE""")," মোঃ কুদ্দুস আলি ")</f>
        <v> মোঃ কুদ্দুস আলি </v>
      </c>
      <c r="F746" s="3" t="str">
        <f>IFERROR(__xludf.DUMMYFUNCTION("""COMPUTED_VALUE""")," মোছাঃ ফারজিনা ")</f>
        <v> মোছাঃ ফারজিনা </v>
      </c>
      <c r="G746" s="3" t="str">
        <f>IFERROR(__xludf.DUMMYFUNCTION("""COMPUTED_VALUE""")," ৩০/১২/২০০৬ ")</f>
        <v> ৩০/১২/২০০৬ </v>
      </c>
      <c r="H746" s="3" t="str">
        <f>IFERROR(__xludf.DUMMYFUNCTION("""COMPUTED_VALUE""")," ছাত্র/ছাত্রী ")</f>
        <v> ছাত্র/ছাত্রী </v>
      </c>
      <c r="I746" s="3" t="str">
        <f>IFERROR(__xludf.DUMMYFUNCTION("""COMPUTED_VALUE""")," জালশুকা, গাংনী, মেহেরপুর ")</f>
        <v> জালশুকা, গাংনী, মেহেরপুর </v>
      </c>
    </row>
    <row r="747" ht="15.75" customHeight="1">
      <c r="A747" s="3" t="s">
        <v>3862</v>
      </c>
      <c r="B747" s="3">
        <f>IFERROR(__xludf.DUMMYFUNCTION("SPLIT(A747,""|"")"),865.0)</f>
        <v>865</v>
      </c>
      <c r="C747" s="3" t="str">
        <f>IFERROR(__xludf.DUMMYFUNCTION("""COMPUTED_VALUE""")," মোঃ মিজানুর রহমান ")</f>
        <v> মোঃ মিজানুর রহমান </v>
      </c>
      <c r="D747" s="3">
        <f>IFERROR(__xludf.DUMMYFUNCTION("""COMPUTED_VALUE"""),5.70056584752E11)</f>
        <v>570056584752</v>
      </c>
      <c r="E747" s="3" t="str">
        <f>IFERROR(__xludf.DUMMYFUNCTION("""COMPUTED_VALUE""")," মোঃ আমিরুল ইসলাম ")</f>
        <v> মোঃ আমিরুল ইসলাম </v>
      </c>
      <c r="F747" s="3" t="str">
        <f>IFERROR(__xludf.DUMMYFUNCTION("""COMPUTED_VALUE""")," মোছাঃ সোনা ভানু খাতুন ")</f>
        <v> মোছাঃ সোনা ভানু খাতুন </v>
      </c>
      <c r="G747" s="3" t="str">
        <f>IFERROR(__xludf.DUMMYFUNCTION("""COMPUTED_VALUE""")," ১০/০৫/২০০৪ ")</f>
        <v> ১০/০৫/২০০৪ </v>
      </c>
      <c r="H747" s="3" t="str">
        <f>IFERROR(__xludf.DUMMYFUNCTION("""COMPUTED_VALUE""")," ছাত্র/ছাত্রী ")</f>
        <v> ছাত্র/ছাত্রী </v>
      </c>
      <c r="I747" s="3" t="str">
        <f>IFERROR(__xludf.DUMMYFUNCTION("""COMPUTED_VALUE""")," জালশুকা, গাংনী, মেহেরপুর ")</f>
        <v> জালশুকা, গাংনী, মেহেরপুর </v>
      </c>
    </row>
    <row r="748" ht="15.75" customHeight="1">
      <c r="A748" s="3" t="s">
        <v>3863</v>
      </c>
      <c r="B748" s="3">
        <f>IFERROR(__xludf.DUMMYFUNCTION("SPLIT(A748,""|"")"),866.0)</f>
        <v>866</v>
      </c>
      <c r="C748" s="3" t="str">
        <f>IFERROR(__xludf.DUMMYFUNCTION("""COMPUTED_VALUE""")," মোঃ জোনায়েদ হোসেন ")</f>
        <v> মোঃ জোনায়েদ হোসেন </v>
      </c>
      <c r="D748" s="3">
        <f>IFERROR(__xludf.DUMMYFUNCTION("""COMPUTED_VALUE"""),5.70056584753E11)</f>
        <v>570056584753</v>
      </c>
      <c r="E748" s="3" t="str">
        <f>IFERROR(__xludf.DUMMYFUNCTION("""COMPUTED_VALUE""")," মোঃ ইলিয়াস হোসেন ")</f>
        <v> মোঃ ইলিয়াস হোসেন </v>
      </c>
      <c r="F748" s="3" t="str">
        <f>IFERROR(__xludf.DUMMYFUNCTION("""COMPUTED_VALUE""")," মোছাঃ বিউটি খাতুন ")</f>
        <v> মোছাঃ বিউটি খাতুন </v>
      </c>
      <c r="G748" s="3" t="str">
        <f>IFERROR(__xludf.DUMMYFUNCTION("""COMPUTED_VALUE""")," ১৫/১১/২০০২ ")</f>
        <v> ১৫/১১/২০০২ </v>
      </c>
      <c r="H748" s="3" t="str">
        <f>IFERROR(__xludf.DUMMYFUNCTION("""COMPUTED_VALUE""")," ছাত্র/ছাত্রী ")</f>
        <v> ছাত্র/ছাত্রী </v>
      </c>
      <c r="I748" s="3" t="str">
        <f>IFERROR(__xludf.DUMMYFUNCTION("""COMPUTED_VALUE""")," জালশুকা, গাংনী, মেহেরপুর ")</f>
        <v> জালশুকা, গাংনী, মেহেরপুর </v>
      </c>
    </row>
    <row r="749" ht="15.75" customHeight="1">
      <c r="A749" s="3" t="s">
        <v>3864</v>
      </c>
      <c r="B749" s="3">
        <f>IFERROR(__xludf.DUMMYFUNCTION("SPLIT(A749,""|"")"),867.0)</f>
        <v>867</v>
      </c>
      <c r="C749" s="3" t="str">
        <f>IFERROR(__xludf.DUMMYFUNCTION("""COMPUTED_VALUE""")," মোঃ মিলন আলী ")</f>
        <v> মোঃ মিলন আলী </v>
      </c>
      <c r="D749" s="3">
        <f>IFERROR(__xludf.DUMMYFUNCTION("""COMPUTED_VALUE"""),5.70056584755E11)</f>
        <v>570056584755</v>
      </c>
      <c r="E749" s="3" t="str">
        <f>IFERROR(__xludf.DUMMYFUNCTION("""COMPUTED_VALUE""")," মোঃ ফজলুল হক ")</f>
        <v> মোঃ ফজলুল হক </v>
      </c>
      <c r="F749" s="3" t="str">
        <f>IFERROR(__xludf.DUMMYFUNCTION("""COMPUTED_VALUE""")," মোছাঃ হাজেরা ")</f>
        <v> মোছাঃ হাজেরা </v>
      </c>
      <c r="G749" s="3" t="str">
        <f>IFERROR(__xludf.DUMMYFUNCTION("""COMPUTED_VALUE""")," ০৮/০৫/২০০২ ")</f>
        <v> ০৮/০৫/২০০২ </v>
      </c>
      <c r="H749" s="3" t="str">
        <f>IFERROR(__xludf.DUMMYFUNCTION("""COMPUTED_VALUE""")," শ্রমিক ")</f>
        <v> শ্রমিক </v>
      </c>
      <c r="I749" s="3" t="str">
        <f>IFERROR(__xludf.DUMMYFUNCTION("""COMPUTED_VALUE""")," জালশুকা, গাংনী, মেহেরপুর ")</f>
        <v> জালশুকা, গাংনী, মেহেরপুর </v>
      </c>
    </row>
    <row r="750" ht="15.75" customHeight="1">
      <c r="A750" s="3" t="s">
        <v>3865</v>
      </c>
      <c r="B750" s="3">
        <f>IFERROR(__xludf.DUMMYFUNCTION("SPLIT(A750,""|"")"),868.0)</f>
        <v>868</v>
      </c>
      <c r="C750" s="3" t="str">
        <f>IFERROR(__xludf.DUMMYFUNCTION("""COMPUTED_VALUE""")," মোঃ মিলন ")</f>
        <v> মোঃ মিলন </v>
      </c>
      <c r="D750" s="3">
        <f>IFERROR(__xludf.DUMMYFUNCTION("""COMPUTED_VALUE"""),5.70056584756E11)</f>
        <v>570056584756</v>
      </c>
      <c r="E750" s="3" t="str">
        <f>IFERROR(__xludf.DUMMYFUNCTION("""COMPUTED_VALUE""")," মোঃ ফজলুল হক ")</f>
        <v> মোঃ ফজলুল হক </v>
      </c>
      <c r="F750" s="3" t="str">
        <f>IFERROR(__xludf.DUMMYFUNCTION("""COMPUTED_VALUE""")," মোছাঃ হাজেরা ")</f>
        <v> মোছাঃ হাজেরা </v>
      </c>
      <c r="G750" s="3" t="str">
        <f>IFERROR(__xludf.DUMMYFUNCTION("""COMPUTED_VALUE""")," ০৪/১০/২০০২ ")</f>
        <v> ০৪/১০/২০০২ </v>
      </c>
      <c r="H750" s="3" t="str">
        <f>IFERROR(__xludf.DUMMYFUNCTION("""COMPUTED_VALUE""")," শ্রমিক ")</f>
        <v> শ্রমিক </v>
      </c>
      <c r="I750" s="3" t="str">
        <f>IFERROR(__xludf.DUMMYFUNCTION("""COMPUTED_VALUE""")," জালশুকা, গাংনী, মেহেরপুর ")</f>
        <v> জালশুকা, গাংনী, মেহেরপুর </v>
      </c>
    </row>
    <row r="751" ht="15.75" customHeight="1">
      <c r="A751" s="3" t="s">
        <v>3866</v>
      </c>
      <c r="B751" s="3">
        <f>IFERROR(__xludf.DUMMYFUNCTION("SPLIT(A751,""|"")"),869.0)</f>
        <v>869</v>
      </c>
      <c r="C751" s="3" t="str">
        <f>IFERROR(__xludf.DUMMYFUNCTION("""COMPUTED_VALUE""")," মোঃ হাসিব আলী ")</f>
        <v> মোঃ হাসিব আলী </v>
      </c>
      <c r="D751" s="3">
        <f>IFERROR(__xludf.DUMMYFUNCTION("""COMPUTED_VALUE"""),5.70056584762E11)</f>
        <v>570056584762</v>
      </c>
      <c r="E751" s="3" t="str">
        <f>IFERROR(__xludf.DUMMYFUNCTION("""COMPUTED_VALUE""")," মোঃ বিশারত আলী ")</f>
        <v> মোঃ বিশারত আলী </v>
      </c>
      <c r="F751" s="3" t="str">
        <f>IFERROR(__xludf.DUMMYFUNCTION("""COMPUTED_VALUE""")," মোছাঃ সুরাইয়া ")</f>
        <v> মোছাঃ সুরাইয়া </v>
      </c>
      <c r="G751" s="3" t="str">
        <f>IFERROR(__xludf.DUMMYFUNCTION("""COMPUTED_VALUE""")," ০১/০১/২০০৭ ")</f>
        <v> ০১/০১/২০০৭ </v>
      </c>
      <c r="H751" s="3" t="str">
        <f>IFERROR(__xludf.DUMMYFUNCTION("""COMPUTED_VALUE""")," ছাত্র/ছাত্রী ")</f>
        <v> ছাত্র/ছাত্রী </v>
      </c>
      <c r="I751" s="3" t="str">
        <f>IFERROR(__xludf.DUMMYFUNCTION("""COMPUTED_VALUE""")," জালশুকা, গাংনী, মেহেরপুর ")</f>
        <v> জালশুকা, গাংনী, মেহেরপুর </v>
      </c>
    </row>
    <row r="752" ht="15.75" customHeight="1">
      <c r="A752" s="3" t="s">
        <v>3867</v>
      </c>
      <c r="B752" s="3">
        <f>IFERROR(__xludf.DUMMYFUNCTION("SPLIT(A752,""|"")"),870.0)</f>
        <v>870</v>
      </c>
      <c r="C752" s="3" t="str">
        <f>IFERROR(__xludf.DUMMYFUNCTION("""COMPUTED_VALUE""")," বায়েজিদ ")</f>
        <v> বায়েজিদ </v>
      </c>
      <c r="D752" s="3">
        <f>IFERROR(__xludf.DUMMYFUNCTION("""COMPUTED_VALUE"""),5.70056584767E11)</f>
        <v>570056584767</v>
      </c>
      <c r="E752" s="3" t="str">
        <f>IFERROR(__xludf.DUMMYFUNCTION("""COMPUTED_VALUE""")," মোঃ শাহাজুল ইসলাম ")</f>
        <v> মোঃ শাহাজুল ইসলাম </v>
      </c>
      <c r="F752" s="3" t="str">
        <f>IFERROR(__xludf.DUMMYFUNCTION("""COMPUTED_VALUE""")," হুসনেয়ারা খাতুন ")</f>
        <v> হুসনেয়ারা খাতুন </v>
      </c>
      <c r="G752" s="3" t="str">
        <f>IFERROR(__xludf.DUMMYFUNCTION("""COMPUTED_VALUE""")," ২২/০৫/১৯৯৯ ")</f>
        <v> ২২/০৫/১৯৯৯ </v>
      </c>
      <c r="H752" s="3" t="str">
        <f>IFERROR(__xludf.DUMMYFUNCTION("""COMPUTED_VALUE""")," শ্রমিক ")</f>
        <v> শ্রমিক </v>
      </c>
      <c r="I752" s="3" t="str">
        <f>IFERROR(__xludf.DUMMYFUNCTION("""COMPUTED_VALUE""")," জালশুকা, গাংনী, মেহেরপুর ")</f>
        <v> জালশুকা, গাংনী, মেহেরপুর </v>
      </c>
    </row>
    <row r="753" ht="15.75" customHeight="1">
      <c r="A753" s="3" t="s">
        <v>3868</v>
      </c>
      <c r="B753" s="3">
        <f>IFERROR(__xludf.DUMMYFUNCTION("SPLIT(A753,""|"")"),871.0)</f>
        <v>871</v>
      </c>
      <c r="C753" s="3" t="str">
        <f>IFERROR(__xludf.DUMMYFUNCTION("""COMPUTED_VALUE""")," মোঃ ইয়াসিন আরাফাত ")</f>
        <v> মোঃ ইয়াসিন আরাফাত </v>
      </c>
      <c r="D753" s="3">
        <f>IFERROR(__xludf.DUMMYFUNCTION("""COMPUTED_VALUE"""),5.70056584768E11)</f>
        <v>570056584768</v>
      </c>
      <c r="E753" s="3" t="str">
        <f>IFERROR(__xludf.DUMMYFUNCTION("""COMPUTED_VALUE""")," মোছাঃ মুরাদ আলি ")</f>
        <v> মোছাঃ মুরাদ আলি </v>
      </c>
      <c r="F753" s="3" t="str">
        <f>IFERROR(__xludf.DUMMYFUNCTION("""COMPUTED_VALUE""")," মোছাঃ সোনা ভানু ")</f>
        <v> মোছাঃ সোনা ভানু </v>
      </c>
      <c r="G753" s="3" t="str">
        <f>IFERROR(__xludf.DUMMYFUNCTION("""COMPUTED_VALUE""")," ০১/০১/২০০৩ ")</f>
        <v> ০১/০১/২০০৩ </v>
      </c>
      <c r="H753" s="3" t="str">
        <f>IFERROR(__xludf.DUMMYFUNCTION("""COMPUTED_VALUE""")," বেকার ")</f>
        <v> বেকার </v>
      </c>
      <c r="I753" s="3" t="str">
        <f>IFERROR(__xludf.DUMMYFUNCTION("""COMPUTED_VALUE""")," জালশুকা, গাংনী, মেহেরপুর ")</f>
        <v> জালশুকা, গাংনী, মেহেরপুর </v>
      </c>
    </row>
    <row r="754" ht="15.75" customHeight="1">
      <c r="A754" s="3" t="s">
        <v>3869</v>
      </c>
      <c r="B754" s="3">
        <f>IFERROR(__xludf.DUMMYFUNCTION("SPLIT(A754,""|"")"),872.0)</f>
        <v>872</v>
      </c>
      <c r="C754" s="3" t="str">
        <f>IFERROR(__xludf.DUMMYFUNCTION("""COMPUTED_VALUE""")," মোঃ সাফায়েত ")</f>
        <v> মোঃ সাফায়েত </v>
      </c>
      <c r="D754" s="3">
        <f>IFERROR(__xludf.DUMMYFUNCTION("""COMPUTED_VALUE"""),5.70056584769E11)</f>
        <v>570056584769</v>
      </c>
      <c r="E754" s="3" t="str">
        <f>IFERROR(__xludf.DUMMYFUNCTION("""COMPUTED_VALUE""")," মোঃ জয়নাল আলী ")</f>
        <v> মোঃ জয়নাল আলী </v>
      </c>
      <c r="F754" s="3" t="str">
        <f>IFERROR(__xludf.DUMMYFUNCTION("""COMPUTED_VALUE""")," মোছাঃ হুরজান খাতুন ")</f>
        <v> মোছাঃ হুরজান খাতুন </v>
      </c>
      <c r="G754" s="3" t="str">
        <f>IFERROR(__xludf.DUMMYFUNCTION("""COMPUTED_VALUE""")," ০১/০১/২০০৫ ")</f>
        <v> ০১/০১/২০০৫ </v>
      </c>
      <c r="H754" s="3" t="str">
        <f>IFERROR(__xludf.DUMMYFUNCTION("""COMPUTED_VALUE""")," শ্রমিক ")</f>
        <v> শ্রমিক </v>
      </c>
      <c r="I754" s="3" t="str">
        <f>IFERROR(__xludf.DUMMYFUNCTION("""COMPUTED_VALUE""")," জালশুকা, গাংনী, মেহেরপুর ")</f>
        <v> জালশুকা, গাংনী, মেহেরপুর </v>
      </c>
    </row>
    <row r="755" ht="15.75" customHeight="1">
      <c r="A755" s="3" t="s">
        <v>3870</v>
      </c>
      <c r="B755" s="3">
        <f>IFERROR(__xludf.DUMMYFUNCTION("SPLIT(A755,""|"")"),873.0)</f>
        <v>873</v>
      </c>
      <c r="C755" s="3" t="str">
        <f>IFERROR(__xludf.DUMMYFUNCTION("""COMPUTED_VALUE""")," মোঃ আবু তালহা ")</f>
        <v> মোঃ আবু তালহা </v>
      </c>
      <c r="D755" s="3">
        <f>IFERROR(__xludf.DUMMYFUNCTION("""COMPUTED_VALUE"""),5.7005658477E11)</f>
        <v>570056584770</v>
      </c>
      <c r="E755" s="3" t="str">
        <f>IFERROR(__xludf.DUMMYFUNCTION("""COMPUTED_VALUE""")," মোঃ রুহুল আমিন ")</f>
        <v> মোঃ রুহুল আমিন </v>
      </c>
      <c r="F755" s="3" t="str">
        <f>IFERROR(__xludf.DUMMYFUNCTION("""COMPUTED_VALUE""")," মোছাঃ নাজিরা ")</f>
        <v> মোছাঃ নাজিরা </v>
      </c>
      <c r="G755" s="3" t="str">
        <f>IFERROR(__xludf.DUMMYFUNCTION("""COMPUTED_VALUE""")," ৩০/১২/২০০৫ ")</f>
        <v> ৩০/১২/২০০৫ </v>
      </c>
      <c r="H755" s="3" t="str">
        <f>IFERROR(__xludf.DUMMYFUNCTION("""COMPUTED_VALUE""")," ছাত্র/ছাত্রী ")</f>
        <v> ছাত্র/ছাত্রী </v>
      </c>
      <c r="I755" s="3" t="str">
        <f>IFERROR(__xludf.DUMMYFUNCTION("""COMPUTED_VALUE""")," জালশুকা, গাংনী, মেহেরপুর ")</f>
        <v> জালশুকা, গাংনী, মেহেরপুর </v>
      </c>
    </row>
    <row r="756" ht="15.75" customHeight="1">
      <c r="A756" s="3" t="s">
        <v>3871</v>
      </c>
      <c r="B756" s="3">
        <f>IFERROR(__xludf.DUMMYFUNCTION("SPLIT(A756,""|"")"),874.0)</f>
        <v>874</v>
      </c>
      <c r="C756" s="3" t="str">
        <f>IFERROR(__xludf.DUMMYFUNCTION("""COMPUTED_VALUE""")," মোঃ ইব্রাহিম আলী ")</f>
        <v> মোঃ ইব্রাহিম আলী </v>
      </c>
      <c r="D756" s="3">
        <f>IFERROR(__xludf.DUMMYFUNCTION("""COMPUTED_VALUE"""),5.70056584771E11)</f>
        <v>570056584771</v>
      </c>
      <c r="E756" s="3" t="str">
        <f>IFERROR(__xludf.DUMMYFUNCTION("""COMPUTED_VALUE""")," মোঃ আ: খালেক ")</f>
        <v> মোঃ আ: খালেক </v>
      </c>
      <c r="F756" s="3" t="str">
        <f>IFERROR(__xludf.DUMMYFUNCTION("""COMPUTED_VALUE""")," মোছাঃ ছামসুন্নাহার ")</f>
        <v> মোছাঃ ছামসুন্নাহার </v>
      </c>
      <c r="G756" s="3" t="str">
        <f>IFERROR(__xludf.DUMMYFUNCTION("""COMPUTED_VALUE""")," ২০/০৫/২০০৬ ")</f>
        <v> ২০/০৫/২০০৬ </v>
      </c>
      <c r="H756" s="3" t="str">
        <f>IFERROR(__xludf.DUMMYFUNCTION("""COMPUTED_VALUE""")," শ্রমিক ")</f>
        <v> শ্রমিক </v>
      </c>
      <c r="I756" s="3" t="str">
        <f>IFERROR(__xludf.DUMMYFUNCTION("""COMPUTED_VALUE""")," জালশুকা, গাংনী, মেহেরপুর ")</f>
        <v> জালশুকা, গাংনী, মেহেরপুর </v>
      </c>
    </row>
    <row r="757" ht="15.75" customHeight="1">
      <c r="A757" s="3" t="s">
        <v>3872</v>
      </c>
      <c r="B757" s="3">
        <f>IFERROR(__xludf.DUMMYFUNCTION("SPLIT(A757,""|"")"),875.0)</f>
        <v>875</v>
      </c>
      <c r="C757" s="3" t="str">
        <f>IFERROR(__xludf.DUMMYFUNCTION("""COMPUTED_VALUE""")," মোঃ লিজন আলী ")</f>
        <v> মোঃ লিজন আলী </v>
      </c>
      <c r="D757" s="3">
        <f>IFERROR(__xludf.DUMMYFUNCTION("""COMPUTED_VALUE"""),5.70056584772E11)</f>
        <v>570056584772</v>
      </c>
      <c r="E757" s="3" t="str">
        <f>IFERROR(__xludf.DUMMYFUNCTION("""COMPUTED_VALUE""")," মোঃ জিয়াউর রহমান ")</f>
        <v> মোঃ জিয়াউর রহমান </v>
      </c>
      <c r="F757" s="3" t="str">
        <f>IFERROR(__xludf.DUMMYFUNCTION("""COMPUTED_VALUE""")," মোছাঃ বেদেনা খাতুন ")</f>
        <v> মোছাঃ বেদেনা খাতুন </v>
      </c>
      <c r="G757" s="3" t="str">
        <f>IFERROR(__xludf.DUMMYFUNCTION("""COMPUTED_VALUE""")," ১৮/০২/২০০৪ ")</f>
        <v> ১৮/০২/২০০৪ </v>
      </c>
      <c r="H757" s="3" t="str">
        <f>IFERROR(__xludf.DUMMYFUNCTION("""COMPUTED_VALUE""")," কৃষক ")</f>
        <v> কৃষক </v>
      </c>
      <c r="I757" s="3" t="str">
        <f>IFERROR(__xludf.DUMMYFUNCTION("""COMPUTED_VALUE""")," জালশুকা, গাংনী, মেহেরপুর ")</f>
        <v> জালশুকা, গাংনী, মেহেরপুর </v>
      </c>
    </row>
    <row r="758" ht="15.75" customHeight="1">
      <c r="A758" s="3" t="s">
        <v>3873</v>
      </c>
      <c r="B758" s="3">
        <f>IFERROR(__xludf.DUMMYFUNCTION("SPLIT(A758,""|"")"),876.0)</f>
        <v>876</v>
      </c>
      <c r="C758" s="3" t="str">
        <f>IFERROR(__xludf.DUMMYFUNCTION("""COMPUTED_VALUE""")," মোঃ সোহরাব হোসেন ")</f>
        <v> মোঃ সোহরাব হোসেন </v>
      </c>
      <c r="D758" s="3">
        <f>IFERROR(__xludf.DUMMYFUNCTION("""COMPUTED_VALUE"""),5.70056584775E11)</f>
        <v>570056584775</v>
      </c>
      <c r="E758" s="3" t="str">
        <f>IFERROR(__xludf.DUMMYFUNCTION("""COMPUTED_VALUE""")," মোঃ আব্দুর রহমান ")</f>
        <v> মোঃ আব্দুর রহমান </v>
      </c>
      <c r="F758" s="3" t="str">
        <f>IFERROR(__xludf.DUMMYFUNCTION("""COMPUTED_VALUE""")," মৃত রাহিমা খাতুন ")</f>
        <v> মৃত রাহিমা খাতুন </v>
      </c>
      <c r="G758" s="3" t="str">
        <f>IFERROR(__xludf.DUMMYFUNCTION("""COMPUTED_VALUE""")," ০১/০১/২০০০ ")</f>
        <v> ০১/০১/২০০০ </v>
      </c>
      <c r="H758" s="3" t="str">
        <f>IFERROR(__xludf.DUMMYFUNCTION("""COMPUTED_VALUE""")," ছাত্র/ছাত্রী ")</f>
        <v> ছাত্র/ছাত্রী </v>
      </c>
      <c r="I758" s="3" t="str">
        <f>IFERROR(__xludf.DUMMYFUNCTION("""COMPUTED_VALUE""")," জালশুকা, গাংনী, মেহেরপুর ")</f>
        <v> জালশুকা, গাংনী, মেহেরপুর </v>
      </c>
    </row>
    <row r="759" ht="15.75" customHeight="1">
      <c r="A759" s="3" t="s">
        <v>3874</v>
      </c>
      <c r="B759" s="3">
        <f>IFERROR(__xludf.DUMMYFUNCTION("SPLIT(A759,""|"")"),877.0)</f>
        <v>877</v>
      </c>
      <c r="C759" s="3" t="str">
        <f>IFERROR(__xludf.DUMMYFUNCTION("""COMPUTED_VALUE""")," মোঃ মামুন আলী ")</f>
        <v> মোঃ মামুন আলী </v>
      </c>
      <c r="D759" s="3">
        <f>IFERROR(__xludf.DUMMYFUNCTION("""COMPUTED_VALUE"""),5.70056584779E11)</f>
        <v>570056584779</v>
      </c>
      <c r="E759" s="3" t="str">
        <f>IFERROR(__xludf.DUMMYFUNCTION("""COMPUTED_VALUE""")," মোঃ ইসরাফ আলী ")</f>
        <v> মোঃ ইসরাফ আলী </v>
      </c>
      <c r="F759" s="3" t="str">
        <f>IFERROR(__xludf.DUMMYFUNCTION("""COMPUTED_VALUE""")," মোছাঃ জরিনা খাতুন ")</f>
        <v> মোছাঃ জরিনা খাতুন </v>
      </c>
      <c r="G759" s="3" t="str">
        <f>IFERROR(__xludf.DUMMYFUNCTION("""COMPUTED_VALUE""")," ০৩/০১/২০০৪ ")</f>
        <v> ০৩/০১/২০০৪ </v>
      </c>
      <c r="H759" s="3" t="str">
        <f>IFERROR(__xludf.DUMMYFUNCTION("""COMPUTED_VALUE""")," কৃষক ")</f>
        <v> কৃষক </v>
      </c>
      <c r="I759" s="3" t="str">
        <f>IFERROR(__xludf.DUMMYFUNCTION("""COMPUTED_VALUE""")," জালশুকা, গাংনী, মেহেরপুর ")</f>
        <v> জালশুকা, গাংনী, মেহেরপুর </v>
      </c>
    </row>
    <row r="760" ht="15.75" customHeight="1">
      <c r="A760" s="3" t="s">
        <v>3875</v>
      </c>
      <c r="B760" s="3">
        <f>IFERROR(__xludf.DUMMYFUNCTION("SPLIT(A760,""|"")"),878.0)</f>
        <v>878</v>
      </c>
      <c r="C760" s="3" t="str">
        <f>IFERROR(__xludf.DUMMYFUNCTION("""COMPUTED_VALUE""")," মোঃ আকাশ আলী ")</f>
        <v> মোঃ আকাশ আলী </v>
      </c>
      <c r="D760" s="3">
        <f>IFERROR(__xludf.DUMMYFUNCTION("""COMPUTED_VALUE"""),5.7005658478E11)</f>
        <v>570056584780</v>
      </c>
      <c r="E760" s="3" t="str">
        <f>IFERROR(__xludf.DUMMYFUNCTION("""COMPUTED_VALUE""")," মোঃ জিনারুল ইসলাম ")</f>
        <v> মোঃ জিনারুল ইসলাম </v>
      </c>
      <c r="F760" s="3" t="str">
        <f>IFERROR(__xludf.DUMMYFUNCTION("""COMPUTED_VALUE""")," মোছাঃ পারুল খাতুন ")</f>
        <v> মোছাঃ পারুল খাতুন </v>
      </c>
      <c r="G760" s="3" t="str">
        <f>IFERROR(__xludf.DUMMYFUNCTION("""COMPUTED_VALUE""")," ১৮/০৭/২০০৬ ")</f>
        <v> ১৮/০৭/২০০৬ </v>
      </c>
      <c r="H760" s="3" t="str">
        <f>IFERROR(__xludf.DUMMYFUNCTION("""COMPUTED_VALUE""")," শ্রমিক ")</f>
        <v> শ্রমিক </v>
      </c>
      <c r="I760" s="3" t="str">
        <f>IFERROR(__xludf.DUMMYFUNCTION("""COMPUTED_VALUE""")," জালশুকা, গাংনী, মেহেরপুর ")</f>
        <v> জালশুকা, গাংনী, মেহেরপুর </v>
      </c>
    </row>
    <row r="761" ht="15.75" customHeight="1">
      <c r="A761" s="3" t="s">
        <v>3876</v>
      </c>
      <c r="B761" s="3">
        <f>IFERROR(__xludf.DUMMYFUNCTION("SPLIT(A761,""|"")"),879.0)</f>
        <v>879</v>
      </c>
      <c r="C761" s="3" t="str">
        <f>IFERROR(__xludf.DUMMYFUNCTION("""COMPUTED_VALUE""")," মোঃ সুমন আলী ")</f>
        <v> মোঃ সুমন আলী </v>
      </c>
      <c r="D761" s="3">
        <f>IFERROR(__xludf.DUMMYFUNCTION("""COMPUTED_VALUE"""),5.70056584786E11)</f>
        <v>570056584786</v>
      </c>
      <c r="E761" s="3" t="str">
        <f>IFERROR(__xludf.DUMMYFUNCTION("""COMPUTED_VALUE""")," মোঃ মিজানুর রহমান ")</f>
        <v> মোঃ মিজানুর রহমান </v>
      </c>
      <c r="F761" s="3" t="str">
        <f>IFERROR(__xludf.DUMMYFUNCTION("""COMPUTED_VALUE""")," মোছাঃ আজিনা খাতুন ")</f>
        <v> মোছাঃ আজিনা খাতুন </v>
      </c>
      <c r="G761" s="3" t="str">
        <f>IFERROR(__xludf.DUMMYFUNCTION("""COMPUTED_VALUE""")," ০১/০৬/২০০৫ ")</f>
        <v> ০১/০৬/২০০৫ </v>
      </c>
      <c r="H761" s="3" t="str">
        <f>IFERROR(__xludf.DUMMYFUNCTION("""COMPUTED_VALUE""")," ব্যবসা ")</f>
        <v> ব্যবসা </v>
      </c>
      <c r="I761" s="3" t="str">
        <f>IFERROR(__xludf.DUMMYFUNCTION("""COMPUTED_VALUE""")," জালশুকা, গাংনী, মেহেরপুর ")</f>
        <v> জালশুকা, গাংনী, মেহেরপুর </v>
      </c>
    </row>
    <row r="762" ht="15.75" customHeight="1">
      <c r="A762" s="3" t="s">
        <v>3877</v>
      </c>
      <c r="B762" s="3">
        <f>IFERROR(__xludf.DUMMYFUNCTION("SPLIT(A762,""|"")"),880.0)</f>
        <v>880</v>
      </c>
      <c r="C762" s="3" t="str">
        <f>IFERROR(__xludf.DUMMYFUNCTION("""COMPUTED_VALUE""")," মোঃ মাসুদ রানা ")</f>
        <v> মোঃ মাসুদ রানা </v>
      </c>
      <c r="D762" s="3">
        <f>IFERROR(__xludf.DUMMYFUNCTION("""COMPUTED_VALUE"""),5.70056584792E11)</f>
        <v>570056584792</v>
      </c>
      <c r="E762" s="3" t="str">
        <f>IFERROR(__xludf.DUMMYFUNCTION("""COMPUTED_VALUE""")," মো: শাহজাহান ")</f>
        <v> মো: শাহজাহান </v>
      </c>
      <c r="F762" s="3" t="str">
        <f>IFERROR(__xludf.DUMMYFUNCTION("""COMPUTED_VALUE""")," মোছা: বিউটি খাতুন ")</f>
        <v> মোছা: বিউটি খাতুন </v>
      </c>
      <c r="G762" s="3" t="str">
        <f>IFERROR(__xludf.DUMMYFUNCTION("""COMPUTED_VALUE""")," ০১/০১/২০০৬ ")</f>
        <v> ০১/০১/২০০৬ </v>
      </c>
      <c r="H762" s="3" t="str">
        <f>IFERROR(__xludf.DUMMYFUNCTION("""COMPUTED_VALUE""")," কৃষক ")</f>
        <v> কৃষক </v>
      </c>
      <c r="I762" s="3" t="str">
        <f>IFERROR(__xludf.DUMMYFUNCTION("""COMPUTED_VALUE""")," জালশুকা, গাংনী, মেহেরপুর ")</f>
        <v> জালশুকা, গাংনী, মেহেরপুর </v>
      </c>
    </row>
    <row r="763" ht="15.75" customHeight="1">
      <c r="A763" s="3" t="s">
        <v>3878</v>
      </c>
      <c r="B763" s="3">
        <f>IFERROR(__xludf.DUMMYFUNCTION("SPLIT(A763,""|"")"),881.0)</f>
        <v>881</v>
      </c>
      <c r="C763" s="3" t="str">
        <f>IFERROR(__xludf.DUMMYFUNCTION("""COMPUTED_VALUE""")," মোঃ আবুল বাসার ")</f>
        <v> মোঃ আবুল বাসার </v>
      </c>
      <c r="D763" s="3">
        <f>IFERROR(__xludf.DUMMYFUNCTION("""COMPUTED_VALUE"""),5.70056584794E11)</f>
        <v>570056584794</v>
      </c>
      <c r="E763" s="3" t="str">
        <f>IFERROR(__xludf.DUMMYFUNCTION("""COMPUTED_VALUE""")," মৃত আনারুল ইসলাম ")</f>
        <v> মৃত আনারুল ইসলাম </v>
      </c>
      <c r="F763" s="3" t="str">
        <f>IFERROR(__xludf.DUMMYFUNCTION("""COMPUTED_VALUE""")," মোছা: সকিরন নেছা ")</f>
        <v> মোছা: সকিরন নেছা </v>
      </c>
      <c r="G763" s="3" t="str">
        <f>IFERROR(__xludf.DUMMYFUNCTION("""COMPUTED_VALUE""")," ০১/০৯/২০০৫ ")</f>
        <v> ০১/০৯/২০০৫ </v>
      </c>
      <c r="H763" s="3" t="str">
        <f>IFERROR(__xludf.DUMMYFUNCTION("""COMPUTED_VALUE""")," কৃষক ")</f>
        <v> কৃষক </v>
      </c>
      <c r="I763" s="3" t="str">
        <f>IFERROR(__xludf.DUMMYFUNCTION("""COMPUTED_VALUE""")," জালশুকা, গাংনী, মেহেরপুর ")</f>
        <v> জালশুকা, গাংনী, মেহেরপুর </v>
      </c>
    </row>
    <row r="764" ht="15.75" customHeight="1">
      <c r="A764" s="3" t="s">
        <v>3879</v>
      </c>
      <c r="B764" s="3">
        <f>IFERROR(__xludf.DUMMYFUNCTION("SPLIT(A764,""|"")"),882.0)</f>
        <v>882</v>
      </c>
      <c r="C764" s="3" t="str">
        <f>IFERROR(__xludf.DUMMYFUNCTION("""COMPUTED_VALUE""")," মো: হৃদয় মন্ডল ")</f>
        <v> মো: হৃদয় মন্ডল </v>
      </c>
      <c r="D764" s="3">
        <f>IFERROR(__xludf.DUMMYFUNCTION("""COMPUTED_VALUE"""),5.70056584795E11)</f>
        <v>570056584795</v>
      </c>
      <c r="E764" s="3" t="str">
        <f>IFERROR(__xludf.DUMMYFUNCTION("""COMPUTED_VALUE""")," মোঃ মতিয়ার রহমান ")</f>
        <v> মোঃ মতিয়ার রহমান </v>
      </c>
      <c r="F764" s="3" t="str">
        <f>IFERROR(__xludf.DUMMYFUNCTION("""COMPUTED_VALUE""")," মোছা: লিপিয়ারা ")</f>
        <v> মোছা: লিপিয়ারা </v>
      </c>
      <c r="G764" s="3" t="str">
        <f>IFERROR(__xludf.DUMMYFUNCTION("""COMPUTED_VALUE""")," ০৫/০৮/২০০৫ ")</f>
        <v> ০৫/০৮/২০০৫ </v>
      </c>
      <c r="H764" s="3" t="str">
        <f>IFERROR(__xludf.DUMMYFUNCTION("""COMPUTED_VALUE""")," শ্রমিক ")</f>
        <v> শ্রমিক </v>
      </c>
      <c r="I764" s="3" t="str">
        <f>IFERROR(__xludf.DUMMYFUNCTION("""COMPUTED_VALUE""")," জালশুকা, গাংনী, মেহেরপুর ")</f>
        <v> জালশুকা, গাংনী, মেহেরপুর </v>
      </c>
    </row>
    <row r="765" ht="15.75" customHeight="1">
      <c r="A765" s="3" t="s">
        <v>3880</v>
      </c>
      <c r="B765" s="3">
        <f>IFERROR(__xludf.DUMMYFUNCTION("SPLIT(A765,""|"")"),883.0)</f>
        <v>883</v>
      </c>
      <c r="C765" s="3" t="str">
        <f>IFERROR(__xludf.DUMMYFUNCTION("""COMPUTED_VALUE""")," মোঃ সাব্বির হাসান অন্তর ")</f>
        <v> মোঃ সাব্বির হাসান অন্তর </v>
      </c>
      <c r="D765" s="3">
        <f>IFERROR(__xludf.DUMMYFUNCTION("""COMPUTED_VALUE"""),5.70056584803E11)</f>
        <v>570056584803</v>
      </c>
      <c r="E765" s="3" t="str">
        <f>IFERROR(__xludf.DUMMYFUNCTION("""COMPUTED_VALUE""")," মো: গিয়াস উদ্দীন ")</f>
        <v> মো: গিয়াস উদ্দীন </v>
      </c>
      <c r="F765" s="3" t="str">
        <f>IFERROR(__xludf.DUMMYFUNCTION("""COMPUTED_VALUE""")," মোছা: সাহার বানু ")</f>
        <v> মোছা: সাহার বানু </v>
      </c>
      <c r="G765" s="3" t="str">
        <f>IFERROR(__xludf.DUMMYFUNCTION("""COMPUTED_VALUE""")," ১৫/১০/২০০৬ ")</f>
        <v> ১৫/১০/২০০৬ </v>
      </c>
      <c r="H765" s="3" t="str">
        <f>IFERROR(__xludf.DUMMYFUNCTION("""COMPUTED_VALUE""")," ছাত্র/ছাত্রী ")</f>
        <v> ছাত্র/ছাত্রী </v>
      </c>
      <c r="I765" s="3" t="str">
        <f>IFERROR(__xludf.DUMMYFUNCTION("""COMPUTED_VALUE""")," জালশুকা, গাংনী, মেহেরপুর ")</f>
        <v> জালশুকা, গাংনী, মেহেরপুর </v>
      </c>
    </row>
    <row r="766" ht="15.75" customHeight="1">
      <c r="A766" s="3" t="s">
        <v>3881</v>
      </c>
      <c r="B766" s="3">
        <f>IFERROR(__xludf.DUMMYFUNCTION("SPLIT(A766,""|"")"),884.0)</f>
        <v>884</v>
      </c>
      <c r="C766" s="3" t="str">
        <f>IFERROR(__xludf.DUMMYFUNCTION("""COMPUTED_VALUE""")," মোহাঃ মুস্তাফিজুর রহমান ")</f>
        <v> মোহাঃ মুস্তাফিজুর রহমান </v>
      </c>
      <c r="D766" s="3">
        <f>IFERROR(__xludf.DUMMYFUNCTION("""COMPUTED_VALUE"""),5.70056584804E11)</f>
        <v>570056584804</v>
      </c>
      <c r="E766" s="3" t="str">
        <f>IFERROR(__xludf.DUMMYFUNCTION("""COMPUTED_VALUE""")," মোঃ আনিচুর রহমান ")</f>
        <v> মোঃ আনিচুর রহমান </v>
      </c>
      <c r="F766" s="3" t="str">
        <f>IFERROR(__xludf.DUMMYFUNCTION("""COMPUTED_VALUE""")," মোছাঃ বিউটি খাতুন ")</f>
        <v> মোছাঃ বিউটি খাতুন </v>
      </c>
      <c r="G766" s="3" t="str">
        <f>IFERROR(__xludf.DUMMYFUNCTION("""COMPUTED_VALUE""")," ৩০/০৭/২০০৪ ")</f>
        <v> ৩০/০৭/২০০৪ </v>
      </c>
      <c r="H766" s="3" t="str">
        <f>IFERROR(__xludf.DUMMYFUNCTION("""COMPUTED_VALUE""")," ছাত্র/ছাত্রী ")</f>
        <v> ছাত্র/ছাত্রী </v>
      </c>
      <c r="I766" s="3" t="str">
        <f>IFERROR(__xludf.DUMMYFUNCTION("""COMPUTED_VALUE""")," জালশুকা, গাংনী, মেহেরপুর ")</f>
        <v> জালশুকা, গাংনী, মেহেরপুর </v>
      </c>
    </row>
    <row r="767" ht="15.75" customHeight="1">
      <c r="A767" s="3" t="s">
        <v>3882</v>
      </c>
      <c r="B767" s="3">
        <f>IFERROR(__xludf.DUMMYFUNCTION("SPLIT(A767,""|"")"),885.0)</f>
        <v>885</v>
      </c>
      <c r="C767" s="3" t="str">
        <f>IFERROR(__xludf.DUMMYFUNCTION("""COMPUTED_VALUE""")," মোঃ রাকিব হোসেন ")</f>
        <v> মোঃ রাকিব হোসেন </v>
      </c>
      <c r="D767" s="3">
        <f>IFERROR(__xludf.DUMMYFUNCTION("""COMPUTED_VALUE"""),5.70056584805E11)</f>
        <v>570056584805</v>
      </c>
      <c r="E767" s="3" t="str">
        <f>IFERROR(__xludf.DUMMYFUNCTION("""COMPUTED_VALUE""")," মোঃ ঝন্টু আলী ")</f>
        <v> মোঃ ঝন্টু আলী </v>
      </c>
      <c r="F767" s="3" t="str">
        <f>IFERROR(__xludf.DUMMYFUNCTION("""COMPUTED_VALUE""")," মোছা: শিউলী খাতুন ")</f>
        <v> মোছা: শিউলী খাতুন </v>
      </c>
      <c r="G767" s="3" t="str">
        <f>IFERROR(__xludf.DUMMYFUNCTION("""COMPUTED_VALUE""")," ১২/০২/২০০৪ ")</f>
        <v> ১২/০২/২০০৪ </v>
      </c>
      <c r="H767" s="3" t="str">
        <f>IFERROR(__xludf.DUMMYFUNCTION("""COMPUTED_VALUE""")," শ্রমিক ")</f>
        <v> শ্রমিক </v>
      </c>
      <c r="I767" s="3" t="str">
        <f>IFERROR(__xludf.DUMMYFUNCTION("""COMPUTED_VALUE""")," জালশুকা, গাংনী, মেহেরপুর ")</f>
        <v> জালশুকা, গাংনী, মেহেরপুর </v>
      </c>
    </row>
    <row r="768" ht="15.75" customHeight="1">
      <c r="A768" s="3" t="s">
        <v>3883</v>
      </c>
      <c r="B768" s="3">
        <f>IFERROR(__xludf.DUMMYFUNCTION("SPLIT(A768,""|"")"),886.0)</f>
        <v>886</v>
      </c>
      <c r="C768" s="3" t="str">
        <f>IFERROR(__xludf.DUMMYFUNCTION("""COMPUTED_VALUE""")," মোঃ ইমন ")</f>
        <v> মোঃ ইমন </v>
      </c>
      <c r="D768" s="3">
        <f>IFERROR(__xludf.DUMMYFUNCTION("""COMPUTED_VALUE"""),5.70056584746E11)</f>
        <v>570056584746</v>
      </c>
      <c r="E768" s="3" t="str">
        <f>IFERROR(__xludf.DUMMYFUNCTION("""COMPUTED_VALUE""")," মো: কবু ")</f>
        <v> মো: কবু </v>
      </c>
      <c r="F768" s="3" t="str">
        <f>IFERROR(__xludf.DUMMYFUNCTION("""COMPUTED_VALUE""")," মোছা: খাদেজা ")</f>
        <v> মোছা: খাদেজা </v>
      </c>
      <c r="G768" s="3" t="str">
        <f>IFERROR(__xludf.DUMMYFUNCTION("""COMPUTED_VALUE""")," ০৫/০২/২০০৪ ")</f>
        <v> ০৫/০২/২০০৪ </v>
      </c>
      <c r="H768" s="3" t="str">
        <f>IFERROR(__xludf.DUMMYFUNCTION("""COMPUTED_VALUE""")," কৃষক ")</f>
        <v> কৃষক </v>
      </c>
      <c r="I768" s="3" t="str">
        <f>IFERROR(__xludf.DUMMYFUNCTION("""COMPUTED_VALUE""")," জালশুকা, গাংনী, মেহেরপুর ")</f>
        <v> জালশুকা, গাংনী, মেহেরপুর </v>
      </c>
    </row>
    <row r="769" ht="15.75" customHeight="1">
      <c r="A769" s="3" t="s">
        <v>3884</v>
      </c>
      <c r="B769" s="3">
        <f>IFERROR(__xludf.DUMMYFUNCTION("SPLIT(A769,""|"")"),887.0)</f>
        <v>887</v>
      </c>
      <c r="C769" s="3" t="str">
        <f>IFERROR(__xludf.DUMMYFUNCTION("""COMPUTED_VALUE""")," মোঃ কবু ")</f>
        <v> মোঃ কবু </v>
      </c>
      <c r="D769" s="3">
        <f>IFERROR(__xludf.DUMMYFUNCTION("""COMPUTED_VALUE"""),5.70056584748E11)</f>
        <v>570056584748</v>
      </c>
      <c r="E769" s="3" t="str">
        <f>IFERROR(__xludf.DUMMYFUNCTION("""COMPUTED_VALUE""")," আবু ছদ্দিন ")</f>
        <v> আবু ছদ্দিন </v>
      </c>
      <c r="F769" s="3" t="str">
        <f>IFERROR(__xludf.DUMMYFUNCTION("""COMPUTED_VALUE""")," কুলছন ")</f>
        <v> কুলছন </v>
      </c>
      <c r="G769" s="3" t="str">
        <f>IFERROR(__xludf.DUMMYFUNCTION("""COMPUTED_VALUE""")," ১১/০৮/১৯৮৩ ")</f>
        <v> ১১/০৮/১৯৮৩ </v>
      </c>
      <c r="H769" s="3" t="str">
        <f>IFERROR(__xludf.DUMMYFUNCTION("""COMPUTED_VALUE""")," কৃষক ")</f>
        <v> কৃষক </v>
      </c>
      <c r="I769" s="3" t="str">
        <f>IFERROR(__xludf.DUMMYFUNCTION("""COMPUTED_VALUE""")," জালশুকা, গাংনী, মেহেরপুর ")</f>
        <v> জালশুকা, গাংনী, মেহেরপুর </v>
      </c>
    </row>
    <row r="770" ht="15.75" customHeight="1">
      <c r="A770" s="3" t="s">
        <v>3885</v>
      </c>
      <c r="B770" s="3">
        <f>IFERROR(__xludf.DUMMYFUNCTION("SPLIT(A770,""|"")"),888.0)</f>
        <v>888</v>
      </c>
      <c r="C770" s="3" t="str">
        <f>IFERROR(__xludf.DUMMYFUNCTION("""COMPUTED_VALUE""")," জিয়ার আলী ")</f>
        <v> জিয়ার আলী </v>
      </c>
      <c r="D770" s="3">
        <f>IFERROR(__xludf.DUMMYFUNCTION("""COMPUTED_VALUE"""),5.70056584808E11)</f>
        <v>570056584808</v>
      </c>
      <c r="E770" s="3" t="str">
        <f>IFERROR(__xludf.DUMMYFUNCTION("""COMPUTED_VALUE""")," নাজিম উদ্দীন ")</f>
        <v> নাজিম উদ্দীন </v>
      </c>
      <c r="F770" s="3" t="str">
        <f>IFERROR(__xludf.DUMMYFUNCTION("""COMPUTED_VALUE""")," সাহিদা খাতুন ")</f>
        <v> সাহিদা খাতুন </v>
      </c>
      <c r="G770" s="3" t="str">
        <f>IFERROR(__xludf.DUMMYFUNCTION("""COMPUTED_VALUE""")," ০৭/০৫/১৯৮৩ ")</f>
        <v> ০৭/০৫/১৯৮৩ </v>
      </c>
      <c r="H770" s="3" t="str">
        <f>IFERROR(__xludf.DUMMYFUNCTION("""COMPUTED_VALUE""")," দিনমজুর ")</f>
        <v> দিনমজুর </v>
      </c>
      <c r="I770" s="3" t="str">
        <f>IFERROR(__xludf.DUMMYFUNCTION("""COMPUTED_VALUE""")," ৮৯১, জালশুকা, গাংনী, মেহেরপুর ")</f>
        <v> ৮৯১, জালশুকা, গাংনী, মেহেরপুর </v>
      </c>
    </row>
    <row r="771" ht="15.75" customHeight="1">
      <c r="A771" s="3" t="s">
        <v>3886</v>
      </c>
      <c r="B771" s="3">
        <f>IFERROR(__xludf.DUMMYFUNCTION("SPLIT(A771,""|"")"),889.0)</f>
        <v>889</v>
      </c>
      <c r="C771" s="3" t="str">
        <f>IFERROR(__xludf.DUMMYFUNCTION("""COMPUTED_VALUE""")," মোঃ ইসমাইল হোসেন ")</f>
        <v> মোঃ ইসমাইল হোসেন </v>
      </c>
      <c r="D771" s="3">
        <f>IFERROR(__xludf.DUMMYFUNCTION("""COMPUTED_VALUE"""),5.70056584813E11)</f>
        <v>570056584813</v>
      </c>
      <c r="E771" s="3" t="str">
        <f>IFERROR(__xludf.DUMMYFUNCTION("""COMPUTED_VALUE""")," শামছদ্দিন মোল্লা ")</f>
        <v> শামছদ্দিন মোল্লা </v>
      </c>
      <c r="F771" s="3" t="str">
        <f>IFERROR(__xludf.DUMMYFUNCTION("""COMPUTED_VALUE""")," মোছা: রুবিয়া বেগম ")</f>
        <v> মোছা: রুবিয়া বেগম </v>
      </c>
      <c r="G771" s="3" t="str">
        <f>IFERROR(__xludf.DUMMYFUNCTION("""COMPUTED_VALUE""")," ১২/০৩/১৯৭০ ")</f>
        <v> ১২/০৩/১৯৭০ </v>
      </c>
      <c r="H771" s="3" t="str">
        <f>IFERROR(__xludf.DUMMYFUNCTION("""COMPUTED_VALUE""")," রিক্সা/ভ্যান চালক ")</f>
        <v> রিক্সা/ভ্যান চালক </v>
      </c>
      <c r="I771" s="3" t="str">
        <f>IFERROR(__xludf.DUMMYFUNCTION("""COMPUTED_VALUE""")," জালশুকা, গাংনী, মেহেরপুর ")</f>
        <v> জালশুকা, গাংনী, মেহেরপুর </v>
      </c>
    </row>
    <row r="772" ht="15.75" customHeight="1">
      <c r="A772" s="3" t="s">
        <v>3887</v>
      </c>
      <c r="B772" s="3">
        <f>IFERROR(__xludf.DUMMYFUNCTION("SPLIT(A772,""|"")"),890.0)</f>
        <v>890</v>
      </c>
      <c r="C772" s="3" t="str">
        <f>IFERROR(__xludf.DUMMYFUNCTION("""COMPUTED_VALUE""")," মোঃ ইকরামুল হক ")</f>
        <v> মোঃ ইকরামুল হক </v>
      </c>
      <c r="D772" s="3">
        <f>IFERROR(__xludf.DUMMYFUNCTION("""COMPUTED_VALUE"""),5.70056584815E11)</f>
        <v>570056584815</v>
      </c>
      <c r="E772" s="3" t="str">
        <f>IFERROR(__xludf.DUMMYFUNCTION("""COMPUTED_VALUE""")," মোঃ আকতার আলী ")</f>
        <v> মোঃ আকতার আলী </v>
      </c>
      <c r="F772" s="3" t="str">
        <f>IFERROR(__xludf.DUMMYFUNCTION("""COMPUTED_VALUE""")," মোছা: রেক্সা খাতুন ")</f>
        <v> মোছা: রেক্সা খাতুন </v>
      </c>
      <c r="G772" s="3" t="str">
        <f>IFERROR(__xludf.DUMMYFUNCTION("""COMPUTED_VALUE""")," ০১/০১/১৯৯৮ ")</f>
        <v> ০১/০১/১৯৯৮ </v>
      </c>
      <c r="H772" s="3" t="str">
        <f>IFERROR(__xludf.DUMMYFUNCTION("""COMPUTED_VALUE""")," দিনমজুর ")</f>
        <v> দিনমজুর </v>
      </c>
      <c r="I772" s="3" t="str">
        <f>IFERROR(__xludf.DUMMYFUNCTION("""COMPUTED_VALUE""")," জালশুকা, গাংনী, মেহেরপুর ")</f>
        <v> জালশুকা, গাংনী, মেহেরপুর </v>
      </c>
    </row>
    <row r="773" ht="15.75" customHeight="1">
      <c r="A773" s="3" t="s">
        <v>3888</v>
      </c>
      <c r="B773" s="3">
        <f>IFERROR(__xludf.DUMMYFUNCTION("SPLIT(A773,""|"")"),891.0)</f>
        <v>891</v>
      </c>
      <c r="C773" s="3" t="str">
        <f>IFERROR(__xludf.DUMMYFUNCTION("""COMPUTED_VALUE""")," মোঃ আল ফাহাদ হোসেন ")</f>
        <v> মোঃ আল ফাহাদ হোসেন </v>
      </c>
      <c r="D773" s="3">
        <f>IFERROR(__xludf.DUMMYFUNCTION("""COMPUTED_VALUE"""),5.70056000548E11)</f>
        <v>570056000548</v>
      </c>
      <c r="E773" s="3" t="str">
        <f>IFERROR(__xludf.DUMMYFUNCTION("""COMPUTED_VALUE""")," শায়জান ")</f>
        <v> শায়জান </v>
      </c>
      <c r="F773" s="3" t="str">
        <f>IFERROR(__xludf.DUMMYFUNCTION("""COMPUTED_VALUE""")," মোছা: শেফালী খাতুন ")</f>
        <v> মোছা: শেফালী খাতুন </v>
      </c>
      <c r="G773" s="3" t="str">
        <f>IFERROR(__xludf.DUMMYFUNCTION("""COMPUTED_VALUE""")," ১৩/০১/২০০৭ ")</f>
        <v> ১৩/০১/২০০৭ </v>
      </c>
      <c r="H773" s="3" t="str">
        <f>IFERROR(__xludf.DUMMYFUNCTION("""COMPUTED_VALUE""")," ছাত্র/ছাত্রী ")</f>
        <v> ছাত্র/ছাত্রী </v>
      </c>
      <c r="I773" s="3" t="str">
        <f>IFERROR(__xludf.DUMMYFUNCTION("""COMPUTED_VALUE""")," জালশুকা, গাংনী, মেহেরপুর ")</f>
        <v> জালশুকা, গাংনী, মেহেরপুর </v>
      </c>
    </row>
    <row r="774" ht="15.75" customHeight="1">
      <c r="A774" s="3" t="s">
        <v>3889</v>
      </c>
      <c r="B774" s="3">
        <f>IFERROR(__xludf.DUMMYFUNCTION("SPLIT(A774,""|"")"),892.0)</f>
        <v>892</v>
      </c>
      <c r="C774" s="3" t="str">
        <f>IFERROR(__xludf.DUMMYFUNCTION("""COMPUTED_VALUE""")," মোঃ আরাফাত হোসেন ")</f>
        <v> মোঃ আরাফাত হোসেন </v>
      </c>
      <c r="D774" s="3">
        <f>IFERROR(__xludf.DUMMYFUNCTION("""COMPUTED_VALUE"""),5.70056000551E11)</f>
        <v>570056000551</v>
      </c>
      <c r="E774" s="3" t="str">
        <f>IFERROR(__xludf.DUMMYFUNCTION("""COMPUTED_VALUE""")," মোছাঃ আনোয়ার হোসেন ")</f>
        <v> মোছাঃ আনোয়ার হোসেন </v>
      </c>
      <c r="F774" s="3" t="str">
        <f>IFERROR(__xludf.DUMMYFUNCTION("""COMPUTED_VALUE""")," মোছাঃ রাশিদা খাতুন ")</f>
        <v> মোছাঃ রাশিদা খাতুন </v>
      </c>
      <c r="G774" s="3" t="str">
        <f>IFERROR(__xludf.DUMMYFUNCTION("""COMPUTED_VALUE""")," ০৫/০৫/২০০৭ ")</f>
        <v> ০৫/০৫/২০০৭ </v>
      </c>
      <c r="H774" s="3" t="str">
        <f>IFERROR(__xludf.DUMMYFUNCTION("""COMPUTED_VALUE""")," ছাত্র/ছাত্রী ")</f>
        <v> ছাত্র/ছাত্রী </v>
      </c>
      <c r="I774" s="3" t="str">
        <f>IFERROR(__xludf.DUMMYFUNCTION("""COMPUTED_VALUE""")," ১২২৬, জালশুকা, গাংনী, মেহেরপুর ")</f>
        <v> ১২২৬, জালশুকা, গাংনী, মেহেরপুর </v>
      </c>
    </row>
    <row r="775" ht="15.75" customHeight="1">
      <c r="A775" s="3" t="s">
        <v>3890</v>
      </c>
      <c r="B775" s="3">
        <f>IFERROR(__xludf.DUMMYFUNCTION("SPLIT(A775,""|"")"),893.0)</f>
        <v>893</v>
      </c>
      <c r="C775" s="3" t="str">
        <f>IFERROR(__xludf.DUMMYFUNCTION("""COMPUTED_VALUE""")," মোঃ হাফিজুল রহমান ")</f>
        <v> মোঃ হাফিজুল রহমান </v>
      </c>
      <c r="D775" s="3">
        <f>IFERROR(__xludf.DUMMYFUNCTION("""COMPUTED_VALUE"""),5.70056000552E11)</f>
        <v>570056000552</v>
      </c>
      <c r="E775" s="3" t="str">
        <f>IFERROR(__xludf.DUMMYFUNCTION("""COMPUTED_VALUE""")," মোঃ কামাল উদ্দীন ")</f>
        <v> মোঃ কামাল উদ্দীন </v>
      </c>
      <c r="F775" s="3" t="str">
        <f>IFERROR(__xludf.DUMMYFUNCTION("""COMPUTED_VALUE""")," মোছাঃ সেলিনা খাতুন ")</f>
        <v> মোছাঃ সেলিনা খাতুন </v>
      </c>
      <c r="G775" s="3" t="str">
        <f>IFERROR(__xludf.DUMMYFUNCTION("""COMPUTED_VALUE""")," ২০/০৪/২০০৭ ")</f>
        <v> ২০/০৪/২০০৭ </v>
      </c>
      <c r="H775" s="3" t="str">
        <f>IFERROR(__xludf.DUMMYFUNCTION("""COMPUTED_VALUE""")," ছাত্র/ছাত্রী ")</f>
        <v> ছাত্র/ছাত্রী </v>
      </c>
      <c r="I775" s="3" t="str">
        <f>IFERROR(__xludf.DUMMYFUNCTION("""COMPUTED_VALUE""")," জালশুকা, গাংনী, মেহেরপুর ")</f>
        <v> জালশুকা, গাংনী, মেহেরপুর </v>
      </c>
    </row>
    <row r="776" ht="15.75" customHeight="1">
      <c r="A776" s="3" t="s">
        <v>3891</v>
      </c>
      <c r="B776" s="3">
        <f>IFERROR(__xludf.DUMMYFUNCTION("SPLIT(A776,""|"")"),894.0)</f>
        <v>894</v>
      </c>
      <c r="C776" s="3" t="str">
        <f>IFERROR(__xludf.DUMMYFUNCTION("""COMPUTED_VALUE""")," মোঃ নাফিজুর রহমান ")</f>
        <v> মোঃ নাফিজুর রহমান </v>
      </c>
      <c r="D776" s="3">
        <f>IFERROR(__xludf.DUMMYFUNCTION("""COMPUTED_VALUE"""),5.70056000553E11)</f>
        <v>570056000553</v>
      </c>
      <c r="E776" s="3" t="str">
        <f>IFERROR(__xludf.DUMMYFUNCTION("""COMPUTED_VALUE""")," মোঃ সাহেবুল ইসলাম ")</f>
        <v> মোঃ সাহেবুল ইসলাম </v>
      </c>
      <c r="F776" s="3" t="str">
        <f>IFERROR(__xludf.DUMMYFUNCTION("""COMPUTED_VALUE""")," মোছাঃ হালিমা খাতুন ")</f>
        <v> মোছাঃ হালিমা খাতুন </v>
      </c>
      <c r="G776" s="3" t="str">
        <f>IFERROR(__xludf.DUMMYFUNCTION("""COMPUTED_VALUE""")," ৩০/০৮/২০০৭ ")</f>
        <v> ৩০/০৮/২০০৭ </v>
      </c>
      <c r="H776" s="3" t="str">
        <f>IFERROR(__xludf.DUMMYFUNCTION("""COMPUTED_VALUE""")," ব্যবসা ")</f>
        <v> ব্যবসা </v>
      </c>
      <c r="I776" s="3" t="str">
        <f>IFERROR(__xludf.DUMMYFUNCTION("""COMPUTED_VALUE""")," জালশুকা, গাংনী, মেহেরপুর ")</f>
        <v> জালশুকা, গাংনী, মেহেরপুর </v>
      </c>
    </row>
    <row r="777" ht="15.75" customHeight="1">
      <c r="A777" s="3" t="s">
        <v>3892</v>
      </c>
      <c r="B777" s="3">
        <f>IFERROR(__xludf.DUMMYFUNCTION("SPLIT(A777,""|"")"),895.0)</f>
        <v>895</v>
      </c>
      <c r="C777" s="3" t="str">
        <f>IFERROR(__xludf.DUMMYFUNCTION("""COMPUTED_VALUE""")," মোঃ সাহেদ রেজা ")</f>
        <v> মোঃ সাহেদ রেজা </v>
      </c>
      <c r="D777" s="3">
        <f>IFERROR(__xludf.DUMMYFUNCTION("""COMPUTED_VALUE"""),5.70056000556E11)</f>
        <v>570056000556</v>
      </c>
      <c r="E777" s="3" t="str">
        <f>IFERROR(__xludf.DUMMYFUNCTION("""COMPUTED_VALUE""")," মোছাঃ জিল্লুর রহমান ")</f>
        <v> মোছাঃ জিল্লুর রহমান </v>
      </c>
      <c r="F777" s="3" t="str">
        <f>IFERROR(__xludf.DUMMYFUNCTION("""COMPUTED_VALUE""")," মোছাঃ সেগিনা খাতুন ")</f>
        <v> মোছাঃ সেগিনা খাতুন </v>
      </c>
      <c r="G777" s="3" t="str">
        <f>IFERROR(__xludf.DUMMYFUNCTION("""COMPUTED_VALUE""")," ২৫/০৪/২০০৭ ")</f>
        <v> ২৫/০৪/২০০৭ </v>
      </c>
      <c r="H777" s="3" t="str">
        <f>IFERROR(__xludf.DUMMYFUNCTION("""COMPUTED_VALUE""")," বেকার ")</f>
        <v> বেকার </v>
      </c>
      <c r="I777" s="3" t="str">
        <f>IFERROR(__xludf.DUMMYFUNCTION("""COMPUTED_VALUE""")," জালশুকা, গাংনী, মেহেরপুর ")</f>
        <v> জালশুকা, গাংনী, মেহেরপুর </v>
      </c>
    </row>
    <row r="778" ht="15.75" customHeight="1">
      <c r="A778" s="3" t="s">
        <v>3893</v>
      </c>
      <c r="B778" s="3">
        <f>IFERROR(__xludf.DUMMYFUNCTION("SPLIT(A778,""|"")"),896.0)</f>
        <v>896</v>
      </c>
      <c r="C778" s="3" t="str">
        <f>IFERROR(__xludf.DUMMYFUNCTION("""COMPUTED_VALUE""")," মোঃ রাজিব ")</f>
        <v> মোঃ রাজিব </v>
      </c>
      <c r="D778" s="3">
        <f>IFERROR(__xludf.DUMMYFUNCTION("""COMPUTED_VALUE"""),5.70056000558E11)</f>
        <v>570056000558</v>
      </c>
      <c r="E778" s="3" t="str">
        <f>IFERROR(__xludf.DUMMYFUNCTION("""COMPUTED_VALUE""")," মৃত মহরম আলী ")</f>
        <v> মৃত মহরম আলী </v>
      </c>
      <c r="F778" s="3" t="str">
        <f>IFERROR(__xludf.DUMMYFUNCTION("""COMPUTED_VALUE""")," মোছাঃ রেক্সোনা খাতুন ")</f>
        <v> মোছাঃ রেক্সোনা খাতুন </v>
      </c>
      <c r="G778" s="3" t="str">
        <f>IFERROR(__xludf.DUMMYFUNCTION("""COMPUTED_VALUE""")," ১০/১০/২০০৭ ")</f>
        <v> ১০/১০/২০০৭ </v>
      </c>
      <c r="H778" s="3" t="str">
        <f>IFERROR(__xludf.DUMMYFUNCTION("""COMPUTED_VALUE""")," শ্রমিক ")</f>
        <v> শ্রমিক </v>
      </c>
      <c r="I778" s="3" t="str">
        <f>IFERROR(__xludf.DUMMYFUNCTION("""COMPUTED_VALUE""")," জালশুকা, গাংনী, মেহেরপুর ")</f>
        <v> জালশুকা, গাংনী, মেহেরপুর </v>
      </c>
    </row>
    <row r="779" ht="15.75" customHeight="1">
      <c r="A779" s="3" t="s">
        <v>3894</v>
      </c>
      <c r="B779" s="3">
        <f>IFERROR(__xludf.DUMMYFUNCTION("SPLIT(A779,""|"")"),897.0)</f>
        <v>897</v>
      </c>
      <c r="C779" s="3" t="str">
        <f>IFERROR(__xludf.DUMMYFUNCTION("""COMPUTED_VALUE""")," মোঃ হাবিবুল্লাহ ")</f>
        <v> মোঃ হাবিবুল্লাহ </v>
      </c>
      <c r="D779" s="3">
        <f>IFERROR(__xludf.DUMMYFUNCTION("""COMPUTED_VALUE"""),5.70056000559E11)</f>
        <v>570056000559</v>
      </c>
      <c r="E779" s="3" t="str">
        <f>IFERROR(__xludf.DUMMYFUNCTION("""COMPUTED_VALUE""")," মোঃ নাজমুল ইসলাম ")</f>
        <v> মোঃ নাজমুল ইসলাম </v>
      </c>
      <c r="F779" s="3" t="str">
        <f>IFERROR(__xludf.DUMMYFUNCTION("""COMPUTED_VALUE""")," মোছাঃ সাবিনা ইয়াসমিন ")</f>
        <v> মোছাঃ সাবিনা ইয়াসমিন </v>
      </c>
      <c r="G779" s="3" t="str">
        <f>IFERROR(__xludf.DUMMYFUNCTION("""COMPUTED_VALUE""")," ১২/০৪/২০০৭ ")</f>
        <v> ১২/০৪/২০০৭ </v>
      </c>
      <c r="H779" s="3" t="str">
        <f>IFERROR(__xludf.DUMMYFUNCTION("""COMPUTED_VALUE""")," ছাত্র/ছাত্রী ")</f>
        <v> ছাত্র/ছাত্রী </v>
      </c>
      <c r="I779" s="3" t="str">
        <f>IFERROR(__xludf.DUMMYFUNCTION("""COMPUTED_VALUE""")," জালশুকা, গাংনী, মেহেরপুর ")</f>
        <v> জালশুকা, গাংনী, মেহেরপুর </v>
      </c>
    </row>
    <row r="780" ht="15.75" customHeight="1">
      <c r="A780" s="3" t="s">
        <v>3138</v>
      </c>
      <c r="B780" s="3" t="str">
        <f>IFERROR(__xludf.DUMMYFUNCTION("SPLIT(A780,""|"")")," ক্রমিক নং ")</f>
        <v> ক্রমিক নং </v>
      </c>
      <c r="C780" s="3" t="str">
        <f>IFERROR(__xludf.DUMMYFUNCTION("""COMPUTED_VALUE""")," নাম ")</f>
        <v> নাম </v>
      </c>
      <c r="D780" s="3" t="str">
        <f>IFERROR(__xludf.DUMMYFUNCTION("""COMPUTED_VALUE""")," ভোটার নং ")</f>
        <v> ভোটার নং </v>
      </c>
      <c r="E780" s="3" t="str">
        <f>IFERROR(__xludf.DUMMYFUNCTION("""COMPUTED_VALUE""")," পিতা ")</f>
        <v> পিতা </v>
      </c>
      <c r="F780" s="3" t="str">
        <f>IFERROR(__xludf.DUMMYFUNCTION("""COMPUTED_VALUE""")," মাতা ")</f>
        <v> মাতা </v>
      </c>
      <c r="G780" s="3" t="str">
        <f>IFERROR(__xludf.DUMMYFUNCTION("""COMPUTED_VALUE""")," জন্ম তারিখ ")</f>
        <v> জন্ম তারিখ </v>
      </c>
      <c r="H780" s="3" t="str">
        <f>IFERROR(__xludf.DUMMYFUNCTION("""COMPUTED_VALUE""")," পেশা ")</f>
        <v> পেশা </v>
      </c>
      <c r="I780" s="3" t="str">
        <f>IFERROR(__xludf.DUMMYFUNCTION("""COMPUTED_VALUE""")," ঠিকানা ")</f>
        <v> ঠিকানা </v>
      </c>
    </row>
    <row r="781" ht="15.75" customHeight="1">
      <c r="A781" s="3" t="s">
        <v>3139</v>
      </c>
      <c r="B781" s="3" t="str">
        <f>IFERROR(__xludf.DUMMYFUNCTION("SPLIT(A781,""|"")"),"---")</f>
        <v>---</v>
      </c>
      <c r="C781" s="3" t="str">
        <f>IFERROR(__xludf.DUMMYFUNCTION("""COMPUTED_VALUE"""),"---")</f>
        <v>---</v>
      </c>
      <c r="D781" s="3" t="str">
        <f>IFERROR(__xludf.DUMMYFUNCTION("""COMPUTED_VALUE"""),"---")</f>
        <v>---</v>
      </c>
      <c r="E781" s="3" t="str">
        <f>IFERROR(__xludf.DUMMYFUNCTION("""COMPUTED_VALUE"""),"---")</f>
        <v>---</v>
      </c>
      <c r="F781" s="3" t="str">
        <f>IFERROR(__xludf.DUMMYFUNCTION("""COMPUTED_VALUE"""),"---")</f>
        <v>---</v>
      </c>
      <c r="G781" s="3" t="str">
        <f>IFERROR(__xludf.DUMMYFUNCTION("""COMPUTED_VALUE"""),"---")</f>
        <v>---</v>
      </c>
      <c r="H781" s="3" t="str">
        <f>IFERROR(__xludf.DUMMYFUNCTION("""COMPUTED_VALUE"""),"---")</f>
        <v>---</v>
      </c>
      <c r="I781" s="3" t="str">
        <f>IFERROR(__xludf.DUMMYFUNCTION("""COMPUTED_VALUE"""),"---")</f>
        <v>---</v>
      </c>
    </row>
    <row r="782" ht="15.75" customHeight="1">
      <c r="A782" s="3" t="s">
        <v>3895</v>
      </c>
      <c r="B782" s="3">
        <f>IFERROR(__xludf.DUMMYFUNCTION("SPLIT(A782,""|"")"),898.0)</f>
        <v>898</v>
      </c>
      <c r="C782" s="3" t="str">
        <f>IFERROR(__xludf.DUMMYFUNCTION("""COMPUTED_VALUE""")," মোঃ ফিরোজুল হক রাজু ")</f>
        <v> মোঃ ফিরোজুল হক রাজু </v>
      </c>
      <c r="D782" s="3">
        <f>IFERROR(__xludf.DUMMYFUNCTION("""COMPUTED_VALUE"""),5.70056500056E12)</f>
        <v>5700565000560</v>
      </c>
      <c r="E782" s="3" t="str">
        <f>IFERROR(__xludf.DUMMYFUNCTION("""COMPUTED_VALUE""")," মোহাঃ মহাবুল হক ")</f>
        <v> মোহাঃ মহাবুল হক </v>
      </c>
      <c r="F782" s="3" t="str">
        <f>IFERROR(__xludf.DUMMYFUNCTION("""COMPUTED_VALUE""")," মোছাঃ ফিরোজা খাতুন ")</f>
        <v> মোছাঃ ফিরোজা খাতুন </v>
      </c>
      <c r="G782" s="3" t="str">
        <f>IFERROR(__xludf.DUMMYFUNCTION("""COMPUTED_VALUE""")," ২৪/০৭/২০০৭ ")</f>
        <v> ২৪/০৭/২০০৭ </v>
      </c>
      <c r="H782" s="3" t="str">
        <f>IFERROR(__xludf.DUMMYFUNCTION("""COMPUTED_VALUE""")," কৃষক ")</f>
        <v> কৃষক </v>
      </c>
      <c r="I782" s="3" t="str">
        <f>IFERROR(__xludf.DUMMYFUNCTION("""COMPUTED_VALUE""")," জালশুকা, গাংনী, মেহেরপুর ")</f>
        <v> জালশুকা, গাংনী, মেহেরপুর </v>
      </c>
    </row>
    <row r="783" ht="15.75" customHeight="1">
      <c r="A783" s="3" t="s">
        <v>3896</v>
      </c>
      <c r="B783" s="3">
        <f>IFERROR(__xludf.DUMMYFUNCTION("SPLIT(A783,""|"")"),899.0)</f>
        <v>899</v>
      </c>
      <c r="C783" s="3" t="str">
        <f>IFERROR(__xludf.DUMMYFUNCTION("""COMPUTED_VALUE""")," শাহিনুল জামান ")</f>
        <v> শাহিনুল জামান </v>
      </c>
      <c r="D783" s="3">
        <f>IFERROR(__xludf.DUMMYFUNCTION("""COMPUTED_VALUE"""),5.70056544807E11)</f>
        <v>570056544807</v>
      </c>
      <c r="E783" s="3" t="str">
        <f>IFERROR(__xludf.DUMMYFUNCTION("""COMPUTED_VALUE""")," শফিকুল ইসলাম ")</f>
        <v> শফিকুল ইসলাম </v>
      </c>
      <c r="F783" s="3" t="str">
        <f>IFERROR(__xludf.DUMMYFUNCTION("""COMPUTED_VALUE""")," মোছাঃ ফাতেমা খাতুন ")</f>
        <v> মোছাঃ ফাতেমা খাতুন </v>
      </c>
      <c r="G783" s="3" t="str">
        <f>IFERROR(__xludf.DUMMYFUNCTION("""COMPUTED_VALUE""")," ১৫/০৯/১৯৮১ ")</f>
        <v> ১৫/০৯/১৯৮১ </v>
      </c>
      <c r="H783" s="3" t="str">
        <f>IFERROR(__xludf.DUMMYFUNCTION("""COMPUTED_VALUE""")," শ্রমিক ")</f>
        <v> শ্রমিক </v>
      </c>
      <c r="I783" s="3" t="str">
        <f>IFERROR(__xludf.DUMMYFUNCTION("""COMPUTED_VALUE""")," ১১৪৪, জালশুকা, গাংনী, মেহেরপুর ")</f>
        <v> ১১৪৪, জালশুকা, গাংনী, মেহেরপুর </v>
      </c>
    </row>
    <row r="784" ht="15.75" customHeight="1">
      <c r="A784" s="3" t="s">
        <v>3897</v>
      </c>
      <c r="B784" s="3">
        <f>IFERROR(__xludf.DUMMYFUNCTION("SPLIT(A784,""|"")"),900.0)</f>
        <v>900</v>
      </c>
      <c r="C784" s="3" t="str">
        <f>IFERROR(__xludf.DUMMYFUNCTION("""COMPUTED_VALUE""")," মোহাম্মাদ বিপুল আলী ")</f>
        <v> মোহাম্মাদ বিপুল আলী </v>
      </c>
      <c r="D784" s="3">
        <f>IFERROR(__xludf.DUMMYFUNCTION("""COMPUTED_VALUE"""),5.7005654481E11)</f>
        <v>570056544810</v>
      </c>
      <c r="E784" s="3" t="str">
        <f>IFERROR(__xludf.DUMMYFUNCTION("""COMPUTED_VALUE""")," আসান আলী ")</f>
        <v> আসান আলী </v>
      </c>
      <c r="F784" s="3" t="str">
        <f>IFERROR(__xludf.DUMMYFUNCTION("""COMPUTED_VALUE""")," মৃত মর্জিনা ")</f>
        <v> মৃত মর্জিনা </v>
      </c>
      <c r="G784" s="3" t="str">
        <f>IFERROR(__xludf.DUMMYFUNCTION("""COMPUTED_VALUE""")," ০১/০৪/১৯৯১ ")</f>
        <v> ০১/০৪/১৯৯১ </v>
      </c>
      <c r="H784" s="3" t="str">
        <f>IFERROR(__xludf.DUMMYFUNCTION("""COMPUTED_VALUE""")," শ্রমিক ")</f>
        <v> শ্রমিক </v>
      </c>
      <c r="I784" s="3" t="str">
        <f>IFERROR(__xludf.DUMMYFUNCTION("""COMPUTED_VALUE""")," ৯১৮, জালশুকা, গাংনী, মেহেরপুর ")</f>
        <v> ৯১৮, জালশুকা, গাংনী, মেহেরপুর </v>
      </c>
    </row>
    <row r="785" ht="15.75" customHeight="1">
      <c r="A785" s="3" t="s">
        <v>3898</v>
      </c>
      <c r="B785" s="3">
        <f>IFERROR(__xludf.DUMMYFUNCTION("SPLIT(A785,""|"")"),901.0)</f>
        <v>901</v>
      </c>
      <c r="C785" s="3" t="str">
        <f>IFERROR(__xludf.DUMMYFUNCTION("""COMPUTED_VALUE""")," হেদায়েতুল্লাহ বিন আসওয়াদ ")</f>
        <v> হেদায়েতুল্লাহ বিন আসওয়াদ </v>
      </c>
      <c r="D785" s="3">
        <f>IFERROR(__xludf.DUMMYFUNCTION("""COMPUTED_VALUE"""),5.70056544812E11)</f>
        <v>570056544812</v>
      </c>
      <c r="E785" s="3" t="str">
        <f>IFERROR(__xludf.DUMMYFUNCTION("""COMPUTED_VALUE""")," মোঃ জহুরুল আলম ")</f>
        <v> মোঃ জহুরুল আলম </v>
      </c>
      <c r="F785" s="3" t="str">
        <f>IFERROR(__xludf.DUMMYFUNCTION("""COMPUTED_VALUE""")," মোছাঃ ছুরাতন খাতুন ")</f>
        <v> মোছাঃ ছুরাতন খাতুন </v>
      </c>
      <c r="G785" s="3" t="str">
        <f>IFERROR(__xludf.DUMMYFUNCTION("""COMPUTED_VALUE""")," ১৯/০৭/২০০৬ ")</f>
        <v> ১৯/০৭/২০০৬ </v>
      </c>
      <c r="H785" s="3" t="str">
        <f>IFERROR(__xludf.DUMMYFUNCTION("""COMPUTED_VALUE""")," বেকার ")</f>
        <v> বেকার </v>
      </c>
      <c r="I785" s="3" t="str">
        <f>IFERROR(__xludf.DUMMYFUNCTION("""COMPUTED_VALUE""")," ১১৭০, জালশুকা, গাংনী, মেহেরপুর ")</f>
        <v> ১১৭০, জালশুকা, গাংনী, মেহেরপুর </v>
      </c>
    </row>
    <row r="786" ht="15.75" customHeight="1">
      <c r="A786" s="3" t="s">
        <v>3899</v>
      </c>
      <c r="B786" s="3">
        <f>IFERROR(__xludf.DUMMYFUNCTION("SPLIT(A786,""|"")"),902.0)</f>
        <v>902</v>
      </c>
      <c r="C786" s="3" t="str">
        <f>IFERROR(__xludf.DUMMYFUNCTION("""COMPUTED_VALUE""")," বিল্লাল ")</f>
        <v> বিল্লাল </v>
      </c>
      <c r="D786" s="3">
        <f>IFERROR(__xludf.DUMMYFUNCTION("""COMPUTED_VALUE"""),5.70056544821E11)</f>
        <v>570056544821</v>
      </c>
      <c r="E786" s="3" t="str">
        <f>IFERROR(__xludf.DUMMYFUNCTION("""COMPUTED_VALUE""")," আ: ছাত্তার ")</f>
        <v> আ: ছাত্তার </v>
      </c>
      <c r="F786" s="3" t="str">
        <f>IFERROR(__xludf.DUMMYFUNCTION("""COMPUTED_VALUE""")," অজিফা ")</f>
        <v> অজিফা </v>
      </c>
      <c r="G786" s="3" t="str">
        <f>IFERROR(__xludf.DUMMYFUNCTION("""COMPUTED_VALUE""")," ১৩/০৪/১৯৮৪ ")</f>
        <v> ১৩/০৪/১৯৮৪ </v>
      </c>
      <c r="H786" s="3" t="str">
        <f>IFERROR(__xludf.DUMMYFUNCTION("""COMPUTED_VALUE""")," শ্রমিক ")</f>
        <v> শ্রমিক </v>
      </c>
      <c r="I786" s="3" t="str">
        <f>IFERROR(__xludf.DUMMYFUNCTION("""COMPUTED_VALUE""")," ৯০৩, জালশুকা, গাংনী, মেহেরপুর ")</f>
        <v> ৯০৩, জালশুকা, গাংনী, মেহেরপুর </v>
      </c>
    </row>
    <row r="787" ht="15.75" customHeight="1">
      <c r="A787" s="3" t="s">
        <v>3900</v>
      </c>
      <c r="B787" s="3">
        <f>IFERROR(__xludf.DUMMYFUNCTION("SPLIT(A787,""|"")"),903.0)</f>
        <v>903</v>
      </c>
      <c r="C787" s="3" t="str">
        <f>IFERROR(__xludf.DUMMYFUNCTION("""COMPUTED_VALUE""")," মোঃ শরিফ উদ্দীন ")</f>
        <v> মোঃ শরিফ উদ্দীন </v>
      </c>
      <c r="D787" s="3">
        <f>IFERROR(__xludf.DUMMYFUNCTION("""COMPUTED_VALUE"""),5.70056544819E11)</f>
        <v>570056544819</v>
      </c>
      <c r="E787" s="3" t="str">
        <f>IFERROR(__xludf.DUMMYFUNCTION("""COMPUTED_VALUE""")," মৃত ওয়াজ বকস ")</f>
        <v> মৃত ওয়াজ বকস </v>
      </c>
      <c r="F787" s="3" t="str">
        <f>IFERROR(__xludf.DUMMYFUNCTION("""COMPUTED_VALUE""")," ইজারন নেছা ")</f>
        <v> ইজারন নেছা </v>
      </c>
      <c r="G787" s="3" t="str">
        <f>IFERROR(__xludf.DUMMYFUNCTION("""COMPUTED_VALUE""")," ০২/০১/১৯৬৪ ")</f>
        <v> ০২/০১/১৯৬৪ </v>
      </c>
      <c r="H787" s="3" t="str">
        <f>IFERROR(__xludf.DUMMYFUNCTION("""COMPUTED_VALUE""")," শ্রমিক ")</f>
        <v> শ্রমিক </v>
      </c>
      <c r="I787" s="3" t="str">
        <f>IFERROR(__xludf.DUMMYFUNCTION("""COMPUTED_VALUE""")," জালশুকা, গাংনী, মেহেরপুর ")</f>
        <v> জালশুকা, গাংনী, মেহেরপুর </v>
      </c>
    </row>
    <row r="788" ht="15.75" customHeight="1">
      <c r="A788" s="3" t="s">
        <v>3901</v>
      </c>
      <c r="B788" s="3">
        <f>IFERROR(__xludf.DUMMYFUNCTION("SPLIT(A788,""|"")"),904.0)</f>
        <v>904</v>
      </c>
      <c r="C788" s="3" t="str">
        <f>IFERROR(__xludf.DUMMYFUNCTION("""COMPUTED_VALUE""")," মোঃ হাসিবুল ইসলাম ")</f>
        <v> মোঃ হাসিবুল ইসলাম </v>
      </c>
      <c r="D788" s="3">
        <f>IFERROR(__xludf.DUMMYFUNCTION("""COMPUTED_VALUE"""),5.70056544822E11)</f>
        <v>570056544822</v>
      </c>
      <c r="E788" s="3" t="str">
        <f>IFERROR(__xludf.DUMMYFUNCTION("""COMPUTED_VALUE""")," মোঃ বাবুল হোসেন ")</f>
        <v> মোঃ বাবুল হোসেন </v>
      </c>
      <c r="F788" s="3" t="str">
        <f>IFERROR(__xludf.DUMMYFUNCTION("""COMPUTED_VALUE""")," হাজেরা খাতুন ")</f>
        <v> হাজেরা খাতুন </v>
      </c>
      <c r="G788" s="3" t="str">
        <f>IFERROR(__xludf.DUMMYFUNCTION("""COMPUTED_VALUE""")," ০২/০৩/১৯৮৫ ")</f>
        <v> ০২/০৩/১৯৮৫ </v>
      </c>
      <c r="H788" s="3" t="str">
        <f>IFERROR(__xludf.DUMMYFUNCTION("""COMPUTED_VALUE""")," শ্রমিক ")</f>
        <v> শ্রমিক </v>
      </c>
      <c r="I788" s="3" t="str">
        <f>IFERROR(__xludf.DUMMYFUNCTION("""COMPUTED_VALUE""")," ১২৮২, জালশুকা, গাংনী, মেহেরপুর ")</f>
        <v> ১২৮২, জালশুকা, গাংনী, মেহেরপুর </v>
      </c>
    </row>
    <row r="789" ht="15.75" customHeight="1">
      <c r="A789" s="3" t="s">
        <v>3902</v>
      </c>
      <c r="B789" s="3">
        <f>IFERROR(__xludf.DUMMYFUNCTION("SPLIT(A789,""|"")"),905.0)</f>
        <v>905</v>
      </c>
      <c r="C789" s="3" t="str">
        <f>IFERROR(__xludf.DUMMYFUNCTION("""COMPUTED_VALUE""")," মোঃ মোহন আলী ")</f>
        <v> মোঃ মোহন আলী </v>
      </c>
      <c r="D789" s="3">
        <f>IFERROR(__xludf.DUMMYFUNCTION("""COMPUTED_VALUE"""),5.70056544823E11)</f>
        <v>570056544823</v>
      </c>
      <c r="E789" s="3" t="str">
        <f>IFERROR(__xludf.DUMMYFUNCTION("""COMPUTED_VALUE""")," মোঃ আবুছুদ্দীন ")</f>
        <v> মোঃ আবুছুদ্দীন </v>
      </c>
      <c r="F789" s="3" t="str">
        <f>IFERROR(__xludf.DUMMYFUNCTION("""COMPUTED_VALUE""")," মোছাঃ সেলিনা ")</f>
        <v> মোছাঃ সেলিনা </v>
      </c>
      <c r="G789" s="3" t="str">
        <f>IFERROR(__xludf.DUMMYFUNCTION("""COMPUTED_VALUE""")," ২৫/০৯/১৯৯০ ")</f>
        <v> ২৫/০৯/১৯৯০ </v>
      </c>
      <c r="H789" s="3" t="str">
        <f>IFERROR(__xludf.DUMMYFUNCTION("""COMPUTED_VALUE""")," শ্রমিক ")</f>
        <v> শ্রমিক </v>
      </c>
      <c r="I789" s="3" t="str">
        <f>IFERROR(__xludf.DUMMYFUNCTION("""COMPUTED_VALUE""")," ১২৮৪, জালশুকা, গাংনী, মেহেরপুর ")</f>
        <v> ১২৮৪, জালশুকা, গাংনী, মেহেরপুর </v>
      </c>
    </row>
    <row r="790" ht="15.75" customHeight="1">
      <c r="A790" s="3" t="s">
        <v>3138</v>
      </c>
      <c r="B790" s="3" t="str">
        <f>IFERROR(__xludf.DUMMYFUNCTION("SPLIT(A790,""|"")")," ক্রমিক নং ")</f>
        <v> ক্রমিক নং </v>
      </c>
      <c r="C790" s="3" t="str">
        <f>IFERROR(__xludf.DUMMYFUNCTION("""COMPUTED_VALUE""")," নাম ")</f>
        <v> নাম </v>
      </c>
      <c r="D790" s="3" t="str">
        <f>IFERROR(__xludf.DUMMYFUNCTION("""COMPUTED_VALUE""")," ভোটার নং ")</f>
        <v> ভোটার নং </v>
      </c>
      <c r="E790" s="3" t="str">
        <f>IFERROR(__xludf.DUMMYFUNCTION("""COMPUTED_VALUE""")," পিতা ")</f>
        <v> পিতা </v>
      </c>
      <c r="F790" s="3" t="str">
        <f>IFERROR(__xludf.DUMMYFUNCTION("""COMPUTED_VALUE""")," মাতা ")</f>
        <v> মাতা </v>
      </c>
      <c r="G790" s="3" t="str">
        <f>IFERROR(__xludf.DUMMYFUNCTION("""COMPUTED_VALUE""")," জন্ম তারিখ ")</f>
        <v> জন্ম তারিখ </v>
      </c>
      <c r="H790" s="3" t="str">
        <f>IFERROR(__xludf.DUMMYFUNCTION("""COMPUTED_VALUE""")," পেশা ")</f>
        <v> পেশা </v>
      </c>
      <c r="I790" s="3" t="str">
        <f>IFERROR(__xludf.DUMMYFUNCTION("""COMPUTED_VALUE""")," ঠিকানা ")</f>
        <v> ঠিকানা </v>
      </c>
    </row>
    <row r="791" ht="15.75" customHeight="1">
      <c r="A791" s="3" t="s">
        <v>3139</v>
      </c>
      <c r="B791" s="3" t="str">
        <f>IFERROR(__xludf.DUMMYFUNCTION("SPLIT(A791,""|"")"),"---")</f>
        <v>---</v>
      </c>
      <c r="C791" s="3" t="str">
        <f>IFERROR(__xludf.DUMMYFUNCTION("""COMPUTED_VALUE"""),"---")</f>
        <v>---</v>
      </c>
      <c r="D791" s="3" t="str">
        <f>IFERROR(__xludf.DUMMYFUNCTION("""COMPUTED_VALUE"""),"---")</f>
        <v>---</v>
      </c>
      <c r="E791" s="3" t="str">
        <f>IFERROR(__xludf.DUMMYFUNCTION("""COMPUTED_VALUE"""),"---")</f>
        <v>---</v>
      </c>
      <c r="F791" s="3" t="str">
        <f>IFERROR(__xludf.DUMMYFUNCTION("""COMPUTED_VALUE"""),"---")</f>
        <v>---</v>
      </c>
      <c r="G791" s="3" t="str">
        <f>IFERROR(__xludf.DUMMYFUNCTION("""COMPUTED_VALUE"""),"---")</f>
        <v>---</v>
      </c>
      <c r="H791" s="3" t="str">
        <f>IFERROR(__xludf.DUMMYFUNCTION("""COMPUTED_VALUE"""),"---")</f>
        <v>---</v>
      </c>
      <c r="I791" s="3" t="str">
        <f>IFERROR(__xludf.DUMMYFUNCTION("""COMPUTED_VALUE"""),"---")</f>
        <v>---</v>
      </c>
    </row>
    <row r="792" ht="15.75" customHeight="1">
      <c r="A792" s="3" t="s">
        <v>3903</v>
      </c>
      <c r="B792" s="3">
        <f>IFERROR(__xludf.DUMMYFUNCTION("SPLIT(A792,""|"")"),196.0)</f>
        <v>196</v>
      </c>
      <c r="C792" s="3" t="str">
        <f>IFERROR(__xludf.DUMMYFUNCTION("""COMPUTED_VALUE""")," মো: মরিকুল ইসলাম ")</f>
        <v> মো: মরিকুল ইসলাম </v>
      </c>
      <c r="D792" s="3">
        <f>IFERROR(__xludf.DUMMYFUNCTION("""COMPUTED_VALUE"""),5.70056378195E11)</f>
        <v>570056378195</v>
      </c>
      <c r="E792" s="3" t="str">
        <f>IFERROR(__xludf.DUMMYFUNCTION("""COMPUTED_VALUE""")," মো: তমছের আলী ")</f>
        <v> মো: তমছের আলী </v>
      </c>
      <c r="F792" s="3" t="str">
        <f>IFERROR(__xludf.DUMMYFUNCTION("""COMPUTED_VALUE""")," মোছা: তাসলিমা খাতুন ")</f>
        <v> মোছা: তাসলিমা খাতুন </v>
      </c>
      <c r="G792" s="3" t="str">
        <f>IFERROR(__xludf.DUMMYFUNCTION("""COMPUTED_VALUE""")," ০৫/০৩/১৯৮৪ ")</f>
        <v> ০৫/০৩/১৯৮৪ </v>
      </c>
      <c r="H792" s="3" t="str">
        <f>IFERROR(__xludf.DUMMYFUNCTION("""COMPUTED_VALUE""")," কৃষক ")</f>
        <v> কৃষক </v>
      </c>
      <c r="I792" s="3" t="str">
        <f>IFERROR(__xludf.DUMMYFUNCTION("""COMPUTED_VALUE""")," জালশুকা, গাংনী, মেহেরপুর ")</f>
        <v> জালশুকা, গাংনী, মেহেরপুর </v>
      </c>
    </row>
    <row r="793" ht="15.75" customHeight="1">
      <c r="A793" s="3" t="s">
        <v>3904</v>
      </c>
      <c r="B793" s="3">
        <f>IFERROR(__xludf.DUMMYFUNCTION("SPLIT(A793,""|"")"),197.0)</f>
        <v>197</v>
      </c>
      <c r="C793" s="3" t="str">
        <f>IFERROR(__xludf.DUMMYFUNCTION("""COMPUTED_VALUE""")," মো: নজরুল ইসলাম ")</f>
        <v> মো: নজরুল ইসলাম </v>
      </c>
      <c r="D793" s="3">
        <f>IFERROR(__xludf.DUMMYFUNCTION("""COMPUTED_VALUE"""),5.70056378197E11)</f>
        <v>570056378197</v>
      </c>
      <c r="E793" s="3" t="str">
        <f>IFERROR(__xludf.DUMMYFUNCTION("""COMPUTED_VALUE""")," খলিলুর রহমান ")</f>
        <v> খলিলুর রহমান </v>
      </c>
      <c r="F793" s="3" t="str">
        <f>IFERROR(__xludf.DUMMYFUNCTION("""COMPUTED_VALUE""")," মোছা: তোফারন নেছা ")</f>
        <v> মোছা: তোফারন নেছা </v>
      </c>
      <c r="G793" s="3" t="str">
        <f>IFERROR(__xludf.DUMMYFUNCTION("""COMPUTED_VALUE""")," ০২/০১/১৯৭২ ")</f>
        <v> ০২/০১/১৯৭২ </v>
      </c>
      <c r="H793" s="3" t="str">
        <f>IFERROR(__xludf.DUMMYFUNCTION("""COMPUTED_VALUE""")," কৃষক ")</f>
        <v> কৃষক </v>
      </c>
      <c r="I793" s="3" t="str">
        <f>IFERROR(__xludf.DUMMYFUNCTION("""COMPUTED_VALUE""")," জালশুকা, গাংনী, মেহেরপুর ")</f>
        <v> জালশুকা, গাংনী, মেহেরপুর </v>
      </c>
    </row>
    <row r="794" ht="15.75" customHeight="1">
      <c r="A794" s="3" t="s">
        <v>3905</v>
      </c>
      <c r="B794" s="3">
        <f>IFERROR(__xludf.DUMMYFUNCTION("SPLIT(A794,""|"")"),198.0)</f>
        <v>198</v>
      </c>
      <c r="C794" s="3" t="str">
        <f>IFERROR(__xludf.DUMMYFUNCTION("""COMPUTED_VALUE""")," মো: আ: রাজ্জাক ")</f>
        <v> মো: আ: রাজ্জাক </v>
      </c>
      <c r="D794" s="3">
        <f>IFERROR(__xludf.DUMMYFUNCTION("""COMPUTED_VALUE"""),5.70056378198E11)</f>
        <v>570056378198</v>
      </c>
      <c r="E794" s="3" t="str">
        <f>IFERROR(__xludf.DUMMYFUNCTION("""COMPUTED_VALUE""")," জবেদ আলী ")</f>
        <v> জবেদ আলী </v>
      </c>
      <c r="F794" s="3" t="str">
        <f>IFERROR(__xludf.DUMMYFUNCTION("""COMPUTED_VALUE""")," শরিফান নেছা ")</f>
        <v> শরিফান নেছা </v>
      </c>
      <c r="G794" s="3" t="str">
        <f>IFERROR(__xludf.DUMMYFUNCTION("""COMPUTED_VALUE""")," ২৫/১১/১৯৮২ ")</f>
        <v> ২৫/১১/১৯৮২ </v>
      </c>
      <c r="H794" s="3" t="str">
        <f>IFERROR(__xludf.DUMMYFUNCTION("""COMPUTED_VALUE""")," কৃষক ")</f>
        <v> কৃষক </v>
      </c>
      <c r="I794" s="3" t="str">
        <f>IFERROR(__xludf.DUMMYFUNCTION("""COMPUTED_VALUE""")," জালশুকা, গাংনী, মেহেরপুর ")</f>
        <v> জালশুকা, গাংনী, মেহেরপুর </v>
      </c>
    </row>
    <row r="795" ht="15.75" customHeight="1">
      <c r="A795" s="3" t="s">
        <v>3906</v>
      </c>
      <c r="B795" s="3">
        <f>IFERROR(__xludf.DUMMYFUNCTION("SPLIT(A795,""|"")"),199.0)</f>
        <v>199</v>
      </c>
      <c r="C795" s="3" t="str">
        <f>IFERROR(__xludf.DUMMYFUNCTION("""COMPUTED_VALUE""")," মো: তুহিন আলী ")</f>
        <v> মো: তুহিন আলী </v>
      </c>
      <c r="D795" s="3">
        <f>IFERROR(__xludf.DUMMYFUNCTION("""COMPUTED_VALUE"""),5.70056378201E11)</f>
        <v>570056378201</v>
      </c>
      <c r="E795" s="3" t="str">
        <f>IFERROR(__xludf.DUMMYFUNCTION("""COMPUTED_VALUE""")," মো: বাবলু আলী ")</f>
        <v> মো: বাবলু আলী </v>
      </c>
      <c r="F795" s="3" t="str">
        <f>IFERROR(__xludf.DUMMYFUNCTION("""COMPUTED_VALUE""")," মোছা: আলিয়া খাতুন ")</f>
        <v> মোছা: আলিয়া খাতুন </v>
      </c>
      <c r="G795" s="3" t="str">
        <f>IFERROR(__xludf.DUMMYFUNCTION("""COMPUTED_VALUE""")," ০৫/০৭/১৯৮৪ ")</f>
        <v> ০৫/০৭/১৯৮৪ </v>
      </c>
      <c r="H795" s="3" t="str">
        <f>IFERROR(__xludf.DUMMYFUNCTION("""COMPUTED_VALUE""")," কৃষক ")</f>
        <v> কৃষক </v>
      </c>
      <c r="I795" s="3" t="str">
        <f>IFERROR(__xludf.DUMMYFUNCTION("""COMPUTED_VALUE""")," জালশুকা, গাংনী, মেহেরপুর ")</f>
        <v> জালশুকা, গাংনী, মেহেরপুর </v>
      </c>
    </row>
    <row r="796" ht="15.75" customHeight="1">
      <c r="A796" s="3" t="s">
        <v>3907</v>
      </c>
      <c r="B796" s="3">
        <f>IFERROR(__xludf.DUMMYFUNCTION("SPLIT(A796,""|"")"),200.0)</f>
        <v>200</v>
      </c>
      <c r="C796" s="3" t="str">
        <f>IFERROR(__xludf.DUMMYFUNCTION("""COMPUTED_VALUE""")," মো: বাবলু আলী ")</f>
        <v> মো: বাবলু আলী </v>
      </c>
      <c r="D796" s="3">
        <f>IFERROR(__xludf.DUMMYFUNCTION("""COMPUTED_VALUE"""),5.700563782E11)</f>
        <v>570056378200</v>
      </c>
      <c r="E796" s="3" t="str">
        <f>IFERROR(__xludf.DUMMYFUNCTION("""COMPUTED_VALUE""")," লুতফর রহমান ")</f>
        <v> লুতফর রহমান </v>
      </c>
      <c r="F796" s="3" t="str">
        <f>IFERROR(__xludf.DUMMYFUNCTION("""COMPUTED_VALUE""")," মোছা: রাবিয়া খাতুন ")</f>
        <v> মোছা: রাবিয়া খাতুন </v>
      </c>
      <c r="G796" s="3" t="str">
        <f>IFERROR(__xludf.DUMMYFUNCTION("""COMPUTED_VALUE""")," ১৯/০৪/১৯৫৯ ")</f>
        <v> ১৯/০৪/১৯৫৯ </v>
      </c>
      <c r="H796" s="3" t="str">
        <f>IFERROR(__xludf.DUMMYFUNCTION("""COMPUTED_VALUE""")," ব্যবসা ")</f>
        <v> ব্যবসা </v>
      </c>
      <c r="I796" s="3" t="str">
        <f>IFERROR(__xludf.DUMMYFUNCTION("""COMPUTED_VALUE""")," জালশুকা উত্তর পাড়া, গাংনী, মেহেরপুর ")</f>
        <v> জালশুকা উত্তর পাড়া, গাংনী, মেহেরপুর </v>
      </c>
    </row>
    <row r="797" ht="15.75" customHeight="1">
      <c r="A797" s="3" t="s">
        <v>3908</v>
      </c>
      <c r="B797" s="3">
        <f>IFERROR(__xludf.DUMMYFUNCTION("SPLIT(A797,""|"")"),201.0)</f>
        <v>201</v>
      </c>
      <c r="C797" s="3" t="str">
        <f>IFERROR(__xludf.DUMMYFUNCTION("""COMPUTED_VALUE""")," মো: ফজলুল হক ")</f>
        <v> মো: ফজলুল হক </v>
      </c>
      <c r="D797" s="3">
        <f>IFERROR(__xludf.DUMMYFUNCTION("""COMPUTED_VALUE"""),5.70056378208E11)</f>
        <v>570056378208</v>
      </c>
      <c r="E797" s="3" t="str">
        <f>IFERROR(__xludf.DUMMYFUNCTION("""COMPUTED_VALUE""")," লুৎফর রহমান ")</f>
        <v> লুৎফর রহমান </v>
      </c>
      <c r="F797" s="3" t="str">
        <f>IFERROR(__xludf.DUMMYFUNCTION("""COMPUTED_VALUE""")," মোছা: রাবিয়া খাতুন ")</f>
        <v> মোছা: রাবিয়া খাতুন </v>
      </c>
      <c r="G797" s="3" t="str">
        <f>IFERROR(__xludf.DUMMYFUNCTION("""COMPUTED_VALUE""")," ১২/১০/১৯৪৫ ")</f>
        <v> ১২/১০/১৯৪৫ </v>
      </c>
      <c r="H797" s="3" t="str">
        <f>IFERROR(__xludf.DUMMYFUNCTION("""COMPUTED_VALUE""")," কৃষক ")</f>
        <v> কৃষক </v>
      </c>
      <c r="I797" s="3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798" ht="15.75" customHeight="1">
      <c r="A798" s="3" t="s">
        <v>3909</v>
      </c>
      <c r="B798" s="3">
        <f>IFERROR(__xludf.DUMMYFUNCTION("SPLIT(A798,""|"")"),202.0)</f>
        <v>202</v>
      </c>
      <c r="C798" s="3" t="str">
        <f>IFERROR(__xludf.DUMMYFUNCTION("""COMPUTED_VALUE""")," মো: সাইফুল ইসলাম ")</f>
        <v> মো: সাইফুল ইসলাম </v>
      </c>
      <c r="D798" s="3">
        <f>IFERROR(__xludf.DUMMYFUNCTION("""COMPUTED_VALUE"""),5.70056378209E11)</f>
        <v>570056378209</v>
      </c>
      <c r="E798" s="3" t="str">
        <f>IFERROR(__xludf.DUMMYFUNCTION("""COMPUTED_VALUE""")," মো: ফজলুল হক ")</f>
        <v> মো: ফজলুল হক </v>
      </c>
      <c r="F798" s="3" t="str">
        <f>IFERROR(__xludf.DUMMYFUNCTION("""COMPUTED_VALUE""")," মোছা: রোকেয়া বেগম ")</f>
        <v> মোছা: রোকেয়া বেগম </v>
      </c>
      <c r="G798" s="3" t="str">
        <f>IFERROR(__xludf.DUMMYFUNCTION("""COMPUTED_VALUE""")," ১১/০৮/১৯৮০ ")</f>
        <v> ১১/০৮/১৯৮০ </v>
      </c>
      <c r="H798" s="3" t="str">
        <f>IFERROR(__xludf.DUMMYFUNCTION("""COMPUTED_VALUE""")," কৃষক ")</f>
        <v> কৃষক </v>
      </c>
      <c r="I798" s="3" t="str">
        <f>IFERROR(__xludf.DUMMYFUNCTION("""COMPUTED_VALUE""")," জালশুকা, গাংনী, মেহেরপুর ")</f>
        <v> জালশুকা, গাংনী, মেহেরপুর </v>
      </c>
    </row>
    <row r="799" ht="15.75" customHeight="1">
      <c r="A799" s="3" t="s">
        <v>3910</v>
      </c>
      <c r="B799" s="3">
        <f>IFERROR(__xludf.DUMMYFUNCTION("SPLIT(A799,""|"")"),203.0)</f>
        <v>203</v>
      </c>
      <c r="C799" s="3" t="str">
        <f>IFERROR(__xludf.DUMMYFUNCTION("""COMPUTED_VALUE""")," মো: বাবুল হোসেন ")</f>
        <v> মো: বাবুল হোসেন </v>
      </c>
      <c r="D799" s="3">
        <f>IFERROR(__xludf.DUMMYFUNCTION("""COMPUTED_VALUE"""),5.70056378211E11)</f>
        <v>570056378211</v>
      </c>
      <c r="E799" s="3" t="str">
        <f>IFERROR(__xludf.DUMMYFUNCTION("""COMPUTED_VALUE""")," মো: আবুল হোসেন ")</f>
        <v> মো: আবুল হোসেন </v>
      </c>
      <c r="F799" s="3" t="str">
        <f>IFERROR(__xludf.DUMMYFUNCTION("""COMPUTED_VALUE""")," মোছা: মাহিরন নেছা ")</f>
        <v> মোছা: মাহিরন নেছা </v>
      </c>
      <c r="G799" s="3" t="str">
        <f>IFERROR(__xludf.DUMMYFUNCTION("""COMPUTED_VALUE""")," ০৪/০৭/১৯৭২ ")</f>
        <v> ০৪/০৭/১৯৭২ </v>
      </c>
      <c r="H799" s="3" t="str">
        <f>IFERROR(__xludf.DUMMYFUNCTION("""COMPUTED_VALUE""")," কৃষক ")</f>
        <v> কৃষক </v>
      </c>
      <c r="I799" s="3" t="str">
        <f>IFERROR(__xludf.DUMMYFUNCTION("""COMPUTED_VALUE""")," জালশুকা, গাংনী, মেহেরপুর ")</f>
        <v> জালশুকা, গাংনী, মেহেরপুর </v>
      </c>
    </row>
    <row r="800" ht="15.75" customHeight="1">
      <c r="A800" s="3" t="s">
        <v>3911</v>
      </c>
      <c r="B800" s="3">
        <f>IFERROR(__xludf.DUMMYFUNCTION("SPLIT(A800,""|"")"),204.0)</f>
        <v>204</v>
      </c>
      <c r="C800" s="3" t="str">
        <f>IFERROR(__xludf.DUMMYFUNCTION("""COMPUTED_VALUE""")," মো: ইশারুদ্দীন ")</f>
        <v> মো: ইশারুদ্দীন </v>
      </c>
      <c r="D800" s="3">
        <f>IFERROR(__xludf.DUMMYFUNCTION("""COMPUTED_VALUE"""),5.70056378212E11)</f>
        <v>570056378212</v>
      </c>
      <c r="E800" s="3" t="str">
        <f>IFERROR(__xludf.DUMMYFUNCTION("""COMPUTED_VALUE""")," তাহাজুদ্দীন ")</f>
        <v> তাহাজুদ্দীন </v>
      </c>
      <c r="F800" s="3" t="str">
        <f>IFERROR(__xludf.DUMMYFUNCTION("""COMPUTED_VALUE""")," মোছা: সফুরা খাতুন ")</f>
        <v> মোছা: সফুরা খাতুন </v>
      </c>
      <c r="G800" s="3" t="str">
        <f>IFERROR(__xludf.DUMMYFUNCTION("""COMPUTED_VALUE""")," ১৭/০৮/১৯৬৪ ")</f>
        <v> ১৭/০৮/১৯৬৪ </v>
      </c>
      <c r="H800" s="3" t="str">
        <f>IFERROR(__xludf.DUMMYFUNCTION("""COMPUTED_VALUE""")," কৃষক ")</f>
        <v> কৃষক </v>
      </c>
      <c r="I800" s="3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801" ht="15.75" customHeight="1">
      <c r="A801" s="3" t="s">
        <v>3912</v>
      </c>
      <c r="B801" s="3">
        <f>IFERROR(__xludf.DUMMYFUNCTION("SPLIT(A801,""|"")"),205.0)</f>
        <v>205</v>
      </c>
      <c r="C801" s="3" t="str">
        <f>IFERROR(__xludf.DUMMYFUNCTION("""COMPUTED_VALUE""")," মো: আমিরুল ইসলাম ")</f>
        <v> মো: আমিরুল ইসলাম </v>
      </c>
      <c r="D801" s="3">
        <f>IFERROR(__xludf.DUMMYFUNCTION("""COMPUTED_VALUE"""),5.70056378215E11)</f>
        <v>570056378215</v>
      </c>
      <c r="E801" s="3" t="str">
        <f>IFERROR(__xludf.DUMMYFUNCTION("""COMPUTED_VALUE""")," যাদু মন্ডল ")</f>
        <v> যাদু মন্ডল </v>
      </c>
      <c r="F801" s="3" t="str">
        <f>IFERROR(__xludf.DUMMYFUNCTION("""COMPUTED_VALUE""")," মোছা: জেলেজান ")</f>
        <v> মোছা: জেলেজান </v>
      </c>
      <c r="G801" s="3" t="str">
        <f>IFERROR(__xludf.DUMMYFUNCTION("""COMPUTED_VALUE""")," ২১/০৪/১৯৭০ ")</f>
        <v> ২১/০৪/১৯৭০ </v>
      </c>
      <c r="H801" s="3" t="str">
        <f>IFERROR(__xludf.DUMMYFUNCTION("""COMPUTED_VALUE""")," কৃষক ")</f>
        <v> কৃষক </v>
      </c>
      <c r="I801" s="3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802" ht="15.75" customHeight="1">
      <c r="A802" s="3" t="s">
        <v>3913</v>
      </c>
      <c r="B802" s="3">
        <f>IFERROR(__xludf.DUMMYFUNCTION("SPLIT(A802,""|"")"),206.0)</f>
        <v>206</v>
      </c>
      <c r="C802" s="3" t="str">
        <f>IFERROR(__xludf.DUMMYFUNCTION("""COMPUTED_VALUE""")," মো: জাহাঙ্গীর আলম ")</f>
        <v> মো: জাহাঙ্গীর আলম </v>
      </c>
      <c r="D802" s="3">
        <f>IFERROR(__xludf.DUMMYFUNCTION("""COMPUTED_VALUE"""),5.70056378218E11)</f>
        <v>570056378218</v>
      </c>
      <c r="E802" s="3" t="str">
        <f>IFERROR(__xludf.DUMMYFUNCTION("""COMPUTED_VALUE""")," মো: ইশারুদ্দীন ")</f>
        <v> মো: ইশারুদ্দীন </v>
      </c>
      <c r="F802" s="3" t="str">
        <f>IFERROR(__xludf.DUMMYFUNCTION("""COMPUTED_VALUE""")," মোছা: আম্বিয়া খাতুন ")</f>
        <v> মোছা: আম্বিয়া খাতুন </v>
      </c>
      <c r="G802" s="3" t="str">
        <f>IFERROR(__xludf.DUMMYFUNCTION("""COMPUTED_VALUE""")," ০৯/০৪/১৯৭৩ ")</f>
        <v> ০৯/০৪/১৯৭৩ </v>
      </c>
      <c r="H802" s="3" t="str">
        <f>IFERROR(__xludf.DUMMYFUNCTION("""COMPUTED_VALUE""")," কৃষক ")</f>
        <v> কৃষক </v>
      </c>
      <c r="I802" s="3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803" ht="15.75" customHeight="1">
      <c r="A803" s="3" t="s">
        <v>3914</v>
      </c>
      <c r="B803" s="3">
        <f>IFERROR(__xludf.DUMMYFUNCTION("SPLIT(A803,""|"")"),207.0)</f>
        <v>207</v>
      </c>
      <c r="C803" s="3" t="str">
        <f>IFERROR(__xludf.DUMMYFUNCTION("""COMPUTED_VALUE""")," মো: শিপলু আলী ")</f>
        <v> মো: শিপলু আলী </v>
      </c>
      <c r="D803" s="3">
        <f>IFERROR(__xludf.DUMMYFUNCTION("""COMPUTED_VALUE"""),5.70056378219E11)</f>
        <v>570056378219</v>
      </c>
      <c r="E803" s="3" t="str">
        <f>IFERROR(__xludf.DUMMYFUNCTION("""COMPUTED_VALUE""")," মো: তাহিরুদ্দীন ")</f>
        <v> মো: তাহিরুদ্দীন </v>
      </c>
      <c r="F803" s="3" t="str">
        <f>IFERROR(__xludf.DUMMYFUNCTION("""COMPUTED_VALUE""")," মোছা: রেবেকা খাতুন ")</f>
        <v> মোছা: রেবেকা খাতুন </v>
      </c>
      <c r="G803" s="3" t="str">
        <f>IFERROR(__xludf.DUMMYFUNCTION("""COMPUTED_VALUE""")," ০৮/০৫/১৯৮৮ ")</f>
        <v> ০৮/০৫/১৯৮৮ </v>
      </c>
      <c r="H803" s="3" t="str">
        <f>IFERROR(__xludf.DUMMYFUNCTION("""COMPUTED_VALUE""")," কৃষক ")</f>
        <v> কৃষক </v>
      </c>
      <c r="I803" s="3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804" ht="15.75" customHeight="1">
      <c r="A804" s="3" t="s">
        <v>3915</v>
      </c>
      <c r="B804" s="3">
        <f>IFERROR(__xludf.DUMMYFUNCTION("SPLIT(A804,""|"")"),208.0)</f>
        <v>208</v>
      </c>
      <c r="C804" s="3" t="str">
        <f>IFERROR(__xludf.DUMMYFUNCTION("""COMPUTED_VALUE""")," মো: মাসুদ আলী ")</f>
        <v> মো: মাসুদ আলী </v>
      </c>
      <c r="D804" s="3">
        <f>IFERROR(__xludf.DUMMYFUNCTION("""COMPUTED_VALUE"""),5.7005637822E11)</f>
        <v>570056378220</v>
      </c>
      <c r="E804" s="3" t="str">
        <f>IFERROR(__xludf.DUMMYFUNCTION("""COMPUTED_VALUE""")," মো: দবির উদ্দীন ")</f>
        <v> মো: দবির উদ্দীন </v>
      </c>
      <c r="F804" s="3" t="str">
        <f>IFERROR(__xludf.DUMMYFUNCTION("""COMPUTED_VALUE""")," মোছা: জয়নব নেছা ")</f>
        <v> মোছা: জয়নব নেছা </v>
      </c>
      <c r="G804" s="3" t="str">
        <f>IFERROR(__xludf.DUMMYFUNCTION("""COMPUTED_VALUE""")," ১৫/০৩/১৯৮৩ ")</f>
        <v> ১৫/০৩/১৯৮৩ </v>
      </c>
      <c r="H804" s="3" t="str">
        <f>IFERROR(__xludf.DUMMYFUNCTION("""COMPUTED_VALUE""")," কৃষক ")</f>
        <v> কৃষক </v>
      </c>
      <c r="I804" s="3" t="str">
        <f>IFERROR(__xludf.DUMMYFUNCTION("""COMPUTED_VALUE""")," জালশুকা, গাংনী, মেহেরপুর ")</f>
        <v> জালশুকা, গাংনী, মেহেরপুর </v>
      </c>
    </row>
    <row r="805" ht="15.75" customHeight="1">
      <c r="A805" s="3" t="s">
        <v>3916</v>
      </c>
      <c r="B805" s="3">
        <f>IFERROR(__xludf.DUMMYFUNCTION("SPLIT(A805,""|"")"),209.0)</f>
        <v>209</v>
      </c>
      <c r="C805" s="3" t="str">
        <f>IFERROR(__xludf.DUMMYFUNCTION("""COMPUTED_VALUE""")," মো: ছনিরুদ্দীন ")</f>
        <v> মো: ছনিরুদ্দীন </v>
      </c>
      <c r="D805" s="3">
        <f>IFERROR(__xludf.DUMMYFUNCTION("""COMPUTED_VALUE"""),5.70056378222E11)</f>
        <v>570056378222</v>
      </c>
      <c r="E805" s="3" t="str">
        <f>IFERROR(__xludf.DUMMYFUNCTION("""COMPUTED_VALUE""")," ছামছুদ্দি মলিথা ")</f>
        <v> ছামছুদ্দি মলিথা </v>
      </c>
      <c r="F805" s="3" t="str">
        <f>IFERROR(__xludf.DUMMYFUNCTION("""COMPUTED_VALUE""")," আইজান নেছা ")</f>
        <v> আইজান নেছা </v>
      </c>
      <c r="G805" s="3" t="str">
        <f>IFERROR(__xludf.DUMMYFUNCTION("""COMPUTED_VALUE""")," ০১/০১/১৯৪৮ ")</f>
        <v> ০১/০১/১৯৪৮ </v>
      </c>
      <c r="H805" s="3" t="str">
        <f>IFERROR(__xludf.DUMMYFUNCTION("""COMPUTED_VALUE""")," কৃষক ")</f>
        <v> কৃষক </v>
      </c>
      <c r="I805" s="3" t="str">
        <f>IFERROR(__xludf.DUMMYFUNCTION("""COMPUTED_VALUE""")," জালশুকা, গাংনী, মেহেরপুর ")</f>
        <v> জালশুকা, গাংনী, মেহেরপুর </v>
      </c>
    </row>
    <row r="806" ht="15.75" customHeight="1">
      <c r="A806" s="3" t="s">
        <v>3917</v>
      </c>
      <c r="B806" s="3">
        <f>IFERROR(__xludf.DUMMYFUNCTION("SPLIT(A806,""|"")"),210.0)</f>
        <v>210</v>
      </c>
      <c r="C806" s="3" t="str">
        <f>IFERROR(__xludf.DUMMYFUNCTION("""COMPUTED_VALUE""")," মো: অপছের আলী ")</f>
        <v> মো: অপছের আলী </v>
      </c>
      <c r="D806" s="3">
        <f>IFERROR(__xludf.DUMMYFUNCTION("""COMPUTED_VALUE"""),5.70056378223E11)</f>
        <v>570056378223</v>
      </c>
      <c r="E806" s="3" t="str">
        <f>IFERROR(__xludf.DUMMYFUNCTION("""COMPUTED_VALUE""")," মো: ছনিরুদ্দিন ")</f>
        <v> মো: ছনিরুদ্দিন </v>
      </c>
      <c r="F806" s="3" t="str">
        <f>IFERROR(__xludf.DUMMYFUNCTION("""COMPUTED_VALUE""")," মোছা: শবজান ")</f>
        <v> মোছা: শবজান </v>
      </c>
      <c r="G806" s="3" t="str">
        <f>IFERROR(__xludf.DUMMYFUNCTION("""COMPUTED_VALUE""")," ২৫/০৯/১৯৬৭ ")</f>
        <v> ২৫/০৯/১৯৬৭ </v>
      </c>
      <c r="H806" s="3" t="str">
        <f>IFERROR(__xludf.DUMMYFUNCTION("""COMPUTED_VALUE""")," কৃষক ")</f>
        <v> কৃষক </v>
      </c>
      <c r="I806" s="3" t="str">
        <f>IFERROR(__xludf.DUMMYFUNCTION("""COMPUTED_VALUE""")," জালশুকা, গাংনী, মেহেরপুর ")</f>
        <v> জালশুকা, গাংনী, মেহেরপুর </v>
      </c>
    </row>
    <row r="807" ht="15.75" customHeight="1">
      <c r="A807" s="3" t="s">
        <v>3918</v>
      </c>
      <c r="B807" s="3">
        <f>IFERROR(__xludf.DUMMYFUNCTION("SPLIT(A807,""|"")"),211.0)</f>
        <v>211</v>
      </c>
      <c r="C807" s="3" t="str">
        <f>IFERROR(__xludf.DUMMYFUNCTION("""COMPUTED_VALUE""")," মো: এনামুল হক ")</f>
        <v> মো: এনামুল হক </v>
      </c>
      <c r="D807" s="3">
        <f>IFERROR(__xludf.DUMMYFUNCTION("""COMPUTED_VALUE"""),5.70056378224E11)</f>
        <v>570056378224</v>
      </c>
      <c r="E807" s="3" t="str">
        <f>IFERROR(__xludf.DUMMYFUNCTION("""COMPUTED_VALUE""")," মো: ছনিরুদ্দীন ")</f>
        <v> মো: ছনিরুদ্দীন </v>
      </c>
      <c r="F807" s="3" t="str">
        <f>IFERROR(__xludf.DUMMYFUNCTION("""COMPUTED_VALUE""")," মোছা: শবজান ")</f>
        <v> মোছা: শবজান </v>
      </c>
      <c r="G807" s="3" t="str">
        <f>IFERROR(__xludf.DUMMYFUNCTION("""COMPUTED_VALUE""")," ০৫/০২/১৯৭৭ ")</f>
        <v> ০৫/০২/১৯৭৭ </v>
      </c>
      <c r="H807" s="3" t="str">
        <f>IFERROR(__xludf.DUMMYFUNCTION("""COMPUTED_VALUE""")," বেকার ")</f>
        <v> বেকার </v>
      </c>
      <c r="I807" s="3" t="str">
        <f>IFERROR(__xludf.DUMMYFUNCTION("""COMPUTED_VALUE""")," জালশুকা, গাংনী, মেহেরপুর ")</f>
        <v> জালশুকা, গাংনী, মেহেরপুর </v>
      </c>
    </row>
    <row r="808" ht="15.75" customHeight="1">
      <c r="A808" s="3" t="s">
        <v>3919</v>
      </c>
      <c r="B808" s="3">
        <f>IFERROR(__xludf.DUMMYFUNCTION("SPLIT(A808,""|"")"),212.0)</f>
        <v>212</v>
      </c>
      <c r="C808" s="3" t="str">
        <f>IFERROR(__xludf.DUMMYFUNCTION("""COMPUTED_VALUE""")," মো: মিয়াজান ")</f>
        <v> মো: মিয়াজান </v>
      </c>
      <c r="D808" s="3">
        <f>IFERROR(__xludf.DUMMYFUNCTION("""COMPUTED_VALUE"""),5.70056378225E11)</f>
        <v>570056378225</v>
      </c>
      <c r="E808" s="3" t="str">
        <f>IFERROR(__xludf.DUMMYFUNCTION("""COMPUTED_VALUE""")," মো: দবির উদ্দীন ")</f>
        <v> মো: দবির উদ্দীন </v>
      </c>
      <c r="F808" s="3" t="str">
        <f>IFERROR(__xludf.DUMMYFUNCTION("""COMPUTED_VALUE""")," মোছা: জয়নব নেছা ")</f>
        <v> মোছা: জয়নব নেছা </v>
      </c>
      <c r="G808" s="3" t="str">
        <f>IFERROR(__xludf.DUMMYFUNCTION("""COMPUTED_VALUE""")," ১৭/০৪/১৯৭২ ")</f>
        <v> ১৭/০৪/১৯৭২ </v>
      </c>
      <c r="H808" s="3" t="str">
        <f>IFERROR(__xludf.DUMMYFUNCTION("""COMPUTED_VALUE""")," কৃষক ")</f>
        <v> কৃষক </v>
      </c>
      <c r="I808" s="3" t="str">
        <f>IFERROR(__xludf.DUMMYFUNCTION("""COMPUTED_VALUE""")," জালশুকা, গাংনী, মেহেরপুর ")</f>
        <v> জালশুকা, গাংনী, মেহেরপুর </v>
      </c>
    </row>
    <row r="809" ht="15.75" customHeight="1">
      <c r="A809" s="3" t="s">
        <v>3920</v>
      </c>
      <c r="B809" s="3">
        <f>IFERROR(__xludf.DUMMYFUNCTION("SPLIT(A809,""|"")"),213.0)</f>
        <v>213</v>
      </c>
      <c r="C809" s="3" t="str">
        <f>IFERROR(__xludf.DUMMYFUNCTION("""COMPUTED_VALUE""")," মো: সুজন আলী ")</f>
        <v> মো: সুজন আলী </v>
      </c>
      <c r="D809" s="3">
        <f>IFERROR(__xludf.DUMMYFUNCTION("""COMPUTED_VALUE"""),5.70056378226E11)</f>
        <v>570056378226</v>
      </c>
      <c r="E809" s="3" t="str">
        <f>IFERROR(__xludf.DUMMYFUNCTION("""COMPUTED_VALUE""")," মো: মহসিন আলী ")</f>
        <v> মো: মহসিন আলী </v>
      </c>
      <c r="F809" s="3" t="str">
        <f>IFERROR(__xludf.DUMMYFUNCTION("""COMPUTED_VALUE""")," মোছা: ছামসুনার ")</f>
        <v> মোছা: ছামসুনার </v>
      </c>
      <c r="G809" s="3" t="str">
        <f>IFERROR(__xludf.DUMMYFUNCTION("""COMPUTED_VALUE""")," ২৬/০৬/১৯৮৮ ")</f>
        <v> ২৬/০৬/১৯৮৮ </v>
      </c>
      <c r="H809" s="3" t="str">
        <f>IFERROR(__xludf.DUMMYFUNCTION("""COMPUTED_VALUE""")," কৃষক ")</f>
        <v> কৃষক </v>
      </c>
      <c r="I809" s="3" t="str">
        <f>IFERROR(__xludf.DUMMYFUNCTION("""COMPUTED_VALUE""")," জালশুকা, গাংনী, মেহেরপুর ")</f>
        <v> জালশুকা, গাংনী, মেহেরপুর </v>
      </c>
    </row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I2"/>
  </mergeCells>
  <drawing r:id="rId1"/>
</worksheet>
</file>