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les18WsP45+jc8B9PZRgti0e2bhjquZAtMibgenkeoA="/>
    </ext>
  </extLst>
</workbook>
</file>

<file path=xl/sharedStrings.xml><?xml version="1.0" encoding="utf-8"?>
<sst xmlns="http://schemas.openxmlformats.org/spreadsheetml/2006/main" count="2164" uniqueCount="1050">
  <si>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</si>
  <si>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</si>
  <si>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</si>
  <si>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</si>
  <si>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</si>
  <si>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</si>
  <si>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</si>
  <si>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</si>
  <si>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নাজমুল ইসলাম</t>
  </si>
  <si>
    <t>মোঃ সিরাজুল ইসলাম</t>
  </si>
  <si>
    <t>মোছাঃ রহিমা খাতুন</t>
  </si>
  <si>
    <t>০৮/০৩/১৯৮৫</t>
  </si>
  <si>
    <t>কৃষক</t>
  </si>
  <si>
    <t>"দঃ তেতুলবাড়ীয়া</t>
  </si>
  <si>
    <t xml:space="preserve"> গাংনী</t>
  </si>
  <si>
    <t xml:space="preserve"> মেহেরপুর"</t>
  </si>
  <si>
    <t>মোঃ ইলিয়াস হোসেন</t>
  </si>
  <si>
    <t>মোঃ ইউনুচ আলী</t>
  </si>
  <si>
    <t>মোছাঃ আলেয়া খাতুন</t>
  </si>
  <si>
    <t>১০/০৩/১৯৮৩</t>
  </si>
  <si>
    <t>"দঃ তেতুলবাড়িয়া</t>
  </si>
  <si>
    <t>মোঃ আব্দুর রহমান</t>
  </si>
  <si>
    <t>আবুল হোসেন</t>
  </si>
  <si>
    <t>মোছাঃ আনোয়ারা খাতুন</t>
  </si>
  <si>
    <t>১০/০২/১৯৫৩</t>
  </si>
  <si>
    <t>দিনমজুর</t>
  </si>
  <si>
    <t>"দঃ তেতুল বাড়িয়া</t>
  </si>
  <si>
    <t>মফেজ উদ্দীন</t>
  </si>
  <si>
    <t>মোছাঃ সহিতেন নেছা</t>
  </si>
  <si>
    <t>০৮/০৩/১৯৫৭</t>
  </si>
  <si>
    <t>মোঃ আব্দুস ছালাম</t>
  </si>
  <si>
    <t>রবজেল বিশ্বাস</t>
  </si>
  <si>
    <t>মোছাঃ মনোয়ারা খাতুন</t>
  </si>
  <si>
    <t>০৮/০৪/১৯৭৭</t>
  </si>
  <si>
    <t>মোঃ রাফিজুল হক</t>
  </si>
  <si>
    <t>১০/০৪/১৯৭২</t>
  </si>
  <si>
    <t>মোঃ রাশিদুল ইসলাম</t>
  </si>
  <si>
    <t>মফেজউদ্দিন</t>
  </si>
  <si>
    <t>১০/০৫/১৯৭২</t>
  </si>
  <si>
    <t>"দঃতেতুলবাড়িয়া</t>
  </si>
  <si>
    <t>মোঃ রবিউল ইসলাম</t>
  </si>
  <si>
    <t>পিয়ার মন্ডল</t>
  </si>
  <si>
    <t>মোছাঃ মাহারন নেছা</t>
  </si>
  <si>
    <t>০৭/০৫/১৯৫২</t>
  </si>
  <si>
    <t>"দক্ষিন তেঁতুলবাড়িয়া</t>
  </si>
  <si>
    <t>মোঃ জিয়াউর রহমান</t>
  </si>
  <si>
    <t>মোছাঃ জোসনা খাতুন</t>
  </si>
  <si>
    <t>১০/০৫/১৯৭৭</t>
  </si>
  <si>
    <t>মোঃ সাজদার আলী</t>
  </si>
  <si>
    <t>মোঃ বিশারত আলী</t>
  </si>
  <si>
    <t>মোছাঃ সাজেদা খাতুন</t>
  </si>
  <si>
    <t>০৭/০৩/১৯৮১</t>
  </si>
  <si>
    <t>কলিমদ্দীন</t>
  </si>
  <si>
    <t>মোছাঃ খোশজান নেছা</t>
  </si>
  <si>
    <t>০৭/০৫/১৯৬২</t>
  </si>
  <si>
    <t>মোঃ আঃ মজিদ</t>
  </si>
  <si>
    <t>জহিরুদ্দীন</t>
  </si>
  <si>
    <t>এলাজন নেছা</t>
  </si>
  <si>
    <t>১০/০৫/১৯৫১</t>
  </si>
  <si>
    <t>মোঃ হাসান আলী</t>
  </si>
  <si>
    <t>মোছাঃ ফাতেমা খাতুন</t>
  </si>
  <si>
    <t>২০/০৮/১৯৭৯</t>
  </si>
  <si>
    <t>"দঃ তেতুল বারিয়া</t>
  </si>
  <si>
    <t>মোঃ আঃ লতিব</t>
  </si>
  <si>
    <t>রগবুল মন্ডল</t>
  </si>
  <si>
    <t>ছপেলার খাতুন</t>
  </si>
  <si>
    <t>১০/০৫/১৯৬২</t>
  </si>
  <si>
    <t>"দক্ষিণ তেঁতুলবাড়িয়া</t>
  </si>
  <si>
    <t>মোঃ লাল্টু আলি</t>
  </si>
  <si>
    <t>মোঃ আজি বকস</t>
  </si>
  <si>
    <t>মোছাঃ ভাদিনা খাতুন</t>
  </si>
  <si>
    <t>মোঃ আহাসান আলী</t>
  </si>
  <si>
    <t>মকছেদ আলী বিশ্বাস</t>
  </si>
  <si>
    <t>জমেলা খাতুন</t>
  </si>
  <si>
    <t>১০/০৫/১৯৫৪</t>
  </si>
  <si>
    <t>মোঃ আমিরুল ইসলাম</t>
  </si>
  <si>
    <t>ছিয়ামদ্দিন</t>
  </si>
  <si>
    <t>আশাফন নেছা</t>
  </si>
  <si>
    <t>০৮/০৪/১৯৬৭</t>
  </si>
  <si>
    <t>মোঃ নাসিরুল</t>
  </si>
  <si>
    <t>মোঃ হবিবার</t>
  </si>
  <si>
    <t>মোছাঃ ভাদিরন</t>
  </si>
  <si>
    <t>০৭/০৫/১৯৮৩</t>
  </si>
  <si>
    <t>মোঃ আস্তাব আলী</t>
  </si>
  <si>
    <t>আমেনা খাতুন</t>
  </si>
  <si>
    <t>মোঃ আঃ সাত্তার</t>
  </si>
  <si>
    <t>ছপেলা বিবি</t>
  </si>
  <si>
    <t>১০/০৪/১৯৪৭</t>
  </si>
  <si>
    <t>মোঃ ফজলুল হক</t>
  </si>
  <si>
    <t>০৮/০৫/১৯৭৭</t>
  </si>
  <si>
    <t>মোঃ আলতাব হোসেন</t>
  </si>
  <si>
    <t>১০/০৫/১৯৭৪</t>
  </si>
  <si>
    <t>মোঃ আবুল কালাম আজাদ</t>
  </si>
  <si>
    <t>শ্রমিক</t>
  </si>
  <si>
    <t>মোঃ গনিরুল ইসলাম</t>
  </si>
  <si>
    <t>মোঃ তাহাজ উদ্দীন</t>
  </si>
  <si>
    <t>মোছাঃ আয়েশা খাতুন</t>
  </si>
  <si>
    <t>০৫/০৩/১৯৭২</t>
  </si>
  <si>
    <t>মোঃ মিনারুল ইসলাম</t>
  </si>
  <si>
    <t>১০/০৭/১৯৮৫</t>
  </si>
  <si>
    <t>মোঃ আকছেদ আলী</t>
  </si>
  <si>
    <t>সিরাজুল ইসলাম</t>
  </si>
  <si>
    <t>মোছাঃ সালেহার খাতুন</t>
  </si>
  <si>
    <t>ব্যবসা</t>
  </si>
  <si>
    <t>মোঃ কাওসার আলী</t>
  </si>
  <si>
    <t>১৫/০৪/১৯৮০</t>
  </si>
  <si>
    <t>দর্জি</t>
  </si>
  <si>
    <t>মোঃ বিল্লাল হোসেন</t>
  </si>
  <si>
    <t>মোঃ হাশেম আলী</t>
  </si>
  <si>
    <t>মোছাঃ বেবী খাতুন</t>
  </si>
  <si>
    <t>"দঃতেতুল বাড়িয়া</t>
  </si>
  <si>
    <t>মোঃ সহরাফ মল্লিক</t>
  </si>
  <si>
    <t>মোঃ নজীবদ্দীন মল্লিক</t>
  </si>
  <si>
    <t>সফুরা খাতুন</t>
  </si>
  <si>
    <t>০৭/০৪/১৯৬২</t>
  </si>
  <si>
    <t>মোঃ ইসমাইল হক</t>
  </si>
  <si>
    <t>মোঃ আকবার আলী</t>
  </si>
  <si>
    <t>মোছাঃ ছাহারন নেছা</t>
  </si>
  <si>
    <t>০৫/০৫/১৯৭৭</t>
  </si>
  <si>
    <t>মোঃ লিয়াকত আলী</t>
  </si>
  <si>
    <t>কচিমদ্দীন বিশ্বাস</t>
  </si>
  <si>
    <t>মোছাঃ জাহিরন খাতুন</t>
  </si>
  <si>
    <t>১১/০৬/১৯৭০</t>
  </si>
  <si>
    <t>মোঃ হামিদুল ইসলাম</t>
  </si>
  <si>
    <t>আলী হোসেন</t>
  </si>
  <si>
    <t>মোছাঃ ছকিনা খাতুন</t>
  </si>
  <si>
    <t>১০/০৬/১৯৮২</t>
  </si>
  <si>
    <t>মোঃ নাসির উদ্দীন</t>
  </si>
  <si>
    <t>১০/০৪/১৯৭৮</t>
  </si>
  <si>
    <t>মোঃ আমছার আলী</t>
  </si>
  <si>
    <t>মোতালেব মন্ডল</t>
  </si>
  <si>
    <t>নিবাহুন নেছা</t>
  </si>
  <si>
    <t>২০/০২/১৯৬০</t>
  </si>
  <si>
    <t>মোঃ আলামিন হোসেন</t>
  </si>
  <si>
    <t>মোঃ রিয়াজউদ্দীন</t>
  </si>
  <si>
    <t>১০/০৪/১৯৭৯</t>
  </si>
  <si>
    <t>মোঃ খোকন আলী</t>
  </si>
  <si>
    <t>মোছাঃ ছাহারন খাতুন</t>
  </si>
  <si>
    <t>১০/০৫/১৯৮২</t>
  </si>
  <si>
    <t>মোহাঃ আব্দুল কুদ্দুস</t>
  </si>
  <si>
    <t>মফিজ উদ্দীন</t>
  </si>
  <si>
    <t>০১/০১/১৯৬৮</t>
  </si>
  <si>
    <t>মোঃ হাফিজুল ইসলাম</t>
  </si>
  <si>
    <t>মোঃ চয়ন উদ্দীন</t>
  </si>
  <si>
    <t>মোছাঃ হাছিনা খাতুন</t>
  </si>
  <si>
    <t>১০/১০/১৯৮৫</t>
  </si>
  <si>
    <t>মোঃ মনিরুল ইসলাম</t>
  </si>
  <si>
    <t>৩১/০১/১৯৬৮</t>
  </si>
  <si>
    <t>মোঃ আমিকুল ইসলাম</t>
  </si>
  <si>
    <t>১০/০৪/১৯৮২</t>
  </si>
  <si>
    <t>মোঃ কালু শেখ</t>
  </si>
  <si>
    <t>মোঃ ফজল হক</t>
  </si>
  <si>
    <t>মোছাঃ ফাতু খাতুন</t>
  </si>
  <si>
    <t>২৫/০৬/১৯৭৭</t>
  </si>
  <si>
    <t>মোঃ ইব্রাহিম</t>
  </si>
  <si>
    <t>মোঃ মোজাম্মেল হক</t>
  </si>
  <si>
    <t>মোঃ মদু মল্লিক</t>
  </si>
  <si>
    <t>মোঃ সোহরাব হোসেন</t>
  </si>
  <si>
    <t>মোছাঃ ফুলছুরা খাতুন</t>
  </si>
  <si>
    <t>০৮/০৩/১৯৮৪</t>
  </si>
  <si>
    <t>মোঃ চয়ন উদ্দীন মন্ডল</t>
  </si>
  <si>
    <t>মোঃ ইয়াসিন বিশ্বাস</t>
  </si>
  <si>
    <t>খুকী বিবি</t>
  </si>
  <si>
    <t>০৫/০৭/১৯৪২</t>
  </si>
  <si>
    <t>মোঃ জিনারুল ইসলাম</t>
  </si>
  <si>
    <t>হাউশ আলী</t>
  </si>
  <si>
    <t>মোছাঃ কহিনুর খাতুন</t>
  </si>
  <si>
    <t>০৫/০১/১৯৮৬</t>
  </si>
  <si>
    <t>মোঃ আক্তারুল ইসলাম</t>
  </si>
  <si>
    <t>মোঃ বাদশ মন্ডল</t>
  </si>
  <si>
    <t>০৭/০৪/১৯৭১</t>
  </si>
  <si>
    <t>মোঃ নজরুল ইসলাম</t>
  </si>
  <si>
    <t>মোঃ আঃ রহমান</t>
  </si>
  <si>
    <t>মোছাঃ নেকজান খাতুন</t>
  </si>
  <si>
    <t>মোঃ আনারুল ইসলাম</t>
  </si>
  <si>
    <t>মোঃ মতিয়ার রহমান</t>
  </si>
  <si>
    <t>মোঃ চায়েন উদ্দিন</t>
  </si>
  <si>
    <t>মোছাঃ সুন্দরী</t>
  </si>
  <si>
    <t>২৫/০৯/১৯৭২</t>
  </si>
  <si>
    <t>মোঃ গনি শেখ</t>
  </si>
  <si>
    <t>মজুহার শেখ</t>
  </si>
  <si>
    <t>মোছাঃ হাজেরা খাতুন</t>
  </si>
  <si>
    <t>০৫/০১/১৯৬২</t>
  </si>
  <si>
    <t>মোঃ মিজানুর রহমান</t>
  </si>
  <si>
    <t>মোঃ মুজাফফর বিশ্বাস</t>
  </si>
  <si>
    <t>মোছাঃ জাহেরা খাতুন</t>
  </si>
  <si>
    <t>০৫/০২/১৯৬৭</t>
  </si>
  <si>
    <t>মোঃ মজিদ আলী</t>
  </si>
  <si>
    <t>দুঃখী মন্ডল</t>
  </si>
  <si>
    <t>মোছাঃ ছারা খাতুন</t>
  </si>
  <si>
    <t>০৫/০৫/১৯৬২</t>
  </si>
  <si>
    <t>মোঃ আতিয়ার রহমান</t>
  </si>
  <si>
    <t>মাতাঃ সুন্দরী খাতুন</t>
  </si>
  <si>
    <t>১০/০৩/১৯৭০</t>
  </si>
  <si>
    <t>মোঃ জামাত আলী</t>
  </si>
  <si>
    <t>মোছাঃ জাহিরন নেছা</t>
  </si>
  <si>
    <t>১০/০২/১৯৫৭</t>
  </si>
  <si>
    <t>মোঃ মোসলেম উদ্দীন</t>
  </si>
  <si>
    <t>ফুলবাস মন্ডল</t>
  </si>
  <si>
    <t>মাতাঃ নেকজান খাতুন</t>
  </si>
  <si>
    <t>১০/০১/১৯৫৭</t>
  </si>
  <si>
    <t>মোঃ বানারুল ইসলাম</t>
  </si>
  <si>
    <t>মোছাঃ নেকজান</t>
  </si>
  <si>
    <t>১৫/০১/১৯৮৭</t>
  </si>
  <si>
    <t>মোঃ রাজিবুল ইসলাম</t>
  </si>
  <si>
    <t>১৫/০৫/১৯৮৬</t>
  </si>
  <si>
    <t>মোঃ হেলাল উদ্দিন</t>
  </si>
  <si>
    <t>মোঃ দেলোয়ার হোসেন</t>
  </si>
  <si>
    <t>মোঃ চায়ান উদ্দীন</t>
  </si>
  <si>
    <t>মোছাঃ বেফুল খাতুন</t>
  </si>
  <si>
    <t>১৫/০৮/১৯৮৫</t>
  </si>
  <si>
    <t>রিপন আলী</t>
  </si>
  <si>
    <t>পিতাঃ মোহামদ তাহের আলী</t>
  </si>
  <si>
    <t>মাতাঃ ছাবিরন খাতুন</t>
  </si>
  <si>
    <t>মোঃ তাহাজুদ্দিন</t>
  </si>
  <si>
    <t>১০/০৫/১৯৬১</t>
  </si>
  <si>
    <t>মোঃ আঃ লতিফ</t>
  </si>
  <si>
    <t>মোছাঃ জাহানারা খাতুন</t>
  </si>
  <si>
    <t>১০/০৫/১৯৮৪</t>
  </si>
  <si>
    <t>মোঃ জাকিরুল ইসলাম</t>
  </si>
  <si>
    <t>০৮/০১/১৯৮৭</t>
  </si>
  <si>
    <t>মোঃ তানজিল হোসেন</t>
  </si>
  <si>
    <t>মোঃ আপেল বিশ্বাস</t>
  </si>
  <si>
    <t>মোছাঃ ছামেনা খাতুন</t>
  </si>
  <si>
    <t>১০/০৫/১৯৫৭</t>
  </si>
  <si>
    <t>মোঃ তাহের আলী</t>
  </si>
  <si>
    <t>মোঃ মফেজ উদ্দীন</t>
  </si>
  <si>
    <t>মোছাঃ কদভান খাতুন</t>
  </si>
  <si>
    <t>১৫/০২/১৯৬২</t>
  </si>
  <si>
    <t>মোঃ আরিফুল ইসলাম</t>
  </si>
  <si>
    <t>মোঃ আহসান আলী</t>
  </si>
  <si>
    <t>মোছাঃ ছাহেরা খাতুন</t>
  </si>
  <si>
    <t>১৩/১০/১৯৮২</t>
  </si>
  <si>
    <t>বেসরকারী চাকুরী</t>
  </si>
  <si>
    <t>মোঃ রাজ্জাক আলী</t>
  </si>
  <si>
    <t>মোঃ মুজাম্মেল হক</t>
  </si>
  <si>
    <t>১৮/০২/১৯৭৩</t>
  </si>
  <si>
    <t>মোঃ মোলায়েম আলী</t>
  </si>
  <si>
    <t>মোঃ আঃ আজিজ</t>
  </si>
  <si>
    <t>মোছাঃ ফুলজান নেছা</t>
  </si>
  <si>
    <t>০৫/০১/১৯৭৩</t>
  </si>
  <si>
    <t>মোঃ উসমান গণি</t>
  </si>
  <si>
    <t>সিরাজ উদ্দীন</t>
  </si>
  <si>
    <t>মোছাঃ ছালেহা খাতুন</t>
  </si>
  <si>
    <t>২৫/০১/১৯৬৫</t>
  </si>
  <si>
    <t>মোঃ আহাদ আলী</t>
  </si>
  <si>
    <t>মোঃ নবিছুদ্দিন</t>
  </si>
  <si>
    <t>মোছাঃ হালিমা খাতুন</t>
  </si>
  <si>
    <t>১৭/০২/১৯৭৩</t>
  </si>
  <si>
    <t>মোছাঃ আছিয়া খাতুন</t>
  </si>
  <si>
    <t>০৯/০১/১৯৭৮</t>
  </si>
  <si>
    <t>মোঃ সাহারুল ইসলাম</t>
  </si>
  <si>
    <t>হাউস আলী</t>
  </si>
  <si>
    <t>মোছাঃ কহিনুর</t>
  </si>
  <si>
    <t>০৭/০২/১৯৮০</t>
  </si>
  <si>
    <t>রিক্সা/ভ্যান চালক</t>
  </si>
  <si>
    <t>মোঃ মোস্তফা</t>
  </si>
  <si>
    <t>মোছাঃ ফুলজান</t>
  </si>
  <si>
    <t>১০/১০/১৯৭৭</t>
  </si>
  <si>
    <t>মোঃ তোফাজ্জেল আলী</t>
  </si>
  <si>
    <t>মোঃ ফজল জদ্দার</t>
  </si>
  <si>
    <t>মোছাঃ ফতেজা খাতুন</t>
  </si>
  <si>
    <t>০৮/১১/১৯৭২</t>
  </si>
  <si>
    <t>মোঃ বকুল হোসেন</t>
  </si>
  <si>
    <t>হাবেজ উদ্দীন</t>
  </si>
  <si>
    <t>মোছাঃ লাহেলা খাতুন</t>
  </si>
  <si>
    <t>২০/১১/১৯৬৭</t>
  </si>
  <si>
    <t>"দক্ষিন তেতুল বাড়িয়া</t>
  </si>
  <si>
    <t>মোঃ আলফাজ</t>
  </si>
  <si>
    <t>রবজেল</t>
  </si>
  <si>
    <t>মোছাঃ মনোয়ারা</t>
  </si>
  <si>
    <t>০১/০১/১৯৯০</t>
  </si>
  <si>
    <t>মোঃ জিনারুল</t>
  </si>
  <si>
    <t>মোঃ মসলেম আলী</t>
  </si>
  <si>
    <t>মোছাঃ জবেদা খাতুন</t>
  </si>
  <si>
    <t>১২/০২/১৯৮৭</t>
  </si>
  <si>
    <t>মোঃ শামসুল হুদা</t>
  </si>
  <si>
    <t>২৫/১০/১৯৫৯</t>
  </si>
  <si>
    <t>মোঃ বদরুদ্দীন</t>
  </si>
  <si>
    <t>দুখি মন্ডল</t>
  </si>
  <si>
    <t>১৫/০৫/১৯৫৯</t>
  </si>
  <si>
    <t>মোঃ আনেচ উদ্দীন</t>
  </si>
  <si>
    <t>আলি হোসেন</t>
  </si>
  <si>
    <t>২০/০৮/১৯৭২</t>
  </si>
  <si>
    <t>মোঃ লাল্টু</t>
  </si>
  <si>
    <t>১০/০৯/১৯৮২</t>
  </si>
  <si>
    <t>মোঃ বদর উদ্দীন</t>
  </si>
  <si>
    <t>মোছাঃ তহমিনা খাতুন</t>
  </si>
  <si>
    <t>মোঃ মজিবুর রহমান</t>
  </si>
  <si>
    <t>রহিম বক্স</t>
  </si>
  <si>
    <t>মোছাঃ ওবিছুন নেছা</t>
  </si>
  <si>
    <t>১২/০৮/১৯৬২</t>
  </si>
  <si>
    <t>মোঃ শামসুল হক</t>
  </si>
  <si>
    <t>মোছাঃ মারজিয়া খাতুন</t>
  </si>
  <si>
    <t>১৫/১০/১৯৭৭</t>
  </si>
  <si>
    <t>মিস্ত্রী</t>
  </si>
  <si>
    <t>মোঃ লালু মিয়া</t>
  </si>
  <si>
    <t>মোঃ চায়েন উদ্দীন</t>
  </si>
  <si>
    <t>মোছাঃ রেফুল খাতুন</t>
  </si>
  <si>
    <t>১২/০৮/১৯৯১</t>
  </si>
  <si>
    <t>"দক্ষিণ তেঁতুলবাড়ীয়া</t>
  </si>
  <si>
    <t>মোঃ আশরাফুল ইসলাম</t>
  </si>
  <si>
    <t>মোঃ রুস্তম আলী</t>
  </si>
  <si>
    <t>মোছাঃ আশুরা খাতুন</t>
  </si>
  <si>
    <t>১১/০৯/১৯৯১</t>
  </si>
  <si>
    <t>মোঃ জসিম উদ্দীন</t>
  </si>
  <si>
    <t>মোছাঃ ফুলছুরা</t>
  </si>
  <si>
    <t>১৫/১০/১৯৮৯</t>
  </si>
  <si>
    <t>মোঃ ইসরাফিল হোসেন</t>
  </si>
  <si>
    <t>মোঃ আত্তাব আলি</t>
  </si>
  <si>
    <t>মোছাঃ রাশিয় খাতুন</t>
  </si>
  <si>
    <t>১২/০২/১৯৮৯</t>
  </si>
  <si>
    <t>০২/০১/১৯৯০</t>
  </si>
  <si>
    <t>মোঃ লিটন</t>
  </si>
  <si>
    <t>মোছাঃ পারুলা খাতুন</t>
  </si>
  <si>
    <t>০৮/০৪/১৯৯০</t>
  </si>
  <si>
    <t>মোঃ মজিবুল ইসলাম</t>
  </si>
  <si>
    <t>মোছাঃ হাজেরা বেগম</t>
  </si>
  <si>
    <t>০৭/০৮/১৯৯০</t>
  </si>
  <si>
    <t>মোঃ স্বপন আলী</t>
  </si>
  <si>
    <t>মোছাঃ ছহিরন খাতুন</t>
  </si>
  <si>
    <t>২০/০৬/১৯৮৯</t>
  </si>
  <si>
    <t>মোঃ সোহেল রানা</t>
  </si>
  <si>
    <t>২১/০৩/১৯৮৬</t>
  </si>
  <si>
    <t>মোঃ আলামিন</t>
  </si>
  <si>
    <t>মোহাঃ আহাদ আলী</t>
  </si>
  <si>
    <t>মাতাঃ মোছাঃ শেফালী খাতুন</t>
  </si>
  <si>
    <t>মোঃ ফরহাদ বিশ্বাস</t>
  </si>
  <si>
    <t>মোছাঃ ফজিলা খাতুন</t>
  </si>
  <si>
    <t>০৭/০৭/১৯৮৫</t>
  </si>
  <si>
    <t>মোঃ ফরিদ উজ্জামান</t>
  </si>
  <si>
    <t>মোছাঃ ফজিলা বেগম</t>
  </si>
  <si>
    <t>১০/০৫/১৯৯০</t>
  </si>
  <si>
    <t>মোঃ আলী মোবারক</t>
  </si>
  <si>
    <t>মোছাঃ বেলেয়ারা খাতুন</t>
  </si>
  <si>
    <t>০৮/০৮/১৯৯২</t>
  </si>
  <si>
    <t>মোঃ খিলাফত হোসেন</t>
  </si>
  <si>
    <t>মোঃ হাসেম আলী</t>
  </si>
  <si>
    <t>মোছাঃ শাহানারা খাতুন</t>
  </si>
  <si>
    <t>২০/০৬/১৯৯৪</t>
  </si>
  <si>
    <t>মোঃ আহসান হাবিব</t>
  </si>
  <si>
    <t>১৩/১০/১৯৯৪</t>
  </si>
  <si>
    <t>ছাত্র/ছাত্রী</t>
  </si>
  <si>
    <t>আলফাজ</t>
  </si>
  <si>
    <t>আঃ গনি</t>
  </si>
  <si>
    <t>আল্লাদী</t>
  </si>
  <si>
    <t>২৫/০২/১৯৯২</t>
  </si>
  <si>
    <t>মোঃ জহুরুল ইসলাম</t>
  </si>
  <si>
    <t>মসলেম</t>
  </si>
  <si>
    <t>জবেদা খাতুন</t>
  </si>
  <si>
    <t>০৮/০৬/১৯৯১</t>
  </si>
  <si>
    <t>মোঃ তৌকিরুল ইসলাম</t>
  </si>
  <si>
    <t>মোছাঃ শয়মন নেছা</t>
  </si>
  <si>
    <t>০৭/০৫/১৯৯২</t>
  </si>
  <si>
    <t>ইসরাফিল আলম</t>
  </si>
  <si>
    <t>আফজাল হোসেন</t>
  </si>
  <si>
    <t>ফুলছুরা খাতুন</t>
  </si>
  <si>
    <t>২৩/০৯/১৯৯৫</t>
  </si>
  <si>
    <t>মোঃ নাজমুল হোসেন</t>
  </si>
  <si>
    <t>মোছাঃ মর্জিনা খাতুন</t>
  </si>
  <si>
    <t>১২/১০/১৯৯৪</t>
  </si>
  <si>
    <t>মোঃ শফিকুল ইসলাম</t>
  </si>
  <si>
    <t>আনেচ উদ্দীন</t>
  </si>
  <si>
    <t>মোছাঃ নাজেরা খাতুন</t>
  </si>
  <si>
    <t>২৪/০৬/১৯৯৭</t>
  </si>
  <si>
    <t>মোঃ জামিরুল ইসলাম অন্তর</t>
  </si>
  <si>
    <t>মোঃ আব্দুল লতিব</t>
  </si>
  <si>
    <t>০৬/০৮/১৯৯৬</t>
  </si>
  <si>
    <t>তৌহিদুল</t>
  </si>
  <si>
    <t>মোছাঃ মহিলা খাতুন</t>
  </si>
  <si>
    <t>০৯/০৭/১৯৯১</t>
  </si>
  <si>
    <t>মোঃ আনোয়ার হোসেন</t>
  </si>
  <si>
    <t>আমিরুল ইসলাম</t>
  </si>
  <si>
    <t>০১/০৩/১৯৯৫</t>
  </si>
  <si>
    <t>মোঃ তারিকুল ইসলাম</t>
  </si>
  <si>
    <t>মোছাঃ রোকেয়া খাতুন</t>
  </si>
  <si>
    <t>০১/০১/২০০০</t>
  </si>
  <si>
    <t>ওলিউল্লাহ হামিদী</t>
  </si>
  <si>
    <t>০৮/০৬/১৯৯৮</t>
  </si>
  <si>
    <t>মোঃ সাইদুজ্জামান</t>
  </si>
  <si>
    <t>মোঃ সামসুল হুদা</t>
  </si>
  <si>
    <t>মোছাঃ জহুরা নেছা</t>
  </si>
  <si>
    <t>১১/০৯/১৯৮০</t>
  </si>
  <si>
    <t>মোঃ কামরুল ইসলাম</t>
  </si>
  <si>
    <t>মোছাঃ জাহানারা বেগম</t>
  </si>
  <si>
    <t>মোঃ রকিবুল ইসলাম</t>
  </si>
  <si>
    <t>২৫/০৫/১৯৯৯</t>
  </si>
  <si>
    <t>মোঃ আবু হানিফ</t>
  </si>
  <si>
    <t>আনারুল</t>
  </si>
  <si>
    <t>আছিয়া</t>
  </si>
  <si>
    <t>২০/০৬/১৯৯৮</t>
  </si>
  <si>
    <t>মোঃ রাকিবুল ইসলাম</t>
  </si>
  <si>
    <t>মোছাঃ রাফিয়া খাতুন</t>
  </si>
  <si>
    <t>০৮/০৬/১৯৯৯</t>
  </si>
  <si>
    <t>মোঃ সোহাগ আলী</t>
  </si>
  <si>
    <t>মৃত ছাবিনা</t>
  </si>
  <si>
    <t>০৫/০৬/১৯৯৯</t>
  </si>
  <si>
    <t>মোঃ মইনুদ্দিন</t>
  </si>
  <si>
    <t>২০/০৬/২০০১</t>
  </si>
  <si>
    <t>মোঃ রাসেল হোসেন</t>
  </si>
  <si>
    <t>মোছাঃ বিলকিস বানু</t>
  </si>
  <si>
    <t>১০/০৮/২০০২</t>
  </si>
  <si>
    <t>মোঃ মশিউর রহমান</t>
  </si>
  <si>
    <t>মৃত শহিদুল ইসলাম</t>
  </si>
  <si>
    <t>মোছাঃ মোমেনা খাতুন</t>
  </si>
  <si>
    <t>১৫/০৫/২০০১</t>
  </si>
  <si>
    <t>মোঃ আসলাম আলী</t>
  </si>
  <si>
    <t>২১/০৬/২০০২</t>
  </si>
  <si>
    <t>মোঃ জুরাইস হুসাইন</t>
  </si>
  <si>
    <t>মোঃ ইসরাইল হোসেন</t>
  </si>
  <si>
    <t>মোছাঃ মরিয়ম নেছা</t>
  </si>
  <si>
    <t>০৮/০৫/১৯৯০</t>
  </si>
  <si>
    <t>মোঃ শরিফুল ইসলাম</t>
  </si>
  <si>
    <t>মোঃ ইমরান হোসেন</t>
  </si>
  <si>
    <t>মোঃ ইব্রাহিম আলী</t>
  </si>
  <si>
    <t>মোছাঃ জরিনা খাতুন</t>
  </si>
  <si>
    <t>২০/০৬/১৯৯৭</t>
  </si>
  <si>
    <t>হযরত আলী</t>
  </si>
  <si>
    <t>মোঃ বকুল বিশ্বাস</t>
  </si>
  <si>
    <t>মোছাঃ জহুরা খাতুন</t>
  </si>
  <si>
    <t>০৬/০৯/১৯৯৭</t>
  </si>
  <si>
    <t>মোঃ খাইরুল ইসলাম</t>
  </si>
  <si>
    <t>১৯/০৭/২০০২</t>
  </si>
  <si>
    <t>মোঃ হুসাইন আলী</t>
  </si>
  <si>
    <t>মোছাঃ রুপালী খাতুন</t>
  </si>
  <si>
    <t>০৬/০১/২০০২</t>
  </si>
  <si>
    <t>নাজমুল হুসাইন</t>
  </si>
  <si>
    <t>মৃত ইদ্রিস আলী</t>
  </si>
  <si>
    <t>মোছাঃ নাজেরা বেগম</t>
  </si>
  <si>
    <t>২৫/০২/২০০৩</t>
  </si>
  <si>
    <t>মিজানুর রহমান</t>
  </si>
  <si>
    <t>মোঃ মুহরুল ইসলাম</t>
  </si>
  <si>
    <t>মোছাঃ বানিয়া খাতুন</t>
  </si>
  <si>
    <t>১০/০৯/১৯৯৪</t>
  </si>
  <si>
    <t>মোঃ হাবিবুর রহমান</t>
  </si>
  <si>
    <t>মোঃ মাফুজ রানা</t>
  </si>
  <si>
    <t>মোছাঃ নারগিছ আরা</t>
  </si>
  <si>
    <t>মোঃ মাসুম রেজা</t>
  </si>
  <si>
    <t>মোঃ শহিদুল ইসলাম</t>
  </si>
  <si>
    <t>মোছাঃ ইশারন নেছা</t>
  </si>
  <si>
    <t>০৫/০২/১৯৮২</t>
  </si>
  <si>
    <t>রানা হামিদ</t>
  </si>
  <si>
    <t>মোছাঃ আনার কলি</t>
  </si>
  <si>
    <t>২৫/০১/২০০৫</t>
  </si>
  <si>
    <t>মোঃ নাইম হোসেন</t>
  </si>
  <si>
    <t>মোছাঃ বেলী খাতুন</t>
  </si>
  <si>
    <t>০৫/০৪/২০০৫</t>
  </si>
  <si>
    <t>মোঃ সেলিম রেজা</t>
  </si>
  <si>
    <t>মোছাঃ শেফালী খাতুন</t>
  </si>
  <si>
    <t>২০/০১/২০০৬</t>
  </si>
  <si>
    <t>মোঃ নাহিদ আলী</t>
  </si>
  <si>
    <t>মোছাঃ নাজমা খাতুন</t>
  </si>
  <si>
    <t>০৬/০৯/২০০৬</t>
  </si>
  <si>
    <t>খলিল উল্লাহ</t>
  </si>
  <si>
    <t>০৩/০২/২০০০</t>
  </si>
  <si>
    <t>মোঃ আল ইমরান</t>
  </si>
  <si>
    <t>মৃত আফজাল</t>
  </si>
  <si>
    <t>০৫/০২/২০০০</t>
  </si>
  <si>
    <t>মোঃ ওবাইদুল্লাহ</t>
  </si>
  <si>
    <t>০১/০৬/২০০২</t>
  </si>
  <si>
    <t>মোছাঃ রূপালি খাতুন</t>
  </si>
  <si>
    <t>২০/০৫/২০০৬</t>
  </si>
  <si>
    <t>মোঃ সামিউল্লাহ</t>
  </si>
  <si>
    <t>২৫/০৫/২০০৩</t>
  </si>
  <si>
    <t>মোছাঃ বিলকিছ বানু</t>
  </si>
  <si>
    <t>০৮/০৫/২০০৩</t>
  </si>
  <si>
    <t>মোঃ মন্টু আলী</t>
  </si>
  <si>
    <t>মোঃ বেল্টু হোসেন</t>
  </si>
  <si>
    <t>১০/০৬/১৯৯৩</t>
  </si>
  <si>
    <t>মোঃ সুমন আলী</t>
  </si>
  <si>
    <t>মোছাঃ ছাবিরন খাতুন</t>
  </si>
  <si>
    <t>২৫/০৬/২০০৭</t>
  </si>
  <si>
    <t>মোঃ তামিম ইকবাল</t>
  </si>
  <si>
    <t>মোছাঃ কাকলি খাতুন</t>
  </si>
  <si>
    <t>১২/০৩/২০০৭</t>
  </si>
  <si>
    <t>মোঃ আগবার আলী খাঁ</t>
  </si>
  <si>
    <t>রাবিয়া খাতুন</t>
  </si>
  <si>
    <t>গৃহিনী</t>
  </si>
  <si>
    <t>দঃ তেতুলবাড়িয়া, গাংনী, মেহেরপুর</t>
  </si>
  <si>
    <t>মোছাঃ রিনা খাতুন</t>
  </si>
  <si>
    <t>মোঃ আলি আকবার মন্ডল</t>
  </si>
  <si>
    <t>ফেকলিমা খাতুন</t>
  </si>
  <si>
    <t>০৮/০৫/১৯৮২</t>
  </si>
  <si>
    <t>দঃ তেতুল বাড়িয়া, গাংনী, মেহেরপুর</t>
  </si>
  <si>
    <t>জেহের মন্ডল</t>
  </si>
  <si>
    <t>ছাইরন নেছা</t>
  </si>
  <si>
    <t>১০/০৪/১৯৩২</t>
  </si>
  <si>
    <t>এলাহি বকস</t>
  </si>
  <si>
    <t>১০/০৫/১৯৬৫</t>
  </si>
  <si>
    <t>মোছাঃ শরিফা খাতুন</t>
  </si>
  <si>
    <t>০১/০৮/১৯৮৮</t>
  </si>
  <si>
    <t>দক্ষিণ তেতুলবাড়িয়া, গাংনী, মেহেরপুর</t>
  </si>
  <si>
    <t>মোছাঃ সহিতন নেছা</t>
  </si>
  <si>
    <t>রাহাতন নেছা</t>
  </si>
  <si>
    <t>১০/০৪/১৯২৭</t>
  </si>
  <si>
    <t>মোছাঃ গোলাপ জান</t>
  </si>
  <si>
    <t>মোঃ আনছার আলী</t>
  </si>
  <si>
    <t>মোছাঃ নিহারন নেছা</t>
  </si>
  <si>
    <t>১০/০৪/১৯৭৭</t>
  </si>
  <si>
    <t>মোছাঃ কাজল রেখা</t>
  </si>
  <si>
    <t>মোঃ আবুল কালাম</t>
  </si>
  <si>
    <t>১০/০২/১৯৮৫</t>
  </si>
  <si>
    <t>মোছাঃ বেলি খাতুন</t>
  </si>
  <si>
    <t>ময়নাল হোসেন</t>
  </si>
  <si>
    <t>মোছাঃ ইয়াতন নেছা</t>
  </si>
  <si>
    <t>১০/০১/১৯৭৭</t>
  </si>
  <si>
    <t>মোঃ আতাহার আলী</t>
  </si>
  <si>
    <t>মোছাঃ বাহিরন নেছা</t>
  </si>
  <si>
    <t>দক্ষিণ তেতুলবাড়ীয়া, গাংনী, মেহেরপুর</t>
  </si>
  <si>
    <t>মোছাঃ নজেরা বেগম</t>
  </si>
  <si>
    <t>আত্তাব আলী</t>
  </si>
  <si>
    <t>শাহেদা খাতুন</t>
  </si>
  <si>
    <t>১০/০২/১৯৭২</t>
  </si>
  <si>
    <t>দাউদ মন্ডল</t>
  </si>
  <si>
    <t>মোছাঃ বিবিজান</t>
  </si>
  <si>
    <t>০৫/০১/১৯৮৭</t>
  </si>
  <si>
    <t>মোঃ রমজান আলী</t>
  </si>
  <si>
    <t>০৪/০৩/১৯৮৫</t>
  </si>
  <si>
    <t>দঃতেতুলবাড়িয়া, গাংনী, মেহেরপুর</t>
  </si>
  <si>
    <t>মোঃ কাউছার আলী</t>
  </si>
  <si>
    <t>১০/০২/১৯৮৭</t>
  </si>
  <si>
    <t>মোঃ আকবার মন্ডল</t>
  </si>
  <si>
    <t>১৫/০৫/১৯৭৭</t>
  </si>
  <si>
    <t>মোছাঃ শামসুননাহার</t>
  </si>
  <si>
    <t>মোঃ সামসুল হক</t>
  </si>
  <si>
    <t>মোছাঃ সুফিয়া খাতুন</t>
  </si>
  <si>
    <t>০৮/১০/১৯৮৫</t>
  </si>
  <si>
    <t>মোছাঃ বিথিয়ারা খাতুন</t>
  </si>
  <si>
    <t>মোঃ শুকুর আলী</t>
  </si>
  <si>
    <t>মোছাঃ মেহেরজান</t>
  </si>
  <si>
    <t>১০/০৫/১৯৮৭</t>
  </si>
  <si>
    <t>মোঃ মকবুল হোসেন</t>
  </si>
  <si>
    <t>মরিয়ম নেছা</t>
  </si>
  <si>
    <t>১০/১১/১৯৭৭</t>
  </si>
  <si>
    <t>মোছাঃ আমিরন খাতুন</t>
  </si>
  <si>
    <t>মোঃ খেদের বকস</t>
  </si>
  <si>
    <t>মোছাঃ সোহাগী খাতুন</t>
  </si>
  <si>
    <t>১০/০২/১৯৭৭</t>
  </si>
  <si>
    <t>মোছাঃ ফুলজান খাতুন</t>
  </si>
  <si>
    <t>০৭/০৪/১৯৮১</t>
  </si>
  <si>
    <t>মোছাঃ রেক্সনা খাতুন</t>
  </si>
  <si>
    <t>মোঃ একলাস আলী</t>
  </si>
  <si>
    <t>মোছাঃ রশিদা খাতুন</t>
  </si>
  <si>
    <t>১০/০৪/১৯৮৪</t>
  </si>
  <si>
    <t>১০/০৫/১৯৮৩</t>
  </si>
  <si>
    <t>মোঃ আতর আলী</t>
  </si>
  <si>
    <t>০৭/০৫/১৯৫৭</t>
  </si>
  <si>
    <t>মোঃ গোলাম নবী</t>
  </si>
  <si>
    <t>আলিয়া খাতুন</t>
  </si>
  <si>
    <t>১৫/০৩/১৯৬৭</t>
  </si>
  <si>
    <t>মোছাঃ মরিয়োম নেছা</t>
  </si>
  <si>
    <t>মোঃ ছাদের আলী</t>
  </si>
  <si>
    <t>মোছাঃ ছায়েরা খাতুন</t>
  </si>
  <si>
    <t>মোছাঃ রাশিদা খাতুন</t>
  </si>
  <si>
    <t>মোঃ উকিল মন্ডল</t>
  </si>
  <si>
    <t>মোছাঃ রাবিয়া খাতুন</t>
  </si>
  <si>
    <t>১৫/০৩/১৯৭২</t>
  </si>
  <si>
    <t>০৮/০৫/১৯৮৪</t>
  </si>
  <si>
    <t>পলান</t>
  </si>
  <si>
    <t>অবিরন নেছা</t>
  </si>
  <si>
    <t>১০/০৬/১৯৬৭</t>
  </si>
  <si>
    <t>মোছাঃ গুলনাহার</t>
  </si>
  <si>
    <t>মোঃ ফজলুর হক</t>
  </si>
  <si>
    <t>মোছাঃ শহিনুর</t>
  </si>
  <si>
    <t>০৭/০৪/১৯৭৯</t>
  </si>
  <si>
    <t>আঃ মোতালেব</t>
  </si>
  <si>
    <t>নিবাছুন নেছা</t>
  </si>
  <si>
    <t>১০/০৫/১৯৭৯</t>
  </si>
  <si>
    <t>কারাচাঁদ মন্ডল</t>
  </si>
  <si>
    <t>থেমুন নেছা</t>
  </si>
  <si>
    <t>০৮/০৫/১৯৬২</t>
  </si>
  <si>
    <t>মোছাঃ জুলেখা খাতুন</t>
  </si>
  <si>
    <t>মোঃ বকুল মিয়া</t>
  </si>
  <si>
    <t>১০/০৪/১৯৮৭</t>
  </si>
  <si>
    <t>মোছাঃ আশাননারা খাতুন</t>
  </si>
  <si>
    <t>মোঃ আরশাদ আলী</t>
  </si>
  <si>
    <t>মোছাঃ সাহেরা বেগম</t>
  </si>
  <si>
    <t>০৮/০৪/১৯৭২</t>
  </si>
  <si>
    <t>মোছাঃ শাহানারা বেগম</t>
  </si>
  <si>
    <t>আলম বিশ্বাস</t>
  </si>
  <si>
    <t>মোছাঃ শামসুন নাহার</t>
  </si>
  <si>
    <t>১০/০৪/১৯৫৭</t>
  </si>
  <si>
    <t>মোছাঃ শাহানাজ পারভীন</t>
  </si>
  <si>
    <t>মোঃ সেকেন্দার আলী</t>
  </si>
  <si>
    <t>মোছাঃ সাহেদা খাতুন</t>
  </si>
  <si>
    <t>০৬/০৪/১৯৮৮</t>
  </si>
  <si>
    <t>মোছাঃ আর্জিনা খাতুন</t>
  </si>
  <si>
    <t>মোঃ ওহাব মোল্লা</t>
  </si>
  <si>
    <t>মোছাঃ জফিরন নেছা</t>
  </si>
  <si>
    <t>০৭/০৪/১৯৮২</t>
  </si>
  <si>
    <t>খোদা বকস মন্ডল</t>
  </si>
  <si>
    <t>মোঃ আঃ রশিদ</t>
  </si>
  <si>
    <t>মোছাঃ মরিয়ম খাতুন</t>
  </si>
  <si>
    <t>০৭/০৬/১৯৮৫</t>
  </si>
  <si>
    <t>দাউদ আলী</t>
  </si>
  <si>
    <t>হাওয়া খাতুন</t>
  </si>
  <si>
    <t>১০/০৫/১৯৫২</t>
  </si>
  <si>
    <t>মোছাঃ খইমন খাতুন</t>
  </si>
  <si>
    <t>শুবাশি</t>
  </si>
  <si>
    <t>মোছাঃ জহিরন নেছা</t>
  </si>
  <si>
    <t>হুরমত মল্লিক</t>
  </si>
  <si>
    <t>নিবারন</t>
  </si>
  <si>
    <t>১০/০৬/১৯৫৭</t>
  </si>
  <si>
    <t>মোঃ আজাহার মন্ডল</t>
  </si>
  <si>
    <t>মোছাঃ রহিলা খাতুন</t>
  </si>
  <si>
    <t>০৮/০৬/১৯৭৯</t>
  </si>
  <si>
    <t>মোছাঃ রওশনারা খাতুন</t>
  </si>
  <si>
    <t>মোছাঃ খইমন নেছা</t>
  </si>
  <si>
    <t>মোছাঃ নজেরা খাতুন</t>
  </si>
  <si>
    <t>মোঃ চ্ছায়ান উদ্দীন</t>
  </si>
  <si>
    <t>রাহিমান খাতুন</t>
  </si>
  <si>
    <t>ইব্রাহিম মন্ডল</t>
  </si>
  <si>
    <t>মোছাঃ রহিদা খাতুন</t>
  </si>
  <si>
    <t>১০/০৫/১৯৪৭</t>
  </si>
  <si>
    <t>মোছাঃ ফতেজান নেছা</t>
  </si>
  <si>
    <t>গনি মিয়া</t>
  </si>
  <si>
    <t>আয়েশা খাতুন</t>
  </si>
  <si>
    <t>১০/০৩/১৯৪৭</t>
  </si>
  <si>
    <t>১৫/০৫/১৯৭২</t>
  </si>
  <si>
    <t>মোছাঃ ফুলছুরাতন</t>
  </si>
  <si>
    <t>ছৈকেন আলী</t>
  </si>
  <si>
    <t>মুতরইছন নেছা</t>
  </si>
  <si>
    <t>০৫/০৫/১৯৭২</t>
  </si>
  <si>
    <t>করিম বিশ্বাস</t>
  </si>
  <si>
    <t>ছকিনা খাতুন</t>
  </si>
  <si>
    <t>মোছাঃ তহমিনা বেগম</t>
  </si>
  <si>
    <t>নফর আলী</t>
  </si>
  <si>
    <t>মোছাঃ রমেলা খাতুন</t>
  </si>
  <si>
    <t>০৮/০৫/১৯৬৭</t>
  </si>
  <si>
    <t>০৮/০৮/১৯৮২</t>
  </si>
  <si>
    <t>০৫/০৭/১৯৭৭</t>
  </si>
  <si>
    <t>পিয়ার বক্স</t>
  </si>
  <si>
    <t>ছাহারন খাতুন</t>
  </si>
  <si>
    <t>২৯/০১/১৯৬৮</t>
  </si>
  <si>
    <t>মোছাঃ ফরিদা খাতুন</t>
  </si>
  <si>
    <t>মোঃ মোছারদ্দীন মন্ডল</t>
  </si>
  <si>
    <t>মোছাঃ কামরুন্নাহার খাতুন</t>
  </si>
  <si>
    <t>মোঃ আঃ গনি</t>
  </si>
  <si>
    <t>মোছাঃ মাহিরন খাতুন</t>
  </si>
  <si>
    <t>০৭/০৫/১৯৮২</t>
  </si>
  <si>
    <t>মোছাঃ আয়শা খাতুন</t>
  </si>
  <si>
    <t>শহীদ বক্স</t>
  </si>
  <si>
    <t>মোছাঃ তাহারন নেছা</t>
  </si>
  <si>
    <t>০৮/০৩/১৯৭৭</t>
  </si>
  <si>
    <t>শামসুদ্দীন মন্ডল</t>
  </si>
  <si>
    <t>০৮/০২/১৯৭২</t>
  </si>
  <si>
    <t>০৭/০৩/১৯৬৭</t>
  </si>
  <si>
    <t>পিতাঃ ফহুজুদ্দীন মোল্লা</t>
  </si>
  <si>
    <t>নূরজাহান খাতুন</t>
  </si>
  <si>
    <t>০৭/০৪/১৯৭০</t>
  </si>
  <si>
    <t>মোছাঃ আরিফা খাতুন</t>
  </si>
  <si>
    <t>মোঃ নূর ইসলাম</t>
  </si>
  <si>
    <t>মোছাঃ আছমা খাতুন</t>
  </si>
  <si>
    <t>নিয়ামত আলী</t>
  </si>
  <si>
    <t>মোছাঃ ছকিরন</t>
  </si>
  <si>
    <t>০৫/০৫/১৯৮০</t>
  </si>
  <si>
    <t>কাদের মন্ডল</t>
  </si>
  <si>
    <t>চিকারন নেছা</t>
  </si>
  <si>
    <t>৫৭০০৫৩৩৭৪ড়৩০</t>
  </si>
  <si>
    <t>মোছাঃ নাছিমা খাতুন</t>
  </si>
  <si>
    <t>মোছাঃ ছবেদা খাতুন</t>
  </si>
  <si>
    <t>০৫/০৫/১৯৮৬</t>
  </si>
  <si>
    <t>মোছাঃ ফাহিমা খাতুন</t>
  </si>
  <si>
    <t>মোঃ হাফেজ উদ্দীন</t>
  </si>
  <si>
    <t>মোছাঃ রাহিমা খাতুন</t>
  </si>
  <si>
    <t>০৫/০৪/১৯৮৫</t>
  </si>
  <si>
    <t>ফজিলা খাতুন</t>
  </si>
  <si>
    <t>মোঃ মনজু</t>
  </si>
  <si>
    <t>০৫/০৫/১৯৮৪</t>
  </si>
  <si>
    <t>ইছছপ আলী</t>
  </si>
  <si>
    <t>মোছাঃ মাহিরন নেছা</t>
  </si>
  <si>
    <t>১০/০৩/১৯৭৯</t>
  </si>
  <si>
    <t>ইয়াসিন মন্ডল</t>
  </si>
  <si>
    <t>সুজান নেছা</t>
  </si>
  <si>
    <t>০৭/০৩/১৯৬২</t>
  </si>
  <si>
    <t>মোছাঃ রুপালি খাতুন</t>
  </si>
  <si>
    <t>ইসমাইল হক</t>
  </si>
  <si>
    <t>মোছাঃ ফুলমনি</t>
  </si>
  <si>
    <t>০৮/০৪/১৯৮৫</t>
  </si>
  <si>
    <t>মোছাঃ আফেলা খাতুন</t>
  </si>
  <si>
    <t>হিয়াজুদ্দীন মন্ডল</t>
  </si>
  <si>
    <t>নিমরি খাতুন</t>
  </si>
  <si>
    <t>মোঃ নজীবদ্দীন আহমেদ</t>
  </si>
  <si>
    <t>ছফুরা খাতুন</t>
  </si>
  <si>
    <t>০৫/০১/১৯৭২</t>
  </si>
  <si>
    <t>মোছাঃ নাসরিন খাতুন</t>
  </si>
  <si>
    <t>মোঃ আওলাদ আলী</t>
  </si>
  <si>
    <t>মোছাঃ আফরোজা খাতুন</t>
  </si>
  <si>
    <t>আজিজুল মন্ডল</t>
  </si>
  <si>
    <t>নুননাহার খাতুন</t>
  </si>
  <si>
    <t>০৫/০২/১৯৭২</t>
  </si>
  <si>
    <t>মোছাঃ আল্লাহদী খাতুন</t>
  </si>
  <si>
    <t>মোঃ বাদল মন্ডল</t>
  </si>
  <si>
    <t>মোছাঃ ছাকিরন খাতুন</t>
  </si>
  <si>
    <t>১০/০৩/১৯৭২</t>
  </si>
  <si>
    <t>জুবাইদা খাতুন</t>
  </si>
  <si>
    <t>মোঃ রমজান মন্ডল</t>
  </si>
  <si>
    <t>মোছাঃ আকলিমা খাতুন</t>
  </si>
  <si>
    <t>০৪/০৫/১৯৮২</t>
  </si>
  <si>
    <t>০৭/০৫/১৯৭৭</t>
  </si>
  <si>
    <t>মোছাঃ ইসমোতারা</t>
  </si>
  <si>
    <t>ইছাহাক মল্লিক</t>
  </si>
  <si>
    <t>মোছাঃ জাহেদা খাতুন</t>
  </si>
  <si>
    <t>মোঃ খোদা বকস মন্ডল</t>
  </si>
  <si>
    <t>মোছাঃ আজিরন</t>
  </si>
  <si>
    <t>মোছাঃ সাহার বানু</t>
  </si>
  <si>
    <t>মোছাঃ সাহাননারা খাতুন</t>
  </si>
  <si>
    <t>১০/০৩/১৯৮৭</t>
  </si>
  <si>
    <t>মোছাঃ হাসিনা খাতুন</t>
  </si>
  <si>
    <t>আজুহার মন্ডল</t>
  </si>
  <si>
    <t>ইনছান</t>
  </si>
  <si>
    <t>০৭/০৩/১৯৫২</t>
  </si>
  <si>
    <t>মোছাঃ আম্বিয়া খাতুন</t>
  </si>
  <si>
    <t>মোঃ চ্ছায়ান মন্ডল</t>
  </si>
  <si>
    <t>মোছাঃ হাসেনা খাতুন</t>
  </si>
  <si>
    <t>মোছাঃ বেবি খাতুন</t>
  </si>
  <si>
    <t>মোঃ বাবলু</t>
  </si>
  <si>
    <t>মোছাঃ আসমা খাতুন</t>
  </si>
  <si>
    <t>২০/০২/১৯৮৯</t>
  </si>
  <si>
    <t>মোছাঃ পারভিনা</t>
  </si>
  <si>
    <t>মুক্তার আলী</t>
  </si>
  <si>
    <t>সাহারন নেছা</t>
  </si>
  <si>
    <t>২৭/০৩/১৯৮৭</t>
  </si>
  <si>
    <t>মোছাঃ সাবানা খাতুন</t>
  </si>
  <si>
    <t>মোঃ মজিবর আলী</t>
  </si>
  <si>
    <t>২৫/১১/১৯৮৬</t>
  </si>
  <si>
    <t>মোছাঃ বিলকিচ খাতুন</t>
  </si>
  <si>
    <t>মোঃ মজিবার রহমান</t>
  </si>
  <si>
    <t>১৫/০৯/১৯৮৩</t>
  </si>
  <si>
    <t>মোছাঃ ছাবিনা খাতুন</t>
  </si>
  <si>
    <t>মোঃ কুরবান আলী</t>
  </si>
  <si>
    <t>১৫/০৫/১৯৮৭</t>
  </si>
  <si>
    <t>মোঃ রতন আলী</t>
  </si>
  <si>
    <t>মোছাঃ তরিছন নেছা</t>
  </si>
  <si>
    <t>১৯/১০/১৯৯১</t>
  </si>
  <si>
    <t>মোঃ ইউনুস আলি</t>
  </si>
  <si>
    <t>মোছাঃ খাদিজা খাতুন</t>
  </si>
  <si>
    <t>মোছাঃ বিউটি খাতুন</t>
  </si>
  <si>
    <t>মোঃ নকিমুদ্দীন</t>
  </si>
  <si>
    <t>মোছাঃ শাহার বানু</t>
  </si>
  <si>
    <t>০২/১১/১৯৯০</t>
  </si>
  <si>
    <t>মোছাঃ হাসিয়ারা খাতুন</t>
  </si>
  <si>
    <t>মোঃ জামির উদ্দীন</t>
  </si>
  <si>
    <t>মোছাঃ নাসরা খাতুন</t>
  </si>
  <si>
    <t>ধানখোলা, গাংনী, মেহেরপুর</t>
  </si>
  <si>
    <t>মোছা লিপিয়ার খাতুন</t>
  </si>
  <si>
    <t>মোঃ খবির উদ্দীন</t>
  </si>
  <si>
    <t>২৬/১১/১৯৯১</t>
  </si>
  <si>
    <t>মোছাঃ সিমা খাতুন</t>
  </si>
  <si>
    <t>মোঃ দাউদ আলী</t>
  </si>
  <si>
    <t>মোছাঃ আনোয়ারা বেগম</t>
  </si>
  <si>
    <t>২১/০৬/১৯৮৮</t>
  </si>
  <si>
    <t>মোছাঃ মুন্তরা খাতুন</t>
  </si>
  <si>
    <t>মোঃ ছায়েন উদ্দীন</t>
  </si>
  <si>
    <t>রাহিমা খাতুন</t>
  </si>
  <si>
    <t>২১/০৬/১৯৮২</t>
  </si>
  <si>
    <t>মোছাঃ আনজিরা খাতুন</t>
  </si>
  <si>
    <t>মোঃ ফজলু হক</t>
  </si>
  <si>
    <t>১৫/০৮/১৯৮৭</t>
  </si>
  <si>
    <t>মোছাঃ মিনারা খাতুন</t>
  </si>
  <si>
    <t>২১/০১/১৯৯০</t>
  </si>
  <si>
    <t>মোছাঃ শাহানাজ খাতুন</t>
  </si>
  <si>
    <t>মোঃ বদর উদ্দিন</t>
  </si>
  <si>
    <t>০১/০৫/১৯৮৫</t>
  </si>
  <si>
    <t>মোছাঃ মুক্তা খাতুন</t>
  </si>
  <si>
    <t>পিতাঃ শামসুল হুদা</t>
  </si>
  <si>
    <t>২০/০৬/১৯৯৫</t>
  </si>
  <si>
    <t>মোছাঃ সাথী খাতুন</t>
  </si>
  <si>
    <t>মোঃ মনা সর্দ্দার</t>
  </si>
  <si>
    <t>মোছাঃ সাহেদা বেগম</t>
  </si>
  <si>
    <t>মোছাঃ এনি খাতুন</t>
  </si>
  <si>
    <t>পিতাঃ ইদ্রীস আলী</t>
  </si>
  <si>
    <t>০৫/০১/১৯৯০</t>
  </si>
  <si>
    <t>মোঃ চায়েন আলী</t>
  </si>
  <si>
    <t>মরিয়ম খাতুন</t>
  </si>
  <si>
    <t>২৮/০৩/১৯৯৬</t>
  </si>
  <si>
    <t>মোছাঃ লাভলী খাতুন</t>
  </si>
  <si>
    <t>মোঃ আবুল হাশেম</t>
  </si>
  <si>
    <t>মোছাঃ মাজেদা খাতুন</t>
  </si>
  <si>
    <t>১০/০২/১৯৯৫</t>
  </si>
  <si>
    <t>মোঃ তাহাজ উদ্দিন</t>
  </si>
  <si>
    <t>১১/০৩/১৯৯৭</t>
  </si>
  <si>
    <t>মোছাঃ লাবনী খাতুন</t>
  </si>
  <si>
    <t>০৫/০৮/১৯৯৬</t>
  </si>
  <si>
    <t>আফরিন জান্নাতী</t>
  </si>
  <si>
    <t>আঃ রহমান</t>
  </si>
  <si>
    <t>আম্বিয়া খাতুন</t>
  </si>
  <si>
    <t>১৮/০৫/১৯৯৮</t>
  </si>
  <si>
    <t>মোছাঃ আশানুরা খাতুন</t>
  </si>
  <si>
    <t>২৫/০৬/১৯৯৯</t>
  </si>
  <si>
    <t>তন্নিয়ারা খাতুন</t>
  </si>
  <si>
    <t>তানজিল আহমেদ</t>
  </si>
  <si>
    <t>মর্জিনা খাতুন</t>
  </si>
  <si>
    <t>০৪/০৪/১৯৯৯</t>
  </si>
  <si>
    <t>মোছাঃ শারমিন খাতুন</t>
  </si>
  <si>
    <t>মোঃ নূহু আলম</t>
  </si>
  <si>
    <t>মোছাঃ শিরিনা খাতুন</t>
  </si>
  <si>
    <t>০৫/০৩/১৯৯৪</t>
  </si>
  <si>
    <t>মোছাঃ পিংকি খাতুন</t>
  </si>
  <si>
    <t>মোঃ সাহিরুল ইসলাম</t>
  </si>
  <si>
    <t>মোছাঃ মহিমা খাতুন</t>
  </si>
  <si>
    <t>২০/১২/২০০১</t>
  </si>
  <si>
    <t>মোছাঃ সুমাইয়া আক্তার</t>
  </si>
  <si>
    <t>মোঃ মুন্তাজ আলী</t>
  </si>
  <si>
    <t>মোছাঃ ইয়াসমিনা</t>
  </si>
  <si>
    <t>০১/০১/১৯৯৫</t>
  </si>
  <si>
    <t>মোছাঃ উম্মে তাসনিয়া</t>
  </si>
  <si>
    <t>মোঃ আব্দুল কুদ্দুস</t>
  </si>
  <si>
    <t>মোছাঃ গোলাপজান</t>
  </si>
  <si>
    <t>০৯/০৭/২০০১</t>
  </si>
  <si>
    <t>দক্ষিণ তেতুলবাড়িয়া, ধানখোলা, গাংনী, মেহেরপুর</t>
  </si>
  <si>
    <t>মোঃ নাসির উদ্দিন</t>
  </si>
  <si>
    <t>০৭/০৬/২০০০</t>
  </si>
  <si>
    <t>দিতি আরা</t>
  </si>
  <si>
    <t>১৫/০২/২০০০</t>
  </si>
  <si>
    <t>মোছাঃ মারুফা খাতুন</t>
  </si>
  <si>
    <t>মোঃ মহসীন আলী</t>
  </si>
  <si>
    <t>মোছাঃ ফুলবাসী খাতুন</t>
  </si>
  <si>
    <t>২৭/০৬/১৯৯৫</t>
  </si>
  <si>
    <t>মোছাঃ শারমীন খাতুন</t>
  </si>
  <si>
    <t>মোঃ জমির উদ্দিন</t>
  </si>
  <si>
    <t>মোছাঃ রফেজা খাতুন</t>
  </si>
  <si>
    <t>১০/১০/১৯৯৭</t>
  </si>
  <si>
    <t>মোছাঃ পান্না খাতুন</t>
  </si>
  <si>
    <t>০১/০১/১৯৯৯</t>
  </si>
  <si>
    <t>মোছাঃ রুনা আক্তার</t>
  </si>
  <si>
    <t>মোঃ আব্দুর রকিব</t>
  </si>
  <si>
    <t>মোছাঃ সোনাভানু</t>
  </si>
  <si>
    <t>১৬/০৩/২০০০</t>
  </si>
  <si>
    <t>মোছাঃ ইরানী খাতুন</t>
  </si>
  <si>
    <t>মোঃ ইউনুচ খন্দকার</t>
  </si>
  <si>
    <t>মোছাঃ আউলিয়া বেগম</t>
  </si>
  <si>
    <t>০৪/০৫/১৯৮৮</t>
  </si>
  <si>
    <t>মোছাঃ সানজিদা খাতুন</t>
  </si>
  <si>
    <t>০৮/০৬/২০০৪</t>
  </si>
  <si>
    <t>মোঃ ফারুক হোসেন</t>
  </si>
  <si>
    <t>মোছাঃ লাইলী খাতুন</t>
  </si>
  <si>
    <t>০১/০৯/২০০৪</t>
  </si>
  <si>
    <t>মোছাঃ শারমিনা আক্তার</t>
  </si>
  <si>
    <t>মোঃ আক্কাচ আলী</t>
  </si>
  <si>
    <t>মোছাঃ মর্জিনা বেগম</t>
  </si>
  <si>
    <t>০৭/০৮/২০০৪</t>
  </si>
  <si>
    <t>মোছাঃ শোভা খাতুন</t>
  </si>
  <si>
    <t>পিতাঃ সাহাবুল আলী</t>
  </si>
  <si>
    <t>০২/০৩/২০০৪</t>
  </si>
  <si>
    <t>দক্ষিণ তেতুল বাড়ীয়া, গাংনী, মেহেরপুর</t>
  </si>
  <si>
    <t>মোছাঃ ধ্রুবতারা খাতুন</t>
  </si>
  <si>
    <t>মোঃ নিয়ামত আলী</t>
  </si>
  <si>
    <t>১১/০৭/২০০৪</t>
  </si>
  <si>
    <t>মোছাঃ আসুরা খাতুন</t>
  </si>
  <si>
    <t>০৪/০২/২০০৪</t>
  </si>
  <si>
    <t>সারজিনা খাতুন</t>
  </si>
  <si>
    <t>মোঃ ময়নাল হোসেন</t>
  </si>
  <si>
    <t>০১/০৯/২০০৫</t>
  </si>
  <si>
    <t>মোছাঃ ফাহমিদা আক্তার লিসা</t>
  </si>
  <si>
    <t>মোছাঃ জেসমিন খাতুন</t>
  </si>
  <si>
    <t>০৩/০৫/২০০৫</t>
  </si>
  <si>
    <t>২৫/০৬/২০০৬</t>
  </si>
  <si>
    <t>দক্ষিণ তেতুল বাড়িয়া, গাংনী, মেহেরপুর</t>
  </si>
  <si>
    <t>মোছাঃ সানমুন আরা</t>
  </si>
  <si>
    <t>মোঃ ফেরেজুল ইসলাম</t>
  </si>
  <si>
    <t>১৩/০৮/২০০৩</t>
  </si>
  <si>
    <t>মোছাঃ চাঁদ তারা</t>
  </si>
  <si>
    <t>২৮/০৯/২০০১</t>
  </si>
  <si>
    <t>মোছাঃ মুন্নিয়ারা খাতুন</t>
  </si>
  <si>
    <t>মোঃ নুহ নবী</t>
  </si>
  <si>
    <t>মোছাঃ তহুরা খাতুন</t>
  </si>
  <si>
    <t>১০/০৮/২০০৩</t>
  </si>
  <si>
    <t>দক্ষিণ তেলবাড়িয়া, গাংনী, মেহেরপুর</t>
  </si>
  <si>
    <t>মোছাঃ রেহেনা খাতুন</t>
  </si>
  <si>
    <t>মৃত মোঃ কছিমদ্দিন</t>
  </si>
  <si>
    <t>১০/০৮/১৯৮৫</t>
  </si>
  <si>
    <t>মোছাঃ মুন্নি খাতুন</t>
  </si>
  <si>
    <t>মোঃ মন্টু মিয়া</t>
  </si>
  <si>
    <t>মোছাঃ নার্গিছ বানু</t>
  </si>
  <si>
    <t>০৪/০৭/২০০২</t>
  </si>
  <si>
    <t>মোছাঃ লাইলি খাতুন</t>
  </si>
  <si>
    <t>পিতাঃ আকবার আলী</t>
  </si>
  <si>
    <t>১০/০৯/১৯৯৯</t>
  </si>
  <si>
    <t>মোছাঃ রুশিয়া খাতুন</t>
  </si>
  <si>
    <t>মোছাঃ কল্পনা খাতুন</t>
  </si>
  <si>
    <t>১৮/০৩/২০০৩</t>
  </si>
  <si>
    <t>মোছাঃ হ্যাপি খাতুন</t>
  </si>
  <si>
    <t>মোছাঃ আনতানুর খাতুন</t>
  </si>
  <si>
    <t>০১/০৫/২০০৪</t>
  </si>
  <si>
    <t>মিস লতা খাতুন</t>
  </si>
  <si>
    <t>মোঃ রতিয়ার রহমান</t>
  </si>
  <si>
    <t>০২/০১/২০০৫</t>
  </si>
  <si>
    <t>মোছাঃ মায়া খাতুন</t>
  </si>
  <si>
    <t>মৃত আঃ কাদের</t>
  </si>
  <si>
    <t>মোছাঃ ডলি খাতুন</t>
  </si>
  <si>
    <t>০১/০৩/২০০৬</t>
  </si>
  <si>
    <t>মোছাঃ মিতা খাতুন</t>
  </si>
  <si>
    <t>মোঃ মোসারফ হোসেন</t>
  </si>
  <si>
    <t>মোছাঃ ছালমা খাতুন</t>
  </si>
  <si>
    <t>০৫/০৮/২০০১</t>
  </si>
  <si>
    <t>দক্ষিণ তেঁতুলবাড়িয়া, গাংনী, মেহেরপুর</t>
  </si>
  <si>
    <t>মোছাঃ বন্যা খাতুন</t>
  </si>
  <si>
    <t>২৫/০৪/২০০৭</t>
  </si>
  <si>
    <t>মোছাঃ লিমা খাতুন</t>
  </si>
  <si>
    <t>মোঃ লিহাজুদ্দীন</t>
  </si>
  <si>
    <t>মোছাঃ নারগিস খাতুন</t>
  </si>
  <si>
    <t>০৩/১০/২০০৭</t>
  </si>
  <si>
    <t>ক্রমিক নং,নাম,ভোটার নং,পিতা,মাতা,জন্ম তারিখ,পেশা,ঠিকানা</t>
  </si>
  <si>
    <t>০০১,মোঃ নাজমুল ইসলাম,৫৭০০৫৩৩7৪৩০৩,মোঃ সিরাজুল ইসলাম,মোছাঃ রহিমা খাতুন,০৮/০৩/১৯৮৫,কৃষক,"দঃ তেতুলবাড়ীয়া, গাংনী, মেহেরপুর"</t>
  </si>
  <si>
    <t>০০২,মোঃ ইলিয়াস হোসেন,৫৭০০৫৩৩7৪১৩৩,মোঃ ইউনুচ আলী,মোছাঃ আলেয়া খাতুন,১০/০৩/১৯৮৩,কৃষক,"দঃ তেতুলবাড়িয়া, গাংনী, মেহেরপুর"</t>
  </si>
  <si>
    <t>০০৩,মোঃ আব্দুর রহমান,৫৭০০৫৩৩7৪১৩৪,আবুল হোসেন,মোছাঃ আনোয়ারা খাতুন,১০/০২/১৯৫৩,দিনমজুর,"দঃ তেতুল বাড়িয়া, গাংনী, মেহেরপুর"</t>
  </si>
  <si>
    <t>০০৪,মোঃ ইউনুচ আলী,৫৭০০৫৩৩7৪১৩৭,মফেজ উদ্দীন,মোছাঃ সহিতেন নেছা,০৮/০৩/১৯৫৭,কৃষক,"দঃ তেতুল বাড়িয়া, গাংনী, মেহেরপুর"</t>
  </si>
  <si>
    <t>০০৫,মোঃ আব্দুস ছালাম,৫৭০০৫৩৩7৪১৩৯,রবজেল বিশ্বাস,মোছাঃ মনোয়ারা খাতুন,০৮/০৪/১৯৭৭,কৃষক,"দঃ তেতুল বাড়িয়া, গাংনী, মেহেরপুর"</t>
  </si>
  <si>
    <t>০০৬,মোঃ রাফিজুল হক,৫৭০০৫৩৩7৪৩২২,রবজেল বিশ্বাস,মোছাঃ মনোয়ারা খাতুন,১০/০৪/১৯৭২,দিনমজুর,"দঃ তেতুলবাড়িয়া, গাংনী, মেহেরপুর"</t>
  </si>
  <si>
    <t>০০৭,মোঃ রাশিদুল ইসলাম,৫৭০০৫৩৩7৪৩২৪,মফেজউদ্দিন,মোছাঃ সহিতেন নেছা,১০/০৫/১৯৭২,দিনমজুর,"দঃতেতুলবাড়িয়া, গাংনী, মেহেরপুর"</t>
  </si>
  <si>
    <t>০০৮,মোঃ রবিউল ইসলাম,৫৭০০৫৩৩7৪৩২৫,পিয়ার মন্ডল,মোছাঃ মাহারন নেছা,০৭/০৫/১৯৫২,দিনমজুর,"দক্ষিন তেঁতুলবাড়িয়া, গাংনী, মেহেরপুর"</t>
  </si>
  <si>
    <t>০০৯,মোঃ জিয়াউর রহমান,৫৭০০৫৩৩7৪৩২৬,মোঃ রবিউল ইসলাম,মোছাঃ জোসনা খাতুন,১০/০৫/১৯৭৭,দিনমজুর,"দঃ তেতুলবাড়িয়া, গাংনী, মেহেরপুর"</t>
  </si>
  <si>
    <t>০১০,মোঃ সাজদার আলী,৫৭০০৫৩৩7৪৩২৭,মোঃ বিশারত আলী,মোছাঃ সাজেদা খাতুন,০৭/০৩/১৯৮১,দিনমজুর,"দঃ তেতুলবাড়িয়া, গাংনী, মেহেরপুর"</t>
  </si>
  <si>
    <t>০১১,মোঃ বিশারত আলী,৫৭০০৫৩৩7৪৩৩০,কলিমদ্দীন,মোছাঃ খোশজান নেছা,০৭/০৫/১৯৬২,দিনমজুর,"দঃ তেতুল বাড়িয়া, গাংনী, মেহেরপুর"</t>
  </si>
  <si>
    <t>০১২,মোঃ আঃ মজিদ,৫৭০০৫৩৩7৪৩৩৬,জহিরুদ্দীন,এলাজন নেছা,১০/০৫/১৯৫১,দিনমজুর,"দঃ তেতুলবাড়িয়া, গাংনী, মেহেরপুর"</t>
  </si>
  <si>
    <t>০১৩,মোঃ হাসান আলী,৫৭০০৫৩৩7৪৩৩৭,মোঃ আঃ মজিদ,মোছাঃ ফাতেমা খাতুন,২০/০৮/১৯৭৯,দিনমজুর,"দঃ তেতুল বারিয়া, গাংনী, মেহেরপুর"</t>
  </si>
  <si>
    <t>০১৪,মোঃ আঃ লতিব,৫৭০০৫৩৩7৪৩৪৩,রগবুল মন্ডল,ছপেলার খাতুন,১০/০৫/১৯৬২,দিনমজুর,"দক্ষিণ তেঁতুলবাড়িয়া, গাংনী, মেহেরপুর"</t>
  </si>
  <si>
    <t>০১৫,মোঃ লাল্টু আলি,৫৭০০৫৩৩7৪৩৪৫,মোঃ আজি বকস,মোছাঃ ভাদিনা খাতুন,১০/০৫/১৯৭২,দিনমজুর,"দক্ষিণ তেঁতুলবাড়িয়া, গাংনী, মেহেরপুর"</t>
  </si>
  <si>
    <t>০১৬,মোঃ আহাসান আলী,৫৭০০৫৩৩7৪৩৪৭,মকছেদ আলী বিশ্বাস,জমেলা খাতুন,১০/০৫/১৯৫৪,দিনমজুর,"দঃ তেতুলবাড়িয়া, গাংনী, মেহেরপুর"</t>
  </si>
  <si>
    <t>০১৭,মোঃ আমিরুল ইসলাম,৫৭০০৫৩৩7৪৩৪৮,ছিয়ামদ্দিন,আশাফন নেছা,০৮/০৪/১৯৬৭,দিনমজুর,"দঃ তেতুল বাড়িয়া, গাংনী, মেহেরপুর"</t>
  </si>
  <si>
    <t>০১৮,মোঃ নাসিরুল,৫৭০০৫৩৩7৪৩৫৫,মোঃ হবিবার,মোছাঃ ভাদিরন,০৭/০৫/১৯৮৩,কৃষক,"দক্ষিণ তেঁতুলবাড়িয়া, গাংনী, মেহেরপুর"</t>
  </si>
  <si>
    <t>০১৯,মোঃ আস্তাব আলী,৫৭০০৫৩৩7৪৩৬০,ছিয়ামদ্দিন,আমেনা খাতুন,১০/০৫/১৯৭২,দিনমজুর,"দঃ তেতুলবাড়িয়া, গাংনী, মেহেরপুর"</t>
  </si>
  <si>
    <t>০২০,মোঃ আঃ সাত্তার,৫৭০০৫৩৩7৪৩৬৯,রগবুল মন্ডল,ছপেলা বিবি,১০/০৪/১৯৪৭,দিনমজুর,"দঃ তেতুল বাড়িয়া, গাংনী, মেহেরপুর"</t>
  </si>
  <si>
    <t>০২১,মোঃ ফজলুল হক,৫৭০০৫৩৩7৪৩৭০,মোঃ আঃ সাত্তার,মোছাঃ রহিমা খাতুন,০৮/০৫/১৯৭৭,দিনমজুর,"দক্ষিণ তেঁতুলবাড়িয়া, গাংনী, মেহেরপুর"</t>
  </si>
  <si>
    <t>০২২,মোঃ আলতাব হোসেন,৫৭০০৫৩৩7৪৩৭১,রবজেল বিশ্বাস,মোছাঃ মনোয়ারা খাতুন,১০/০৫/১৯৭৪,দিনমজুর,"দঃ তেতুল বাড়িয়া, গাংনী, মেহেরপুর"</t>
  </si>
  <si>
    <t>০২৩,মোঃ আবুল কালাম আজাদ,৫৭০০৫৩৩7৪৩৭৩,রবজেল বিশ্বাস,মোছাঃ মনোয়ারা খাতুন,০৭/০৫/১৯৮৩,শ্রমিক,"দক্ষিণ তেঁতুলবাড়িয়া, গাংনী, মেহেরপুর"</t>
  </si>
  <si>
    <t>০২৪,মোঃ গনিরুল ইসলাম,৫৭০০৫৩৩7৪৩৭৪,মোঃ তাহাজ উদ্দীন,মোছাঃ আয়েশা খাতুন,০৫/০৩/১৯৭২,দিনমজুর,"দঃ তেতুল বাড়িয়া, গাংনী, মেহেরপুর"</t>
  </si>
  <si>
    <t>০২৫,মোঃ মিনারুল ইসলাম,৫৭০০৫৩৩7৪৩৭৫,রবজেল বিশ্বাস,মোছাঃ মনোয়ারা খাতুন,১০/০৭/১৯৮৫,দিনমজুর,"দঃ তেতুল বাড়িয়া, গাংনী, মেহেরপুর"</t>
  </si>
  <si>
    <t>০২৬,মোঃ আকছেদ আলী,৫৭০০৫৩৩7৪৩৭৭,সিরাজুল ইসলাম,মোছাঃ সালেহার খাতুন,১০/০৫/১৯৭৪,ব্যবসা,"দক্ষিণ তেঁতুলবাড়িয়া, গাংনী, মেহেরপুর"</t>
  </si>
  <si>
    <t>০২৭,মোঃ কাওসার আলী,৫৭০০৫৩৩7৪৩৭৮,সিরাজুল ইসলাম,মোছাঃ সালেহার খাতুন,১৫/০৪/১৯৮০,দর্জি,"দঃ তেতুল বাড়িয়া, গাংনী, মেহেরপুর"</t>
  </si>
  <si>
    <t>০২৮,মোঃ বিল্লাল হোসেন,৫৭০০৫৩৩7৪৩৮০,মোঃ হাশেম আলী,মোছাঃ বেবী খাতুন,১০/০৭/১৯৮৫,ব্যবসা,"দঃতেতুল বাড়িয়া, গাংনী, মেহেরপুর"</t>
  </si>
  <si>
    <t>০২৯,মোঃ সহরাফ মল্লিক,৫৭০০৫৩৩7৪৩৮১,মোঃ নজীবদ্দীন মল্লিক,সফুরা খাতুন,০৭/০৪/১৯৬২,কৃষক,"দঃ তেতুলবাড়িয়া, গাংনী, মেহেরপুর"</t>
  </si>
  <si>
    <t>০৩০,মোঃ ইসমাইল হক,৫৭০০৫৩৩7৪৩৮২,মোঃ আকবার আলী,মোছাঃ ছাহারন নেছা,০৫/০৫/১৯৭৭,কৃষক,"দক্ষিণ তেঁতুলবাড়িয়া, গাংনী, মেহেরপুর"</t>
  </si>
  <si>
    <t>০৩১,মোঃ লিয়াকত আলী,৫৭০০৫৩৩7৪৩৮৮,কচিমদ্দীন বিশ্বাস,মোছাঃ জাহিরন খাতুন,১১/০৬/১৯৭০,কৃষক,"দঃ তেতুল বাড়িয়া, গাংনী, মেহেরপুর"</t>
  </si>
  <si>
    <t>০৩২,মোঃ হামিদুল ইসলাম,৫৭০০৫৩৩7৪৩৯০,আলী হোসেন,মোছাঃ ছকিনা খাতুন,১০/০৬/১৯৮২,দিনমজুর,"দঃ তেতুল বাড়িয়া, গাংনী, মেহেরপুর"</t>
  </si>
  <si>
    <t>০৩৩,মোঃ নাসির উদ্দীন,৫৭০০৫৩৩7৪৩৯৪,আলী হোসেন,মোছাঃ ছকিনা খাতুন,১০/০৪/১৯৭৮,কৃষক,"দঃ তেতুলবাড়িয়া, গাংনী, মেহেরপুর"</t>
  </si>
  <si>
    <t>০৩৪,মোঃ আমছার আলী,৫৭০০৫৩৩7৪৩৯৫,মোতালেব মন্ডল,নিবাহুন নেছা,২০/০২/১৯৬০,ব্যবসা,"দঃ তেতুলবাড়িয়া, গাংনী, মেহেরপুর"</t>
  </si>
  <si>
    <t>০৩৬,মোঃ আলামিন হোসেন,৫৭০০৫৩৩7৪৩৯৭,মোঃ রিয়াজউদ্দীন,মোছাঃ আনোয়ারা খাতুন,১০/০৪/১৯৭৯,দিনমজুর,"দক্ষিণ তেঁতুলবাড়িয়া, গাংনী, মেহেরপুর"</t>
  </si>
  <si>
    <t>০৩৭,মোঃ খোকন আলী,৫৭০০৫৩৩7৪৩৯৯,মোঃ আকবার আলী,মোছাঃ ছাহারন খাতুন,১০/০৫/১৯৮২,দিনমজুর,"দক্ষিণ তেঁতুলবাড়িয়া, গাংনী, মেহেরপুর"</t>
  </si>
  <si>
    <t>০৩৮,মোহাঃ আব্দুল কুদ্দুস,৫৭০০৫৩৩7৪৪০৯,মফিজ উদ্দীন,মোছাঃ সহিতেন নেছা,০১/০১/১৯৬৮,কৃষক,"দঃ তেতুলবাড়িয়া, গাংনী, মেহেরপুর"</t>
  </si>
  <si>
    <t>০৩৯,মোঃ হাফিজুল ইসলাম,৫৭০০৫৩৩7৪৪১১,মোঃ চয়ন উদ্দীন,মোছাঃ হাছিনা খাতুন,১০/১০/১৯৮৫,কৃষক,"দক্ষিণ তেঁতুলবাড়িয়া, গাংনী, মেহেরপুর"</t>
  </si>
  <si>
    <t>০৪০,মোঃ মনিরুল ইসলাম,৫৭০০৫৩৩7৪৪১২,মোঃ তাহাজ উদ্দীন,মোছাঃ আয়েশা খাতুন,৩১/০১/১৯৬৮,কৃষক,"দঃ তেতুলবাড়িয়া, গাংনী, মেহেরপুর"</t>
  </si>
  <si>
    <t>০৪১,মোঃ আমিকুল ইসলাম,৫৭০০৫৩৩7৪৪১৫,মোঃ তাহাজ উদ্দীন,মোছাঃ আয়েশা খাতুন,১০/০৪/১৯৮২,কৃষক,"দঃ তেতুল বাড়িয়া, গাংনী, মেহেরপুর"</t>
  </si>
  <si>
    <t>০৪২,মোঃ কালু শেখ,৫৭০০৫৩৩7৪৪১৬,মোঃ ফজল হক,মোছাঃ ফাতু খাতুন,২৫/০৬/১৯৭৭,কৃষক,"দঃ তেতুল বাড়িয়া, গাংনী, মেহেরপুর"</t>
  </si>
  <si>
    <t>০৪৩,মোঃ ইব্রাহিম,৫৭০০৫৩৩7৪৪১৮,মোঃ মোজাম্মেল হক,মোছাঃ ফাতেমা খাতুন,০৫/০৩/১৯৭২,কৃষক,"দঃ তেতুল বাড়িয়া, গাংনী, মেহেরপুর"</t>
  </si>
  <si>
    <t>০৪৪,মোঃ মদু মল্লিক,৫৭০০৫৩৩7৪৪১৯,মোঃ সোহরাব হোসেন,মোছাঃ ফুলছুরা খাতুন,০৮/০৩/১৯৮৪,দিনমজুর,"দঃ তেতুলবাড়িয়া, গাংনী, মেহেরপুর"</t>
  </si>
  <si>
    <t>০৪৫,মোঃ চয়ন উদ্দীন মন্ডল,৫৭০০৫৩৩7৪৪২৩,মোঃ ইয়াসিন বিশ্বাস,খুকী বিবি,০৫/০৭/১৯৪২,কৃষক,"দক্ষিণ তেঁতুলবাড়িয়া, গাংনী, মেহেরপুর"</t>
  </si>
  <si>
    <t>০৪৬,মোঃ জিনারুল ইসলাম,৫৭০০৫৩৩7৪৪২৯,হাউশ আলী,মোছাঃ কহিনুর খাতুন,০৫/০১/১৯৮৬,দিনমজুর,"দক্ষিণ তেঁতুলবাড়িয়া, গাংনী, মেহেরপুর"</t>
  </si>
  <si>
    <t>০৪৭,মোঃ আক্তারুল ইসলাম,৫৭০০৫৩৩7৪৪৩৩,মোঃ বাদশ মন্ডল,মোছাঃ ফাতেমা খাতুন,০৭/০৪/১৯৭১,কৃষক,"দক্ষিণ তেঁতুলবাড়িয়া, গাংনী, মেহেরপুর"</t>
  </si>
  <si>
    <t>০৪৮,মোঃ নজরুল ইসলাম,৫৭০০৫৩৩7৪৪৩৫,মোঃ আঃ রহমান,মোছাঃ নেকজান খাতুন,১০/০৫/১৯৭৭,কৃষক,"দক্ষিণ তেঁতুলবাড়িয়া, গাংনী, মেহেরপুর"</t>
  </si>
  <si>
    <t>০৪৯,মোঃ আনারুল ইসলাম,৫৭০০৫৩৩7৪৪৩৮,মোঃ আঃ রহমান,মোছাঃ নেকজান খাতুন,১০/০৫/১৯৭৭,কৃষক,"দক্ষিণ তেঁতুলবাড়িয়া, গাংনী, মেহেরপুর"</t>
  </si>
  <si>
    <t>০৫০,মোঃ মতিয়ার রহমান,৫৭০০৫৩৩7৪৪৪০,মোঃ চায়েন উদ্দিন,মোছাঃ সুন্দরী,২৫/০৯/১৯৭২,কৃষক,"দক্ষিণ তেঁতুলবাড়িয়া, গাংনী, মেহেরপুর"</t>
  </si>
  <si>
    <t>০৫১,মোঃ গনি শেখ,৫৭০০৫৩৩7৪৪৪৬,মজুহার শেখ,মোছাঃ হাজেরা খাতুন,০৫/০১/১৯৬২,দিনমজুর,"দক্ষিণ তেঁতুলবাড়িয়া, গাংনী, মেহেরপুর"</t>
  </si>
  <si>
    <t>০৫২,মোঃ মিজানুর রহমান,৫৭০০৫৩৩7৪৪৫০,মোঃ মুজাফফর বিশ্বাস,মোছাঃ জাহেরা খাতুন,০৫/০২/১৯৬৭,দিনমজুর,"দক্ষিণ তেঁতুলবাড়িয়া, গাংনী, মেহেরপুর"</t>
  </si>
  <si>
    <t>০৫৩,মোঃ মজিদ আলী,৫৭০০৫৩৩7৪৪৫২,দুঃখী মন্ডল,মোছাঃ ছারা খাতুন,০৫/০৫/১৯৬২,দিনমজুর,"দক্ষিণ তেঁতুলবাড়িয়া, গাংনী, মেহেরপুর"</t>
  </si>
  <si>
    <t>০৫৪,মোঃ আতিয়ার রহমান,৫৭০০৫৩৩7৪৪৬০,মোঃ চায়েন উদ্দিন,মাতাঃ সুন্দরী খাতুন,১০/০৩/১৯৭০,কৃষক,"দক্ষিণ তেঁতুলবাড়িয়া, গাংনী, মেহেরপুর"</t>
  </si>
  <si>
    <t>০৫৫,মোঃ জামাত আলী,৫৭০০৫৩৩7৪৪৬৫,কচিমদ্দীন বিশ্বাস,মোছাঃ জাহিরন নেছা,১০/০২/১৯৫৭,কৃষক,"দক্ষিণ তেঁতুলবাড়িয়া, গাংনী, মেহেরপুর"</t>
  </si>
  <si>
    <t>০৫৬,মোঃ মোসলেম উদ্দীন,৫৭০০৫৩৩7৪৪৬৮,ফুলবাস মন্ডল,মাতাঃ নেকজান খাতুন,১০/০১/১৯৫৭,কৃষক,"দঃ তেতুল বাড়িয়া, গাংনী, মেহেরপুর"</t>
  </si>
  <si>
    <t>০৫৭,মোঃ বানারুল ইসলাম,৫৭০০৫৩৩7৪৪৭০,মোঃ আঃ রহমান,মোছাঃ নেকজান,১৫/০১/১৯৮৭,কৃষক,"দক্ষিণ তেঁতুলবাড়িয়া, গাংনী, মেহেরপুর"</t>
  </si>
  <si>
    <t>০৫৮,মোঃ রাজিবুল ইসলাম,৫৭০০৫৩৩7৪৪৭১,মোঃ লিয়াকত আলী,মোছাঃ হাজেরা খাতুন,১৫/০৫/১৯৮৬,কৃষক,"দঃ তেতুলবাড়িয়া, গাংনী, মেহেরপুর"</t>
  </si>
  <si>
    <t>০৫৯,মোঃ হেলাল উদ্দিন,৫৭০০৫৩৩7৪৪৭২,মোঃ হাশেম আলী,মোছাঃ বেবী খাতুন,১০/০৭/১৯৮৫,কৃষক,"দক্ষিণ তেঁতুলবাড়িয়া, গাংনী, মেহেরপুর"</t>
  </si>
  <si>
    <t>০৬০,মোঃ দেলোয়ার হোসেন,৫৭০০৫৩৩7৪৪৭৩,মোঃ চায়ান উদ্দীন,মোছাঃ বেফুল খাতুন,১৫/০৮/১৯৮৫,কৃষক,"দঃ তেতুলবাড়িয়া, গাংনী, মেহেরপুর"</t>
  </si>
  <si>
    <t>০৬১,রিপন আলী,৫৭০০৫৩৩7৪৪7৪,পিতাঃ মোহামদ তাহের আলী,মাতাঃ ছাবিরন খাতুন,১৫/০৫/১৯৮৬,কৃষক,"দঃ তেতুলবাড়িয়া, গাংনী, মেহেরপুর"</t>
  </si>
  <si>
    <t>০৬২,মোঃ হাশেম আলী,৫৭০০৫৩৩7৪৪৭৫,মোঃ তাহাজুদ্দিন,মোছাঃ আয়েশা খাতুন,১০/০৫/১৯৬১,কৃষক,"দক্ষিণ তেঁতুলবাড়িয়া, গাংনী, মেহেরপুর"</t>
  </si>
  <si>
    <t>০৬৩,মোঃ জিনারুল ইসলাম,৫৭০০৫৩৩7৪৪৭৬,মোঃ আঃ লতিফ,মোছাঃ জাহানারা খাতুন,১০/০৫/১৯৮৪,কৃষক,"দক্ষিণ তেঁতুলবাড়িয়া, গাংনী, মেহেরপুর"</t>
  </si>
  <si>
    <t>০৬৪,মোঃ জাকিরুল ইসলাম,৫৭০০৫৩৩7৪৪৭৭,মোঃ আঃ লতিব,মোছাঃ জাহানারা খাতুন,০৮/০১/১৯৮৭,কৃষক,"দক্ষিণ তেঁতুলবাড়িয়া, গাংনী, মেহেরপুর"</t>
  </si>
  <si>
    <t>০৬৫,মোঃ তানজিল হোসেন,৫৭০০৫৩৩7৪৪৭৯,মোঃ আপেল বিশ্বাস,মোছাঃ ছামেনা খাতুন,১০/০৫/১৯৫৭,কৃষক,"দক্ষিণ তেঁতুলবাড়িয়া, গাংনী, মেহেরপুর"</t>
  </si>
  <si>
    <t>০৬৬,মোঃ তাহের আলী,৫৭০০৫৩৩7৪৪৮০,মোঃ মফেজ উদ্দীন,মোছাঃ কদভান খাতুন,১৫/০২/১৯৬২,কৃষক,"দক্ষিণ তেঁতুলবাড়িয়া, গাংনী, মেহেরপুর"</t>
  </si>
  <si>
    <t>০৬৭,মোঃ আরিফুল ইসলাম,৫৭০০৫৩৩7৪৪৮১,মোঃ আহসান আলী,মোছাঃ ছাহেরা খাতুন,১৩/১০/১৯৮২,বেসরকারী চাকুরী,"দঃ তেতুলবাড়িয়া, গাংনী, মেহেরপুর"</t>
  </si>
  <si>
    <t>০৬৮,মোঃ রাজ্জাক আলী,৫৭০০৫৩৩7৪৪৮২,মোঃ মুজাম্মেল হক,মোছাঃ ফাতেমা খাতুন,১৮/০২/১৯৭৩,কৃষক,"দঃ তেতুলবাড়িয়া, গাংনী, মেহেরপুর"</t>
  </si>
  <si>
    <t>০৬৯,মোঃ মোলায়েম আলী,৫৭০০৫৩৩7৪৪৮৪,মোঃ আঃ আজিজ,মোছাঃ ফুলজান নেছা,০৫/০১/১৯৭৩,কৃষক,"দঃ তেতুল বাড়িয়া, গাংনী, মেহেরপুর"</t>
  </si>
  <si>
    <t>০৭০,মোঃ উসমান গণি,৫৭০০৫৩৩7৪৪৮৫,সিরাজ উদ্দীন,মোছাঃ ছালেহা খাতুন,২৫/০১/১৯৬৫,কৃষক,"দঃ তেতুল বাড়িয়া, গাংনী, মেহেরপুর"</t>
  </si>
  <si>
    <t>০৭১,মোঃ আহাদ আলী,৫৭০০৫৩৩7৪৪৮৬,মোঃ নবিছুদ্দিন,মোছাঃ হালিমা খাতুন,১৭/০২/১৯৭৩,শ্রমিক,"দক্ষিণ তেঁতুলবাড়িয়া, গাংনী, মেহেরপুর"</t>
  </si>
  <si>
    <t>০৭২,মোঃ আমিরুল ইসলাম,৫৭০০৫৩৩7৪৪৮৭,মোঃ আঃ রহমান,মোছাঃ আছিয়া খাতুন,০৯/০১/১৯৭৮,কৃষক,"দঃ তেতুল বাড়িয়া, গাংনী, মেহেরপুর"</t>
  </si>
  <si>
    <t>০৭৩,মোঃ সাহারুল ইসলাম,৫৭০০৫৩৩7৪৪৮৮,হাউস আলী,মোছাঃ কহিনুর,০৭/০২/১৯৮০,রিক্সা/ভ্যান চালক,"দঃ তেতুলবাড়িয়া, গাংনী, মেহেরপুর"</t>
  </si>
  <si>
    <t>০৭৪,মোঃ মোস্তফা,৫৭০০৫৩৩7৪৪৯০,মোঃ আঃ আজিজ,মোছাঃ ফুলজান,১০/১০/১৯৭৭,কৃষক,"দঃ তেতুল বাড়িয়া, গাংনী, মেহেরপুর"</t>
  </si>
  <si>
    <t>০৭৫,মোঃ তোফাজ্জেল আলী,৫৭০০৫৩৩7৪৪৯৩,মোঃ ফজল জদ্দার,মোছাঃ ফতেজা খাতুন,০৮/১১/১৯৭২,কৃষক,"দঃ তেতুল বাড়িয়া, গাংনী, মেহেরপুর"</t>
  </si>
  <si>
    <t>০৭৬,মোঃ বকুল হোসেন,৫৭০০৫৩৩7৪৪৯৪,হাবেজ উদ্দীন,মোছাঃ লাহেলা খাতুন,২০/১১/১৯৬৭,কৃষক,"দক্ষিন তেতুল বাড়িয়া, গাংনী, মেহেরপুর"</t>
  </si>
  <si>
    <t>০৭৭,মোঃ আলফাজ,৫৭০০৫৩৩7৪৪৯৬,রবজেল,মোছাঃ মনোয়ারা,০১/০১/১৯৯০,কৃষক,"দঃ তেতুলবাড়িয়া, গাংনী, মেহেরপুর"</t>
  </si>
  <si>
    <t>০৭৮,মোঃ জিনারুল,৫৭০০৫৩৩7৪৪৯৭,মোঃ মসলেম আলী,মোছাঃ জবেদা খাতুন,১২/০২/১৯৮৭,শ্রমিক,"দক্ষিন তেঁতুলবাড়িয়া, গাংনী, মেহেরপুর"</t>
  </si>
  <si>
    <t>০৭৯,মোঃ শামসুল হুদা,৫৭০০৫৩৩7৪৫৪৫,মফেজ উদ্দীন,মোছাঃ সহিতেন নেছা,২৫/১০/১৯৫৯,দিনমজুর,"দঃ তেতুল বাড়িয়া, গাংনী, মেহেরপুর"</t>
  </si>
  <si>
    <t>০৮০,মোঃ বদরুদ্দীন,৫৭০০৫৩৩7৪৫৫৬,দুখি মন্ডল,মোছাঃ ছারা খাতুন,১৫/০৫/১৯৫৯,কৃষক,"দঃ তেতুল বাড়িয়া, গাংনী, মেহেরপুর"</t>
  </si>
  <si>
    <t>০৮১,মোঃ আনেচ উদ্দীন,৫৭০০৫৩৩7৪৫৬২,আলি হোসেন,মোছাঃ ছকিনা খাতুন,২০/০৮/১৯৭২,কৃষক,"দক্ষিণ তেঁতুলবাড়িয়া, গাংনী, মেহেরপুর"</t>
  </si>
  <si>
    <t>০৮২,মোঃ লাল্টু,৫৭০০৫৩৩7৪৫৬৫,মোঃ বিশারত আলী,মোছাঃ সাজেদা খাতুন,১০/০৯/১৯৮২,কৃষক,"দক্ষিণ তেঁতুলবাড়িয়া, গাংনী, মেহেরপুর"</t>
  </si>
  <si>
    <t>০৮৩,মোঃ হেলাল উদ্দিন,৫৭০০৫৩৩7৪৫৬৮,মোঃ বদর উদ্দীন,মোছাঃ তহমিনা খাতুন,১০/০৫/১৯৮২,কৃষক,"দক্ষিণ তেঁতুলবাড়িয়া, গাংনী, মেহেরপুর"</t>
  </si>
  <si>
    <t>০৮৫,মোঃ মজিবুর রহমান,৫৭০০৫৩৩7৪৬৫৭,রহিম বক্স,মোছাঃ ওবিছুন নেছা,১২/০৮/১৯৬২,কৃষক,"দক্ষিণ তেঁতুলবাড়িয়া, গাংনী, মেহেরপুর"</t>
  </si>
  <si>
    <t>০৮৬,মোঃ লাল্টু,৫৭০০৫৩৩7৪৬৫৮,মোঃ শামসুল হক,মোছাঃ মারজিয়া খাতুন,১৫/১০/১৯৭৭,মিস্ত্রী,"দক্ষিণ তেঁতুলবাড়িয়া, গাংনী, মেহেরপুর"</t>
  </si>
  <si>
    <t>০৮৭,মোঃ লালু মিয়া,৫৭০০৫৩০০০০০১,মোঃ চায়েন উদ্দীন,মোছাঃ রেফুল খাতুন,১২/০৮/১৯৯১,কৃষক,"দক্ষিণ তেঁতুলবাড়ীয়া, গাংনী, মেহেরপুর"</t>
  </si>
  <si>
    <t>০৮৮,মোঃ আশরাফুল ইসলাম,৫৭০০৫৩০০০০০২,মোঃ রুস্তম আলী,মোছাঃ আশুরা খাতুন,১১/০৯/১৯৯১,কৃষক,"দক্ষিণ তেঁতুলবাড়ীয়া, গাংনী, মেহেরপুর"</t>
  </si>
  <si>
    <t>০৮৯,মোঃ জসিম উদ্দীন,৫৭০০৫৩০০০০০৬,মোঃ সোহরাব হোসেন,মোছাঃ ফুলছুরা,১৫/১০/১৯৮৯,কৃষক,"দক্ষিণ তেঁতুলবাড়ীয়া, গাংনী, মেহেরপুর"</t>
  </si>
  <si>
    <t>০৯০,মোঃ ইসরাফিল হোসেন,৫৭০০৫৩০০০০০৭,মোঃ আত্তাব আলি,মোছাঃ রাশিয় খাতুন,১২/০২/১৯৮৯,কৃষক,"দক্ষিণ তেঁতুলবাড়ীয়া, গাংনী, মেহেরপুর"</t>
  </si>
  <si>
    <t>০৯১,মোঃ নাজমুল ইসলাম,৫৭০০৫৩০০০০০৮,মোঃ মনিরুল ইসলাম,মোছাঃ ফুলজান,০২/০১/১৯৯০,কৃষক,"দক্ষিন তেঁতুলবাড়িয়া, গাংনী, মেহেরপুর"</t>
  </si>
  <si>
    <t>০৯২,মোঃ লিটন,৫৭০০৫৩০০০০০৯,মোঃ মজিবুর রহমান,মোছাঃ পারুলা খাতুন,০৮/০৪/১৯৯০,কৃষক,"দক্ষিন তেঁতুলবাড়িয়া, গাংনী, মেহেরপুর"</t>
  </si>
  <si>
    <t>০৯৩,মোঃ মজিবুল ইসলাম,৫৭০০৫৩০০০০১০,মোঃ লিয়াকত আলী,মোছাঃ হাজেরা বেগম,০৭/০৮/১৯৯০,কৃষক,"দক্ষিন তেঁতুলবাড়িয়া, গাংনী, মেহেরপুর"</t>
  </si>
  <si>
    <t>০৯৪,মোঃ স্বপন আলী,৫৭০০৫৩০০০০১৩,মোঃ তাহের আলী,মোছাঃ ছহিরন খাতুন,২০/০৬/১৯৮৯,কৃষক,"দক্ষিন তেঁতুলবাড়িয়া, গাংনী, মেহেরপুর"</t>
  </si>
  <si>
    <t>০৯৫,মোঃ সোহেল রানা,৫৭০০৫৩০০০০১৭,মোঃ মোজাম্মেল হক,মোছাঃ ফাতেমা খাতুন,২১/০৩/১৯৮৬,ব্যবসা,"দক্ষিন তেঁতুলবাড়িয়া, গাংনী, মেহেরপুর"</t>
  </si>
  <si>
    <t>০৯৬,মোঃ আলামিন,৫৭০০৫৩০০০০১৯,মোহাঃ আহাদ আলী,মাতাঃ মোছাঃ শেফালী খাতুন,২০/০৬/১৯৮৯,কৃষক,"দক্ষিন তেঁতুলবাড়িয়া, গাংনী, মেহেরপুর"</t>
  </si>
  <si>
    <t>০৯৭,মোঃ ফরহাদ বিশ্বাস,৫৭০০৫৩০০০০২৪,মোঃ মিজানুর রহমান,মোছাঃ ফজিলা খাতুন,০৭/০৭/১৯৮৫,কৃষক,"দক্ষিন তেঁতুলবাড়িয়া, গাংনী, মেহেরপুর"</t>
  </si>
  <si>
    <t>০৯৮,মোঃ ফরিদ উজ্জামান,৫৭০০৫৩০০০০২৫,মোঃ মিজানুর রহমান,মোছাঃ ফজিলা বেগম,১০/০৫/১৯৯০,কৃষক,"দক্ষিন তেঁতুলবাড়িয়া, গাংনী, মেহেরপুর"</t>
  </si>
  <si>
    <t>০৯৯,মোঃ আলী মোবারক,৫৭০০৫৩০০০০২৮,মোঃ শামসুল হুদা,মোছাঃ বেলেয়ারা খাতুন,০৮/০৮/১৯৯২,কৃষক,"দক্ষিন তেঁতুলবাড়িয়া, গাংনী, মেহেরপুর"</t>
  </si>
  <si>
    <t>১০০,মোঃ খিলাফত হোসেন,৫৭০০৫৩০০০০২৯,মোঃ হাসেম আলী,মোছাঃ শাহানারা খাতুন,২০/০৬/১৯৯৪,কৃষক,"দক্ষিন তেঁতুলবাড়িয়া, গাংনী, মেহেরপুর"</t>
  </si>
  <si>
    <t>১০১,মোঃ আশরাফুল ইসলাম,৫৭০০৫৩০০০০২৬,মোঃ আহসান হাবিব,মোছাঃ ছাহেরা খাতুন,১৩/১০/১৯৯৪,ছাত্র/ছাত্রী,"দক্ষিন তেঁতুলবাড়িয়া, গাংনী, মেহেরপুর"</t>
  </si>
  <si>
    <t>১০২,আলফাজ,৫৭০০৫৩০০০০৩১,আঃ গনি,আল্লাদী,২৫/০২/১৯৯২,কৃষক,"দক্ষিন তেঁতুলবাড়িয়া, গাংনী, মেহেরপুর"</t>
  </si>
  <si>
    <t>১০৩,মোঃ জহুরুল ইসলাম,৫৭০০৫৩০০০০৩২,মসলেম,জবেদা খাতুন,০৮/০৬/১৯৯১,কৃষক,"দক্ষিন তেঁতুলবাড়িয়া, গাংনী, মেহেরপুর"</t>
  </si>
  <si>
    <t>১০৪,মোঃ তৌকিরুল ইসলাম,৫৭০০৫৩০০০০৩৩,মোঃ জামাত আলী,মোছাঃ শয়মন নেছা,০৭/০৫/১৯৯২,কৃষক,"দক্ষিন তেঁতুলবাড়িয়া, গাংনী, মেহেরপুর"</t>
  </si>
  <si>
    <t>১০৫,ইসরাফিল আলম,৫৭০০৫৩০০০০৩৪,আফজাল হোসেন,ফুলছুরা খাতুন,২৩/০৯/১৯৯৫,ছাত্র/ছাত্রী,"দক্ষিন তেঁতুলবাড়িয়া, গাংনী, মেহেরপুর"</t>
  </si>
  <si>
    <t>১০৬,মোঃ নাজমুল হোসেন,৫৭০০৫৩০০০০৩৫,মোঃ তানজিল হোসেন,মোছাঃ মর্জিনা খাতুন,১২/১০/১৯৯৪,ছাত্র/ছাত্রী,"দক্ষিন তেঁতুলবাড়িয়া, গাংনী, মেহেরপুর"</t>
  </si>
  <si>
    <t>১০৭,মোঃ শফিকুল ইসলাম,৫৭০০৫৩০০০০৩৯,আনেচ উদ্দীন,মোছাঃ নাজেরা খাতুন,২৪/০৬/১৯৯৭,ব্যবসা,"দক্ষিন তেঁতুলবাড়িয়া, গাংনী, মেহেরপুর"</t>
  </si>
  <si>
    <t>১০৮,মোঃ জামিরুল ইসলাম অন্তর,৫৭০০৫৩০০০০৪০,মোঃ আব্দুল লতিব,মোছাঃ জাহানারা খাতুন,০৬/০৮/১৯৯৬,ছাত্র/ছাত্রী,"দক্ষিন তেঁতুলবাড়িয়া, গাংনী, মেহেরপুর"</t>
  </si>
  <si>
    <t>১০৯,তৌহিদুল,৫৭০০৫৩০০০০৪৩,মোঃ তোফাজ্জেল আলী,মোছাঃ মহিলা খাতুন,০৯/০৭/১৯৯১,কৃষক,"দক্ষিন তেঁতুলবাড়িয়া, গাংনী, মেহেরপুর"</t>
  </si>
  <si>
    <t>১১০,মোঃ আনোয়ার হোসেন,৫৭০০৫৩০০০০৪৪,আমিরুল ইসলাম,মোছাঃ ছামেনা খাতুন,০১/০৩/১৯৯৫,কৃষক,"দক্ষিন তেঁতুলবাড়িয়া, গাংনী, মেহেরপুর"</t>
  </si>
  <si>
    <t>১১১,মোঃ তারিকুল ইসলাম,৫৭০০৫৩০০০০২০,মোঃ রাফিজুল হক,মোছাঃ রোকেয়া খাতুন,০১/০১/২০০০,কৃষক,"দক্ষিন তেঁতুলবাড়িয়া, গাংনী, মেহেরপুর"</t>
  </si>
  <si>
    <t>১১২,ওলিউল্লাহ হামিদী,৫৭০০৫৩০০০০৪৬,মোঃ হাসান আলী,মোছাঃ রহিমা খাতুন,০৮/০৬/১৯৯৮,ছাত্র/ছাত্রী,"দক্ষিন তেঁতুলবাড়িয়া, গাংনী, মেহেরপুর"</t>
  </si>
  <si>
    <t>১১৩,মোঃ সাইদুজ্জামান,৫৭০০৫৩০০০০৪৭,মোঃ সামসুল হুদা,মোছাঃ জহুরা নেছা,১১/০৯/১৯৮০,কৃষক,"দক্ষিন তেঁতুলবাড়িয়া, গাংনী, মেহেরপুর"</t>
  </si>
  <si>
    <t>১১৪,মোঃ কামরুল ইসলাম,৫৭০০৫৩০০০০৪৯,মোঃ আব্দুল লতিব,মোছাঃ জাহানারা বেগম,০১/০১/২০০০,ছাত্র/ছাত্রী,"দক্ষিন তেঁতুলবাড়িয়া, গাংনী, মেহেরপুর"</t>
  </si>
  <si>
    <t>১১৫,মোঃ রকিবুল ইসলাম,৫৭০০৫৩০০০০৪৮,মোঃ রাফিজুল হক,মোছাঃ রোকেয়া খাতুন,২৫/০৫/১৯৯৯,কৃষক,"দক্ষিন তেঁতুলবাড়িয়া, গাংনী, মেহেরপুর"</t>
  </si>
  <si>
    <t>১১৬,মোঃ আবু হানিফ,৫৭০০৫৩০০০০৫১,আনারুল,আছিয়া,২০/০৬/১৯৯৮,কৃষক,"দক্ষিন তেঁতুলবাড়িয়া, গাংনী, মেহেরপুর"</t>
  </si>
  <si>
    <t>১১৭,মোঃ রাকিবুল ইসলাম,৫৭০০৫৩০০০০৪,মোঃ আতিয়ার রহমান,মোছাঃ রাফিয়া খাতুন,০৮/০৬/১৯৯৯,কৃষক,"দক্ষিন তেঁতুলবাড়িয়া, গাংনী, মেহেরপুর"</t>
  </si>
  <si>
    <t>১১৮,মোঃ সোহাগ আলী,৫৭০০৫৩০০০০৫৪,মোঃ ফজলুল হক,মৃত ছাবিনা,০৫/০৬/১৯৯৯,কৃষক,"দক্ষিন তেঁতুলবাড়িয়া, গাংনী, মেহেরপুর"</t>
  </si>
  <si>
    <t>১১৯,মোঃ সোহেল রানা,৫৭০০৫৩০০০০৫৫,মোঃ মইনুদ্দিন,মোছাঃ জাহানারা খাতুন,২০/০৬/২০০১,কৃষক,"দক্ষিন তেঁতুলবাড়িয়া, গাংনী, মেহেরপুর"</t>
  </si>
  <si>
    <t>১২০,মোঃ রাসেল হোসেন,৫৭০০৫৩০০০০৫৬,মোঃ লিয়াকত আলী,মোছাঃ বিলকিস বানু,১০/০৮/২০০২,ছাত্র/ছাত্রী,"দক্ষিন তেঁতুলবাড়িয়া, গাংনী, মেহেরপুর"</t>
  </si>
  <si>
    <t>১২১,মোঃ মশিউর রহমান,৫৭০০৫৩০০০০৫৭,মৃত শহিদুল ইসলাম,মোছাঃ মোমেনা খাতুন,১৫/০৫/২০০১,কৃষক,"দক্ষিন তেঁতুলবাড়িয়া, গাংনী, মেহেরপুর"</t>
  </si>
  <si>
    <t>১২২,মোঃ আসলাম আলী,৫৭০০৫৩০০০০৬০,মোঃ রুস্তম আলী,মোছাঃ আশুরা খাতুন,২১/০৬/২০০২,ছাত্র/ছাত্রী,"দক্ষিন তেঁতুলবাড়িয়া, গাংনী, মেহেরপুর"</t>
  </si>
  <si>
    <t>১২৩,মোঃ জুরাইস হুসাইন,৫৭০০৫৩০০০০৬১,মোঃ আনারুল ইসলাম,মোছাঃ আছিয়া খাতুন,২০/০৬/২০০১,কৃষক,"দক্ষিন তেঁতুলবাড়িয়া, গাংনী, মেহেরপুর"</t>
  </si>
  <si>
    <t>১২৪,মোঃ ইসরাইল হোসেন,৫৭০০৫৩০০০০৬৩,মোঃ আমিরুল ইসলাম,মোছাঃ মরিয়ম নেছা,০৮/০৫/১৯৯০,ব্যবসা,"দক্ষিন তেঁতুলবাড়িয়া, গাংনী, মেহেরপুর"</t>
  </si>
  <si>
    <t>১২৫,মোঃ শরিফুল ইসলাম,৫৭০০৫৩০০০০৬৫,মোঃ রাফিজুল হক,মোছাঃ রোকেয়া খাতুন,১৫/০৫/২০০১,কৃষক,"দক্ষিন তেঁতুলবাড়িয়া, গাংনী, মেহেরপুর"</t>
  </si>
  <si>
    <t>১২৬,মোঃ ইমরান হোসেন,৫৭০০৫৩০০০০৬৮,মোঃ ইব্রাহিম আলী,মোছাঃ জরিনা খাতুন,২০/০৬/১৯৯৭,ছাত্র/ছাত্রী,"দক্ষিন তেঁতুলবাড়িয়া, গাংনী, মেহেরপুর"</t>
  </si>
  <si>
    <t>১২৭,হযরত আলী,৫৭০০৫৩০০০০৬৯,মোঃ বকুল বিশ্বাস,মোছাঃ জহুরা খাতুন,০৬/০৯/১৯৯৭,কৃষক,"দক্ষিন তেঁতুলবাড়িয়া, গাংনী, মেহেরপুর"</t>
  </si>
  <si>
    <t>১২৮,মোঃ খাইরুল ইসলাম,৫৭০০৫৩০০০০৭০,মোঃ মনিরুল ইসলাম,মোছাঃ ফুলজান,১৯/০৭/২০০২,ছাত্র/ছাত্রী,"দক্ষিন তেঁতুলবাড়িয়া, গাংনী, মেহেরপুর"</t>
  </si>
  <si>
    <t>১২৯,মোঃ হুসাইন আলী,৫৭০০৫৩০০০০৭৩,মোঃ আলামিন হোসেন,মোছাঃ রুপালী খাতুন,০৬/০১/২০০২,কৃষক,"দক্ষিন তেঁতুলবাড়িয়া, গাংনী, মেহেরপুর"</t>
  </si>
  <si>
    <t>১৩০,নাজমুল হুসাইন,৫৭০০৫৩০০০০৭৪,মৃত ইদ্রিস আলী,মোছাঃ নাজেরা বেগম,২৫/০২/২০০৩,কৃষক,"দক্ষিন তেঁতুলবাড়িয়া, গাংনী, মেহেরপুর"</t>
  </si>
  <si>
    <t>১৩১,মিজানুর রহমান,৫৭০০৫৩০০০০৭৫,মোঃ মুহরুল ইসলাম,মোছাঃ বানিয়া খাতুন,১০/০৯/১৯৯৪,কৃষক,"দক্ষিন তেঁতুলবাড়িয়া, গাংনী, মেহেরপুর"</t>
  </si>
  <si>
    <t>১৩২,মোঃ হাবিবুর রহমান,৫৭০০৫৩০০০০৭৬,মোঃ আলতাব হোসেন,মোছাঃ হালিমা খাতুন,২০/০৬/২০০১,কৃষক,"দক্ষিন তেঁতুলবাড়িয়া, গাংনী, মেহেরপুর"</t>
  </si>
  <si>
    <t>১৩৩,মোঃ মাফুজ রানা,৫৭০০৫৩৩7৪৬৬১,মোঃ খোকন আলী,মোছাঃ নারগিছ আরা,০১/০১/২০০০,ছাত্র/ছাত্রী,"দক্ষিন তেঁতুলবাড়িয়া, গাংনী, মেহেরপুর"</t>
  </si>
  <si>
    <t>১৩৪,মোঃ মাসুম রেজা,৫৭০০৫৩৩7৪৬৬০,মোঃ শহিদুল ইসলাম,মোছাঃ ইশারন নেছা,০৫/০২/১৯৮২,দিনমজুর,"দক্ষিন তেঁতুলবাড়িয়া, গাংনী, মেহেরপুর"</t>
  </si>
  <si>
    <t>১৩৫,রানা হামিদ,৫৭০০৫৩০০০০৮৬,মোঃ নাসিরুল,মোছাঃ আনার কলি,২৫/০১/২০০৫,কৃষক,"দক্ষিন তেঁতুলবাড়িয়া, গাংনী, মেহেরপুর"</t>
  </si>
  <si>
    <t>১৩৬,মোঃ নাইম হোসেন,৫৭০০৫৩০০০০৮৭,মোঃ রাশিদুল ইসলাম,মোছাঃ বেলী খাতুন,০৫/০৪/২০০৫,ছাত্র/ছাত্রী,"দক্ষিন তেঁতুলবাড়িয়া, গাংনী, মেহেরপুর"</t>
  </si>
  <si>
    <t>১৩৭,মোঃ সেলিম রেজা,৫৭০০৫৩০০০০৮৮,মোঃ আমিরুল ইসলাম,মোছাঃ শেফালী খাতুন,২০/০১/২০০৬,ছাত্র/ছাত্রী,"দক্ষিন তেঁতুলবাড়িয়া, গাংনী, মেহেরপুর"</t>
  </si>
  <si>
    <t>১৩৮,মোঃ নাহিদ আলী,৫৭০০৫৩০০০০৮৯,মোঃ আব্দুস ছালাম,মোছাঃ নাজমা খাতুন,০৬/০৯/২০০৬,ছাত্র/ছাত্রী,"দক্ষিন তেঁতুলবাড়িয়া, গাংনী, মেহেরপুর"</t>
  </si>
  <si>
    <t>১৩৯,খলিল উল্লাহ,৫৭০০৫৩৩7৪৬৬৪,মোঃ হাসান আলী,মোছাঃ রহিমা খাতুন,০৩/০২/২০০০,শ্রমিক,"দক্ষিন তেঁতুলবাড়িয়া, গাংনী, মেহেরপুর"</t>
  </si>
  <si>
    <t>১৪০,মোঃ আল ইমরান,৫৭০০৫৩৩7৪৬৬৫,মৃত আফজাল,ফুলছুরা খাতুন,০৫/০২/২০০০,কৃষক,"দক্ষিন তেঁতুলবাড়িয়া, গাংনী, মেহেরপুর"</t>
  </si>
  <si>
    <t>১৪১,মোঃ ওবাইদুল্লাহ,৫৭০০৫৩০০০০৮৩,মোঃ আনেচ উদ্দীন,মোছাঃ নাজেরা খাতুন,০১/০৬/২০০২,শ্রমিক,"দক্ষিন তেঁতুলবাড়িয়া, গাংনী, মেহেরপুর"</t>
  </si>
  <si>
    <t>১৪২,মোঃ হাসান আলী,৫৭০০৫৩৩7৪৬৭১,মোঃ আলামিন,মোছাঃ রূপালি খাতুন,২০/০৫/২০০৬,কৃষক,"দক্ষিন তেঁতুলবাড়িয়া, গাংনী, মেহেরপুর"</t>
  </si>
  <si>
    <t>১৪৩,মোঃ সামিউল্লাহ,৫৭০০৫৩৩7৪৬৭২,মোঃ হাসান আলী,মোছাঃ রহিমা খাতুন,২৫/০৫/২০০৩,কৃষক,"দক্ষিন তেঁতুলবাড়িয়া, গাংনী, মেহেরপুর"</t>
  </si>
  <si>
    <t>১৪৪,মোঃ সোহাগ আলী,৫৭০০৫৩৩7৪৬৭৩,মোঃ ইসমাইল হক,মোছাঃ বিলকিছ বানু,০৮/০৫/২০০৩,ব্যবসা,"দক্ষিন তেঁতুলবাড়িয়া, গাংনী, মেহেরপুর"</t>
  </si>
  <si>
    <t>১৪৫,মোঃ মন্টু আলী,৫৭০০৫৩৩7৪৬৭৪,মোঃ বিশারত আলী,মোছাঃ আছিয়া খাতুন,০৬/০৯/২০০৬,কৃষক,"দক্ষিন তেঁতুলবাড়িয়া, গাংনী, মেহেরপুর"</t>
  </si>
  <si>
    <t>১৪৬,মোঃ বেল্টু হোসেন,৫৭০০৫৩৩7৪৬৮১,মোঃ লিয়াকত আলী,মোছাঃ বিলকিস বানু,১০/০৬/১৯৯৩,কৃষক,"দক্ষিন তেঁতুলবাড়িয়া, গাংনী, মেহেরপুর"</t>
  </si>
  <si>
    <t>১৪৭,মোঃ সুমন আলী,৫৭০০৫৩০০০০৯১,মোঃ তাহের আলী,মোছাঃ ছাবিরন খাতুন,২৫/০৬/২০০৭,কৃষক,"দক্ষিন তেঁতুলবাড়িয়া, গাংনী, মেহেরপুর"</t>
  </si>
  <si>
    <t>১৪৮,মোঃ তামিম ইকবাল,৫৭০০৫৩০০০০৯৩,মোঃ জিনারুল ইসলাম,মোছাঃ কাকলি খাতুন,১২/০৩/২০০৭,ছাত্র/ছাত্রী,"দক্ষিন তেঁতুলবাড়িয়া, গাংনী, মেহেরপুর"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</si>
</sst>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>
        <v>5.70053374303E11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ht="15.75" customHeight="1">
      <c r="A3" s="1">
        <v>2.0</v>
      </c>
      <c r="B3" s="1" t="s">
        <v>16</v>
      </c>
      <c r="C3" s="1" t="s">
        <v>17</v>
      </c>
      <c r="D3" s="1" t="s">
        <v>18</v>
      </c>
      <c r="E3" s="1">
        <v>5.70053374133E11</v>
      </c>
      <c r="F3" s="1" t="s">
        <v>19</v>
      </c>
      <c r="G3" s="1" t="s">
        <v>12</v>
      </c>
      <c r="H3" s="1" t="s">
        <v>20</v>
      </c>
      <c r="I3" s="1" t="s">
        <v>14</v>
      </c>
      <c r="J3" s="1" t="s">
        <v>15</v>
      </c>
    </row>
    <row r="4" ht="15.75" customHeight="1">
      <c r="A4" s="1">
        <v>3.0</v>
      </c>
      <c r="B4" s="1" t="s">
        <v>21</v>
      </c>
      <c r="C4" s="1" t="s">
        <v>22</v>
      </c>
      <c r="D4" s="1" t="s">
        <v>23</v>
      </c>
      <c r="E4" s="1">
        <v>5.70053374134E11</v>
      </c>
      <c r="F4" s="1" t="s">
        <v>24</v>
      </c>
      <c r="G4" s="1" t="s">
        <v>25</v>
      </c>
      <c r="H4" s="1" t="s">
        <v>26</v>
      </c>
      <c r="I4" s="1" t="s">
        <v>14</v>
      </c>
      <c r="J4" s="1" t="s">
        <v>15</v>
      </c>
    </row>
    <row r="5" ht="15.75" customHeight="1">
      <c r="A5" s="1">
        <v>4.0</v>
      </c>
      <c r="B5" s="1" t="s">
        <v>17</v>
      </c>
      <c r="C5" s="1" t="s">
        <v>27</v>
      </c>
      <c r="D5" s="1" t="s">
        <v>28</v>
      </c>
      <c r="E5" s="1">
        <v>5.70053374137E11</v>
      </c>
      <c r="F5" s="1" t="s">
        <v>29</v>
      </c>
      <c r="G5" s="1" t="s">
        <v>12</v>
      </c>
      <c r="H5" s="1" t="s">
        <v>26</v>
      </c>
      <c r="I5" s="1" t="s">
        <v>14</v>
      </c>
      <c r="J5" s="1" t="s">
        <v>15</v>
      </c>
    </row>
    <row r="6" ht="15.75" customHeight="1">
      <c r="A6" s="1">
        <v>5.0</v>
      </c>
      <c r="B6" s="1" t="s">
        <v>30</v>
      </c>
      <c r="C6" s="1" t="s">
        <v>31</v>
      </c>
      <c r="D6" s="1" t="s">
        <v>32</v>
      </c>
      <c r="E6" s="1">
        <v>5.70053374139E11</v>
      </c>
      <c r="F6" s="1" t="s">
        <v>33</v>
      </c>
      <c r="G6" s="1" t="s">
        <v>12</v>
      </c>
      <c r="H6" s="1" t="s">
        <v>26</v>
      </c>
      <c r="I6" s="1" t="s">
        <v>14</v>
      </c>
      <c r="J6" s="1" t="s">
        <v>15</v>
      </c>
    </row>
    <row r="7" ht="15.75" customHeight="1">
      <c r="A7" s="1">
        <v>6.0</v>
      </c>
      <c r="B7" s="1" t="s">
        <v>34</v>
      </c>
      <c r="C7" s="1" t="s">
        <v>31</v>
      </c>
      <c r="D7" s="1" t="s">
        <v>32</v>
      </c>
      <c r="E7" s="1">
        <v>5.70053374322E11</v>
      </c>
      <c r="F7" s="1" t="s">
        <v>35</v>
      </c>
      <c r="G7" s="1" t="s">
        <v>25</v>
      </c>
      <c r="H7" s="1" t="s">
        <v>20</v>
      </c>
      <c r="I7" s="1" t="s">
        <v>14</v>
      </c>
      <c r="J7" s="1" t="s">
        <v>15</v>
      </c>
    </row>
    <row r="8" ht="15.75" customHeight="1">
      <c r="A8" s="1">
        <v>7.0</v>
      </c>
      <c r="B8" s="1" t="s">
        <v>36</v>
      </c>
      <c r="C8" s="1" t="s">
        <v>37</v>
      </c>
      <c r="D8" s="1" t="s">
        <v>28</v>
      </c>
      <c r="E8" s="1">
        <v>5.70053374324E11</v>
      </c>
      <c r="F8" s="1" t="s">
        <v>38</v>
      </c>
      <c r="G8" s="1" t="s">
        <v>25</v>
      </c>
      <c r="H8" s="1" t="s">
        <v>39</v>
      </c>
      <c r="I8" s="1" t="s">
        <v>14</v>
      </c>
      <c r="J8" s="1" t="s">
        <v>15</v>
      </c>
    </row>
    <row r="9" ht="15.75" customHeight="1">
      <c r="A9" s="1">
        <v>8.0</v>
      </c>
      <c r="B9" s="1" t="s">
        <v>40</v>
      </c>
      <c r="C9" s="1" t="s">
        <v>41</v>
      </c>
      <c r="D9" s="1" t="s">
        <v>42</v>
      </c>
      <c r="E9" s="1">
        <v>5.70053374325E11</v>
      </c>
      <c r="F9" s="1" t="s">
        <v>43</v>
      </c>
      <c r="G9" s="1" t="s">
        <v>25</v>
      </c>
      <c r="H9" s="1" t="s">
        <v>44</v>
      </c>
      <c r="I9" s="1" t="s">
        <v>14</v>
      </c>
      <c r="J9" s="1" t="s">
        <v>15</v>
      </c>
    </row>
    <row r="10" ht="15.75" customHeight="1">
      <c r="A10" s="1">
        <v>9.0</v>
      </c>
      <c r="B10" s="1" t="s">
        <v>45</v>
      </c>
      <c r="C10" s="1" t="s">
        <v>40</v>
      </c>
      <c r="D10" s="1" t="s">
        <v>46</v>
      </c>
      <c r="E10" s="1">
        <v>5.70053374326E11</v>
      </c>
      <c r="F10" s="1" t="s">
        <v>47</v>
      </c>
      <c r="G10" s="1" t="s">
        <v>25</v>
      </c>
      <c r="H10" s="1" t="s">
        <v>20</v>
      </c>
      <c r="I10" s="1" t="s">
        <v>14</v>
      </c>
      <c r="J10" s="1" t="s">
        <v>15</v>
      </c>
    </row>
    <row r="11" ht="15.75" customHeight="1">
      <c r="A11" s="1">
        <v>10.0</v>
      </c>
      <c r="B11" s="1" t="s">
        <v>48</v>
      </c>
      <c r="C11" s="1" t="s">
        <v>49</v>
      </c>
      <c r="D11" s="1" t="s">
        <v>50</v>
      </c>
      <c r="E11" s="1">
        <v>5.70053374327E11</v>
      </c>
      <c r="F11" s="1" t="s">
        <v>51</v>
      </c>
      <c r="G11" s="1" t="s">
        <v>25</v>
      </c>
      <c r="H11" s="1" t="s">
        <v>20</v>
      </c>
      <c r="I11" s="1" t="s">
        <v>14</v>
      </c>
      <c r="J11" s="1" t="s">
        <v>15</v>
      </c>
    </row>
    <row r="12" ht="15.75" customHeight="1">
      <c r="A12" s="1">
        <v>11.0</v>
      </c>
      <c r="B12" s="1" t="s">
        <v>49</v>
      </c>
      <c r="C12" s="1" t="s">
        <v>52</v>
      </c>
      <c r="D12" s="1" t="s">
        <v>53</v>
      </c>
      <c r="E12" s="1">
        <v>5.7005337433E11</v>
      </c>
      <c r="F12" s="1" t="s">
        <v>54</v>
      </c>
      <c r="G12" s="1" t="s">
        <v>25</v>
      </c>
      <c r="H12" s="1" t="s">
        <v>26</v>
      </c>
      <c r="I12" s="1" t="s">
        <v>14</v>
      </c>
      <c r="J12" s="1" t="s">
        <v>15</v>
      </c>
    </row>
    <row r="13" ht="15.75" customHeight="1">
      <c r="A13" s="1">
        <v>12.0</v>
      </c>
      <c r="B13" s="1" t="s">
        <v>55</v>
      </c>
      <c r="C13" s="1" t="s">
        <v>56</v>
      </c>
      <c r="D13" s="1" t="s">
        <v>57</v>
      </c>
      <c r="E13" s="1">
        <v>5.70053374336E11</v>
      </c>
      <c r="F13" s="1" t="s">
        <v>58</v>
      </c>
      <c r="G13" s="1" t="s">
        <v>25</v>
      </c>
      <c r="H13" s="1" t="s">
        <v>20</v>
      </c>
      <c r="I13" s="1" t="s">
        <v>14</v>
      </c>
      <c r="J13" s="1" t="s">
        <v>15</v>
      </c>
    </row>
    <row r="14" ht="15.75" customHeight="1">
      <c r="A14" s="1">
        <v>13.0</v>
      </c>
      <c r="B14" s="1" t="s">
        <v>59</v>
      </c>
      <c r="C14" s="1" t="s">
        <v>55</v>
      </c>
      <c r="D14" s="1" t="s">
        <v>60</v>
      </c>
      <c r="E14" s="1">
        <v>5.70053374337E11</v>
      </c>
      <c r="F14" s="1" t="s">
        <v>61</v>
      </c>
      <c r="G14" s="1" t="s">
        <v>25</v>
      </c>
      <c r="H14" s="1" t="s">
        <v>62</v>
      </c>
      <c r="I14" s="1" t="s">
        <v>14</v>
      </c>
      <c r="J14" s="1" t="s">
        <v>15</v>
      </c>
    </row>
    <row r="15" ht="15.75" customHeight="1">
      <c r="A15" s="1">
        <v>14.0</v>
      </c>
      <c r="B15" s="1" t="s">
        <v>63</v>
      </c>
      <c r="C15" s="1" t="s">
        <v>64</v>
      </c>
      <c r="D15" s="1" t="s">
        <v>65</v>
      </c>
      <c r="E15" s="1">
        <v>5.70053374343E11</v>
      </c>
      <c r="F15" s="1" t="s">
        <v>66</v>
      </c>
      <c r="G15" s="1" t="s">
        <v>25</v>
      </c>
      <c r="H15" s="1" t="s">
        <v>67</v>
      </c>
      <c r="I15" s="1" t="s">
        <v>14</v>
      </c>
      <c r="J15" s="1" t="s">
        <v>15</v>
      </c>
    </row>
    <row r="16" ht="15.75" customHeight="1">
      <c r="A16" s="1">
        <v>15.0</v>
      </c>
      <c r="B16" s="1" t="s">
        <v>68</v>
      </c>
      <c r="C16" s="1" t="s">
        <v>69</v>
      </c>
      <c r="D16" s="1" t="s">
        <v>70</v>
      </c>
      <c r="E16" s="1">
        <v>5.70053374345E11</v>
      </c>
      <c r="F16" s="1" t="s">
        <v>38</v>
      </c>
      <c r="G16" s="1" t="s">
        <v>25</v>
      </c>
      <c r="H16" s="1" t="s">
        <v>67</v>
      </c>
      <c r="I16" s="1" t="s">
        <v>14</v>
      </c>
      <c r="J16" s="1" t="s">
        <v>15</v>
      </c>
    </row>
    <row r="17" ht="15.75" customHeight="1">
      <c r="A17" s="1">
        <v>16.0</v>
      </c>
      <c r="B17" s="1" t="s">
        <v>71</v>
      </c>
      <c r="C17" s="1" t="s">
        <v>72</v>
      </c>
      <c r="D17" s="1" t="s">
        <v>73</v>
      </c>
      <c r="E17" s="1">
        <v>5.70053374347E11</v>
      </c>
      <c r="F17" s="1" t="s">
        <v>74</v>
      </c>
      <c r="G17" s="1" t="s">
        <v>25</v>
      </c>
      <c r="H17" s="1" t="s">
        <v>20</v>
      </c>
      <c r="I17" s="1" t="s">
        <v>14</v>
      </c>
      <c r="J17" s="1" t="s">
        <v>15</v>
      </c>
    </row>
    <row r="18" ht="15.75" customHeight="1">
      <c r="A18" s="1">
        <v>17.0</v>
      </c>
      <c r="B18" s="1" t="s">
        <v>75</v>
      </c>
      <c r="C18" s="1" t="s">
        <v>76</v>
      </c>
      <c r="D18" s="1" t="s">
        <v>77</v>
      </c>
      <c r="E18" s="1">
        <v>5.70053374348E11</v>
      </c>
      <c r="F18" s="1" t="s">
        <v>78</v>
      </c>
      <c r="G18" s="1" t="s">
        <v>25</v>
      </c>
      <c r="H18" s="1" t="s">
        <v>26</v>
      </c>
      <c r="I18" s="1" t="s">
        <v>14</v>
      </c>
      <c r="J18" s="1" t="s">
        <v>15</v>
      </c>
    </row>
    <row r="19" ht="15.75" customHeight="1">
      <c r="A19" s="1">
        <v>18.0</v>
      </c>
      <c r="B19" s="1" t="s">
        <v>79</v>
      </c>
      <c r="C19" s="1" t="s">
        <v>80</v>
      </c>
      <c r="D19" s="1" t="s">
        <v>81</v>
      </c>
      <c r="E19" s="1">
        <v>5.70053374355E11</v>
      </c>
      <c r="F19" s="1" t="s">
        <v>82</v>
      </c>
      <c r="G19" s="1" t="s">
        <v>12</v>
      </c>
      <c r="H19" s="1" t="s">
        <v>67</v>
      </c>
      <c r="I19" s="1" t="s">
        <v>14</v>
      </c>
      <c r="J19" s="1" t="s">
        <v>15</v>
      </c>
    </row>
    <row r="20" ht="15.75" customHeight="1">
      <c r="A20" s="1">
        <v>19.0</v>
      </c>
      <c r="B20" s="1" t="s">
        <v>83</v>
      </c>
      <c r="C20" s="1" t="s">
        <v>76</v>
      </c>
      <c r="D20" s="1" t="s">
        <v>84</v>
      </c>
      <c r="E20" s="1">
        <v>5.7005337436E11</v>
      </c>
      <c r="F20" s="1" t="s">
        <v>38</v>
      </c>
      <c r="G20" s="1" t="s">
        <v>25</v>
      </c>
      <c r="H20" s="1" t="s">
        <v>20</v>
      </c>
      <c r="I20" s="1" t="s">
        <v>14</v>
      </c>
      <c r="J20" s="1" t="s">
        <v>15</v>
      </c>
    </row>
    <row r="21" ht="15.75" customHeight="1">
      <c r="A21" s="1">
        <v>20.0</v>
      </c>
      <c r="B21" s="1" t="s">
        <v>85</v>
      </c>
      <c r="C21" s="1" t="s">
        <v>64</v>
      </c>
      <c r="D21" s="1" t="s">
        <v>86</v>
      </c>
      <c r="E21" s="1">
        <v>5.70053374369E11</v>
      </c>
      <c r="F21" s="1" t="s">
        <v>87</v>
      </c>
      <c r="G21" s="1" t="s">
        <v>25</v>
      </c>
      <c r="H21" s="1" t="s">
        <v>26</v>
      </c>
      <c r="I21" s="1" t="s">
        <v>14</v>
      </c>
      <c r="J21" s="1" t="s">
        <v>15</v>
      </c>
    </row>
    <row r="22" ht="15.75" customHeight="1">
      <c r="A22" s="1">
        <v>21.0</v>
      </c>
      <c r="B22" s="1" t="s">
        <v>88</v>
      </c>
      <c r="C22" s="1" t="s">
        <v>85</v>
      </c>
      <c r="D22" s="1" t="s">
        <v>10</v>
      </c>
      <c r="E22" s="1">
        <v>5.7005337437E11</v>
      </c>
      <c r="F22" s="1" t="s">
        <v>89</v>
      </c>
      <c r="G22" s="1" t="s">
        <v>25</v>
      </c>
      <c r="H22" s="1" t="s">
        <v>67</v>
      </c>
      <c r="I22" s="1" t="s">
        <v>14</v>
      </c>
      <c r="J22" s="1" t="s">
        <v>15</v>
      </c>
    </row>
    <row r="23" ht="15.75" customHeight="1">
      <c r="A23" s="1">
        <v>22.0</v>
      </c>
      <c r="B23" s="1" t="s">
        <v>90</v>
      </c>
      <c r="C23" s="1" t="s">
        <v>31</v>
      </c>
      <c r="D23" s="1" t="s">
        <v>32</v>
      </c>
      <c r="E23" s="1">
        <v>5.70053374371E11</v>
      </c>
      <c r="F23" s="1" t="s">
        <v>91</v>
      </c>
      <c r="G23" s="1" t="s">
        <v>25</v>
      </c>
      <c r="H23" s="1" t="s">
        <v>26</v>
      </c>
      <c r="I23" s="1" t="s">
        <v>14</v>
      </c>
      <c r="J23" s="1" t="s">
        <v>15</v>
      </c>
    </row>
    <row r="24" ht="15.75" customHeight="1">
      <c r="A24" s="1">
        <v>23.0</v>
      </c>
      <c r="B24" s="1" t="s">
        <v>92</v>
      </c>
      <c r="C24" s="1" t="s">
        <v>31</v>
      </c>
      <c r="D24" s="1" t="s">
        <v>32</v>
      </c>
      <c r="E24" s="1">
        <v>5.70053374373E11</v>
      </c>
      <c r="F24" s="1" t="s">
        <v>82</v>
      </c>
      <c r="G24" s="1" t="s">
        <v>93</v>
      </c>
      <c r="H24" s="1" t="s">
        <v>67</v>
      </c>
      <c r="I24" s="1" t="s">
        <v>14</v>
      </c>
      <c r="J24" s="1" t="s">
        <v>15</v>
      </c>
    </row>
    <row r="25" ht="15.75" customHeight="1">
      <c r="A25" s="1">
        <v>24.0</v>
      </c>
      <c r="B25" s="1" t="s">
        <v>94</v>
      </c>
      <c r="C25" s="1" t="s">
        <v>95</v>
      </c>
      <c r="D25" s="1" t="s">
        <v>96</v>
      </c>
      <c r="E25" s="1">
        <v>5.70053374374E11</v>
      </c>
      <c r="F25" s="1" t="s">
        <v>97</v>
      </c>
      <c r="G25" s="1" t="s">
        <v>25</v>
      </c>
      <c r="H25" s="1" t="s">
        <v>26</v>
      </c>
      <c r="I25" s="1" t="s">
        <v>14</v>
      </c>
      <c r="J25" s="1" t="s">
        <v>15</v>
      </c>
    </row>
    <row r="26" ht="15.75" customHeight="1">
      <c r="A26" s="1">
        <v>25.0</v>
      </c>
      <c r="B26" s="1" t="s">
        <v>98</v>
      </c>
      <c r="C26" s="1" t="s">
        <v>31</v>
      </c>
      <c r="D26" s="1" t="s">
        <v>32</v>
      </c>
      <c r="E26" s="1">
        <v>5.70053374375E11</v>
      </c>
      <c r="F26" s="1" t="s">
        <v>99</v>
      </c>
      <c r="G26" s="1" t="s">
        <v>25</v>
      </c>
      <c r="H26" s="1" t="s">
        <v>26</v>
      </c>
      <c r="I26" s="1" t="s">
        <v>14</v>
      </c>
      <c r="J26" s="1" t="s">
        <v>15</v>
      </c>
    </row>
    <row r="27" ht="15.75" customHeight="1">
      <c r="A27" s="1">
        <v>26.0</v>
      </c>
      <c r="B27" s="1" t="s">
        <v>100</v>
      </c>
      <c r="C27" s="1" t="s">
        <v>101</v>
      </c>
      <c r="D27" s="1" t="s">
        <v>102</v>
      </c>
      <c r="E27" s="1">
        <v>5.70053374377E11</v>
      </c>
      <c r="F27" s="1" t="s">
        <v>91</v>
      </c>
      <c r="G27" s="1" t="s">
        <v>103</v>
      </c>
      <c r="H27" s="1" t="s">
        <v>67</v>
      </c>
      <c r="I27" s="1" t="s">
        <v>14</v>
      </c>
      <c r="J27" s="1" t="s">
        <v>15</v>
      </c>
    </row>
    <row r="28" ht="15.75" customHeight="1">
      <c r="A28" s="1">
        <v>27.0</v>
      </c>
      <c r="B28" s="1" t="s">
        <v>104</v>
      </c>
      <c r="C28" s="1" t="s">
        <v>101</v>
      </c>
      <c r="D28" s="1" t="s">
        <v>102</v>
      </c>
      <c r="E28" s="1">
        <v>5.70053374378E11</v>
      </c>
      <c r="F28" s="1" t="s">
        <v>105</v>
      </c>
      <c r="G28" s="1" t="s">
        <v>106</v>
      </c>
      <c r="H28" s="1" t="s">
        <v>26</v>
      </c>
      <c r="I28" s="1" t="s">
        <v>14</v>
      </c>
      <c r="J28" s="1" t="s">
        <v>15</v>
      </c>
    </row>
    <row r="29" ht="15.75" customHeight="1">
      <c r="A29" s="1">
        <v>28.0</v>
      </c>
      <c r="B29" s="1" t="s">
        <v>107</v>
      </c>
      <c r="C29" s="1" t="s">
        <v>108</v>
      </c>
      <c r="D29" s="1" t="s">
        <v>109</v>
      </c>
      <c r="E29" s="1">
        <v>5.7005337438E11</v>
      </c>
      <c r="F29" s="1" t="s">
        <v>99</v>
      </c>
      <c r="G29" s="1" t="s">
        <v>103</v>
      </c>
      <c r="H29" s="1" t="s">
        <v>110</v>
      </c>
      <c r="I29" s="1" t="s">
        <v>14</v>
      </c>
      <c r="J29" s="1" t="s">
        <v>15</v>
      </c>
    </row>
    <row r="30" ht="15.75" customHeight="1">
      <c r="A30" s="1">
        <v>29.0</v>
      </c>
      <c r="B30" s="1" t="s">
        <v>111</v>
      </c>
      <c r="C30" s="1" t="s">
        <v>112</v>
      </c>
      <c r="D30" s="1" t="s">
        <v>113</v>
      </c>
      <c r="E30" s="1">
        <v>5.70053374381E11</v>
      </c>
      <c r="F30" s="1" t="s">
        <v>114</v>
      </c>
      <c r="G30" s="1" t="s">
        <v>12</v>
      </c>
      <c r="H30" s="1" t="s">
        <v>20</v>
      </c>
      <c r="I30" s="1" t="s">
        <v>14</v>
      </c>
      <c r="J30" s="1" t="s">
        <v>15</v>
      </c>
    </row>
    <row r="31" ht="15.75" customHeight="1">
      <c r="A31" s="1">
        <v>30.0</v>
      </c>
      <c r="B31" s="1" t="s">
        <v>115</v>
      </c>
      <c r="C31" s="1" t="s">
        <v>116</v>
      </c>
      <c r="D31" s="1" t="s">
        <v>117</v>
      </c>
      <c r="E31" s="1">
        <v>5.70053374382E11</v>
      </c>
      <c r="F31" s="1" t="s">
        <v>118</v>
      </c>
      <c r="G31" s="1" t="s">
        <v>12</v>
      </c>
      <c r="H31" s="1" t="s">
        <v>67</v>
      </c>
      <c r="I31" s="1" t="s">
        <v>14</v>
      </c>
      <c r="J31" s="1" t="s">
        <v>15</v>
      </c>
    </row>
    <row r="32" ht="15.75" customHeight="1">
      <c r="A32" s="1">
        <v>31.0</v>
      </c>
      <c r="B32" s="1" t="s">
        <v>119</v>
      </c>
      <c r="C32" s="1" t="s">
        <v>120</v>
      </c>
      <c r="D32" s="1" t="s">
        <v>121</v>
      </c>
      <c r="E32" s="1">
        <v>5.70053374388E11</v>
      </c>
      <c r="F32" s="1" t="s">
        <v>122</v>
      </c>
      <c r="G32" s="1" t="s">
        <v>12</v>
      </c>
      <c r="H32" s="1" t="s">
        <v>26</v>
      </c>
      <c r="I32" s="1" t="s">
        <v>14</v>
      </c>
      <c r="J32" s="1" t="s">
        <v>15</v>
      </c>
    </row>
    <row r="33" ht="15.75" customHeight="1">
      <c r="A33" s="1">
        <v>32.0</v>
      </c>
      <c r="B33" s="1" t="s">
        <v>123</v>
      </c>
      <c r="C33" s="1" t="s">
        <v>124</v>
      </c>
      <c r="D33" s="1" t="s">
        <v>125</v>
      </c>
      <c r="E33" s="1">
        <v>5.7005337439E11</v>
      </c>
      <c r="F33" s="1" t="s">
        <v>126</v>
      </c>
      <c r="G33" s="1" t="s">
        <v>25</v>
      </c>
      <c r="H33" s="1" t="s">
        <v>26</v>
      </c>
      <c r="I33" s="1" t="s">
        <v>14</v>
      </c>
      <c r="J33" s="1" t="s">
        <v>15</v>
      </c>
    </row>
    <row r="34" ht="15.75" customHeight="1">
      <c r="A34" s="1">
        <v>33.0</v>
      </c>
      <c r="B34" s="1" t="s">
        <v>127</v>
      </c>
      <c r="C34" s="1" t="s">
        <v>124</v>
      </c>
      <c r="D34" s="1" t="s">
        <v>125</v>
      </c>
      <c r="E34" s="1">
        <v>5.70053374394E11</v>
      </c>
      <c r="F34" s="1" t="s">
        <v>128</v>
      </c>
      <c r="G34" s="1" t="s">
        <v>12</v>
      </c>
      <c r="H34" s="1" t="s">
        <v>20</v>
      </c>
      <c r="I34" s="1" t="s">
        <v>14</v>
      </c>
      <c r="J34" s="1" t="s">
        <v>15</v>
      </c>
    </row>
    <row r="35" ht="15.75" customHeight="1">
      <c r="A35" s="1">
        <v>34.0</v>
      </c>
      <c r="B35" s="1" t="s">
        <v>129</v>
      </c>
      <c r="C35" s="1" t="s">
        <v>130</v>
      </c>
      <c r="D35" s="1" t="s">
        <v>131</v>
      </c>
      <c r="E35" s="1">
        <v>5.70053374395E11</v>
      </c>
      <c r="F35" s="1" t="s">
        <v>132</v>
      </c>
      <c r="G35" s="1" t="s">
        <v>103</v>
      </c>
      <c r="H35" s="1" t="s">
        <v>20</v>
      </c>
      <c r="I35" s="1" t="s">
        <v>14</v>
      </c>
      <c r="J35" s="1" t="s">
        <v>15</v>
      </c>
    </row>
    <row r="36" ht="15.75" customHeight="1">
      <c r="A36" s="1">
        <v>36.0</v>
      </c>
      <c r="B36" s="1" t="s">
        <v>133</v>
      </c>
      <c r="C36" s="1" t="s">
        <v>134</v>
      </c>
      <c r="D36" s="1" t="s">
        <v>23</v>
      </c>
      <c r="E36" s="1">
        <v>5.70053374397E11</v>
      </c>
      <c r="F36" s="1" t="s">
        <v>135</v>
      </c>
      <c r="G36" s="1" t="s">
        <v>25</v>
      </c>
      <c r="H36" s="1" t="s">
        <v>67</v>
      </c>
      <c r="I36" s="1" t="s">
        <v>14</v>
      </c>
      <c r="J36" s="1" t="s">
        <v>15</v>
      </c>
    </row>
    <row r="37" ht="15.75" customHeight="1">
      <c r="A37" s="1">
        <v>37.0</v>
      </c>
      <c r="B37" s="1" t="s">
        <v>136</v>
      </c>
      <c r="C37" s="1" t="s">
        <v>116</v>
      </c>
      <c r="D37" s="1" t="s">
        <v>137</v>
      </c>
      <c r="E37" s="1">
        <v>5.70053374399E11</v>
      </c>
      <c r="F37" s="1" t="s">
        <v>138</v>
      </c>
      <c r="G37" s="1" t="s">
        <v>25</v>
      </c>
      <c r="H37" s="1" t="s">
        <v>67</v>
      </c>
      <c r="I37" s="1" t="s">
        <v>14</v>
      </c>
      <c r="J37" s="1" t="s">
        <v>15</v>
      </c>
    </row>
    <row r="38" ht="15.75" customHeight="1">
      <c r="A38" s="1">
        <v>38.0</v>
      </c>
      <c r="B38" s="1" t="s">
        <v>139</v>
      </c>
      <c r="C38" s="1" t="s">
        <v>140</v>
      </c>
      <c r="D38" s="1" t="s">
        <v>28</v>
      </c>
      <c r="E38" s="1">
        <v>5.70053374409E11</v>
      </c>
      <c r="F38" s="1" t="s">
        <v>141</v>
      </c>
      <c r="G38" s="1" t="s">
        <v>12</v>
      </c>
      <c r="H38" s="1" t="s">
        <v>20</v>
      </c>
      <c r="I38" s="1" t="s">
        <v>14</v>
      </c>
      <c r="J38" s="1" t="s">
        <v>15</v>
      </c>
    </row>
    <row r="39" ht="15.75" customHeight="1">
      <c r="A39" s="1">
        <v>39.0</v>
      </c>
      <c r="B39" s="1" t="s">
        <v>142</v>
      </c>
      <c r="C39" s="1" t="s">
        <v>143</v>
      </c>
      <c r="D39" s="1" t="s">
        <v>144</v>
      </c>
      <c r="E39" s="1">
        <v>5.70053374411E11</v>
      </c>
      <c r="F39" s="1" t="s">
        <v>145</v>
      </c>
      <c r="G39" s="1" t="s">
        <v>12</v>
      </c>
      <c r="H39" s="1" t="s">
        <v>67</v>
      </c>
      <c r="I39" s="1" t="s">
        <v>14</v>
      </c>
      <c r="J39" s="1" t="s">
        <v>15</v>
      </c>
    </row>
    <row r="40" ht="15.75" customHeight="1">
      <c r="A40" s="1">
        <v>40.0</v>
      </c>
      <c r="B40" s="1" t="s">
        <v>146</v>
      </c>
      <c r="C40" s="1" t="s">
        <v>95</v>
      </c>
      <c r="D40" s="1" t="s">
        <v>96</v>
      </c>
      <c r="E40" s="1">
        <v>5.70053374412E11</v>
      </c>
      <c r="F40" s="1" t="s">
        <v>147</v>
      </c>
      <c r="G40" s="1" t="s">
        <v>12</v>
      </c>
      <c r="H40" s="1" t="s">
        <v>20</v>
      </c>
      <c r="I40" s="1" t="s">
        <v>14</v>
      </c>
      <c r="J40" s="1" t="s">
        <v>15</v>
      </c>
    </row>
    <row r="41" ht="15.75" customHeight="1">
      <c r="A41" s="1">
        <v>41.0</v>
      </c>
      <c r="B41" s="1" t="s">
        <v>148</v>
      </c>
      <c r="C41" s="1" t="s">
        <v>95</v>
      </c>
      <c r="D41" s="1" t="s">
        <v>96</v>
      </c>
      <c r="E41" s="1">
        <v>5.70053374415E11</v>
      </c>
      <c r="F41" s="1" t="s">
        <v>149</v>
      </c>
      <c r="G41" s="1" t="s">
        <v>12</v>
      </c>
      <c r="H41" s="1" t="s">
        <v>26</v>
      </c>
      <c r="I41" s="1" t="s">
        <v>14</v>
      </c>
      <c r="J41" s="1" t="s">
        <v>15</v>
      </c>
    </row>
    <row r="42" ht="15.75" customHeight="1">
      <c r="A42" s="1">
        <v>42.0</v>
      </c>
      <c r="B42" s="1" t="s">
        <v>150</v>
      </c>
      <c r="C42" s="1" t="s">
        <v>151</v>
      </c>
      <c r="D42" s="1" t="s">
        <v>152</v>
      </c>
      <c r="E42" s="1">
        <v>5.70053374416E11</v>
      </c>
      <c r="F42" s="1" t="s">
        <v>153</v>
      </c>
      <c r="G42" s="1" t="s">
        <v>12</v>
      </c>
      <c r="H42" s="1" t="s">
        <v>26</v>
      </c>
      <c r="I42" s="1" t="s">
        <v>14</v>
      </c>
      <c r="J42" s="1" t="s">
        <v>15</v>
      </c>
    </row>
    <row r="43" ht="15.75" customHeight="1">
      <c r="A43" s="1">
        <v>43.0</v>
      </c>
      <c r="B43" s="1" t="s">
        <v>154</v>
      </c>
      <c r="C43" s="1" t="s">
        <v>155</v>
      </c>
      <c r="D43" s="1" t="s">
        <v>60</v>
      </c>
      <c r="E43" s="1">
        <v>5.70053374418E11</v>
      </c>
      <c r="F43" s="1" t="s">
        <v>97</v>
      </c>
      <c r="G43" s="1" t="s">
        <v>12</v>
      </c>
      <c r="H43" s="1" t="s">
        <v>26</v>
      </c>
      <c r="I43" s="1" t="s">
        <v>14</v>
      </c>
      <c r="J43" s="1" t="s">
        <v>15</v>
      </c>
    </row>
    <row r="44" ht="15.75" customHeight="1">
      <c r="A44" s="1">
        <v>44.0</v>
      </c>
      <c r="B44" s="1" t="s">
        <v>156</v>
      </c>
      <c r="C44" s="1" t="s">
        <v>157</v>
      </c>
      <c r="D44" s="1" t="s">
        <v>158</v>
      </c>
      <c r="E44" s="1">
        <v>5.70053374419E11</v>
      </c>
      <c r="F44" s="1" t="s">
        <v>159</v>
      </c>
      <c r="G44" s="1" t="s">
        <v>25</v>
      </c>
      <c r="H44" s="1" t="s">
        <v>20</v>
      </c>
      <c r="I44" s="1" t="s">
        <v>14</v>
      </c>
      <c r="J44" s="1" t="s">
        <v>15</v>
      </c>
    </row>
    <row r="45" ht="15.75" customHeight="1">
      <c r="A45" s="1">
        <v>45.0</v>
      </c>
      <c r="B45" s="1" t="s">
        <v>160</v>
      </c>
      <c r="C45" s="1" t="s">
        <v>161</v>
      </c>
      <c r="D45" s="1" t="s">
        <v>162</v>
      </c>
      <c r="E45" s="1">
        <v>5.70053374423E11</v>
      </c>
      <c r="F45" s="1" t="s">
        <v>163</v>
      </c>
      <c r="G45" s="1" t="s">
        <v>12</v>
      </c>
      <c r="H45" s="1" t="s">
        <v>67</v>
      </c>
      <c r="I45" s="1" t="s">
        <v>14</v>
      </c>
      <c r="J45" s="1" t="s">
        <v>15</v>
      </c>
    </row>
    <row r="46" ht="15.75" customHeight="1">
      <c r="A46" s="1">
        <v>46.0</v>
      </c>
      <c r="B46" s="1" t="s">
        <v>164</v>
      </c>
      <c r="C46" s="1" t="s">
        <v>165</v>
      </c>
      <c r="D46" s="1" t="s">
        <v>166</v>
      </c>
      <c r="E46" s="1">
        <v>5.70053374429E11</v>
      </c>
      <c r="F46" s="1" t="s">
        <v>167</v>
      </c>
      <c r="G46" s="1" t="s">
        <v>25</v>
      </c>
      <c r="H46" s="1" t="s">
        <v>67</v>
      </c>
      <c r="I46" s="1" t="s">
        <v>14</v>
      </c>
      <c r="J46" s="1" t="s">
        <v>15</v>
      </c>
    </row>
    <row r="47" ht="15.75" customHeight="1">
      <c r="A47" s="1">
        <v>47.0</v>
      </c>
      <c r="B47" s="1" t="s">
        <v>168</v>
      </c>
      <c r="C47" s="1" t="s">
        <v>169</v>
      </c>
      <c r="D47" s="1" t="s">
        <v>60</v>
      </c>
      <c r="E47" s="1">
        <v>5.70053374433E11</v>
      </c>
      <c r="F47" s="1" t="s">
        <v>170</v>
      </c>
      <c r="G47" s="1" t="s">
        <v>12</v>
      </c>
      <c r="H47" s="1" t="s">
        <v>67</v>
      </c>
      <c r="I47" s="1" t="s">
        <v>14</v>
      </c>
      <c r="J47" s="1" t="s">
        <v>15</v>
      </c>
    </row>
    <row r="48" ht="15.75" customHeight="1">
      <c r="A48" s="1">
        <v>48.0</v>
      </c>
      <c r="B48" s="1" t="s">
        <v>171</v>
      </c>
      <c r="C48" s="1" t="s">
        <v>172</v>
      </c>
      <c r="D48" s="1" t="s">
        <v>173</v>
      </c>
      <c r="E48" s="1">
        <v>5.70053374435E11</v>
      </c>
      <c r="F48" s="1" t="s">
        <v>47</v>
      </c>
      <c r="G48" s="1" t="s">
        <v>12</v>
      </c>
      <c r="H48" s="1" t="s">
        <v>67</v>
      </c>
      <c r="I48" s="1" t="s">
        <v>14</v>
      </c>
      <c r="J48" s="1" t="s">
        <v>15</v>
      </c>
    </row>
    <row r="49" ht="15.75" customHeight="1">
      <c r="A49" s="1">
        <v>49.0</v>
      </c>
      <c r="B49" s="1" t="s">
        <v>174</v>
      </c>
      <c r="C49" s="1" t="s">
        <v>172</v>
      </c>
      <c r="D49" s="1" t="s">
        <v>173</v>
      </c>
      <c r="E49" s="1">
        <v>5.70053374438E11</v>
      </c>
      <c r="F49" s="1" t="s">
        <v>47</v>
      </c>
      <c r="G49" s="1" t="s">
        <v>12</v>
      </c>
      <c r="H49" s="1" t="s">
        <v>67</v>
      </c>
      <c r="I49" s="1" t="s">
        <v>14</v>
      </c>
      <c r="J49" s="1" t="s">
        <v>15</v>
      </c>
    </row>
    <row r="50" ht="15.75" customHeight="1">
      <c r="A50" s="1">
        <v>50.0</v>
      </c>
      <c r="B50" s="1" t="s">
        <v>175</v>
      </c>
      <c r="C50" s="1" t="s">
        <v>176</v>
      </c>
      <c r="D50" s="1" t="s">
        <v>177</v>
      </c>
      <c r="E50" s="1">
        <v>5.7005337444E11</v>
      </c>
      <c r="F50" s="1" t="s">
        <v>178</v>
      </c>
      <c r="G50" s="1" t="s">
        <v>12</v>
      </c>
      <c r="H50" s="1" t="s">
        <v>67</v>
      </c>
      <c r="I50" s="1" t="s">
        <v>14</v>
      </c>
      <c r="J50" s="1" t="s">
        <v>15</v>
      </c>
    </row>
    <row r="51" ht="15.75" customHeight="1">
      <c r="A51" s="1">
        <v>51.0</v>
      </c>
      <c r="B51" s="1" t="s">
        <v>179</v>
      </c>
      <c r="C51" s="1" t="s">
        <v>180</v>
      </c>
      <c r="D51" s="1" t="s">
        <v>181</v>
      </c>
      <c r="E51" s="1">
        <v>5.70053374446E11</v>
      </c>
      <c r="F51" s="1" t="s">
        <v>182</v>
      </c>
      <c r="G51" s="1" t="s">
        <v>25</v>
      </c>
      <c r="H51" s="1" t="s">
        <v>67</v>
      </c>
      <c r="I51" s="1" t="s">
        <v>14</v>
      </c>
      <c r="J51" s="1" t="s">
        <v>15</v>
      </c>
    </row>
    <row r="52" ht="15.75" customHeight="1">
      <c r="A52" s="1">
        <v>52.0</v>
      </c>
      <c r="B52" s="1" t="s">
        <v>183</v>
      </c>
      <c r="C52" s="1" t="s">
        <v>184</v>
      </c>
      <c r="D52" s="1" t="s">
        <v>185</v>
      </c>
      <c r="E52" s="1">
        <v>5.7005337445E11</v>
      </c>
      <c r="F52" s="1" t="s">
        <v>186</v>
      </c>
      <c r="G52" s="1" t="s">
        <v>25</v>
      </c>
      <c r="H52" s="1" t="s">
        <v>67</v>
      </c>
      <c r="I52" s="1" t="s">
        <v>14</v>
      </c>
      <c r="J52" s="1" t="s">
        <v>15</v>
      </c>
    </row>
    <row r="53" ht="15.75" customHeight="1">
      <c r="A53" s="1">
        <v>53.0</v>
      </c>
      <c r="B53" s="1" t="s">
        <v>187</v>
      </c>
      <c r="C53" s="1" t="s">
        <v>188</v>
      </c>
      <c r="D53" s="1" t="s">
        <v>189</v>
      </c>
      <c r="E53" s="1">
        <v>5.70053374452E11</v>
      </c>
      <c r="F53" s="1" t="s">
        <v>190</v>
      </c>
      <c r="G53" s="1" t="s">
        <v>25</v>
      </c>
      <c r="H53" s="1" t="s">
        <v>67</v>
      </c>
      <c r="I53" s="1" t="s">
        <v>14</v>
      </c>
      <c r="J53" s="1" t="s">
        <v>15</v>
      </c>
    </row>
    <row r="54" ht="15.75" customHeight="1">
      <c r="A54" s="1">
        <v>54.0</v>
      </c>
      <c r="B54" s="1" t="s">
        <v>191</v>
      </c>
      <c r="C54" s="1" t="s">
        <v>176</v>
      </c>
      <c r="D54" s="1" t="s">
        <v>192</v>
      </c>
      <c r="E54" s="1">
        <v>5.7005337446E11</v>
      </c>
      <c r="F54" s="1" t="s">
        <v>193</v>
      </c>
      <c r="G54" s="1" t="s">
        <v>12</v>
      </c>
      <c r="H54" s="1" t="s">
        <v>67</v>
      </c>
      <c r="I54" s="1" t="s">
        <v>14</v>
      </c>
      <c r="J54" s="1" t="s">
        <v>15</v>
      </c>
    </row>
    <row r="55" ht="15.75" customHeight="1">
      <c r="A55" s="1">
        <v>55.0</v>
      </c>
      <c r="B55" s="1" t="s">
        <v>194</v>
      </c>
      <c r="C55" s="1" t="s">
        <v>120</v>
      </c>
      <c r="D55" s="1" t="s">
        <v>195</v>
      </c>
      <c r="E55" s="1">
        <v>5.70053374465E11</v>
      </c>
      <c r="F55" s="1" t="s">
        <v>196</v>
      </c>
      <c r="G55" s="1" t="s">
        <v>12</v>
      </c>
      <c r="H55" s="1" t="s">
        <v>67</v>
      </c>
      <c r="I55" s="1" t="s">
        <v>14</v>
      </c>
      <c r="J55" s="1" t="s">
        <v>15</v>
      </c>
    </row>
    <row r="56" ht="15.75" customHeight="1">
      <c r="A56" s="1">
        <v>56.0</v>
      </c>
      <c r="B56" s="1" t="s">
        <v>197</v>
      </c>
      <c r="C56" s="1" t="s">
        <v>198</v>
      </c>
      <c r="D56" s="1" t="s">
        <v>199</v>
      </c>
      <c r="E56" s="1">
        <v>5.70053374468E11</v>
      </c>
      <c r="F56" s="1" t="s">
        <v>200</v>
      </c>
      <c r="G56" s="1" t="s">
        <v>12</v>
      </c>
      <c r="H56" s="1" t="s">
        <v>26</v>
      </c>
      <c r="I56" s="1" t="s">
        <v>14</v>
      </c>
      <c r="J56" s="1" t="s">
        <v>15</v>
      </c>
    </row>
    <row r="57" ht="15.75" customHeight="1">
      <c r="A57" s="1">
        <v>57.0</v>
      </c>
      <c r="B57" s="1" t="s">
        <v>201</v>
      </c>
      <c r="C57" s="1" t="s">
        <v>172</v>
      </c>
      <c r="D57" s="1" t="s">
        <v>202</v>
      </c>
      <c r="E57" s="1">
        <v>5.7005337447E11</v>
      </c>
      <c r="F57" s="1" t="s">
        <v>203</v>
      </c>
      <c r="G57" s="1" t="s">
        <v>12</v>
      </c>
      <c r="H57" s="1" t="s">
        <v>67</v>
      </c>
      <c r="I57" s="1" t="s">
        <v>14</v>
      </c>
      <c r="J57" s="1" t="s">
        <v>15</v>
      </c>
    </row>
    <row r="58" ht="15.75" customHeight="1">
      <c r="A58" s="1">
        <v>58.0</v>
      </c>
      <c r="B58" s="1" t="s">
        <v>204</v>
      </c>
      <c r="C58" s="1" t="s">
        <v>119</v>
      </c>
      <c r="D58" s="1" t="s">
        <v>181</v>
      </c>
      <c r="E58" s="1">
        <v>5.70053374471E11</v>
      </c>
      <c r="F58" s="1" t="s">
        <v>205</v>
      </c>
      <c r="G58" s="1" t="s">
        <v>12</v>
      </c>
      <c r="H58" s="1" t="s">
        <v>20</v>
      </c>
      <c r="I58" s="1" t="s">
        <v>14</v>
      </c>
      <c r="J58" s="1" t="s">
        <v>15</v>
      </c>
    </row>
    <row r="59" ht="15.75" customHeight="1">
      <c r="A59" s="1">
        <v>59.0</v>
      </c>
      <c r="B59" s="1" t="s">
        <v>206</v>
      </c>
      <c r="C59" s="1" t="s">
        <v>108</v>
      </c>
      <c r="D59" s="1" t="s">
        <v>109</v>
      </c>
      <c r="E59" s="1">
        <v>5.70053374472E11</v>
      </c>
      <c r="F59" s="1" t="s">
        <v>99</v>
      </c>
      <c r="G59" s="1" t="s">
        <v>12</v>
      </c>
      <c r="H59" s="1" t="s">
        <v>67</v>
      </c>
      <c r="I59" s="1" t="s">
        <v>14</v>
      </c>
      <c r="J59" s="1" t="s">
        <v>15</v>
      </c>
    </row>
    <row r="60" ht="15.75" customHeight="1">
      <c r="A60" s="1">
        <v>60.0</v>
      </c>
      <c r="B60" s="1" t="s">
        <v>207</v>
      </c>
      <c r="C60" s="1" t="s">
        <v>208</v>
      </c>
      <c r="D60" s="1" t="s">
        <v>209</v>
      </c>
      <c r="E60" s="1">
        <v>5.70053374473E11</v>
      </c>
      <c r="F60" s="1" t="s">
        <v>210</v>
      </c>
      <c r="G60" s="1" t="s">
        <v>12</v>
      </c>
      <c r="H60" s="1" t="s">
        <v>20</v>
      </c>
      <c r="I60" s="1" t="s">
        <v>14</v>
      </c>
      <c r="J60" s="1" t="s">
        <v>15</v>
      </c>
    </row>
    <row r="61" ht="15.75" customHeight="1">
      <c r="A61" s="1">
        <v>61.0</v>
      </c>
      <c r="B61" s="1" t="s">
        <v>211</v>
      </c>
      <c r="C61" s="1" t="s">
        <v>212</v>
      </c>
      <c r="D61" s="1" t="s">
        <v>213</v>
      </c>
      <c r="E61" s="1">
        <v>5.70053374474E11</v>
      </c>
      <c r="F61" s="1" t="s">
        <v>205</v>
      </c>
      <c r="G61" s="1" t="s">
        <v>12</v>
      </c>
      <c r="H61" s="1" t="s">
        <v>20</v>
      </c>
      <c r="I61" s="1" t="s">
        <v>14</v>
      </c>
      <c r="J61" s="1" t="s">
        <v>15</v>
      </c>
    </row>
    <row r="62" ht="15.75" customHeight="1">
      <c r="A62" s="1">
        <v>62.0</v>
      </c>
      <c r="B62" s="1" t="s">
        <v>108</v>
      </c>
      <c r="C62" s="1" t="s">
        <v>214</v>
      </c>
      <c r="D62" s="1" t="s">
        <v>96</v>
      </c>
      <c r="E62" s="1">
        <v>5.70053374475E11</v>
      </c>
      <c r="F62" s="1" t="s">
        <v>215</v>
      </c>
      <c r="G62" s="1" t="s">
        <v>12</v>
      </c>
      <c r="H62" s="1" t="s">
        <v>67</v>
      </c>
      <c r="I62" s="1" t="s">
        <v>14</v>
      </c>
      <c r="J62" s="1" t="s">
        <v>15</v>
      </c>
    </row>
    <row r="63" ht="15.75" customHeight="1">
      <c r="A63" s="1">
        <v>63.0</v>
      </c>
      <c r="B63" s="1" t="s">
        <v>164</v>
      </c>
      <c r="C63" s="1" t="s">
        <v>216</v>
      </c>
      <c r="D63" s="1" t="s">
        <v>217</v>
      </c>
      <c r="E63" s="1">
        <v>5.70053374476E11</v>
      </c>
      <c r="F63" s="1" t="s">
        <v>218</v>
      </c>
      <c r="G63" s="1" t="s">
        <v>12</v>
      </c>
      <c r="H63" s="1" t="s">
        <v>67</v>
      </c>
      <c r="I63" s="1" t="s">
        <v>14</v>
      </c>
      <c r="J63" s="1" t="s">
        <v>15</v>
      </c>
    </row>
    <row r="64" ht="15.75" customHeight="1">
      <c r="A64" s="1">
        <v>64.0</v>
      </c>
      <c r="B64" s="1" t="s">
        <v>219</v>
      </c>
      <c r="C64" s="1" t="s">
        <v>63</v>
      </c>
      <c r="D64" s="1" t="s">
        <v>217</v>
      </c>
      <c r="E64" s="1">
        <v>5.70053374477E11</v>
      </c>
      <c r="F64" s="1" t="s">
        <v>220</v>
      </c>
      <c r="G64" s="1" t="s">
        <v>12</v>
      </c>
      <c r="H64" s="1" t="s">
        <v>67</v>
      </c>
      <c r="I64" s="1" t="s">
        <v>14</v>
      </c>
      <c r="J64" s="1" t="s">
        <v>15</v>
      </c>
    </row>
    <row r="65" ht="15.75" customHeight="1">
      <c r="A65" s="1">
        <v>65.0</v>
      </c>
      <c r="B65" s="1" t="s">
        <v>221</v>
      </c>
      <c r="C65" s="1" t="s">
        <v>222</v>
      </c>
      <c r="D65" s="1" t="s">
        <v>223</v>
      </c>
      <c r="E65" s="1">
        <v>5.70053374479E11</v>
      </c>
      <c r="F65" s="1" t="s">
        <v>224</v>
      </c>
      <c r="G65" s="1" t="s">
        <v>12</v>
      </c>
      <c r="H65" s="1" t="s">
        <v>67</v>
      </c>
      <c r="I65" s="1" t="s">
        <v>14</v>
      </c>
      <c r="J65" s="1" t="s">
        <v>15</v>
      </c>
    </row>
    <row r="66" ht="15.75" customHeight="1">
      <c r="A66" s="1">
        <v>66.0</v>
      </c>
      <c r="B66" s="1" t="s">
        <v>225</v>
      </c>
      <c r="C66" s="1" t="s">
        <v>226</v>
      </c>
      <c r="D66" s="1" t="s">
        <v>227</v>
      </c>
      <c r="E66" s="1">
        <v>5.7005337448E11</v>
      </c>
      <c r="F66" s="1" t="s">
        <v>228</v>
      </c>
      <c r="G66" s="1" t="s">
        <v>12</v>
      </c>
      <c r="H66" s="1" t="s">
        <v>67</v>
      </c>
      <c r="I66" s="1" t="s">
        <v>14</v>
      </c>
      <c r="J66" s="1" t="s">
        <v>15</v>
      </c>
    </row>
    <row r="67" ht="15.75" customHeight="1">
      <c r="A67" s="1">
        <v>67.0</v>
      </c>
      <c r="B67" s="1" t="s">
        <v>229</v>
      </c>
      <c r="C67" s="1" t="s">
        <v>230</v>
      </c>
      <c r="D67" s="1" t="s">
        <v>231</v>
      </c>
      <c r="E67" s="1">
        <v>5.70053374481E11</v>
      </c>
      <c r="F67" s="1" t="s">
        <v>232</v>
      </c>
      <c r="G67" s="1" t="s">
        <v>233</v>
      </c>
      <c r="H67" s="1" t="s">
        <v>20</v>
      </c>
      <c r="I67" s="1" t="s">
        <v>14</v>
      </c>
      <c r="J67" s="1" t="s">
        <v>15</v>
      </c>
    </row>
    <row r="68" ht="15.75" customHeight="1">
      <c r="A68" s="1">
        <v>68.0</v>
      </c>
      <c r="B68" s="1" t="s">
        <v>234</v>
      </c>
      <c r="C68" s="1" t="s">
        <v>235</v>
      </c>
      <c r="D68" s="1" t="s">
        <v>60</v>
      </c>
      <c r="E68" s="1">
        <v>5.70053374482E11</v>
      </c>
      <c r="F68" s="1" t="s">
        <v>236</v>
      </c>
      <c r="G68" s="1" t="s">
        <v>12</v>
      </c>
      <c r="H68" s="1" t="s">
        <v>20</v>
      </c>
      <c r="I68" s="1" t="s">
        <v>14</v>
      </c>
      <c r="J68" s="1" t="s">
        <v>15</v>
      </c>
    </row>
    <row r="69" ht="15.75" customHeight="1">
      <c r="A69" s="1">
        <v>69.0</v>
      </c>
      <c r="B69" s="1" t="s">
        <v>237</v>
      </c>
      <c r="C69" s="1" t="s">
        <v>238</v>
      </c>
      <c r="D69" s="1" t="s">
        <v>239</v>
      </c>
      <c r="E69" s="1">
        <v>5.70053374484E11</v>
      </c>
      <c r="F69" s="1" t="s">
        <v>240</v>
      </c>
      <c r="G69" s="1" t="s">
        <v>12</v>
      </c>
      <c r="H69" s="1" t="s">
        <v>26</v>
      </c>
      <c r="I69" s="1" t="s">
        <v>14</v>
      </c>
      <c r="J69" s="1" t="s">
        <v>15</v>
      </c>
    </row>
    <row r="70" ht="15.75" customHeight="1">
      <c r="A70" s="1">
        <v>70.0</v>
      </c>
      <c r="B70" s="1" t="s">
        <v>241</v>
      </c>
      <c r="C70" s="1" t="s">
        <v>242</v>
      </c>
      <c r="D70" s="1" t="s">
        <v>243</v>
      </c>
      <c r="E70" s="1">
        <v>5.70053374485E11</v>
      </c>
      <c r="F70" s="1" t="s">
        <v>244</v>
      </c>
      <c r="G70" s="1" t="s">
        <v>12</v>
      </c>
      <c r="H70" s="1" t="s">
        <v>26</v>
      </c>
      <c r="I70" s="1" t="s">
        <v>14</v>
      </c>
      <c r="J70" s="1" t="s">
        <v>15</v>
      </c>
    </row>
    <row r="71" ht="15.75" customHeight="1">
      <c r="A71" s="1">
        <v>71.0</v>
      </c>
      <c r="B71" s="1" t="s">
        <v>245</v>
      </c>
      <c r="C71" s="1" t="s">
        <v>246</v>
      </c>
      <c r="D71" s="1" t="s">
        <v>247</v>
      </c>
      <c r="E71" s="1">
        <v>5.70053374486E11</v>
      </c>
      <c r="F71" s="1" t="s">
        <v>248</v>
      </c>
      <c r="G71" s="1" t="s">
        <v>93</v>
      </c>
      <c r="H71" s="1" t="s">
        <v>67</v>
      </c>
      <c r="I71" s="1" t="s">
        <v>14</v>
      </c>
      <c r="J71" s="1" t="s">
        <v>15</v>
      </c>
    </row>
    <row r="72" ht="15.75" customHeight="1">
      <c r="A72" s="1">
        <v>72.0</v>
      </c>
      <c r="B72" s="1" t="s">
        <v>75</v>
      </c>
      <c r="C72" s="1" t="s">
        <v>172</v>
      </c>
      <c r="D72" s="1" t="s">
        <v>249</v>
      </c>
      <c r="E72" s="1">
        <v>5.70053374487E11</v>
      </c>
      <c r="F72" s="1" t="s">
        <v>250</v>
      </c>
      <c r="G72" s="1" t="s">
        <v>12</v>
      </c>
      <c r="H72" s="1" t="s">
        <v>26</v>
      </c>
      <c r="I72" s="1" t="s">
        <v>14</v>
      </c>
      <c r="J72" s="1" t="s">
        <v>15</v>
      </c>
    </row>
    <row r="73" ht="15.75" customHeight="1">
      <c r="A73" s="1">
        <v>73.0</v>
      </c>
      <c r="B73" s="1" t="s">
        <v>251</v>
      </c>
      <c r="C73" s="1" t="s">
        <v>252</v>
      </c>
      <c r="D73" s="1" t="s">
        <v>253</v>
      </c>
      <c r="E73" s="1">
        <v>5.70053374488E11</v>
      </c>
      <c r="F73" s="1" t="s">
        <v>254</v>
      </c>
      <c r="G73" s="1" t="s">
        <v>255</v>
      </c>
      <c r="H73" s="1" t="s">
        <v>20</v>
      </c>
      <c r="I73" s="1" t="s">
        <v>14</v>
      </c>
      <c r="J73" s="1" t="s">
        <v>15</v>
      </c>
    </row>
    <row r="74" ht="15.75" customHeight="1">
      <c r="A74" s="1">
        <v>74.0</v>
      </c>
      <c r="B74" s="1" t="s">
        <v>256</v>
      </c>
      <c r="C74" s="1" t="s">
        <v>238</v>
      </c>
      <c r="D74" s="1" t="s">
        <v>257</v>
      </c>
      <c r="E74" s="1">
        <v>5.7005337449E11</v>
      </c>
      <c r="F74" s="1" t="s">
        <v>258</v>
      </c>
      <c r="G74" s="1" t="s">
        <v>12</v>
      </c>
      <c r="H74" s="1" t="s">
        <v>26</v>
      </c>
      <c r="I74" s="1" t="s">
        <v>14</v>
      </c>
      <c r="J74" s="1" t="s">
        <v>15</v>
      </c>
    </row>
    <row r="75" ht="15.75" customHeight="1">
      <c r="A75" s="1">
        <v>75.0</v>
      </c>
      <c r="B75" s="1" t="s">
        <v>259</v>
      </c>
      <c r="C75" s="1" t="s">
        <v>260</v>
      </c>
      <c r="D75" s="1" t="s">
        <v>261</v>
      </c>
      <c r="E75" s="1">
        <v>5.70053374493E11</v>
      </c>
      <c r="F75" s="1" t="s">
        <v>262</v>
      </c>
      <c r="G75" s="1" t="s">
        <v>12</v>
      </c>
      <c r="H75" s="1" t="s">
        <v>26</v>
      </c>
      <c r="I75" s="1" t="s">
        <v>14</v>
      </c>
      <c r="J75" s="1" t="s">
        <v>15</v>
      </c>
    </row>
    <row r="76" ht="15.75" customHeight="1">
      <c r="A76" s="1">
        <v>76.0</v>
      </c>
      <c r="B76" s="1" t="s">
        <v>263</v>
      </c>
      <c r="C76" s="1" t="s">
        <v>264</v>
      </c>
      <c r="D76" s="1" t="s">
        <v>265</v>
      </c>
      <c r="E76" s="1">
        <v>5.70053374494E11</v>
      </c>
      <c r="F76" s="1" t="s">
        <v>266</v>
      </c>
      <c r="G76" s="1" t="s">
        <v>12</v>
      </c>
      <c r="H76" s="1" t="s">
        <v>267</v>
      </c>
      <c r="I76" s="1" t="s">
        <v>14</v>
      </c>
      <c r="J76" s="1" t="s">
        <v>15</v>
      </c>
    </row>
    <row r="77" ht="15.75" customHeight="1">
      <c r="A77" s="1">
        <v>77.0</v>
      </c>
      <c r="B77" s="1" t="s">
        <v>268</v>
      </c>
      <c r="C77" s="1" t="s">
        <v>269</v>
      </c>
      <c r="D77" s="1" t="s">
        <v>270</v>
      </c>
      <c r="E77" s="1">
        <v>5.70053374496E11</v>
      </c>
      <c r="F77" s="1" t="s">
        <v>271</v>
      </c>
      <c r="G77" s="1" t="s">
        <v>12</v>
      </c>
      <c r="H77" s="1" t="s">
        <v>20</v>
      </c>
      <c r="I77" s="1" t="s">
        <v>14</v>
      </c>
      <c r="J77" s="1" t="s">
        <v>15</v>
      </c>
    </row>
    <row r="78" ht="15.75" customHeight="1">
      <c r="A78" s="1">
        <v>78.0</v>
      </c>
      <c r="B78" s="1" t="s">
        <v>272</v>
      </c>
      <c r="C78" s="1" t="s">
        <v>273</v>
      </c>
      <c r="D78" s="1" t="s">
        <v>274</v>
      </c>
      <c r="E78" s="1">
        <v>5.70053374497E11</v>
      </c>
      <c r="F78" s="1" t="s">
        <v>275</v>
      </c>
      <c r="G78" s="1" t="s">
        <v>93</v>
      </c>
      <c r="H78" s="1" t="s">
        <v>44</v>
      </c>
      <c r="I78" s="1" t="s">
        <v>14</v>
      </c>
      <c r="J78" s="1" t="s">
        <v>15</v>
      </c>
    </row>
    <row r="79" ht="15.75" customHeight="1">
      <c r="A79" s="1">
        <v>79.0</v>
      </c>
      <c r="B79" s="1" t="s">
        <v>276</v>
      </c>
      <c r="C79" s="1" t="s">
        <v>27</v>
      </c>
      <c r="D79" s="1" t="s">
        <v>28</v>
      </c>
      <c r="E79" s="1">
        <v>5.70053374545E11</v>
      </c>
      <c r="F79" s="1" t="s">
        <v>277</v>
      </c>
      <c r="G79" s="1" t="s">
        <v>25</v>
      </c>
      <c r="H79" s="1" t="s">
        <v>26</v>
      </c>
      <c r="I79" s="1" t="s">
        <v>14</v>
      </c>
      <c r="J79" s="1" t="s">
        <v>15</v>
      </c>
    </row>
    <row r="80" ht="15.75" customHeight="1">
      <c r="A80" s="1">
        <v>80.0</v>
      </c>
      <c r="B80" s="1" t="s">
        <v>278</v>
      </c>
      <c r="C80" s="1" t="s">
        <v>279</v>
      </c>
      <c r="D80" s="1" t="s">
        <v>189</v>
      </c>
      <c r="E80" s="1">
        <v>5.70053374556E11</v>
      </c>
      <c r="F80" s="1" t="s">
        <v>280</v>
      </c>
      <c r="G80" s="1" t="s">
        <v>12</v>
      </c>
      <c r="H80" s="1" t="s">
        <v>26</v>
      </c>
      <c r="I80" s="1" t="s">
        <v>14</v>
      </c>
      <c r="J80" s="1" t="s">
        <v>15</v>
      </c>
    </row>
    <row r="81" ht="15.75" customHeight="1">
      <c r="A81" s="1">
        <v>81.0</v>
      </c>
      <c r="B81" s="1" t="s">
        <v>281</v>
      </c>
      <c r="C81" s="1" t="s">
        <v>282</v>
      </c>
      <c r="D81" s="1" t="s">
        <v>125</v>
      </c>
      <c r="E81" s="1">
        <v>5.70053374562E11</v>
      </c>
      <c r="F81" s="1" t="s">
        <v>283</v>
      </c>
      <c r="G81" s="1" t="s">
        <v>12</v>
      </c>
      <c r="H81" s="1" t="s">
        <v>67</v>
      </c>
      <c r="I81" s="1" t="s">
        <v>14</v>
      </c>
      <c r="J81" s="1" t="s">
        <v>15</v>
      </c>
    </row>
    <row r="82" ht="15.75" customHeight="1">
      <c r="A82" s="1">
        <v>82.0</v>
      </c>
      <c r="B82" s="1" t="s">
        <v>284</v>
      </c>
      <c r="C82" s="1" t="s">
        <v>49</v>
      </c>
      <c r="D82" s="1" t="s">
        <v>50</v>
      </c>
      <c r="E82" s="1">
        <v>5.70053374565E11</v>
      </c>
      <c r="F82" s="1" t="s">
        <v>285</v>
      </c>
      <c r="G82" s="1" t="s">
        <v>12</v>
      </c>
      <c r="H82" s="1" t="s">
        <v>67</v>
      </c>
      <c r="I82" s="1" t="s">
        <v>14</v>
      </c>
      <c r="J82" s="1" t="s">
        <v>15</v>
      </c>
    </row>
    <row r="83" ht="15.75" customHeight="1">
      <c r="A83" s="1">
        <v>83.0</v>
      </c>
      <c r="B83" s="1" t="s">
        <v>206</v>
      </c>
      <c r="C83" s="1" t="s">
        <v>286</v>
      </c>
      <c r="D83" s="1" t="s">
        <v>287</v>
      </c>
      <c r="E83" s="1">
        <v>5.70053374568E11</v>
      </c>
      <c r="F83" s="1" t="s">
        <v>138</v>
      </c>
      <c r="G83" s="1" t="s">
        <v>12</v>
      </c>
      <c r="H83" s="1" t="s">
        <v>67</v>
      </c>
      <c r="I83" s="1" t="s">
        <v>14</v>
      </c>
      <c r="J83" s="1" t="s">
        <v>15</v>
      </c>
    </row>
    <row r="84" ht="15.75" customHeight="1">
      <c r="A84" s="1">
        <v>85.0</v>
      </c>
      <c r="B84" s="1" t="s">
        <v>288</v>
      </c>
      <c r="C84" s="1" t="s">
        <v>289</v>
      </c>
      <c r="D84" s="1" t="s">
        <v>290</v>
      </c>
      <c r="E84" s="1">
        <v>5.70053374657E11</v>
      </c>
      <c r="F84" s="1" t="s">
        <v>291</v>
      </c>
      <c r="G84" s="1" t="s">
        <v>12</v>
      </c>
      <c r="H84" s="1" t="s">
        <v>67</v>
      </c>
      <c r="I84" s="1" t="s">
        <v>14</v>
      </c>
      <c r="J84" s="1" t="s">
        <v>15</v>
      </c>
    </row>
    <row r="85" ht="15.75" customHeight="1">
      <c r="A85" s="1">
        <v>86.0</v>
      </c>
      <c r="B85" s="1" t="s">
        <v>284</v>
      </c>
      <c r="C85" s="1" t="s">
        <v>292</v>
      </c>
      <c r="D85" s="1" t="s">
        <v>293</v>
      </c>
      <c r="E85" s="1">
        <v>5.70053374658E11</v>
      </c>
      <c r="F85" s="1" t="s">
        <v>294</v>
      </c>
      <c r="G85" s="1" t="s">
        <v>295</v>
      </c>
      <c r="H85" s="1" t="s">
        <v>67</v>
      </c>
      <c r="I85" s="1" t="s">
        <v>14</v>
      </c>
      <c r="J85" s="1" t="s">
        <v>15</v>
      </c>
    </row>
    <row r="86" ht="15.75" customHeight="1">
      <c r="A86" s="1">
        <v>87.0</v>
      </c>
      <c r="B86" s="1" t="s">
        <v>296</v>
      </c>
      <c r="C86" s="1" t="s">
        <v>297</v>
      </c>
      <c r="D86" s="1" t="s">
        <v>298</v>
      </c>
      <c r="E86" s="1">
        <v>5.70053000001E11</v>
      </c>
      <c r="F86" s="1" t="s">
        <v>299</v>
      </c>
      <c r="G86" s="1" t="s">
        <v>12</v>
      </c>
      <c r="H86" s="1" t="s">
        <v>300</v>
      </c>
      <c r="I86" s="1" t="s">
        <v>14</v>
      </c>
      <c r="J86" s="1" t="s">
        <v>15</v>
      </c>
    </row>
    <row r="87" ht="15.75" customHeight="1">
      <c r="A87" s="1">
        <v>88.0</v>
      </c>
      <c r="B87" s="1" t="s">
        <v>301</v>
      </c>
      <c r="C87" s="1" t="s">
        <v>302</v>
      </c>
      <c r="D87" s="1" t="s">
        <v>303</v>
      </c>
      <c r="E87" s="1">
        <v>5.70053000002E11</v>
      </c>
      <c r="F87" s="1" t="s">
        <v>304</v>
      </c>
      <c r="G87" s="1" t="s">
        <v>12</v>
      </c>
      <c r="H87" s="1" t="s">
        <v>300</v>
      </c>
      <c r="I87" s="1" t="s">
        <v>14</v>
      </c>
      <c r="J87" s="1" t="s">
        <v>15</v>
      </c>
    </row>
    <row r="88" ht="15.75" customHeight="1">
      <c r="A88" s="1">
        <v>89.0</v>
      </c>
      <c r="B88" s="1" t="s">
        <v>305</v>
      </c>
      <c r="C88" s="1" t="s">
        <v>157</v>
      </c>
      <c r="D88" s="1" t="s">
        <v>306</v>
      </c>
      <c r="E88" s="1">
        <v>5.70053000006E11</v>
      </c>
      <c r="F88" s="1" t="s">
        <v>307</v>
      </c>
      <c r="G88" s="1" t="s">
        <v>12</v>
      </c>
      <c r="H88" s="1" t="s">
        <v>300</v>
      </c>
      <c r="I88" s="1" t="s">
        <v>14</v>
      </c>
      <c r="J88" s="1" t="s">
        <v>15</v>
      </c>
    </row>
    <row r="89" ht="15.75" customHeight="1">
      <c r="A89" s="1">
        <v>90.0</v>
      </c>
      <c r="B89" s="1" t="s">
        <v>308</v>
      </c>
      <c r="C89" s="1" t="s">
        <v>309</v>
      </c>
      <c r="D89" s="1" t="s">
        <v>310</v>
      </c>
      <c r="E89" s="1">
        <v>5.70053000007E11</v>
      </c>
      <c r="F89" s="1" t="s">
        <v>311</v>
      </c>
      <c r="G89" s="1" t="s">
        <v>12</v>
      </c>
      <c r="H89" s="1" t="s">
        <v>300</v>
      </c>
      <c r="I89" s="1" t="s">
        <v>14</v>
      </c>
      <c r="J89" s="1" t="s">
        <v>15</v>
      </c>
    </row>
    <row r="90" ht="15.75" customHeight="1">
      <c r="A90" s="1">
        <v>91.0</v>
      </c>
      <c r="B90" s="1" t="s">
        <v>8</v>
      </c>
      <c r="C90" s="1" t="s">
        <v>146</v>
      </c>
      <c r="D90" s="1" t="s">
        <v>257</v>
      </c>
      <c r="E90" s="1">
        <v>5.70053000008E11</v>
      </c>
      <c r="F90" s="1" t="s">
        <v>312</v>
      </c>
      <c r="G90" s="1" t="s">
        <v>12</v>
      </c>
      <c r="H90" s="1" t="s">
        <v>44</v>
      </c>
      <c r="I90" s="1" t="s">
        <v>14</v>
      </c>
      <c r="J90" s="1" t="s">
        <v>15</v>
      </c>
    </row>
    <row r="91" ht="15.75" customHeight="1">
      <c r="A91" s="1">
        <v>92.0</v>
      </c>
      <c r="B91" s="1" t="s">
        <v>313</v>
      </c>
      <c r="C91" s="1" t="s">
        <v>288</v>
      </c>
      <c r="D91" s="1" t="s">
        <v>314</v>
      </c>
      <c r="E91" s="1">
        <v>5.70053000009E11</v>
      </c>
      <c r="F91" s="1" t="s">
        <v>315</v>
      </c>
      <c r="G91" s="1" t="s">
        <v>12</v>
      </c>
      <c r="H91" s="1" t="s">
        <v>44</v>
      </c>
      <c r="I91" s="1" t="s">
        <v>14</v>
      </c>
      <c r="J91" s="1" t="s">
        <v>15</v>
      </c>
    </row>
    <row r="92" ht="15.75" customHeight="1">
      <c r="A92" s="1">
        <v>93.0</v>
      </c>
      <c r="B92" s="1" t="s">
        <v>316</v>
      </c>
      <c r="C92" s="1" t="s">
        <v>119</v>
      </c>
      <c r="D92" s="1" t="s">
        <v>317</v>
      </c>
      <c r="E92" s="1">
        <v>5.7005300001E11</v>
      </c>
      <c r="F92" s="1" t="s">
        <v>318</v>
      </c>
      <c r="G92" s="1" t="s">
        <v>12</v>
      </c>
      <c r="H92" s="1" t="s">
        <v>44</v>
      </c>
      <c r="I92" s="1" t="s">
        <v>14</v>
      </c>
      <c r="J92" s="1" t="s">
        <v>15</v>
      </c>
    </row>
    <row r="93" ht="15.75" customHeight="1">
      <c r="A93" s="1">
        <v>94.0</v>
      </c>
      <c r="B93" s="1" t="s">
        <v>319</v>
      </c>
      <c r="C93" s="1" t="s">
        <v>225</v>
      </c>
      <c r="D93" s="1" t="s">
        <v>320</v>
      </c>
      <c r="E93" s="1">
        <v>5.70053000013E11</v>
      </c>
      <c r="F93" s="1" t="s">
        <v>321</v>
      </c>
      <c r="G93" s="1" t="s">
        <v>12</v>
      </c>
      <c r="H93" s="1" t="s">
        <v>44</v>
      </c>
      <c r="I93" s="1" t="s">
        <v>14</v>
      </c>
      <c r="J93" s="1" t="s">
        <v>15</v>
      </c>
    </row>
    <row r="94" ht="15.75" customHeight="1">
      <c r="A94" s="1">
        <v>95.0</v>
      </c>
      <c r="B94" s="1" t="s">
        <v>322</v>
      </c>
      <c r="C94" s="1" t="s">
        <v>155</v>
      </c>
      <c r="D94" s="1" t="s">
        <v>60</v>
      </c>
      <c r="E94" s="1">
        <v>5.70053000017E11</v>
      </c>
      <c r="F94" s="1" t="s">
        <v>323</v>
      </c>
      <c r="G94" s="1" t="s">
        <v>103</v>
      </c>
      <c r="H94" s="1" t="s">
        <v>44</v>
      </c>
      <c r="I94" s="1" t="s">
        <v>14</v>
      </c>
      <c r="J94" s="1" t="s">
        <v>15</v>
      </c>
    </row>
    <row r="95" ht="15.75" customHeight="1">
      <c r="A95" s="1">
        <v>96.0</v>
      </c>
      <c r="B95" s="1" t="s">
        <v>324</v>
      </c>
      <c r="C95" s="1" t="s">
        <v>325</v>
      </c>
      <c r="D95" s="1" t="s">
        <v>326</v>
      </c>
      <c r="E95" s="1">
        <v>5.70053000019E11</v>
      </c>
      <c r="F95" s="1" t="s">
        <v>321</v>
      </c>
      <c r="G95" s="1" t="s">
        <v>12</v>
      </c>
      <c r="H95" s="1" t="s">
        <v>44</v>
      </c>
      <c r="I95" s="1" t="s">
        <v>14</v>
      </c>
      <c r="J95" s="1" t="s">
        <v>15</v>
      </c>
    </row>
    <row r="96" ht="15.75" customHeight="1">
      <c r="A96" s="1">
        <v>97.0</v>
      </c>
      <c r="B96" s="1" t="s">
        <v>327</v>
      </c>
      <c r="C96" s="1" t="s">
        <v>183</v>
      </c>
      <c r="D96" s="1" t="s">
        <v>328</v>
      </c>
      <c r="E96" s="1">
        <v>5.70053000024E11</v>
      </c>
      <c r="F96" s="1" t="s">
        <v>329</v>
      </c>
      <c r="G96" s="1" t="s">
        <v>12</v>
      </c>
      <c r="H96" s="1" t="s">
        <v>44</v>
      </c>
      <c r="I96" s="1" t="s">
        <v>14</v>
      </c>
      <c r="J96" s="1" t="s">
        <v>15</v>
      </c>
    </row>
    <row r="97" ht="15.75" customHeight="1">
      <c r="A97" s="1">
        <v>98.0</v>
      </c>
      <c r="B97" s="1" t="s">
        <v>330</v>
      </c>
      <c r="C97" s="1" t="s">
        <v>183</v>
      </c>
      <c r="D97" s="1" t="s">
        <v>331</v>
      </c>
      <c r="E97" s="1">
        <v>5.70053000025E11</v>
      </c>
      <c r="F97" s="1" t="s">
        <v>332</v>
      </c>
      <c r="G97" s="1" t="s">
        <v>12</v>
      </c>
      <c r="H97" s="1" t="s">
        <v>44</v>
      </c>
      <c r="I97" s="1" t="s">
        <v>14</v>
      </c>
      <c r="J97" s="1" t="s">
        <v>15</v>
      </c>
    </row>
    <row r="98" ht="15.75" customHeight="1">
      <c r="A98" s="1">
        <v>99.0</v>
      </c>
      <c r="B98" s="1" t="s">
        <v>333</v>
      </c>
      <c r="C98" s="1" t="s">
        <v>276</v>
      </c>
      <c r="D98" s="1" t="s">
        <v>334</v>
      </c>
      <c r="E98" s="1">
        <v>5.70053000028E11</v>
      </c>
      <c r="F98" s="1" t="s">
        <v>335</v>
      </c>
      <c r="G98" s="1" t="s">
        <v>12</v>
      </c>
      <c r="H98" s="1" t="s">
        <v>44</v>
      </c>
      <c r="I98" s="1" t="s">
        <v>14</v>
      </c>
      <c r="J98" s="1" t="s">
        <v>15</v>
      </c>
    </row>
    <row r="99" ht="15.75" customHeight="1">
      <c r="A99" s="1">
        <v>100.0</v>
      </c>
      <c r="B99" s="1" t="s">
        <v>336</v>
      </c>
      <c r="C99" s="1" t="s">
        <v>337</v>
      </c>
      <c r="D99" s="1" t="s">
        <v>338</v>
      </c>
      <c r="E99" s="1">
        <v>5.70053000029E11</v>
      </c>
      <c r="F99" s="1" t="s">
        <v>339</v>
      </c>
      <c r="G99" s="1" t="s">
        <v>12</v>
      </c>
      <c r="H99" s="1" t="s">
        <v>44</v>
      </c>
      <c r="I99" s="1" t="s">
        <v>14</v>
      </c>
      <c r="J99" s="1" t="s">
        <v>15</v>
      </c>
    </row>
    <row r="100" ht="15.75" customHeight="1">
      <c r="A100" s="1">
        <v>101.0</v>
      </c>
      <c r="B100" s="1" t="s">
        <v>301</v>
      </c>
      <c r="C100" s="1" t="s">
        <v>340</v>
      </c>
      <c r="D100" s="1" t="s">
        <v>231</v>
      </c>
      <c r="E100" s="1">
        <v>5.70053000026E11</v>
      </c>
      <c r="F100" s="1" t="s">
        <v>341</v>
      </c>
      <c r="G100" s="1" t="s">
        <v>342</v>
      </c>
      <c r="H100" s="1" t="s">
        <v>44</v>
      </c>
      <c r="I100" s="1" t="s">
        <v>14</v>
      </c>
      <c r="J100" s="1" t="s">
        <v>15</v>
      </c>
    </row>
    <row r="101" ht="15.75" customHeight="1">
      <c r="A101" s="1">
        <v>102.0</v>
      </c>
      <c r="B101" s="1" t="s">
        <v>343</v>
      </c>
      <c r="C101" s="1" t="s">
        <v>344</v>
      </c>
      <c r="D101" s="1" t="s">
        <v>345</v>
      </c>
      <c r="E101" s="1">
        <v>5.70053000031E11</v>
      </c>
      <c r="F101" s="1" t="s">
        <v>346</v>
      </c>
      <c r="G101" s="1" t="s">
        <v>12</v>
      </c>
      <c r="H101" s="1" t="s">
        <v>44</v>
      </c>
      <c r="I101" s="1" t="s">
        <v>14</v>
      </c>
      <c r="J101" s="1" t="s">
        <v>15</v>
      </c>
    </row>
    <row r="102" ht="15.75" customHeight="1">
      <c r="A102" s="1">
        <v>103.0</v>
      </c>
      <c r="B102" s="1" t="s">
        <v>347</v>
      </c>
      <c r="C102" s="1" t="s">
        <v>348</v>
      </c>
      <c r="D102" s="1" t="s">
        <v>349</v>
      </c>
      <c r="E102" s="1">
        <v>5.70053000032E11</v>
      </c>
      <c r="F102" s="1" t="s">
        <v>350</v>
      </c>
      <c r="G102" s="1" t="s">
        <v>12</v>
      </c>
      <c r="H102" s="1" t="s">
        <v>44</v>
      </c>
      <c r="I102" s="1" t="s">
        <v>14</v>
      </c>
      <c r="J102" s="1" t="s">
        <v>15</v>
      </c>
    </row>
    <row r="103" ht="15.75" customHeight="1">
      <c r="A103" s="1">
        <v>104.0</v>
      </c>
      <c r="B103" s="1" t="s">
        <v>351</v>
      </c>
      <c r="C103" s="1" t="s">
        <v>194</v>
      </c>
      <c r="D103" s="1" t="s">
        <v>352</v>
      </c>
      <c r="E103" s="1">
        <v>5.70053000033E11</v>
      </c>
      <c r="F103" s="1" t="s">
        <v>353</v>
      </c>
      <c r="G103" s="1" t="s">
        <v>12</v>
      </c>
      <c r="H103" s="1" t="s">
        <v>44</v>
      </c>
      <c r="I103" s="1" t="s">
        <v>14</v>
      </c>
      <c r="J103" s="1" t="s">
        <v>15</v>
      </c>
    </row>
    <row r="104" ht="15.75" customHeight="1">
      <c r="A104" s="1">
        <v>105.0</v>
      </c>
      <c r="B104" s="1" t="s">
        <v>354</v>
      </c>
      <c r="C104" s="1" t="s">
        <v>355</v>
      </c>
      <c r="D104" s="1" t="s">
        <v>356</v>
      </c>
      <c r="E104" s="1">
        <v>5.70053000034E11</v>
      </c>
      <c r="F104" s="1" t="s">
        <v>357</v>
      </c>
      <c r="G104" s="1" t="s">
        <v>342</v>
      </c>
      <c r="H104" s="1" t="s">
        <v>44</v>
      </c>
      <c r="I104" s="1" t="s">
        <v>14</v>
      </c>
      <c r="J104" s="1" t="s">
        <v>15</v>
      </c>
    </row>
    <row r="105" ht="15.75" customHeight="1">
      <c r="A105" s="1">
        <v>106.0</v>
      </c>
      <c r="B105" s="1" t="s">
        <v>358</v>
      </c>
      <c r="C105" s="1" t="s">
        <v>221</v>
      </c>
      <c r="D105" s="1" t="s">
        <v>359</v>
      </c>
      <c r="E105" s="1">
        <v>5.70053000035E11</v>
      </c>
      <c r="F105" s="1" t="s">
        <v>360</v>
      </c>
      <c r="G105" s="1" t="s">
        <v>342</v>
      </c>
      <c r="H105" s="1" t="s">
        <v>44</v>
      </c>
      <c r="I105" s="1" t="s">
        <v>14</v>
      </c>
      <c r="J105" s="1" t="s">
        <v>15</v>
      </c>
    </row>
    <row r="106" ht="15.75" customHeight="1">
      <c r="A106" s="1">
        <v>107.0</v>
      </c>
      <c r="B106" s="1" t="s">
        <v>361</v>
      </c>
      <c r="C106" s="1" t="s">
        <v>362</v>
      </c>
      <c r="D106" s="1" t="s">
        <v>363</v>
      </c>
      <c r="E106" s="1">
        <v>5.70053000039E11</v>
      </c>
      <c r="F106" s="1" t="s">
        <v>364</v>
      </c>
      <c r="G106" s="1" t="s">
        <v>103</v>
      </c>
      <c r="H106" s="1" t="s">
        <v>44</v>
      </c>
      <c r="I106" s="1" t="s">
        <v>14</v>
      </c>
      <c r="J106" s="1" t="s">
        <v>15</v>
      </c>
    </row>
    <row r="107" ht="15.75" customHeight="1">
      <c r="A107" s="1">
        <v>108.0</v>
      </c>
      <c r="B107" s="1" t="s">
        <v>365</v>
      </c>
      <c r="C107" s="1" t="s">
        <v>366</v>
      </c>
      <c r="D107" s="1" t="s">
        <v>217</v>
      </c>
      <c r="E107" s="1">
        <v>5.7005300004E11</v>
      </c>
      <c r="F107" s="1" t="s">
        <v>367</v>
      </c>
      <c r="G107" s="1" t="s">
        <v>342</v>
      </c>
      <c r="H107" s="1" t="s">
        <v>44</v>
      </c>
      <c r="I107" s="1" t="s">
        <v>14</v>
      </c>
      <c r="J107" s="1" t="s">
        <v>15</v>
      </c>
    </row>
    <row r="108" ht="15.75" customHeight="1">
      <c r="A108" s="1">
        <v>109.0</v>
      </c>
      <c r="B108" s="1" t="s">
        <v>368</v>
      </c>
      <c r="C108" s="1" t="s">
        <v>259</v>
      </c>
      <c r="D108" s="1" t="s">
        <v>369</v>
      </c>
      <c r="E108" s="1">
        <v>5.70053000043E11</v>
      </c>
      <c r="F108" s="1" t="s">
        <v>370</v>
      </c>
      <c r="G108" s="1" t="s">
        <v>12</v>
      </c>
      <c r="H108" s="1" t="s">
        <v>44</v>
      </c>
      <c r="I108" s="1" t="s">
        <v>14</v>
      </c>
      <c r="J108" s="1" t="s">
        <v>15</v>
      </c>
    </row>
    <row r="109" ht="15.75" customHeight="1">
      <c r="A109" s="1">
        <v>110.0</v>
      </c>
      <c r="B109" s="1" t="s">
        <v>371</v>
      </c>
      <c r="C109" s="1" t="s">
        <v>372</v>
      </c>
      <c r="D109" s="1" t="s">
        <v>223</v>
      </c>
      <c r="E109" s="1">
        <v>5.70053000044E11</v>
      </c>
      <c r="F109" s="1" t="s">
        <v>373</v>
      </c>
      <c r="G109" s="1" t="s">
        <v>12</v>
      </c>
      <c r="H109" s="1" t="s">
        <v>44</v>
      </c>
      <c r="I109" s="1" t="s">
        <v>14</v>
      </c>
      <c r="J109" s="1" t="s">
        <v>15</v>
      </c>
    </row>
    <row r="110" ht="15.75" customHeight="1">
      <c r="A110" s="1">
        <v>111.0</v>
      </c>
      <c r="B110" s="1" t="s">
        <v>374</v>
      </c>
      <c r="C110" s="1" t="s">
        <v>34</v>
      </c>
      <c r="D110" s="1" t="s">
        <v>375</v>
      </c>
      <c r="E110" s="1">
        <v>5.7005300002E11</v>
      </c>
      <c r="F110" s="1" t="s">
        <v>376</v>
      </c>
      <c r="G110" s="1" t="s">
        <v>12</v>
      </c>
      <c r="H110" s="1" t="s">
        <v>44</v>
      </c>
      <c r="I110" s="1" t="s">
        <v>14</v>
      </c>
      <c r="J110" s="1" t="s">
        <v>15</v>
      </c>
    </row>
    <row r="111" ht="15.75" customHeight="1">
      <c r="A111" s="1">
        <v>112.0</v>
      </c>
      <c r="B111" s="1" t="s">
        <v>377</v>
      </c>
      <c r="C111" s="1" t="s">
        <v>59</v>
      </c>
      <c r="D111" s="1" t="s">
        <v>10</v>
      </c>
      <c r="E111" s="1">
        <v>5.70053000046E11</v>
      </c>
      <c r="F111" s="1" t="s">
        <v>378</v>
      </c>
      <c r="G111" s="1" t="s">
        <v>342</v>
      </c>
      <c r="H111" s="1" t="s">
        <v>44</v>
      </c>
      <c r="I111" s="1" t="s">
        <v>14</v>
      </c>
      <c r="J111" s="1" t="s">
        <v>15</v>
      </c>
    </row>
    <row r="112" ht="15.75" customHeight="1">
      <c r="A112" s="1">
        <v>113.0</v>
      </c>
      <c r="B112" s="1" t="s">
        <v>379</v>
      </c>
      <c r="C112" s="1" t="s">
        <v>380</v>
      </c>
      <c r="D112" s="1" t="s">
        <v>381</v>
      </c>
      <c r="E112" s="1">
        <v>5.70053000047E11</v>
      </c>
      <c r="F112" s="1" t="s">
        <v>382</v>
      </c>
      <c r="G112" s="1" t="s">
        <v>12</v>
      </c>
      <c r="H112" s="1" t="s">
        <v>44</v>
      </c>
      <c r="I112" s="1" t="s">
        <v>14</v>
      </c>
      <c r="J112" s="1" t="s">
        <v>15</v>
      </c>
    </row>
    <row r="113" ht="15.75" customHeight="1">
      <c r="A113" s="1">
        <v>114.0</v>
      </c>
      <c r="B113" s="1" t="s">
        <v>383</v>
      </c>
      <c r="C113" s="1" t="s">
        <v>366</v>
      </c>
      <c r="D113" s="1" t="s">
        <v>384</v>
      </c>
      <c r="E113" s="1">
        <v>5.70053000049E11</v>
      </c>
      <c r="F113" s="1" t="s">
        <v>376</v>
      </c>
      <c r="G113" s="1" t="s">
        <v>342</v>
      </c>
      <c r="H113" s="1" t="s">
        <v>44</v>
      </c>
      <c r="I113" s="1" t="s">
        <v>14</v>
      </c>
      <c r="J113" s="1" t="s">
        <v>15</v>
      </c>
    </row>
    <row r="114" ht="15.75" customHeight="1">
      <c r="A114" s="1">
        <v>115.0</v>
      </c>
      <c r="B114" s="1" t="s">
        <v>385</v>
      </c>
      <c r="C114" s="1" t="s">
        <v>34</v>
      </c>
      <c r="D114" s="1" t="s">
        <v>375</v>
      </c>
      <c r="E114" s="1">
        <v>5.70053000048E11</v>
      </c>
      <c r="F114" s="1" t="s">
        <v>386</v>
      </c>
      <c r="G114" s="1" t="s">
        <v>12</v>
      </c>
      <c r="H114" s="1" t="s">
        <v>44</v>
      </c>
      <c r="I114" s="1" t="s">
        <v>14</v>
      </c>
      <c r="J114" s="1" t="s">
        <v>15</v>
      </c>
    </row>
    <row r="115" ht="15.75" customHeight="1">
      <c r="A115" s="1">
        <v>116.0</v>
      </c>
      <c r="B115" s="1" t="s">
        <v>387</v>
      </c>
      <c r="C115" s="1" t="s">
        <v>388</v>
      </c>
      <c r="D115" s="1" t="s">
        <v>389</v>
      </c>
      <c r="E115" s="1">
        <v>5.70053000051E11</v>
      </c>
      <c r="F115" s="1" t="s">
        <v>390</v>
      </c>
      <c r="G115" s="1" t="s">
        <v>12</v>
      </c>
      <c r="H115" s="1" t="s">
        <v>44</v>
      </c>
      <c r="I115" s="1" t="s">
        <v>14</v>
      </c>
      <c r="J115" s="1" t="s">
        <v>15</v>
      </c>
    </row>
    <row r="116" ht="15.75" customHeight="1">
      <c r="A116" s="1">
        <v>117.0</v>
      </c>
      <c r="B116" s="1" t="s">
        <v>391</v>
      </c>
      <c r="C116" s="1" t="s">
        <v>191</v>
      </c>
      <c r="D116" s="1" t="s">
        <v>392</v>
      </c>
      <c r="E116" s="1">
        <v>5.7005300004E10</v>
      </c>
      <c r="F116" s="1" t="s">
        <v>393</v>
      </c>
      <c r="G116" s="1" t="s">
        <v>12</v>
      </c>
      <c r="H116" s="1" t="s">
        <v>44</v>
      </c>
      <c r="I116" s="1" t="s">
        <v>14</v>
      </c>
      <c r="J116" s="1" t="s">
        <v>15</v>
      </c>
    </row>
    <row r="117" ht="15.75" customHeight="1">
      <c r="A117" s="1">
        <v>118.0</v>
      </c>
      <c r="B117" s="1" t="s">
        <v>394</v>
      </c>
      <c r="C117" s="1" t="s">
        <v>88</v>
      </c>
      <c r="D117" s="1" t="s">
        <v>395</v>
      </c>
      <c r="E117" s="1">
        <v>5.70053000054E11</v>
      </c>
      <c r="F117" s="1" t="s">
        <v>396</v>
      </c>
      <c r="G117" s="1" t="s">
        <v>12</v>
      </c>
      <c r="H117" s="1" t="s">
        <v>44</v>
      </c>
      <c r="I117" s="1" t="s">
        <v>14</v>
      </c>
      <c r="J117" s="1" t="s">
        <v>15</v>
      </c>
    </row>
    <row r="118" ht="15.75" customHeight="1">
      <c r="A118" s="1">
        <v>119.0</v>
      </c>
      <c r="B118" s="1" t="s">
        <v>322</v>
      </c>
      <c r="C118" s="1" t="s">
        <v>397</v>
      </c>
      <c r="D118" s="1" t="s">
        <v>217</v>
      </c>
      <c r="E118" s="1">
        <v>5.70053000055E11</v>
      </c>
      <c r="F118" s="1" t="s">
        <v>398</v>
      </c>
      <c r="G118" s="1" t="s">
        <v>12</v>
      </c>
      <c r="H118" s="1" t="s">
        <v>44</v>
      </c>
      <c r="I118" s="1" t="s">
        <v>14</v>
      </c>
      <c r="J118" s="1" t="s">
        <v>15</v>
      </c>
    </row>
    <row r="119" ht="15.75" customHeight="1">
      <c r="A119" s="1">
        <v>120.0</v>
      </c>
      <c r="B119" s="1" t="s">
        <v>399</v>
      </c>
      <c r="C119" s="1" t="s">
        <v>119</v>
      </c>
      <c r="D119" s="1" t="s">
        <v>400</v>
      </c>
      <c r="E119" s="1">
        <v>5.70053000056E11</v>
      </c>
      <c r="F119" s="1" t="s">
        <v>401</v>
      </c>
      <c r="G119" s="1" t="s">
        <v>342</v>
      </c>
      <c r="H119" s="1" t="s">
        <v>44</v>
      </c>
      <c r="I119" s="1" t="s">
        <v>14</v>
      </c>
      <c r="J119" s="1" t="s">
        <v>15</v>
      </c>
    </row>
    <row r="120" ht="15.75" customHeight="1">
      <c r="A120" s="1">
        <v>121.0</v>
      </c>
      <c r="B120" s="1" t="s">
        <v>402</v>
      </c>
      <c r="C120" s="1" t="s">
        <v>403</v>
      </c>
      <c r="D120" s="1" t="s">
        <v>404</v>
      </c>
      <c r="E120" s="1">
        <v>5.70053000057E11</v>
      </c>
      <c r="F120" s="1" t="s">
        <v>405</v>
      </c>
      <c r="G120" s="1" t="s">
        <v>12</v>
      </c>
      <c r="H120" s="1" t="s">
        <v>44</v>
      </c>
      <c r="I120" s="1" t="s">
        <v>14</v>
      </c>
      <c r="J120" s="1" t="s">
        <v>15</v>
      </c>
    </row>
    <row r="121" ht="15.75" customHeight="1">
      <c r="A121" s="1">
        <v>122.0</v>
      </c>
      <c r="B121" s="1" t="s">
        <v>406</v>
      </c>
      <c r="C121" s="1" t="s">
        <v>302</v>
      </c>
      <c r="D121" s="1" t="s">
        <v>303</v>
      </c>
      <c r="E121" s="1">
        <v>5.7005300006E11</v>
      </c>
      <c r="F121" s="1" t="s">
        <v>407</v>
      </c>
      <c r="G121" s="1" t="s">
        <v>342</v>
      </c>
      <c r="H121" s="1" t="s">
        <v>44</v>
      </c>
      <c r="I121" s="1" t="s">
        <v>14</v>
      </c>
      <c r="J121" s="1" t="s">
        <v>15</v>
      </c>
    </row>
    <row r="122" ht="15.75" customHeight="1">
      <c r="A122" s="1">
        <v>123.0</v>
      </c>
      <c r="B122" s="1" t="s">
        <v>408</v>
      </c>
      <c r="C122" s="1" t="s">
        <v>174</v>
      </c>
      <c r="D122" s="1" t="s">
        <v>249</v>
      </c>
      <c r="E122" s="1">
        <v>5.70053000061E11</v>
      </c>
      <c r="F122" s="1" t="s">
        <v>398</v>
      </c>
      <c r="G122" s="1" t="s">
        <v>12</v>
      </c>
      <c r="H122" s="1" t="s">
        <v>44</v>
      </c>
      <c r="I122" s="1" t="s">
        <v>14</v>
      </c>
      <c r="J122" s="1" t="s">
        <v>15</v>
      </c>
    </row>
    <row r="123" ht="15.75" customHeight="1">
      <c r="A123" s="1">
        <v>124.0</v>
      </c>
      <c r="B123" s="1" t="s">
        <v>409</v>
      </c>
      <c r="C123" s="1" t="s">
        <v>75</v>
      </c>
      <c r="D123" s="1" t="s">
        <v>410</v>
      </c>
      <c r="E123" s="1">
        <v>5.70053000063E11</v>
      </c>
      <c r="F123" s="1" t="s">
        <v>411</v>
      </c>
      <c r="G123" s="1" t="s">
        <v>103</v>
      </c>
      <c r="H123" s="1" t="s">
        <v>44</v>
      </c>
      <c r="I123" s="1" t="s">
        <v>14</v>
      </c>
      <c r="J123" s="1" t="s">
        <v>15</v>
      </c>
    </row>
    <row r="124" ht="15.75" customHeight="1">
      <c r="A124" s="1">
        <v>125.0</v>
      </c>
      <c r="B124" s="1" t="s">
        <v>412</v>
      </c>
      <c r="C124" s="1" t="s">
        <v>34</v>
      </c>
      <c r="D124" s="1" t="s">
        <v>375</v>
      </c>
      <c r="E124" s="1">
        <v>5.70053000065E11</v>
      </c>
      <c r="F124" s="1" t="s">
        <v>405</v>
      </c>
      <c r="G124" s="1" t="s">
        <v>12</v>
      </c>
      <c r="H124" s="1" t="s">
        <v>44</v>
      </c>
      <c r="I124" s="1" t="s">
        <v>14</v>
      </c>
      <c r="J124" s="1" t="s">
        <v>15</v>
      </c>
    </row>
    <row r="125" ht="15.75" customHeight="1">
      <c r="A125" s="1">
        <v>126.0</v>
      </c>
      <c r="B125" s="1" t="s">
        <v>413</v>
      </c>
      <c r="C125" s="1" t="s">
        <v>414</v>
      </c>
      <c r="D125" s="1" t="s">
        <v>415</v>
      </c>
      <c r="E125" s="1">
        <v>5.70053000068E11</v>
      </c>
      <c r="F125" s="1" t="s">
        <v>416</v>
      </c>
      <c r="G125" s="1" t="s">
        <v>342</v>
      </c>
      <c r="H125" s="1" t="s">
        <v>44</v>
      </c>
      <c r="I125" s="1" t="s">
        <v>14</v>
      </c>
      <c r="J125" s="1" t="s">
        <v>15</v>
      </c>
    </row>
    <row r="126" ht="15.75" customHeight="1">
      <c r="A126" s="1">
        <v>127.0</v>
      </c>
      <c r="B126" s="1" t="s">
        <v>417</v>
      </c>
      <c r="C126" s="1" t="s">
        <v>418</v>
      </c>
      <c r="D126" s="1" t="s">
        <v>419</v>
      </c>
      <c r="E126" s="1">
        <v>5.70053000069E11</v>
      </c>
      <c r="F126" s="1" t="s">
        <v>420</v>
      </c>
      <c r="G126" s="1" t="s">
        <v>12</v>
      </c>
      <c r="H126" s="1" t="s">
        <v>44</v>
      </c>
      <c r="I126" s="1" t="s">
        <v>14</v>
      </c>
      <c r="J126" s="1" t="s">
        <v>15</v>
      </c>
    </row>
    <row r="127" ht="15.75" customHeight="1">
      <c r="A127" s="1">
        <v>128.0</v>
      </c>
      <c r="B127" s="1" t="s">
        <v>421</v>
      </c>
      <c r="C127" s="1" t="s">
        <v>146</v>
      </c>
      <c r="D127" s="1" t="s">
        <v>257</v>
      </c>
      <c r="E127" s="1">
        <v>5.7005300007E11</v>
      </c>
      <c r="F127" s="1" t="s">
        <v>422</v>
      </c>
      <c r="G127" s="1" t="s">
        <v>342</v>
      </c>
      <c r="H127" s="1" t="s">
        <v>44</v>
      </c>
      <c r="I127" s="1" t="s">
        <v>14</v>
      </c>
      <c r="J127" s="1" t="s">
        <v>15</v>
      </c>
    </row>
    <row r="128" ht="15.75" customHeight="1">
      <c r="A128" s="1">
        <v>129.0</v>
      </c>
      <c r="B128" s="1" t="s">
        <v>423</v>
      </c>
      <c r="C128" s="1" t="s">
        <v>133</v>
      </c>
      <c r="D128" s="1" t="s">
        <v>424</v>
      </c>
      <c r="E128" s="1">
        <v>5.70053000073E11</v>
      </c>
      <c r="F128" s="1" t="s">
        <v>425</v>
      </c>
      <c r="G128" s="1" t="s">
        <v>12</v>
      </c>
      <c r="H128" s="1" t="s">
        <v>44</v>
      </c>
      <c r="I128" s="1" t="s">
        <v>14</v>
      </c>
      <c r="J128" s="1" t="s">
        <v>15</v>
      </c>
    </row>
    <row r="129" ht="15.75" customHeight="1">
      <c r="A129" s="1">
        <v>130.0</v>
      </c>
      <c r="B129" s="1" t="s">
        <v>426</v>
      </c>
      <c r="C129" s="1" t="s">
        <v>427</v>
      </c>
      <c r="D129" s="1" t="s">
        <v>428</v>
      </c>
      <c r="E129" s="1">
        <v>5.70053000074E11</v>
      </c>
      <c r="F129" s="1" t="s">
        <v>429</v>
      </c>
      <c r="G129" s="1" t="s">
        <v>12</v>
      </c>
      <c r="H129" s="1" t="s">
        <v>44</v>
      </c>
      <c r="I129" s="1" t="s">
        <v>14</v>
      </c>
      <c r="J129" s="1" t="s">
        <v>15</v>
      </c>
    </row>
    <row r="130" ht="15.75" customHeight="1">
      <c r="A130" s="1">
        <v>131.0</v>
      </c>
      <c r="B130" s="1" t="s">
        <v>430</v>
      </c>
      <c r="C130" s="1" t="s">
        <v>431</v>
      </c>
      <c r="D130" s="1" t="s">
        <v>432</v>
      </c>
      <c r="E130" s="1">
        <v>5.70053000075E11</v>
      </c>
      <c r="F130" s="1" t="s">
        <v>433</v>
      </c>
      <c r="G130" s="1" t="s">
        <v>12</v>
      </c>
      <c r="H130" s="1" t="s">
        <v>44</v>
      </c>
      <c r="I130" s="1" t="s">
        <v>14</v>
      </c>
      <c r="J130" s="1" t="s">
        <v>15</v>
      </c>
    </row>
    <row r="131" ht="15.75" customHeight="1">
      <c r="A131" s="1">
        <v>132.0</v>
      </c>
      <c r="B131" s="1" t="s">
        <v>434</v>
      </c>
      <c r="C131" s="1" t="s">
        <v>90</v>
      </c>
      <c r="D131" s="1" t="s">
        <v>247</v>
      </c>
      <c r="E131" s="1">
        <v>5.70053000076E11</v>
      </c>
      <c r="F131" s="1" t="s">
        <v>398</v>
      </c>
      <c r="G131" s="1" t="s">
        <v>12</v>
      </c>
      <c r="H131" s="1" t="s">
        <v>44</v>
      </c>
      <c r="I131" s="1" t="s">
        <v>14</v>
      </c>
      <c r="J131" s="1" t="s">
        <v>15</v>
      </c>
    </row>
    <row r="132" ht="15.75" customHeight="1">
      <c r="A132" s="1">
        <v>133.0</v>
      </c>
      <c r="B132" s="1" t="s">
        <v>435</v>
      </c>
      <c r="C132" s="1" t="s">
        <v>136</v>
      </c>
      <c r="D132" s="1" t="s">
        <v>436</v>
      </c>
      <c r="E132" s="1">
        <v>5.70053374661E11</v>
      </c>
      <c r="F132" s="1" t="s">
        <v>376</v>
      </c>
      <c r="G132" s="1" t="s">
        <v>342</v>
      </c>
      <c r="H132" s="1" t="s">
        <v>44</v>
      </c>
      <c r="I132" s="1" t="s">
        <v>14</v>
      </c>
      <c r="J132" s="1" t="s">
        <v>15</v>
      </c>
    </row>
    <row r="133" ht="15.75" customHeight="1">
      <c r="A133" s="1">
        <v>134.0</v>
      </c>
      <c r="B133" s="1" t="s">
        <v>437</v>
      </c>
      <c r="C133" s="1" t="s">
        <v>438</v>
      </c>
      <c r="D133" s="1" t="s">
        <v>439</v>
      </c>
      <c r="E133" s="1">
        <v>5.7005337466E11</v>
      </c>
      <c r="F133" s="1" t="s">
        <v>440</v>
      </c>
      <c r="G133" s="1" t="s">
        <v>25</v>
      </c>
      <c r="H133" s="1" t="s">
        <v>44</v>
      </c>
      <c r="I133" s="1" t="s">
        <v>14</v>
      </c>
      <c r="J133" s="1" t="s">
        <v>15</v>
      </c>
    </row>
    <row r="134" ht="15.75" customHeight="1">
      <c r="A134" s="1">
        <v>135.0</v>
      </c>
      <c r="B134" s="1" t="s">
        <v>441</v>
      </c>
      <c r="C134" s="1" t="s">
        <v>79</v>
      </c>
      <c r="D134" s="1" t="s">
        <v>442</v>
      </c>
      <c r="E134" s="1">
        <v>5.70053000086E11</v>
      </c>
      <c r="F134" s="1" t="s">
        <v>443</v>
      </c>
      <c r="G134" s="1" t="s">
        <v>12</v>
      </c>
      <c r="H134" s="1" t="s">
        <v>44</v>
      </c>
      <c r="I134" s="1" t="s">
        <v>14</v>
      </c>
      <c r="J134" s="1" t="s">
        <v>15</v>
      </c>
    </row>
    <row r="135" ht="15.75" customHeight="1">
      <c r="A135" s="1">
        <v>136.0</v>
      </c>
      <c r="B135" s="1" t="s">
        <v>444</v>
      </c>
      <c r="C135" s="1" t="s">
        <v>36</v>
      </c>
      <c r="D135" s="1" t="s">
        <v>445</v>
      </c>
      <c r="E135" s="1">
        <v>5.70053000087E11</v>
      </c>
      <c r="F135" s="1" t="s">
        <v>446</v>
      </c>
      <c r="G135" s="1" t="s">
        <v>342</v>
      </c>
      <c r="H135" s="1" t="s">
        <v>44</v>
      </c>
      <c r="I135" s="1" t="s">
        <v>14</v>
      </c>
      <c r="J135" s="1" t="s">
        <v>15</v>
      </c>
    </row>
    <row r="136" ht="15.75" customHeight="1">
      <c r="A136" s="1">
        <v>137.0</v>
      </c>
      <c r="B136" s="1" t="s">
        <v>447</v>
      </c>
      <c r="C136" s="1" t="s">
        <v>75</v>
      </c>
      <c r="D136" s="1" t="s">
        <v>448</v>
      </c>
      <c r="E136" s="1">
        <v>5.70053000088E11</v>
      </c>
      <c r="F136" s="1" t="s">
        <v>449</v>
      </c>
      <c r="G136" s="1" t="s">
        <v>342</v>
      </c>
      <c r="H136" s="1" t="s">
        <v>44</v>
      </c>
      <c r="I136" s="1" t="s">
        <v>14</v>
      </c>
      <c r="J136" s="1" t="s">
        <v>15</v>
      </c>
    </row>
    <row r="137" ht="15.75" customHeight="1">
      <c r="A137" s="1">
        <v>138.0</v>
      </c>
      <c r="B137" s="1" t="s">
        <v>450</v>
      </c>
      <c r="C137" s="1" t="s">
        <v>30</v>
      </c>
      <c r="D137" s="1" t="s">
        <v>451</v>
      </c>
      <c r="E137" s="1">
        <v>5.70053000089E11</v>
      </c>
      <c r="F137" s="1" t="s">
        <v>452</v>
      </c>
      <c r="G137" s="1" t="s">
        <v>342</v>
      </c>
      <c r="H137" s="1" t="s">
        <v>44</v>
      </c>
      <c r="I137" s="1" t="s">
        <v>14</v>
      </c>
      <c r="J137" s="1" t="s">
        <v>15</v>
      </c>
    </row>
    <row r="138" ht="15.75" customHeight="1">
      <c r="A138" s="1">
        <v>139.0</v>
      </c>
      <c r="B138" s="1" t="s">
        <v>453</v>
      </c>
      <c r="C138" s="1" t="s">
        <v>59</v>
      </c>
      <c r="D138" s="1" t="s">
        <v>10</v>
      </c>
      <c r="E138" s="1">
        <v>5.70053374664E11</v>
      </c>
      <c r="F138" s="1" t="s">
        <v>454</v>
      </c>
      <c r="G138" s="1" t="s">
        <v>93</v>
      </c>
      <c r="H138" s="1" t="s">
        <v>44</v>
      </c>
      <c r="I138" s="1" t="s">
        <v>14</v>
      </c>
      <c r="J138" s="1" t="s">
        <v>15</v>
      </c>
    </row>
    <row r="139" ht="15.75" customHeight="1">
      <c r="A139" s="1">
        <v>140.0</v>
      </c>
      <c r="B139" s="1" t="s">
        <v>455</v>
      </c>
      <c r="C139" s="1" t="s">
        <v>456</v>
      </c>
      <c r="D139" s="1" t="s">
        <v>356</v>
      </c>
      <c r="E139" s="1">
        <v>5.70053374665E11</v>
      </c>
      <c r="F139" s="1" t="s">
        <v>457</v>
      </c>
      <c r="G139" s="1" t="s">
        <v>12</v>
      </c>
      <c r="H139" s="1" t="s">
        <v>44</v>
      </c>
      <c r="I139" s="1" t="s">
        <v>14</v>
      </c>
      <c r="J139" s="1" t="s">
        <v>15</v>
      </c>
    </row>
    <row r="140" ht="15.75" customHeight="1">
      <c r="A140" s="1">
        <v>141.0</v>
      </c>
      <c r="B140" s="1" t="s">
        <v>458</v>
      </c>
      <c r="C140" s="1" t="s">
        <v>281</v>
      </c>
      <c r="D140" s="1" t="s">
        <v>363</v>
      </c>
      <c r="E140" s="1">
        <v>5.70053000083E11</v>
      </c>
      <c r="F140" s="1" t="s">
        <v>459</v>
      </c>
      <c r="G140" s="1" t="s">
        <v>93</v>
      </c>
      <c r="H140" s="1" t="s">
        <v>44</v>
      </c>
      <c r="I140" s="1" t="s">
        <v>14</v>
      </c>
      <c r="J140" s="1" t="s">
        <v>15</v>
      </c>
    </row>
    <row r="141" ht="15.75" customHeight="1">
      <c r="A141" s="1">
        <v>142.0</v>
      </c>
      <c r="B141" s="1" t="s">
        <v>59</v>
      </c>
      <c r="C141" s="1" t="s">
        <v>324</v>
      </c>
      <c r="D141" s="1" t="s">
        <v>460</v>
      </c>
      <c r="E141" s="1">
        <v>5.70053374671E11</v>
      </c>
      <c r="F141" s="1" t="s">
        <v>461</v>
      </c>
      <c r="G141" s="1" t="s">
        <v>12</v>
      </c>
      <c r="H141" s="1" t="s">
        <v>44</v>
      </c>
      <c r="I141" s="1" t="s">
        <v>14</v>
      </c>
      <c r="J141" s="1" t="s">
        <v>15</v>
      </c>
    </row>
    <row r="142" ht="15.75" customHeight="1">
      <c r="A142" s="1">
        <v>143.0</v>
      </c>
      <c r="B142" s="1" t="s">
        <v>462</v>
      </c>
      <c r="C142" s="1" t="s">
        <v>59</v>
      </c>
      <c r="D142" s="1" t="s">
        <v>10</v>
      </c>
      <c r="E142" s="1">
        <v>5.70053374672E11</v>
      </c>
      <c r="F142" s="1" t="s">
        <v>463</v>
      </c>
      <c r="G142" s="1" t="s">
        <v>12</v>
      </c>
      <c r="H142" s="1" t="s">
        <v>44</v>
      </c>
      <c r="I142" s="1" t="s">
        <v>14</v>
      </c>
      <c r="J142" s="1" t="s">
        <v>15</v>
      </c>
    </row>
    <row r="143" ht="15.75" customHeight="1">
      <c r="A143" s="1">
        <v>144.0</v>
      </c>
      <c r="B143" s="1" t="s">
        <v>394</v>
      </c>
      <c r="C143" s="1" t="s">
        <v>115</v>
      </c>
      <c r="D143" s="1" t="s">
        <v>464</v>
      </c>
      <c r="E143" s="1">
        <v>5.70053374673E11</v>
      </c>
      <c r="F143" s="1" t="s">
        <v>465</v>
      </c>
      <c r="G143" s="1" t="s">
        <v>103</v>
      </c>
      <c r="H143" s="1" t="s">
        <v>44</v>
      </c>
      <c r="I143" s="1" t="s">
        <v>14</v>
      </c>
      <c r="J143" s="1" t="s">
        <v>15</v>
      </c>
    </row>
    <row r="144" ht="15.75" customHeight="1">
      <c r="A144" s="1">
        <v>145.0</v>
      </c>
      <c r="B144" s="1" t="s">
        <v>466</v>
      </c>
      <c r="C144" s="1" t="s">
        <v>49</v>
      </c>
      <c r="D144" s="1" t="s">
        <v>249</v>
      </c>
      <c r="E144" s="1">
        <v>5.70053374674E11</v>
      </c>
      <c r="F144" s="1" t="s">
        <v>452</v>
      </c>
      <c r="G144" s="1" t="s">
        <v>12</v>
      </c>
      <c r="H144" s="1" t="s">
        <v>44</v>
      </c>
      <c r="I144" s="1" t="s">
        <v>14</v>
      </c>
      <c r="J144" s="1" t="s">
        <v>15</v>
      </c>
    </row>
    <row r="145" ht="15.75" customHeight="1">
      <c r="A145" s="1">
        <v>146.0</v>
      </c>
      <c r="B145" s="1" t="s">
        <v>467</v>
      </c>
      <c r="C145" s="1" t="s">
        <v>119</v>
      </c>
      <c r="D145" s="1" t="s">
        <v>400</v>
      </c>
      <c r="E145" s="1">
        <v>5.70053374681E11</v>
      </c>
      <c r="F145" s="1" t="s">
        <v>468</v>
      </c>
      <c r="G145" s="1" t="s">
        <v>12</v>
      </c>
      <c r="H145" s="1" t="s">
        <v>44</v>
      </c>
      <c r="I145" s="1" t="s">
        <v>14</v>
      </c>
      <c r="J145" s="1" t="s">
        <v>15</v>
      </c>
    </row>
    <row r="146" ht="15.75" customHeight="1">
      <c r="A146" s="1">
        <v>147.0</v>
      </c>
      <c r="B146" s="1" t="s">
        <v>469</v>
      </c>
      <c r="C146" s="1" t="s">
        <v>225</v>
      </c>
      <c r="D146" s="1" t="s">
        <v>470</v>
      </c>
      <c r="E146" s="1">
        <v>5.70053000091E11</v>
      </c>
      <c r="F146" s="1" t="s">
        <v>471</v>
      </c>
      <c r="G146" s="1" t="s">
        <v>12</v>
      </c>
      <c r="H146" s="1" t="s">
        <v>44</v>
      </c>
      <c r="I146" s="1" t="s">
        <v>14</v>
      </c>
      <c r="J146" s="1" t="s">
        <v>15</v>
      </c>
    </row>
    <row r="147" ht="15.75" customHeight="1">
      <c r="A147" s="1">
        <v>148.0</v>
      </c>
      <c r="B147" s="1" t="s">
        <v>472</v>
      </c>
      <c r="C147" s="1" t="s">
        <v>164</v>
      </c>
      <c r="D147" s="1" t="s">
        <v>473</v>
      </c>
      <c r="E147" s="1">
        <v>5.70053000093E11</v>
      </c>
      <c r="F147" s="1" t="s">
        <v>474</v>
      </c>
      <c r="G147" s="1" t="s">
        <v>342</v>
      </c>
      <c r="H147" s="1" t="s">
        <v>44</v>
      </c>
      <c r="I147" s="1" t="s">
        <v>14</v>
      </c>
      <c r="J147" s="1" t="s">
        <v>15</v>
      </c>
    </row>
    <row r="148" ht="15.75" customHeight="1"/>
    <row r="149" ht="15.75" customHeight="1">
      <c r="A149" s="2">
        <v>1.0</v>
      </c>
      <c r="B149" s="3" t="s">
        <v>46</v>
      </c>
      <c r="C149" s="3" t="s">
        <v>475</v>
      </c>
      <c r="D149" s="3" t="s">
        <v>476</v>
      </c>
      <c r="E149" s="2">
        <v>5.70053374301E11</v>
      </c>
      <c r="F149" s="3" t="s">
        <v>138</v>
      </c>
      <c r="G149" s="3" t="s">
        <v>477</v>
      </c>
      <c r="H149" s="4" t="s">
        <v>478</v>
      </c>
      <c r="I149" s="3"/>
      <c r="J149" s="3"/>
    </row>
    <row r="150" ht="15.75" customHeight="1">
      <c r="A150" s="2">
        <v>2.0</v>
      </c>
      <c r="B150" s="3" t="s">
        <v>479</v>
      </c>
      <c r="C150" s="3" t="s">
        <v>480</v>
      </c>
      <c r="D150" s="3" t="s">
        <v>481</v>
      </c>
      <c r="E150" s="2">
        <v>5.70053374302E11</v>
      </c>
      <c r="F150" s="3" t="s">
        <v>482</v>
      </c>
      <c r="G150" s="3" t="s">
        <v>477</v>
      </c>
      <c r="H150" s="4" t="s">
        <v>483</v>
      </c>
      <c r="I150" s="3"/>
      <c r="J150" s="3"/>
    </row>
    <row r="151" ht="15.75" customHeight="1">
      <c r="A151" s="2">
        <v>3.0</v>
      </c>
      <c r="B151" s="3" t="s">
        <v>117</v>
      </c>
      <c r="C151" s="3" t="s">
        <v>484</v>
      </c>
      <c r="D151" s="3" t="s">
        <v>485</v>
      </c>
      <c r="E151" s="2">
        <v>5.70053374304E11</v>
      </c>
      <c r="F151" s="3" t="s">
        <v>486</v>
      </c>
      <c r="G151" s="3" t="s">
        <v>477</v>
      </c>
      <c r="H151" s="4" t="s">
        <v>483</v>
      </c>
      <c r="I151" s="3"/>
      <c r="J151" s="3"/>
    </row>
    <row r="152" ht="15.75" customHeight="1">
      <c r="A152" s="2">
        <v>4.0</v>
      </c>
      <c r="B152" s="3" t="s">
        <v>10</v>
      </c>
      <c r="C152" s="3" t="s">
        <v>487</v>
      </c>
      <c r="D152" s="3" t="s">
        <v>117</v>
      </c>
      <c r="E152" s="2">
        <v>5.70053374305E11</v>
      </c>
      <c r="F152" s="3" t="s">
        <v>488</v>
      </c>
      <c r="G152" s="3" t="s">
        <v>477</v>
      </c>
      <c r="H152" s="4" t="s">
        <v>483</v>
      </c>
      <c r="I152" s="3"/>
      <c r="J152" s="3"/>
    </row>
    <row r="153" ht="15.75" customHeight="1">
      <c r="A153" s="2">
        <v>5.0</v>
      </c>
      <c r="B153" s="3" t="s">
        <v>489</v>
      </c>
      <c r="C153" s="3" t="s">
        <v>487</v>
      </c>
      <c r="D153" s="3" t="s">
        <v>117</v>
      </c>
      <c r="E153" s="2">
        <v>5.70053374306E11</v>
      </c>
      <c r="F153" s="3" t="s">
        <v>490</v>
      </c>
      <c r="G153" s="3" t="s">
        <v>477</v>
      </c>
      <c r="H153" s="4" t="s">
        <v>491</v>
      </c>
      <c r="I153" s="3"/>
      <c r="J153" s="3"/>
    </row>
    <row r="154" ht="15.75" customHeight="1">
      <c r="A154" s="2">
        <v>6.0</v>
      </c>
      <c r="B154" s="3" t="s">
        <v>492</v>
      </c>
      <c r="C154" s="3" t="s">
        <v>487</v>
      </c>
      <c r="D154" s="3" t="s">
        <v>493</v>
      </c>
      <c r="E154" s="2">
        <v>5.70053374307E11</v>
      </c>
      <c r="F154" s="3" t="s">
        <v>494</v>
      </c>
      <c r="G154" s="3" t="s">
        <v>477</v>
      </c>
      <c r="H154" s="4" t="s">
        <v>483</v>
      </c>
      <c r="I154" s="3"/>
      <c r="J154" s="3"/>
    </row>
    <row r="155" ht="15.75" customHeight="1">
      <c r="A155" s="2">
        <v>7.0</v>
      </c>
      <c r="B155" s="3" t="s">
        <v>495</v>
      </c>
      <c r="C155" s="3" t="s">
        <v>496</v>
      </c>
      <c r="D155" s="3" t="s">
        <v>497</v>
      </c>
      <c r="E155" s="2">
        <v>5.70053374308E11</v>
      </c>
      <c r="F155" s="3" t="s">
        <v>498</v>
      </c>
      <c r="G155" s="3" t="s">
        <v>233</v>
      </c>
      <c r="H155" s="4" t="s">
        <v>483</v>
      </c>
      <c r="I155" s="3"/>
      <c r="J155" s="3"/>
    </row>
    <row r="156" ht="15.75" customHeight="1">
      <c r="A156" s="2">
        <v>8.0</v>
      </c>
      <c r="B156" s="3" t="s">
        <v>499</v>
      </c>
      <c r="C156" s="3" t="s">
        <v>500</v>
      </c>
      <c r="D156" s="3" t="s">
        <v>217</v>
      </c>
      <c r="E156" s="2">
        <v>5.70053374309E11</v>
      </c>
      <c r="F156" s="3" t="s">
        <v>501</v>
      </c>
      <c r="G156" s="3" t="s">
        <v>477</v>
      </c>
      <c r="H156" s="4" t="s">
        <v>478</v>
      </c>
      <c r="I156" s="3"/>
      <c r="J156" s="3"/>
    </row>
    <row r="157" ht="15.75" customHeight="1">
      <c r="A157" s="2">
        <v>9.0</v>
      </c>
      <c r="B157" s="3" t="s">
        <v>502</v>
      </c>
      <c r="C157" s="3" t="s">
        <v>503</v>
      </c>
      <c r="D157" s="3" t="s">
        <v>504</v>
      </c>
      <c r="E157" s="2">
        <v>5.7005337431E11</v>
      </c>
      <c r="F157" s="3" t="s">
        <v>505</v>
      </c>
      <c r="G157" s="3" t="s">
        <v>477</v>
      </c>
      <c r="H157" s="4" t="s">
        <v>483</v>
      </c>
      <c r="I157" s="3"/>
      <c r="J157" s="3"/>
    </row>
    <row r="158" ht="15.75" customHeight="1">
      <c r="A158" s="2">
        <v>10.0</v>
      </c>
      <c r="B158" s="3" t="s">
        <v>18</v>
      </c>
      <c r="C158" s="3" t="s">
        <v>506</v>
      </c>
      <c r="D158" s="3" t="s">
        <v>507</v>
      </c>
      <c r="E158" s="2">
        <v>5.70053374311E11</v>
      </c>
      <c r="F158" s="3" t="s">
        <v>186</v>
      </c>
      <c r="G158" s="3" t="s">
        <v>477</v>
      </c>
      <c r="H158" s="4" t="s">
        <v>508</v>
      </c>
      <c r="I158" s="3"/>
      <c r="J158" s="3"/>
    </row>
    <row r="159" ht="15.75" customHeight="1">
      <c r="A159" s="2">
        <v>11.0</v>
      </c>
      <c r="B159" s="3" t="s">
        <v>509</v>
      </c>
      <c r="C159" s="3" t="s">
        <v>510</v>
      </c>
      <c r="D159" s="3" t="s">
        <v>511</v>
      </c>
      <c r="E159" s="2">
        <v>5.70053374312E11</v>
      </c>
      <c r="F159" s="3" t="s">
        <v>512</v>
      </c>
      <c r="G159" s="3" t="s">
        <v>477</v>
      </c>
      <c r="H159" s="4" t="s">
        <v>508</v>
      </c>
      <c r="I159" s="3"/>
      <c r="J159" s="3"/>
    </row>
    <row r="160" ht="15.75" customHeight="1">
      <c r="A160" s="2">
        <v>12.0</v>
      </c>
      <c r="B160" s="3" t="s">
        <v>448</v>
      </c>
      <c r="C160" s="3" t="s">
        <v>513</v>
      </c>
      <c r="D160" s="3" t="s">
        <v>514</v>
      </c>
      <c r="E160" s="2">
        <v>5.70053374316E11</v>
      </c>
      <c r="F160" s="3" t="s">
        <v>515</v>
      </c>
      <c r="G160" s="3" t="s">
        <v>477</v>
      </c>
      <c r="H160" s="4" t="s">
        <v>483</v>
      </c>
      <c r="I160" s="3"/>
      <c r="J160" s="3"/>
    </row>
    <row r="161" ht="15.75" customHeight="1">
      <c r="A161" s="2">
        <v>13.0</v>
      </c>
      <c r="B161" s="3" t="s">
        <v>451</v>
      </c>
      <c r="C161" s="3" t="s">
        <v>516</v>
      </c>
      <c r="D161" s="3" t="s">
        <v>181</v>
      </c>
      <c r="E161" s="2">
        <v>5.70053374318E11</v>
      </c>
      <c r="F161" s="3" t="s">
        <v>517</v>
      </c>
      <c r="G161" s="3" t="s">
        <v>477</v>
      </c>
      <c r="H161" s="4" t="s">
        <v>518</v>
      </c>
      <c r="I161" s="3"/>
      <c r="J161" s="3"/>
    </row>
    <row r="162" ht="15.75" customHeight="1">
      <c r="A162" s="2">
        <v>14.0</v>
      </c>
      <c r="B162" s="3" t="s">
        <v>181</v>
      </c>
      <c r="C162" s="3" t="s">
        <v>519</v>
      </c>
      <c r="D162" s="3" t="s">
        <v>60</v>
      </c>
      <c r="E162" s="2">
        <v>5.70053374321E11</v>
      </c>
      <c r="F162" s="3" t="s">
        <v>520</v>
      </c>
      <c r="G162" s="3" t="s">
        <v>477</v>
      </c>
      <c r="H162" s="4" t="s">
        <v>483</v>
      </c>
      <c r="I162" s="3"/>
      <c r="J162" s="3"/>
    </row>
    <row r="163" ht="15.75" customHeight="1">
      <c r="A163" s="2">
        <v>15.0</v>
      </c>
      <c r="B163" s="3" t="s">
        <v>375</v>
      </c>
      <c r="C163" s="3" t="s">
        <v>521</v>
      </c>
      <c r="D163" s="3" t="s">
        <v>247</v>
      </c>
      <c r="E163" s="2">
        <v>5.70053374323E11</v>
      </c>
      <c r="F163" s="3" t="s">
        <v>522</v>
      </c>
      <c r="G163" s="3" t="s">
        <v>477</v>
      </c>
      <c r="H163" s="4" t="s">
        <v>483</v>
      </c>
      <c r="I163" s="3"/>
      <c r="J163" s="3"/>
    </row>
    <row r="164" ht="15.75" customHeight="1">
      <c r="A164" s="2">
        <v>16.0</v>
      </c>
      <c r="B164" s="3" t="s">
        <v>523</v>
      </c>
      <c r="C164" s="3" t="s">
        <v>524</v>
      </c>
      <c r="D164" s="3" t="s">
        <v>525</v>
      </c>
      <c r="E164" s="2">
        <v>5.70053374328E11</v>
      </c>
      <c r="F164" s="3" t="s">
        <v>526</v>
      </c>
      <c r="G164" s="3" t="s">
        <v>477</v>
      </c>
      <c r="H164" s="4" t="s">
        <v>483</v>
      </c>
      <c r="I164" s="3"/>
      <c r="J164" s="3"/>
    </row>
    <row r="165" ht="15.75" customHeight="1">
      <c r="A165" s="2">
        <v>17.0</v>
      </c>
      <c r="B165" s="3" t="s">
        <v>527</v>
      </c>
      <c r="C165" s="3" t="s">
        <v>528</v>
      </c>
      <c r="D165" s="3" t="s">
        <v>529</v>
      </c>
      <c r="E165" s="2">
        <v>5.70053374329E11</v>
      </c>
      <c r="F165" s="3" t="s">
        <v>530</v>
      </c>
      <c r="G165" s="3" t="s">
        <v>477</v>
      </c>
      <c r="H165" s="4" t="s">
        <v>508</v>
      </c>
      <c r="I165" s="3"/>
      <c r="J165" s="3"/>
    </row>
    <row r="166" ht="15.75" customHeight="1">
      <c r="A166" s="2">
        <v>18.0</v>
      </c>
      <c r="B166" s="3" t="s">
        <v>249</v>
      </c>
      <c r="C166" s="3" t="s">
        <v>531</v>
      </c>
      <c r="D166" s="3" t="s">
        <v>532</v>
      </c>
      <c r="E166" s="2">
        <v>5.70053374331E11</v>
      </c>
      <c r="F166" s="3" t="s">
        <v>533</v>
      </c>
      <c r="G166" s="3" t="s">
        <v>477</v>
      </c>
      <c r="H166" s="4" t="s">
        <v>491</v>
      </c>
      <c r="I166" s="3"/>
      <c r="J166" s="3"/>
    </row>
    <row r="167" ht="15.75" customHeight="1">
      <c r="A167" s="2">
        <v>19.0</v>
      </c>
      <c r="B167" s="3" t="s">
        <v>534</v>
      </c>
      <c r="C167" s="3" t="s">
        <v>535</v>
      </c>
      <c r="D167" s="3" t="s">
        <v>536</v>
      </c>
      <c r="E167" s="2">
        <v>5.70053374332E11</v>
      </c>
      <c r="F167" s="3" t="s">
        <v>537</v>
      </c>
      <c r="G167" s="3" t="s">
        <v>477</v>
      </c>
      <c r="H167" s="4" t="s">
        <v>478</v>
      </c>
      <c r="I167" s="3"/>
      <c r="J167" s="3"/>
    </row>
    <row r="168" ht="15.75" customHeight="1">
      <c r="A168" s="2">
        <v>20.0</v>
      </c>
      <c r="B168" s="3" t="s">
        <v>404</v>
      </c>
      <c r="C168" s="3" t="s">
        <v>238</v>
      </c>
      <c r="D168" s="3" t="s">
        <v>538</v>
      </c>
      <c r="E168" s="2">
        <v>5.70053374334E11</v>
      </c>
      <c r="F168" s="3" t="s">
        <v>539</v>
      </c>
      <c r="G168" s="3" t="s">
        <v>477</v>
      </c>
      <c r="H168" s="4" t="s">
        <v>483</v>
      </c>
      <c r="I168" s="3"/>
      <c r="J168" s="3"/>
    </row>
    <row r="169" ht="15.75" customHeight="1">
      <c r="A169" s="2">
        <v>21.0</v>
      </c>
      <c r="B169" s="3" t="s">
        <v>540</v>
      </c>
      <c r="C169" s="3" t="s">
        <v>541</v>
      </c>
      <c r="D169" s="3" t="s">
        <v>542</v>
      </c>
      <c r="E169" s="2">
        <v>5.70053374335E11</v>
      </c>
      <c r="F169" s="3" t="s">
        <v>543</v>
      </c>
      <c r="G169" s="3" t="s">
        <v>477</v>
      </c>
      <c r="H169" s="4" t="s">
        <v>508</v>
      </c>
      <c r="I169" s="3"/>
      <c r="J169" s="3"/>
    </row>
    <row r="170" ht="15.75" customHeight="1">
      <c r="A170" s="2">
        <v>22.0</v>
      </c>
      <c r="B170" s="3" t="s">
        <v>10</v>
      </c>
      <c r="C170" s="3" t="s">
        <v>172</v>
      </c>
      <c r="D170" s="3" t="s">
        <v>32</v>
      </c>
      <c r="E170" s="2">
        <v>5.70053374338E11</v>
      </c>
      <c r="F170" s="3" t="s">
        <v>544</v>
      </c>
      <c r="G170" s="3" t="s">
        <v>477</v>
      </c>
      <c r="H170" s="4" t="s">
        <v>483</v>
      </c>
      <c r="I170" s="3"/>
      <c r="J170" s="3"/>
    </row>
    <row r="171" ht="15.75" customHeight="1">
      <c r="A171" s="2">
        <v>23.0</v>
      </c>
      <c r="B171" s="3" t="s">
        <v>60</v>
      </c>
      <c r="C171" s="3" t="s">
        <v>545</v>
      </c>
      <c r="D171" s="3" t="s">
        <v>185</v>
      </c>
      <c r="E171" s="2">
        <v>5.70053374339E11</v>
      </c>
      <c r="F171" s="3" t="s">
        <v>546</v>
      </c>
      <c r="G171" s="3" t="s">
        <v>93</v>
      </c>
      <c r="H171" s="4" t="s">
        <v>483</v>
      </c>
      <c r="I171" s="3"/>
      <c r="J171" s="3"/>
    </row>
    <row r="172" ht="15.75" customHeight="1">
      <c r="A172" s="2">
        <v>25.0</v>
      </c>
      <c r="B172" s="3" t="s">
        <v>217</v>
      </c>
      <c r="C172" s="3" t="s">
        <v>547</v>
      </c>
      <c r="D172" s="3" t="s">
        <v>548</v>
      </c>
      <c r="E172" s="2">
        <v>5.70053374344E11</v>
      </c>
      <c r="F172" s="3" t="s">
        <v>549</v>
      </c>
      <c r="G172" s="3" t="s">
        <v>477</v>
      </c>
      <c r="H172" s="4" t="s">
        <v>478</v>
      </c>
      <c r="I172" s="3"/>
      <c r="J172" s="3"/>
    </row>
    <row r="173" ht="15.75" customHeight="1">
      <c r="A173" s="2">
        <v>26.0</v>
      </c>
      <c r="B173" s="3" t="s">
        <v>550</v>
      </c>
      <c r="C173" s="3" t="s">
        <v>551</v>
      </c>
      <c r="D173" s="3" t="s">
        <v>552</v>
      </c>
      <c r="E173" s="2">
        <v>5.70053374349E11</v>
      </c>
      <c r="F173" s="3" t="s">
        <v>38</v>
      </c>
      <c r="G173" s="3" t="s">
        <v>477</v>
      </c>
      <c r="H173" s="4" t="s">
        <v>478</v>
      </c>
      <c r="I173" s="3"/>
      <c r="J173" s="3"/>
    </row>
    <row r="174" ht="15.75" customHeight="1">
      <c r="A174" s="2">
        <v>27.0</v>
      </c>
      <c r="B174" s="3" t="s">
        <v>553</v>
      </c>
      <c r="C174" s="3" t="s">
        <v>554</v>
      </c>
      <c r="D174" s="3" t="s">
        <v>555</v>
      </c>
      <c r="E174" s="2">
        <v>5.7005337435E11</v>
      </c>
      <c r="F174" s="3" t="s">
        <v>556</v>
      </c>
      <c r="G174" s="3" t="s">
        <v>477</v>
      </c>
      <c r="H174" s="4" t="s">
        <v>478</v>
      </c>
      <c r="I174" s="3"/>
      <c r="J174" s="3"/>
    </row>
    <row r="175" ht="15.75" customHeight="1">
      <c r="A175" s="2">
        <v>28.0</v>
      </c>
      <c r="B175" s="3" t="s">
        <v>442</v>
      </c>
      <c r="C175" s="3" t="s">
        <v>309</v>
      </c>
      <c r="D175" s="3" t="s">
        <v>555</v>
      </c>
      <c r="E175" s="2">
        <v>5.70053374352E11</v>
      </c>
      <c r="F175" s="3" t="s">
        <v>557</v>
      </c>
      <c r="G175" s="3" t="s">
        <v>477</v>
      </c>
      <c r="H175" s="4" t="s">
        <v>478</v>
      </c>
      <c r="I175" s="3"/>
      <c r="J175" s="3"/>
    </row>
    <row r="176" ht="15.75" customHeight="1">
      <c r="A176" s="2">
        <v>29.0</v>
      </c>
      <c r="B176" s="3" t="s">
        <v>10</v>
      </c>
      <c r="C176" s="3" t="s">
        <v>558</v>
      </c>
      <c r="D176" s="3" t="s">
        <v>559</v>
      </c>
      <c r="E176" s="2">
        <v>5.70053374356E11</v>
      </c>
      <c r="F176" s="3" t="s">
        <v>560</v>
      </c>
      <c r="G176" s="3" t="s">
        <v>477</v>
      </c>
      <c r="H176" s="4" t="s">
        <v>478</v>
      </c>
      <c r="I176" s="3"/>
      <c r="J176" s="3"/>
    </row>
    <row r="177" ht="15.75" customHeight="1">
      <c r="A177" s="2">
        <v>30.0</v>
      </c>
      <c r="B177" s="3" t="s">
        <v>561</v>
      </c>
      <c r="C177" s="3" t="s">
        <v>562</v>
      </c>
      <c r="D177" s="3" t="s">
        <v>563</v>
      </c>
      <c r="E177" s="2">
        <v>5.70053374357E11</v>
      </c>
      <c r="F177" s="3" t="s">
        <v>564</v>
      </c>
      <c r="G177" s="3" t="s">
        <v>477</v>
      </c>
      <c r="H177" s="4" t="s">
        <v>478</v>
      </c>
      <c r="I177" s="3"/>
      <c r="J177" s="3"/>
    </row>
    <row r="178" ht="15.75" customHeight="1">
      <c r="A178" s="2">
        <v>31.0</v>
      </c>
      <c r="B178" s="3" t="s">
        <v>448</v>
      </c>
      <c r="C178" s="3" t="s">
        <v>565</v>
      </c>
      <c r="D178" s="3" t="s">
        <v>566</v>
      </c>
      <c r="E178" s="2">
        <v>5.70053374358E11</v>
      </c>
      <c r="F178" s="3" t="s">
        <v>567</v>
      </c>
      <c r="G178" s="3" t="s">
        <v>477</v>
      </c>
      <c r="H178" s="4" t="s">
        <v>478</v>
      </c>
      <c r="I178" s="3"/>
      <c r="J178" s="3"/>
    </row>
    <row r="179" ht="15.75" customHeight="1">
      <c r="A179" s="2">
        <v>32.0</v>
      </c>
      <c r="B179" s="3" t="s">
        <v>60</v>
      </c>
      <c r="C179" s="3" t="s">
        <v>568</v>
      </c>
      <c r="D179" s="3" t="s">
        <v>569</v>
      </c>
      <c r="E179" s="2">
        <v>5.70053374359E11</v>
      </c>
      <c r="F179" s="3" t="s">
        <v>570</v>
      </c>
      <c r="G179" s="3" t="s">
        <v>477</v>
      </c>
      <c r="H179" s="4" t="s">
        <v>478</v>
      </c>
      <c r="I179" s="3"/>
      <c r="J179" s="3"/>
    </row>
    <row r="180" ht="15.75" customHeight="1">
      <c r="A180" s="2">
        <v>33.0</v>
      </c>
      <c r="B180" s="3" t="s">
        <v>571</v>
      </c>
      <c r="C180" s="3" t="s">
        <v>572</v>
      </c>
      <c r="D180" s="3" t="s">
        <v>419</v>
      </c>
      <c r="E180" s="2">
        <v>5.70053374361E11</v>
      </c>
      <c r="F180" s="3" t="s">
        <v>573</v>
      </c>
      <c r="G180" s="3" t="s">
        <v>477</v>
      </c>
      <c r="H180" s="4" t="s">
        <v>478</v>
      </c>
      <c r="I180" s="3"/>
      <c r="J180" s="3"/>
    </row>
    <row r="181" ht="15.75" customHeight="1">
      <c r="A181" s="2">
        <v>34.0</v>
      </c>
      <c r="B181" s="3" t="s">
        <v>574</v>
      </c>
      <c r="C181" s="3" t="s">
        <v>575</v>
      </c>
      <c r="D181" s="3" t="s">
        <v>576</v>
      </c>
      <c r="E181" s="2">
        <v>5.70053374362E11</v>
      </c>
      <c r="F181" s="3" t="s">
        <v>577</v>
      </c>
      <c r="G181" s="3" t="s">
        <v>477</v>
      </c>
      <c r="H181" s="4" t="s">
        <v>478</v>
      </c>
      <c r="I181" s="3"/>
      <c r="J181" s="3"/>
    </row>
    <row r="182" ht="15.75" customHeight="1">
      <c r="A182" s="2">
        <v>35.0</v>
      </c>
      <c r="B182" s="3" t="s">
        <v>578</v>
      </c>
      <c r="C182" s="3" t="s">
        <v>579</v>
      </c>
      <c r="D182" s="3" t="s">
        <v>580</v>
      </c>
      <c r="E182" s="2">
        <v>5.70053374363E11</v>
      </c>
      <c r="F182" s="3" t="s">
        <v>581</v>
      </c>
      <c r="G182" s="3" t="s">
        <v>477</v>
      </c>
      <c r="H182" s="4" t="s">
        <v>478</v>
      </c>
      <c r="I182" s="3"/>
      <c r="J182" s="3"/>
    </row>
    <row r="183" ht="15.75" customHeight="1">
      <c r="A183" s="2">
        <v>36.0</v>
      </c>
      <c r="B183" s="3" t="s">
        <v>473</v>
      </c>
      <c r="C183" s="3" t="s">
        <v>75</v>
      </c>
      <c r="D183" s="3" t="s">
        <v>166</v>
      </c>
      <c r="E183" s="2">
        <v>5.70053374364E11</v>
      </c>
      <c r="F183" s="3" t="s">
        <v>573</v>
      </c>
      <c r="G183" s="3" t="s">
        <v>477</v>
      </c>
      <c r="H183" s="4" t="s">
        <v>478</v>
      </c>
      <c r="I183" s="3"/>
      <c r="J183" s="3"/>
    </row>
    <row r="184" ht="15.75" customHeight="1">
      <c r="A184" s="2">
        <v>37.0</v>
      </c>
      <c r="B184" s="3" t="s">
        <v>582</v>
      </c>
      <c r="C184" s="3" t="s">
        <v>583</v>
      </c>
      <c r="D184" s="3" t="s">
        <v>584</v>
      </c>
      <c r="E184" s="2">
        <v>5.70053374366E11</v>
      </c>
      <c r="F184" s="3" t="s">
        <v>585</v>
      </c>
      <c r="G184" s="3" t="s">
        <v>477</v>
      </c>
      <c r="H184" s="4" t="s">
        <v>478</v>
      </c>
      <c r="I184" s="3"/>
      <c r="J184" s="3"/>
    </row>
    <row r="185" ht="15.75" customHeight="1">
      <c r="A185" s="2">
        <v>38.0</v>
      </c>
      <c r="B185" s="3" t="s">
        <v>586</v>
      </c>
      <c r="C185" s="3" t="s">
        <v>587</v>
      </c>
      <c r="D185" s="3" t="s">
        <v>588</v>
      </c>
      <c r="E185" s="2">
        <v>5.70053374367E11</v>
      </c>
      <c r="F185" s="3" t="s">
        <v>589</v>
      </c>
      <c r="G185" s="3" t="s">
        <v>477</v>
      </c>
      <c r="H185" s="4" t="s">
        <v>478</v>
      </c>
      <c r="I185" s="3"/>
      <c r="J185" s="3"/>
    </row>
    <row r="186" ht="15.75" customHeight="1">
      <c r="A186" s="2">
        <v>39.0</v>
      </c>
      <c r="B186" s="3" t="s">
        <v>247</v>
      </c>
      <c r="C186" s="3" t="s">
        <v>590</v>
      </c>
      <c r="D186" s="3" t="s">
        <v>158</v>
      </c>
      <c r="E186" s="2">
        <v>5.70053374372E11</v>
      </c>
      <c r="F186" s="3" t="s">
        <v>118</v>
      </c>
      <c r="G186" s="3" t="s">
        <v>477</v>
      </c>
      <c r="H186" s="4" t="s">
        <v>478</v>
      </c>
      <c r="I186" s="3"/>
      <c r="J186" s="3"/>
    </row>
    <row r="187" ht="15.75" customHeight="1">
      <c r="A187" s="2">
        <v>40.0</v>
      </c>
      <c r="B187" s="3" t="s">
        <v>464</v>
      </c>
      <c r="C187" s="3" t="s">
        <v>591</v>
      </c>
      <c r="D187" s="3" t="s">
        <v>592</v>
      </c>
      <c r="E187" s="2">
        <v>5.70053374383E11</v>
      </c>
      <c r="F187" s="3" t="s">
        <v>593</v>
      </c>
      <c r="G187" s="3" t="s">
        <v>477</v>
      </c>
      <c r="H187" s="4" t="s">
        <v>478</v>
      </c>
      <c r="I187" s="3"/>
      <c r="J187" s="3"/>
    </row>
    <row r="188" ht="15.75" customHeight="1">
      <c r="A188" s="2">
        <v>41.0</v>
      </c>
      <c r="B188" s="3" t="s">
        <v>137</v>
      </c>
      <c r="C188" s="3" t="s">
        <v>594</v>
      </c>
      <c r="D188" s="3" t="s">
        <v>595</v>
      </c>
      <c r="E188" s="2">
        <v>5.70053374384E11</v>
      </c>
      <c r="F188" s="3" t="s">
        <v>596</v>
      </c>
      <c r="G188" s="3" t="s">
        <v>477</v>
      </c>
      <c r="H188" s="4" t="s">
        <v>478</v>
      </c>
      <c r="I188" s="3"/>
      <c r="J188" s="3"/>
    </row>
    <row r="189" ht="15.75" customHeight="1">
      <c r="A189" s="2">
        <v>42.0</v>
      </c>
      <c r="B189" s="3" t="s">
        <v>597</v>
      </c>
      <c r="C189" s="3" t="s">
        <v>64</v>
      </c>
      <c r="D189" s="3" t="s">
        <v>598</v>
      </c>
      <c r="E189" s="2">
        <v>5.70053374386E11</v>
      </c>
      <c r="F189" s="3" t="s">
        <v>498</v>
      </c>
      <c r="G189" s="3" t="s">
        <v>477</v>
      </c>
      <c r="H189" s="4" t="s">
        <v>478</v>
      </c>
      <c r="I189" s="3"/>
      <c r="J189" s="3"/>
    </row>
    <row r="190" ht="15.75" customHeight="1">
      <c r="A190" s="2">
        <v>43.0</v>
      </c>
      <c r="B190" s="3" t="s">
        <v>599</v>
      </c>
      <c r="C190" s="3" t="s">
        <v>600</v>
      </c>
      <c r="D190" s="3" t="s">
        <v>601</v>
      </c>
      <c r="E190" s="2">
        <v>5.70053374387E11</v>
      </c>
      <c r="F190" s="3" t="s">
        <v>602</v>
      </c>
      <c r="G190" s="3" t="s">
        <v>477</v>
      </c>
      <c r="H190" s="4" t="s">
        <v>478</v>
      </c>
      <c r="I190" s="3"/>
      <c r="J190" s="3"/>
    </row>
    <row r="191" ht="15.75" customHeight="1">
      <c r="A191" s="2">
        <v>44.0</v>
      </c>
      <c r="B191" s="3" t="s">
        <v>400</v>
      </c>
      <c r="C191" s="3" t="s">
        <v>603</v>
      </c>
      <c r="D191" s="3" t="s">
        <v>604</v>
      </c>
      <c r="E191" s="2">
        <v>5.70053374389E11</v>
      </c>
      <c r="F191" s="3" t="s">
        <v>605</v>
      </c>
      <c r="G191" s="3" t="s">
        <v>477</v>
      </c>
      <c r="H191" s="4" t="s">
        <v>478</v>
      </c>
      <c r="I191" s="3"/>
      <c r="J191" s="3"/>
    </row>
    <row r="192" ht="15.75" customHeight="1">
      <c r="A192" s="2">
        <v>45.0</v>
      </c>
      <c r="B192" s="3" t="s">
        <v>606</v>
      </c>
      <c r="C192" s="3" t="s">
        <v>194</v>
      </c>
      <c r="D192" s="3" t="s">
        <v>607</v>
      </c>
      <c r="E192" s="2">
        <v>5.70053374391E11</v>
      </c>
      <c r="F192" s="3" t="s">
        <v>126</v>
      </c>
      <c r="G192" s="3" t="s">
        <v>477</v>
      </c>
      <c r="H192" s="4" t="s">
        <v>478</v>
      </c>
      <c r="I192" s="3"/>
      <c r="J192" s="3"/>
    </row>
    <row r="193" ht="15.75" customHeight="1">
      <c r="A193" s="2">
        <v>46.0</v>
      </c>
      <c r="B193" s="3" t="s">
        <v>608</v>
      </c>
      <c r="C193" s="3" t="s">
        <v>609</v>
      </c>
      <c r="D193" s="3" t="s">
        <v>610</v>
      </c>
      <c r="E193" s="2">
        <v>5.70053374392E11</v>
      </c>
      <c r="F193" s="3" t="s">
        <v>567</v>
      </c>
      <c r="G193" s="3" t="s">
        <v>477</v>
      </c>
      <c r="H193" s="4" t="s">
        <v>478</v>
      </c>
      <c r="I193" s="3"/>
      <c r="J193" s="3"/>
    </row>
    <row r="194" ht="15.75" customHeight="1">
      <c r="A194" s="2">
        <v>47.0</v>
      </c>
      <c r="B194" s="3" t="s">
        <v>125</v>
      </c>
      <c r="C194" s="3" t="s">
        <v>611</v>
      </c>
      <c r="D194" s="3" t="s">
        <v>612</v>
      </c>
      <c r="E194" s="2">
        <v>5.70053374393E11</v>
      </c>
      <c r="F194" s="3" t="s">
        <v>613</v>
      </c>
      <c r="G194" s="3" t="s">
        <v>477</v>
      </c>
      <c r="H194" s="4" t="s">
        <v>478</v>
      </c>
      <c r="I194" s="3"/>
      <c r="J194" s="3"/>
    </row>
    <row r="195" ht="15.75" customHeight="1">
      <c r="A195" s="2">
        <v>48.0</v>
      </c>
      <c r="B195" s="3" t="s">
        <v>614</v>
      </c>
      <c r="C195" s="3" t="s">
        <v>615</v>
      </c>
      <c r="D195" s="3" t="s">
        <v>616</v>
      </c>
      <c r="E195" s="2">
        <v>5.70053374398E11</v>
      </c>
      <c r="F195" s="3" t="s">
        <v>617</v>
      </c>
      <c r="G195" s="3" t="s">
        <v>477</v>
      </c>
      <c r="H195" s="4" t="s">
        <v>478</v>
      </c>
      <c r="I195" s="3"/>
      <c r="J195" s="3"/>
    </row>
    <row r="196" ht="15.75" customHeight="1">
      <c r="A196" s="2">
        <v>49.0</v>
      </c>
      <c r="B196" s="3" t="s">
        <v>369</v>
      </c>
      <c r="C196" s="3" t="s">
        <v>116</v>
      </c>
      <c r="D196" s="3" t="s">
        <v>137</v>
      </c>
      <c r="E196" s="2">
        <v>5.700533744E11</v>
      </c>
      <c r="F196" s="3" t="s">
        <v>618</v>
      </c>
      <c r="G196" s="3" t="s">
        <v>477</v>
      </c>
      <c r="H196" s="4" t="s">
        <v>478</v>
      </c>
      <c r="I196" s="3"/>
      <c r="J196" s="3"/>
    </row>
    <row r="197" ht="15.75" customHeight="1">
      <c r="A197" s="2">
        <v>50.0</v>
      </c>
      <c r="B197" s="3" t="s">
        <v>619</v>
      </c>
      <c r="C197" s="3" t="s">
        <v>620</v>
      </c>
      <c r="D197" s="3" t="s">
        <v>621</v>
      </c>
      <c r="E197" s="2">
        <v>5.70053374403E11</v>
      </c>
      <c r="F197" s="3" t="s">
        <v>622</v>
      </c>
      <c r="G197" s="3" t="s">
        <v>477</v>
      </c>
      <c r="H197" s="4" t="s">
        <v>478</v>
      </c>
      <c r="I197" s="3"/>
      <c r="J197" s="3"/>
    </row>
    <row r="198" ht="15.75" customHeight="1">
      <c r="A198" s="2">
        <v>51.0</v>
      </c>
      <c r="B198" s="3" t="s">
        <v>257</v>
      </c>
      <c r="C198" s="3" t="s">
        <v>623</v>
      </c>
      <c r="D198" s="3" t="s">
        <v>624</v>
      </c>
      <c r="E198" s="2">
        <v>5.70053374404E11</v>
      </c>
      <c r="F198" s="3" t="s">
        <v>577</v>
      </c>
      <c r="G198" s="3" t="s">
        <v>477</v>
      </c>
      <c r="H198" s="4" t="s">
        <v>478</v>
      </c>
      <c r="I198" s="3"/>
      <c r="J198" s="3"/>
    </row>
    <row r="199" ht="15.75" customHeight="1">
      <c r="A199" s="2">
        <v>52.0</v>
      </c>
      <c r="B199" s="3" t="s">
        <v>625</v>
      </c>
      <c r="C199" s="3" t="s">
        <v>626</v>
      </c>
      <c r="D199" s="3" t="s">
        <v>627</v>
      </c>
      <c r="E199" s="2">
        <v>5.70053374405E11</v>
      </c>
      <c r="F199" s="3" t="s">
        <v>628</v>
      </c>
      <c r="G199" s="3" t="s">
        <v>477</v>
      </c>
      <c r="H199" s="4" t="s">
        <v>478</v>
      </c>
      <c r="I199" s="3"/>
      <c r="J199" s="3"/>
    </row>
    <row r="200" ht="15.75" customHeight="1">
      <c r="A200" s="2">
        <v>53.0</v>
      </c>
      <c r="B200" s="3" t="s">
        <v>328</v>
      </c>
      <c r="C200" s="3" t="s">
        <v>31</v>
      </c>
      <c r="D200" s="3" t="s">
        <v>32</v>
      </c>
      <c r="E200" s="2">
        <v>5.70053374406E11</v>
      </c>
      <c r="F200" s="3" t="s">
        <v>629</v>
      </c>
      <c r="G200" s="3" t="s">
        <v>477</v>
      </c>
      <c r="H200" s="4" t="s">
        <v>478</v>
      </c>
      <c r="I200" s="3"/>
      <c r="J200" s="3"/>
    </row>
    <row r="201" ht="15.75" customHeight="1">
      <c r="A201" s="2">
        <v>54.0</v>
      </c>
      <c r="B201" s="3" t="s">
        <v>415</v>
      </c>
      <c r="C201" s="3" t="s">
        <v>151</v>
      </c>
      <c r="D201" s="3" t="s">
        <v>514</v>
      </c>
      <c r="E201" s="2">
        <v>5.70053374407E11</v>
      </c>
      <c r="F201" s="3" t="s">
        <v>630</v>
      </c>
      <c r="G201" s="3" t="s">
        <v>477</v>
      </c>
      <c r="H201" s="4" t="s">
        <v>478</v>
      </c>
      <c r="I201" s="3"/>
      <c r="J201" s="3"/>
    </row>
    <row r="202" ht="15.75" customHeight="1">
      <c r="A202" s="2">
        <v>55.0</v>
      </c>
      <c r="B202" s="3" t="s">
        <v>23</v>
      </c>
      <c r="C202" s="3" t="s">
        <v>631</v>
      </c>
      <c r="D202" s="3" t="s">
        <v>632</v>
      </c>
      <c r="E202" s="2">
        <v>5.7005337441E11</v>
      </c>
      <c r="F202" s="3" t="s">
        <v>633</v>
      </c>
      <c r="G202" s="3" t="s">
        <v>477</v>
      </c>
      <c r="H202" s="4" t="s">
        <v>478</v>
      </c>
      <c r="I202" s="3"/>
      <c r="J202" s="3"/>
    </row>
    <row r="203" ht="15.75" customHeight="1">
      <c r="A203" s="2">
        <v>56.0</v>
      </c>
      <c r="B203" s="3" t="s">
        <v>634</v>
      </c>
      <c r="C203" s="3" t="s">
        <v>635</v>
      </c>
      <c r="D203" s="3" t="s">
        <v>536</v>
      </c>
      <c r="E203" s="2">
        <v>5.70053374413E11</v>
      </c>
      <c r="F203" s="3" t="s">
        <v>118</v>
      </c>
      <c r="G203" s="3" t="s">
        <v>477</v>
      </c>
      <c r="H203" s="4" t="s">
        <v>478</v>
      </c>
      <c r="I203" s="3"/>
      <c r="J203" s="3"/>
    </row>
    <row r="204" ht="15.75" customHeight="1">
      <c r="A204" s="2">
        <v>57.0</v>
      </c>
      <c r="B204" s="3" t="s">
        <v>636</v>
      </c>
      <c r="C204" s="3" t="s">
        <v>637</v>
      </c>
      <c r="D204" s="3" t="s">
        <v>638</v>
      </c>
      <c r="E204" s="2">
        <v>5.70053374414E11</v>
      </c>
      <c r="F204" s="3" t="s">
        <v>639</v>
      </c>
      <c r="G204" s="3" t="s">
        <v>477</v>
      </c>
      <c r="H204" s="4" t="s">
        <v>478</v>
      </c>
      <c r="I204" s="3"/>
      <c r="J204" s="3"/>
    </row>
    <row r="205" ht="15.75" customHeight="1">
      <c r="A205" s="2">
        <v>59.0</v>
      </c>
      <c r="B205" s="3" t="s">
        <v>640</v>
      </c>
      <c r="C205" s="3" t="s">
        <v>641</v>
      </c>
      <c r="D205" s="3" t="s">
        <v>642</v>
      </c>
      <c r="E205" s="2">
        <v>5.7005337442E11</v>
      </c>
      <c r="F205" s="3" t="s">
        <v>643</v>
      </c>
      <c r="G205" s="3" t="s">
        <v>477</v>
      </c>
      <c r="H205" s="4" t="s">
        <v>478</v>
      </c>
      <c r="I205" s="3"/>
      <c r="J205" s="3"/>
    </row>
    <row r="206" ht="15.75" customHeight="1">
      <c r="A206" s="2">
        <v>60.0</v>
      </c>
      <c r="B206" s="3" t="s">
        <v>419</v>
      </c>
      <c r="C206" s="3" t="s">
        <v>644</v>
      </c>
      <c r="D206" s="3" t="s">
        <v>476</v>
      </c>
      <c r="E206" s="2">
        <v>5.70053374421E11</v>
      </c>
      <c r="F206" s="3" t="s">
        <v>645</v>
      </c>
      <c r="G206" s="3" t="s">
        <v>477</v>
      </c>
      <c r="H206" s="4" t="s">
        <v>491</v>
      </c>
      <c r="I206" s="3"/>
      <c r="J206" s="3"/>
    </row>
    <row r="207" ht="15.75" customHeight="1">
      <c r="A207" s="2">
        <v>61.0</v>
      </c>
      <c r="B207" s="3" t="s">
        <v>314</v>
      </c>
      <c r="C207" s="3" t="s">
        <v>644</v>
      </c>
      <c r="D207" s="3" t="s">
        <v>476</v>
      </c>
      <c r="E207" s="2">
        <v>5.70053374422E11</v>
      </c>
      <c r="F207" s="3" t="s">
        <v>646</v>
      </c>
      <c r="G207" s="3" t="s">
        <v>477</v>
      </c>
      <c r="H207" s="4" t="s">
        <v>491</v>
      </c>
      <c r="I207" s="3"/>
      <c r="J207" s="3"/>
    </row>
    <row r="208" ht="15.75" customHeight="1">
      <c r="A208" s="2">
        <v>62.0</v>
      </c>
      <c r="B208" s="3" t="s">
        <v>470</v>
      </c>
      <c r="C208" s="3" t="s">
        <v>647</v>
      </c>
      <c r="D208" s="3" t="s">
        <v>648</v>
      </c>
      <c r="E208" s="2">
        <v>5.70053374424E11</v>
      </c>
      <c r="F208" s="3" t="s">
        <v>649</v>
      </c>
      <c r="G208" s="3" t="s">
        <v>477</v>
      </c>
      <c r="H208" s="4" t="s">
        <v>491</v>
      </c>
      <c r="I208" s="3"/>
      <c r="J208" s="3"/>
    </row>
    <row r="209" ht="15.75" customHeight="1">
      <c r="A209" s="2">
        <v>63.0</v>
      </c>
      <c r="B209" s="3" t="s">
        <v>650</v>
      </c>
      <c r="C209" s="3" t="s">
        <v>651</v>
      </c>
      <c r="D209" s="3" t="s">
        <v>652</v>
      </c>
      <c r="E209" s="2">
        <v>5.70053374425E11</v>
      </c>
      <c r="F209" s="3" t="s">
        <v>218</v>
      </c>
      <c r="G209" s="3" t="s">
        <v>477</v>
      </c>
      <c r="H209" s="4" t="s">
        <v>491</v>
      </c>
      <c r="I209" s="3"/>
      <c r="J209" s="3"/>
    </row>
    <row r="210" ht="15.75" customHeight="1">
      <c r="A210" s="2">
        <v>64.0</v>
      </c>
      <c r="B210" s="3" t="s">
        <v>392</v>
      </c>
      <c r="C210" s="3" t="s">
        <v>653</v>
      </c>
      <c r="D210" s="3" t="s">
        <v>654</v>
      </c>
      <c r="E210" s="2">
        <v>5.70053374426E11</v>
      </c>
      <c r="F210" s="3" t="s">
        <v>655</v>
      </c>
      <c r="G210" s="3" t="s">
        <v>477</v>
      </c>
      <c r="H210" s="4" t="s">
        <v>491</v>
      </c>
      <c r="I210" s="3"/>
      <c r="J210" s="3"/>
    </row>
    <row r="211" ht="15.75" customHeight="1">
      <c r="A211" s="2">
        <v>66.0</v>
      </c>
      <c r="B211" s="3" t="s">
        <v>166</v>
      </c>
      <c r="C211" s="3" t="s">
        <v>656</v>
      </c>
      <c r="D211" s="3" t="s">
        <v>657</v>
      </c>
      <c r="E211" s="3" t="s">
        <v>658</v>
      </c>
      <c r="F211" s="3" t="s">
        <v>613</v>
      </c>
      <c r="G211" s="3" t="s">
        <v>477</v>
      </c>
      <c r="H211" s="4" t="s">
        <v>478</v>
      </c>
      <c r="I211" s="3"/>
      <c r="J211" s="3"/>
    </row>
    <row r="212" ht="15.75" customHeight="1">
      <c r="A212" s="2">
        <v>67.0</v>
      </c>
      <c r="B212" s="3" t="s">
        <v>659</v>
      </c>
      <c r="C212" s="3" t="s">
        <v>225</v>
      </c>
      <c r="D212" s="3" t="s">
        <v>660</v>
      </c>
      <c r="E212" s="2">
        <v>5.70053374431E11</v>
      </c>
      <c r="F212" s="3" t="s">
        <v>661</v>
      </c>
      <c r="G212" s="3" t="s">
        <v>477</v>
      </c>
      <c r="H212" s="4" t="s">
        <v>491</v>
      </c>
      <c r="I212" s="3"/>
      <c r="J212" s="3"/>
    </row>
    <row r="213" ht="15.75" customHeight="1">
      <c r="A213" s="2">
        <v>68.0</v>
      </c>
      <c r="B213" s="3" t="s">
        <v>662</v>
      </c>
      <c r="C213" s="3" t="s">
        <v>663</v>
      </c>
      <c r="D213" s="3" t="s">
        <v>664</v>
      </c>
      <c r="E213" s="2">
        <v>5.70053374432E11</v>
      </c>
      <c r="F213" s="3" t="s">
        <v>665</v>
      </c>
      <c r="G213" s="3" t="s">
        <v>477</v>
      </c>
      <c r="H213" s="4" t="s">
        <v>478</v>
      </c>
      <c r="I213" s="3"/>
      <c r="J213" s="3"/>
    </row>
    <row r="214" ht="15.75" customHeight="1">
      <c r="A214" s="2">
        <v>69.0</v>
      </c>
      <c r="B214" s="3" t="s">
        <v>202</v>
      </c>
      <c r="C214" s="3" t="s">
        <v>172</v>
      </c>
      <c r="D214" s="3" t="s">
        <v>666</v>
      </c>
      <c r="E214" s="2">
        <v>5.70053374436E11</v>
      </c>
      <c r="F214" s="3" t="s">
        <v>200</v>
      </c>
      <c r="G214" s="3" t="s">
        <v>477</v>
      </c>
      <c r="H214" s="4" t="s">
        <v>483</v>
      </c>
      <c r="I214" s="3"/>
      <c r="J214" s="3"/>
    </row>
    <row r="215" ht="15.75" customHeight="1">
      <c r="A215" s="2">
        <v>70.0</v>
      </c>
      <c r="B215" s="3" t="s">
        <v>249</v>
      </c>
      <c r="C215" s="3" t="s">
        <v>667</v>
      </c>
      <c r="D215" s="3" t="s">
        <v>60</v>
      </c>
      <c r="E215" s="2">
        <v>5.70053374437E11</v>
      </c>
      <c r="F215" s="3" t="s">
        <v>668</v>
      </c>
      <c r="G215" s="3" t="s">
        <v>477</v>
      </c>
      <c r="H215" s="4" t="s">
        <v>478</v>
      </c>
      <c r="I215" s="3"/>
      <c r="J215" s="3"/>
    </row>
    <row r="216" ht="15.75" customHeight="1">
      <c r="A216" s="2">
        <v>71.0</v>
      </c>
      <c r="B216" s="3" t="s">
        <v>158</v>
      </c>
      <c r="C216" s="3" t="s">
        <v>669</v>
      </c>
      <c r="D216" s="3" t="s">
        <v>670</v>
      </c>
      <c r="E216" s="2">
        <v>5.70053374441E11</v>
      </c>
      <c r="F216" s="3" t="s">
        <v>671</v>
      </c>
      <c r="G216" s="3" t="s">
        <v>477</v>
      </c>
      <c r="H216" s="4" t="s">
        <v>478</v>
      </c>
      <c r="I216" s="3"/>
      <c r="J216" s="3"/>
    </row>
    <row r="217" ht="15.75" customHeight="1">
      <c r="A217" s="2">
        <v>72.0</v>
      </c>
      <c r="B217" s="3" t="s">
        <v>217</v>
      </c>
      <c r="C217" s="3" t="s">
        <v>672</v>
      </c>
      <c r="D217" s="3" t="s">
        <v>673</v>
      </c>
      <c r="E217" s="2">
        <v>5.70053374443E11</v>
      </c>
      <c r="F217" s="3" t="s">
        <v>674</v>
      </c>
      <c r="G217" s="3" t="s">
        <v>477</v>
      </c>
      <c r="H217" s="4" t="s">
        <v>478</v>
      </c>
      <c r="I217" s="3"/>
      <c r="J217" s="3"/>
    </row>
    <row r="218" ht="15.75" customHeight="1">
      <c r="A218" s="2">
        <v>73.0</v>
      </c>
      <c r="B218" s="3" t="s">
        <v>675</v>
      </c>
      <c r="C218" s="3" t="s">
        <v>676</v>
      </c>
      <c r="D218" s="3" t="s">
        <v>677</v>
      </c>
      <c r="E218" s="2">
        <v>5.70053374444E11</v>
      </c>
      <c r="F218" s="3" t="s">
        <v>678</v>
      </c>
      <c r="G218" s="3" t="s">
        <v>477</v>
      </c>
      <c r="H218" s="4" t="s">
        <v>491</v>
      </c>
      <c r="I218" s="3"/>
      <c r="J218" s="3"/>
    </row>
    <row r="219" ht="15.75" customHeight="1">
      <c r="A219" s="2">
        <v>74.0</v>
      </c>
      <c r="B219" s="3" t="s">
        <v>679</v>
      </c>
      <c r="C219" s="3" t="s">
        <v>680</v>
      </c>
      <c r="D219" s="3" t="s">
        <v>681</v>
      </c>
      <c r="E219" s="2">
        <v>5.70053374445E11</v>
      </c>
      <c r="F219" s="3" t="s">
        <v>617</v>
      </c>
      <c r="G219" s="3" t="s">
        <v>477</v>
      </c>
      <c r="H219" s="4" t="s">
        <v>483</v>
      </c>
      <c r="I219" s="3"/>
      <c r="J219" s="3"/>
    </row>
    <row r="220" ht="15.75" customHeight="1">
      <c r="A220" s="2">
        <v>75.0</v>
      </c>
      <c r="B220" s="3" t="s">
        <v>328</v>
      </c>
      <c r="C220" s="3" t="s">
        <v>682</v>
      </c>
      <c r="D220" s="3" t="s">
        <v>683</v>
      </c>
      <c r="E220" s="2">
        <v>5.70053374447E11</v>
      </c>
      <c r="F220" s="3" t="s">
        <v>684</v>
      </c>
      <c r="G220" s="3" t="s">
        <v>477</v>
      </c>
      <c r="H220" s="4" t="s">
        <v>491</v>
      </c>
      <c r="I220" s="3"/>
      <c r="J220" s="3"/>
    </row>
    <row r="221" ht="15.75" customHeight="1">
      <c r="A221" s="2">
        <v>76.0</v>
      </c>
      <c r="B221" s="3" t="s">
        <v>685</v>
      </c>
      <c r="C221" s="3" t="s">
        <v>686</v>
      </c>
      <c r="D221" s="3" t="s">
        <v>328</v>
      </c>
      <c r="E221" s="2">
        <v>5.70053374449E11</v>
      </c>
      <c r="F221" s="3" t="s">
        <v>530</v>
      </c>
      <c r="G221" s="3" t="s">
        <v>477</v>
      </c>
      <c r="H221" s="4" t="s">
        <v>478</v>
      </c>
      <c r="I221" s="3"/>
      <c r="J221" s="3"/>
    </row>
    <row r="222" ht="15.75" customHeight="1">
      <c r="A222" s="2">
        <v>77.0</v>
      </c>
      <c r="B222" s="3" t="s">
        <v>687</v>
      </c>
      <c r="C222" s="3" t="s">
        <v>688</v>
      </c>
      <c r="D222" s="3" t="s">
        <v>689</v>
      </c>
      <c r="E222" s="2">
        <v>5.70053374451E11</v>
      </c>
      <c r="F222" s="3" t="s">
        <v>690</v>
      </c>
      <c r="G222" s="3" t="s">
        <v>477</v>
      </c>
      <c r="H222" s="4" t="s">
        <v>478</v>
      </c>
      <c r="I222" s="3"/>
      <c r="J222" s="3"/>
    </row>
    <row r="223" ht="15.75" customHeight="1">
      <c r="A223" s="2">
        <v>78.0</v>
      </c>
      <c r="B223" s="3" t="s">
        <v>691</v>
      </c>
      <c r="C223" s="3" t="s">
        <v>692</v>
      </c>
      <c r="D223" s="3" t="s">
        <v>693</v>
      </c>
      <c r="E223" s="2">
        <v>5.70053374453E11</v>
      </c>
      <c r="F223" s="3" t="s">
        <v>694</v>
      </c>
      <c r="G223" s="3" t="s">
        <v>477</v>
      </c>
      <c r="H223" s="4" t="s">
        <v>478</v>
      </c>
      <c r="I223" s="3"/>
      <c r="J223" s="3"/>
    </row>
    <row r="224" ht="15.75" customHeight="1">
      <c r="A224" s="2">
        <v>79.0</v>
      </c>
      <c r="B224" s="3" t="s">
        <v>695</v>
      </c>
      <c r="C224" s="3" t="s">
        <v>696</v>
      </c>
      <c r="D224" s="3" t="s">
        <v>697</v>
      </c>
      <c r="E224" s="2">
        <v>5.70053374454E11</v>
      </c>
      <c r="F224" s="3" t="s">
        <v>698</v>
      </c>
      <c r="G224" s="3" t="s">
        <v>477</v>
      </c>
      <c r="H224" s="4" t="s">
        <v>483</v>
      </c>
      <c r="I224" s="3"/>
      <c r="J224" s="3"/>
    </row>
    <row r="225" ht="15.75" customHeight="1">
      <c r="A225" s="2">
        <v>80.0</v>
      </c>
      <c r="B225" s="3" t="s">
        <v>359</v>
      </c>
      <c r="C225" s="3" t="s">
        <v>172</v>
      </c>
      <c r="D225" s="3" t="s">
        <v>249</v>
      </c>
      <c r="E225" s="2">
        <v>5.70053374455E11</v>
      </c>
      <c r="F225" s="3" t="s">
        <v>699</v>
      </c>
      <c r="G225" s="3" t="s">
        <v>477</v>
      </c>
      <c r="H225" s="4" t="s">
        <v>483</v>
      </c>
      <c r="I225" s="3"/>
      <c r="J225" s="3"/>
    </row>
    <row r="226" ht="15.75" customHeight="1">
      <c r="A226" s="2">
        <v>82.0</v>
      </c>
      <c r="B226" s="3" t="s">
        <v>700</v>
      </c>
      <c r="C226" s="3" t="s">
        <v>701</v>
      </c>
      <c r="D226" s="3" t="s">
        <v>702</v>
      </c>
      <c r="E226" s="2">
        <v>5.70053374461E11</v>
      </c>
      <c r="F226" s="3" t="s">
        <v>505</v>
      </c>
      <c r="G226" s="3" t="s">
        <v>477</v>
      </c>
      <c r="H226" s="4" t="s">
        <v>483</v>
      </c>
      <c r="I226" s="3"/>
      <c r="J226" s="3"/>
    </row>
    <row r="227" ht="15.75" customHeight="1">
      <c r="A227" s="2">
        <v>83.0</v>
      </c>
      <c r="B227" s="3" t="s">
        <v>166</v>
      </c>
      <c r="C227" s="3" t="s">
        <v>703</v>
      </c>
      <c r="D227" s="3" t="s">
        <v>704</v>
      </c>
      <c r="E227" s="2">
        <v>5.70053374463E11</v>
      </c>
      <c r="F227" s="3" t="s">
        <v>512</v>
      </c>
      <c r="G227" s="3" t="s">
        <v>477</v>
      </c>
      <c r="H227" s="4" t="s">
        <v>483</v>
      </c>
      <c r="I227" s="3"/>
      <c r="J227" s="3"/>
    </row>
    <row r="228" ht="15.75" customHeight="1">
      <c r="A228" s="2">
        <v>84.0</v>
      </c>
      <c r="B228" s="3" t="s">
        <v>705</v>
      </c>
      <c r="C228" s="3" t="s">
        <v>347</v>
      </c>
      <c r="D228" s="3" t="s">
        <v>706</v>
      </c>
      <c r="E228" s="2">
        <v>5.70053374464E11</v>
      </c>
      <c r="F228" s="3" t="s">
        <v>707</v>
      </c>
      <c r="G228" s="3" t="s">
        <v>477</v>
      </c>
      <c r="H228" s="4" t="s">
        <v>491</v>
      </c>
      <c r="I228" s="3"/>
      <c r="J228" s="3"/>
    </row>
    <row r="229" ht="15.75" customHeight="1">
      <c r="A229" s="2">
        <v>85.0</v>
      </c>
      <c r="B229" s="3" t="s">
        <v>708</v>
      </c>
      <c r="C229" s="3" t="s">
        <v>709</v>
      </c>
      <c r="D229" s="3" t="s">
        <v>710</v>
      </c>
      <c r="E229" s="2">
        <v>5.70053374466E11</v>
      </c>
      <c r="F229" s="3" t="s">
        <v>711</v>
      </c>
      <c r="G229" s="3" t="s">
        <v>477</v>
      </c>
      <c r="H229" s="4" t="s">
        <v>483</v>
      </c>
      <c r="I229" s="3"/>
      <c r="J229" s="3"/>
    </row>
    <row r="230" ht="15.75" customHeight="1">
      <c r="A230" s="2">
        <v>86.0</v>
      </c>
      <c r="B230" s="3" t="s">
        <v>712</v>
      </c>
      <c r="C230" s="3" t="s">
        <v>713</v>
      </c>
      <c r="D230" s="3" t="s">
        <v>714</v>
      </c>
      <c r="E230" s="2">
        <v>5.70053374469E11</v>
      </c>
      <c r="F230" s="3" t="s">
        <v>149</v>
      </c>
      <c r="G230" s="3" t="s">
        <v>477</v>
      </c>
      <c r="H230" s="4" t="s">
        <v>491</v>
      </c>
      <c r="I230" s="3"/>
      <c r="J230" s="3"/>
    </row>
    <row r="231" ht="15.75" customHeight="1">
      <c r="A231" s="2">
        <v>87.0</v>
      </c>
      <c r="B231" s="3" t="s">
        <v>715</v>
      </c>
      <c r="C231" s="3" t="s">
        <v>716</v>
      </c>
      <c r="D231" s="3" t="s">
        <v>717</v>
      </c>
      <c r="E231" s="2">
        <v>5.70053374483E11</v>
      </c>
      <c r="F231" s="3" t="s">
        <v>718</v>
      </c>
      <c r="G231" s="3" t="s">
        <v>477</v>
      </c>
      <c r="H231" s="4" t="s">
        <v>491</v>
      </c>
      <c r="I231" s="3"/>
      <c r="J231" s="3"/>
    </row>
    <row r="232" ht="15.75" customHeight="1">
      <c r="A232" s="2">
        <v>88.0</v>
      </c>
      <c r="B232" s="3" t="s">
        <v>719</v>
      </c>
      <c r="C232" s="3" t="s">
        <v>720</v>
      </c>
      <c r="D232" s="3" t="s">
        <v>721</v>
      </c>
      <c r="E232" s="2">
        <v>5.70053374489E11</v>
      </c>
      <c r="F232" s="3" t="s">
        <v>722</v>
      </c>
      <c r="G232" s="3" t="s">
        <v>477</v>
      </c>
      <c r="H232" s="4" t="s">
        <v>483</v>
      </c>
      <c r="I232" s="3"/>
      <c r="J232" s="3"/>
    </row>
    <row r="233" ht="15.75" customHeight="1">
      <c r="A233" s="2">
        <v>89.0</v>
      </c>
      <c r="B233" s="3" t="s">
        <v>723</v>
      </c>
      <c r="C233" s="3" t="s">
        <v>724</v>
      </c>
      <c r="D233" s="3" t="s">
        <v>525</v>
      </c>
      <c r="E233" s="2">
        <v>5.70053374495E11</v>
      </c>
      <c r="F233" s="3" t="s">
        <v>725</v>
      </c>
      <c r="G233" s="3" t="s">
        <v>477</v>
      </c>
      <c r="H233" s="4" t="s">
        <v>483</v>
      </c>
      <c r="I233" s="3"/>
      <c r="J233" s="3"/>
    </row>
    <row r="234" ht="15.75" customHeight="1">
      <c r="A234" s="2">
        <v>90.0</v>
      </c>
      <c r="B234" s="3" t="s">
        <v>726</v>
      </c>
      <c r="C234" s="3" t="s">
        <v>727</v>
      </c>
      <c r="D234" s="3" t="s">
        <v>314</v>
      </c>
      <c r="E234" s="2">
        <v>5.70053374587E11</v>
      </c>
      <c r="F234" s="3" t="s">
        <v>728</v>
      </c>
      <c r="G234" s="3" t="s">
        <v>477</v>
      </c>
      <c r="H234" s="4" t="s">
        <v>491</v>
      </c>
      <c r="I234" s="3"/>
      <c r="J234" s="3"/>
    </row>
    <row r="235" ht="15.75" customHeight="1">
      <c r="A235" s="2">
        <v>91.0</v>
      </c>
      <c r="B235" s="3" t="s">
        <v>729</v>
      </c>
      <c r="C235" s="3" t="s">
        <v>730</v>
      </c>
      <c r="D235" s="3" t="s">
        <v>584</v>
      </c>
      <c r="E235" s="2">
        <v>5.700533754588E12</v>
      </c>
      <c r="F235" s="3" t="s">
        <v>731</v>
      </c>
      <c r="G235" s="3" t="s">
        <v>477</v>
      </c>
      <c r="H235" s="4" t="s">
        <v>478</v>
      </c>
      <c r="I235" s="3"/>
      <c r="J235" s="3"/>
    </row>
    <row r="236" ht="15.75" customHeight="1">
      <c r="A236" s="2">
        <v>92.0</v>
      </c>
      <c r="B236" s="3" t="s">
        <v>436</v>
      </c>
      <c r="C236" s="3" t="s">
        <v>732</v>
      </c>
      <c r="D236" s="3" t="s">
        <v>733</v>
      </c>
      <c r="E236" s="2">
        <v>5.700533000004E12</v>
      </c>
      <c r="F236" s="3" t="s">
        <v>734</v>
      </c>
      <c r="G236" s="3" t="s">
        <v>477</v>
      </c>
      <c r="H236" s="4" t="s">
        <v>491</v>
      </c>
      <c r="I236" s="3"/>
      <c r="J236" s="3"/>
    </row>
    <row r="237" ht="15.75" customHeight="1">
      <c r="A237" s="2">
        <v>93.0</v>
      </c>
      <c r="B237" s="3" t="s">
        <v>217</v>
      </c>
      <c r="C237" s="3" t="s">
        <v>735</v>
      </c>
      <c r="D237" s="3" t="s">
        <v>736</v>
      </c>
      <c r="E237" s="2">
        <v>5.700533000005E12</v>
      </c>
      <c r="F237" s="3" t="s">
        <v>299</v>
      </c>
      <c r="G237" s="3" t="s">
        <v>477</v>
      </c>
      <c r="H237" s="4" t="s">
        <v>508</v>
      </c>
      <c r="I237" s="3"/>
      <c r="J237" s="3"/>
    </row>
    <row r="238" ht="15.75" customHeight="1">
      <c r="A238" s="2">
        <v>94.0</v>
      </c>
      <c r="B238" s="3" t="s">
        <v>737</v>
      </c>
      <c r="C238" s="3" t="s">
        <v>738</v>
      </c>
      <c r="D238" s="3" t="s">
        <v>739</v>
      </c>
      <c r="E238" s="2">
        <v>5.700533000011E12</v>
      </c>
      <c r="F238" s="3" t="s">
        <v>740</v>
      </c>
      <c r="G238" s="3" t="s">
        <v>477</v>
      </c>
      <c r="H238" s="4" t="s">
        <v>491</v>
      </c>
      <c r="I238" s="3"/>
      <c r="J238" s="3"/>
    </row>
    <row r="239" ht="15.75" customHeight="1">
      <c r="A239" s="2">
        <v>95.0</v>
      </c>
      <c r="B239" s="3" t="s">
        <v>741</v>
      </c>
      <c r="C239" s="3" t="s">
        <v>742</v>
      </c>
      <c r="D239" s="3" t="s">
        <v>743</v>
      </c>
      <c r="E239" s="2">
        <v>5.700533000012E12</v>
      </c>
      <c r="F239" s="3" t="s">
        <v>585</v>
      </c>
      <c r="G239" s="3" t="s">
        <v>477</v>
      </c>
      <c r="H239" s="4" t="s">
        <v>744</v>
      </c>
      <c r="I239" s="3"/>
      <c r="J239" s="3"/>
    </row>
    <row r="240" ht="15.75" customHeight="1">
      <c r="A240" s="2">
        <v>96.0</v>
      </c>
      <c r="B240" s="3" t="s">
        <v>745</v>
      </c>
      <c r="C240" s="3" t="s">
        <v>746</v>
      </c>
      <c r="D240" s="3" t="s">
        <v>32</v>
      </c>
      <c r="E240" s="2">
        <v>5.700533000014E12</v>
      </c>
      <c r="F240" s="3" t="s">
        <v>747</v>
      </c>
      <c r="G240" s="3" t="s">
        <v>477</v>
      </c>
      <c r="H240" s="4" t="s">
        <v>491</v>
      </c>
      <c r="I240" s="3"/>
      <c r="J240" s="3"/>
    </row>
    <row r="241" ht="15.75" customHeight="1">
      <c r="A241" s="2">
        <v>97.0</v>
      </c>
      <c r="B241" s="3" t="s">
        <v>748</v>
      </c>
      <c r="C241" s="3" t="s">
        <v>749</v>
      </c>
      <c r="D241" s="3" t="s">
        <v>750</v>
      </c>
      <c r="E241" s="2">
        <v>5.700533000015E12</v>
      </c>
      <c r="F241" s="3" t="s">
        <v>751</v>
      </c>
      <c r="G241" s="3" t="s">
        <v>477</v>
      </c>
      <c r="H241" s="4" t="s">
        <v>491</v>
      </c>
      <c r="I241" s="3"/>
      <c r="J241" s="3"/>
    </row>
    <row r="242" ht="15.75" customHeight="1">
      <c r="A242" s="2">
        <v>98.0</v>
      </c>
      <c r="B242" s="3" t="s">
        <v>752</v>
      </c>
      <c r="C242" s="3" t="s">
        <v>753</v>
      </c>
      <c r="D242" s="3" t="s">
        <v>754</v>
      </c>
      <c r="E242" s="2">
        <v>5.700533000016E12</v>
      </c>
      <c r="F242" s="3" t="s">
        <v>755</v>
      </c>
      <c r="G242" s="3" t="s">
        <v>477</v>
      </c>
      <c r="H242" s="4" t="s">
        <v>491</v>
      </c>
      <c r="I242" s="3"/>
      <c r="J242" s="3"/>
    </row>
    <row r="243" ht="15.75" customHeight="1">
      <c r="A243" s="2">
        <v>99.0</v>
      </c>
      <c r="B243" s="3" t="s">
        <v>756</v>
      </c>
      <c r="C243" s="3" t="s">
        <v>757</v>
      </c>
      <c r="D243" s="3" t="s">
        <v>125</v>
      </c>
      <c r="E243" s="2">
        <v>5.700533000022E12</v>
      </c>
      <c r="F243" s="3" t="s">
        <v>758</v>
      </c>
      <c r="G243" s="3" t="s">
        <v>477</v>
      </c>
      <c r="H243" s="4" t="s">
        <v>491</v>
      </c>
      <c r="I243" s="3"/>
      <c r="J243" s="3"/>
    </row>
    <row r="244" ht="15.75" customHeight="1">
      <c r="A244" s="2">
        <v>100.0</v>
      </c>
      <c r="B244" s="3" t="s">
        <v>759</v>
      </c>
      <c r="C244" s="3" t="s">
        <v>9</v>
      </c>
      <c r="D244" s="3" t="s">
        <v>714</v>
      </c>
      <c r="E244" s="2">
        <v>5.700533000023E12</v>
      </c>
      <c r="F244" s="3" t="s">
        <v>760</v>
      </c>
      <c r="G244" s="3" t="s">
        <v>477</v>
      </c>
      <c r="H244" s="4" t="s">
        <v>491</v>
      </c>
      <c r="I244" s="3"/>
      <c r="J244" s="3"/>
    </row>
    <row r="245" ht="15.75" customHeight="1">
      <c r="A245" s="2">
        <v>101.0</v>
      </c>
      <c r="B245" s="3" t="s">
        <v>761</v>
      </c>
      <c r="C245" s="3" t="s">
        <v>762</v>
      </c>
      <c r="D245" s="3" t="s">
        <v>625</v>
      </c>
      <c r="E245" s="2">
        <v>5.700533000027E12</v>
      </c>
      <c r="F245" s="3" t="s">
        <v>763</v>
      </c>
      <c r="G245" s="3" t="s">
        <v>233</v>
      </c>
      <c r="H245" s="4" t="s">
        <v>491</v>
      </c>
      <c r="I245" s="3"/>
      <c r="J245" s="3"/>
    </row>
    <row r="246" ht="15.75" customHeight="1">
      <c r="A246" s="2">
        <v>102.0</v>
      </c>
      <c r="B246" s="3" t="s">
        <v>764</v>
      </c>
      <c r="C246" s="3" t="s">
        <v>765</v>
      </c>
      <c r="D246" s="3" t="s">
        <v>502</v>
      </c>
      <c r="E246" s="2">
        <v>5.700533000028E12</v>
      </c>
      <c r="F246" s="3" t="s">
        <v>766</v>
      </c>
      <c r="G246" s="3" t="s">
        <v>342</v>
      </c>
      <c r="H246" s="4" t="s">
        <v>491</v>
      </c>
      <c r="I246" s="3"/>
      <c r="J246" s="3"/>
    </row>
    <row r="247" ht="15.75" customHeight="1">
      <c r="A247" s="2">
        <v>103.0</v>
      </c>
      <c r="B247" s="3" t="s">
        <v>767</v>
      </c>
      <c r="C247" s="3" t="s">
        <v>768</v>
      </c>
      <c r="D247" s="3" t="s">
        <v>769</v>
      </c>
      <c r="E247" s="2">
        <v>5.700533000029E12</v>
      </c>
      <c r="F247" s="3" t="s">
        <v>411</v>
      </c>
      <c r="G247" s="3" t="s">
        <v>477</v>
      </c>
      <c r="H247" s="4" t="s">
        <v>491</v>
      </c>
      <c r="I247" s="3"/>
      <c r="J247" s="3"/>
    </row>
    <row r="248" ht="15.75" customHeight="1">
      <c r="A248" s="2">
        <v>104.0</v>
      </c>
      <c r="B248" s="3" t="s">
        <v>770</v>
      </c>
      <c r="C248" s="3" t="s">
        <v>771</v>
      </c>
      <c r="D248" s="3" t="s">
        <v>428</v>
      </c>
      <c r="E248" s="2">
        <v>5.70053300003E12</v>
      </c>
      <c r="F248" s="3" t="s">
        <v>772</v>
      </c>
      <c r="G248" s="3" t="s">
        <v>477</v>
      </c>
      <c r="H248" s="4" t="s">
        <v>491</v>
      </c>
      <c r="I248" s="3"/>
      <c r="J248" s="3"/>
    </row>
    <row r="249" ht="15.75" customHeight="1">
      <c r="A249" s="2">
        <v>105.0</v>
      </c>
      <c r="B249" s="3" t="s">
        <v>448</v>
      </c>
      <c r="C249" s="3" t="s">
        <v>773</v>
      </c>
      <c r="D249" s="3" t="s">
        <v>774</v>
      </c>
      <c r="E249" s="2">
        <v>5.700533000036E12</v>
      </c>
      <c r="F249" s="3" t="s">
        <v>775</v>
      </c>
      <c r="G249" s="3" t="s">
        <v>477</v>
      </c>
      <c r="H249" s="4" t="s">
        <v>491</v>
      </c>
      <c r="I249" s="3"/>
      <c r="J249" s="3"/>
    </row>
    <row r="250" ht="15.75" customHeight="1">
      <c r="A250" s="2">
        <v>106.0</v>
      </c>
      <c r="B250" s="3" t="s">
        <v>776</v>
      </c>
      <c r="C250" s="3" t="s">
        <v>777</v>
      </c>
      <c r="D250" s="3" t="s">
        <v>778</v>
      </c>
      <c r="E250" s="2">
        <v>5.700533000037E12</v>
      </c>
      <c r="F250" s="3" t="s">
        <v>779</v>
      </c>
      <c r="G250" s="3" t="s">
        <v>477</v>
      </c>
      <c r="H250" s="4" t="s">
        <v>491</v>
      </c>
      <c r="I250" s="3"/>
      <c r="J250" s="3"/>
    </row>
    <row r="251" ht="15.75" customHeight="1">
      <c r="A251" s="2">
        <v>107.0</v>
      </c>
      <c r="B251" s="3" t="s">
        <v>499</v>
      </c>
      <c r="C251" s="3" t="s">
        <v>780</v>
      </c>
      <c r="D251" s="3" t="s">
        <v>32</v>
      </c>
      <c r="E251" s="2">
        <v>5.700533000038E12</v>
      </c>
      <c r="F251" s="3" t="s">
        <v>781</v>
      </c>
      <c r="G251" s="3" t="s">
        <v>477</v>
      </c>
      <c r="H251" s="4" t="s">
        <v>491</v>
      </c>
      <c r="I251" s="3"/>
      <c r="J251" s="3"/>
    </row>
    <row r="252" ht="15.75" customHeight="1">
      <c r="A252" s="2">
        <v>108.0</v>
      </c>
      <c r="B252" s="3" t="s">
        <v>782</v>
      </c>
      <c r="C252" s="3" t="s">
        <v>284</v>
      </c>
      <c r="D252" s="3" t="s">
        <v>659</v>
      </c>
      <c r="E252" s="2">
        <v>5.700533000042E12</v>
      </c>
      <c r="F252" s="3" t="s">
        <v>783</v>
      </c>
      <c r="G252" s="3" t="s">
        <v>477</v>
      </c>
      <c r="H252" s="4" t="s">
        <v>491</v>
      </c>
      <c r="I252" s="3"/>
      <c r="J252" s="3"/>
    </row>
    <row r="253" ht="15.75" customHeight="1">
      <c r="A253" s="2">
        <v>109.0</v>
      </c>
      <c r="B253" s="3" t="s">
        <v>784</v>
      </c>
      <c r="C253" s="3" t="s">
        <v>785</v>
      </c>
      <c r="D253" s="3" t="s">
        <v>786</v>
      </c>
      <c r="E253" s="2">
        <v>5.700533000045E12</v>
      </c>
      <c r="F253" s="3" t="s">
        <v>787</v>
      </c>
      <c r="G253" s="3" t="s">
        <v>342</v>
      </c>
      <c r="H253" s="4" t="s">
        <v>491</v>
      </c>
      <c r="I253" s="3"/>
      <c r="J253" s="3"/>
    </row>
    <row r="254" ht="15.75" customHeight="1">
      <c r="A254" s="2">
        <v>110.0</v>
      </c>
      <c r="B254" s="3" t="s">
        <v>697</v>
      </c>
      <c r="C254" s="3" t="s">
        <v>94</v>
      </c>
      <c r="D254" s="3" t="s">
        <v>788</v>
      </c>
      <c r="E254" s="2">
        <v>5.70053300005E12</v>
      </c>
      <c r="F254" s="3" t="s">
        <v>789</v>
      </c>
      <c r="G254" s="3" t="s">
        <v>477</v>
      </c>
      <c r="H254" s="4" t="s">
        <v>491</v>
      </c>
      <c r="I254" s="3"/>
      <c r="J254" s="3"/>
    </row>
    <row r="255" ht="15.75" customHeight="1">
      <c r="A255" s="2">
        <v>111.0</v>
      </c>
      <c r="B255" s="3" t="s">
        <v>790</v>
      </c>
      <c r="C255" s="3" t="s">
        <v>791</v>
      </c>
      <c r="D255" s="3" t="s">
        <v>792</v>
      </c>
      <c r="E255" s="2">
        <v>5.700533000052E12</v>
      </c>
      <c r="F255" s="3" t="s">
        <v>793</v>
      </c>
      <c r="G255" s="3" t="s">
        <v>342</v>
      </c>
      <c r="H255" s="4" t="s">
        <v>491</v>
      </c>
      <c r="I255" s="3"/>
      <c r="J255" s="3"/>
    </row>
    <row r="256" ht="15.75" customHeight="1">
      <c r="A256" s="2">
        <v>112.0</v>
      </c>
      <c r="B256" s="3" t="s">
        <v>794</v>
      </c>
      <c r="C256" s="3" t="s">
        <v>795</v>
      </c>
      <c r="D256" s="3" t="s">
        <v>796</v>
      </c>
      <c r="E256" s="2">
        <v>5.700533000053E12</v>
      </c>
      <c r="F256" s="3" t="s">
        <v>797</v>
      </c>
      <c r="G256" s="3" t="s">
        <v>342</v>
      </c>
      <c r="H256" s="4" t="s">
        <v>491</v>
      </c>
      <c r="I256" s="3"/>
      <c r="J256" s="3"/>
    </row>
    <row r="257" ht="15.75" customHeight="1">
      <c r="A257" s="2">
        <v>113.0</v>
      </c>
      <c r="B257" s="3" t="s">
        <v>798</v>
      </c>
      <c r="C257" s="3" t="s">
        <v>799</v>
      </c>
      <c r="D257" s="3" t="s">
        <v>800</v>
      </c>
      <c r="E257" s="2">
        <v>5.700533000058E12</v>
      </c>
      <c r="F257" s="3" t="s">
        <v>801</v>
      </c>
      <c r="G257" s="3" t="s">
        <v>477</v>
      </c>
      <c r="H257" s="4" t="s">
        <v>491</v>
      </c>
      <c r="I257" s="3"/>
      <c r="J257" s="3"/>
    </row>
    <row r="258" ht="15.75" customHeight="1">
      <c r="A258" s="2">
        <v>114.0</v>
      </c>
      <c r="B258" s="3" t="s">
        <v>802</v>
      </c>
      <c r="C258" s="3" t="s">
        <v>803</v>
      </c>
      <c r="D258" s="3" t="s">
        <v>804</v>
      </c>
      <c r="E258" s="2">
        <v>5.700533000059E12</v>
      </c>
      <c r="F258" s="3" t="s">
        <v>805</v>
      </c>
      <c r="G258" s="3" t="s">
        <v>477</v>
      </c>
      <c r="H258" s="4" t="s">
        <v>491</v>
      </c>
      <c r="I258" s="3"/>
      <c r="J258" s="3"/>
    </row>
    <row r="259" ht="15.75" customHeight="1">
      <c r="A259" s="2">
        <v>115.0</v>
      </c>
      <c r="B259" s="3" t="s">
        <v>806</v>
      </c>
      <c r="C259" s="3" t="s">
        <v>807</v>
      </c>
      <c r="D259" s="3" t="s">
        <v>808</v>
      </c>
      <c r="E259" s="2">
        <v>5.700533000062E12</v>
      </c>
      <c r="F259" s="3" t="s">
        <v>809</v>
      </c>
      <c r="G259" s="3" t="s">
        <v>342</v>
      </c>
      <c r="H259" s="4" t="s">
        <v>810</v>
      </c>
      <c r="I259" s="3"/>
      <c r="J259" s="3"/>
    </row>
    <row r="260" ht="15.75" customHeight="1">
      <c r="A260" s="2">
        <v>116.0</v>
      </c>
      <c r="B260" s="3" t="s">
        <v>553</v>
      </c>
      <c r="C260" s="3" t="s">
        <v>811</v>
      </c>
      <c r="D260" s="3" t="s">
        <v>606</v>
      </c>
      <c r="E260" s="2">
        <v>5.700533000064E12</v>
      </c>
      <c r="F260" s="3" t="s">
        <v>812</v>
      </c>
      <c r="G260" s="3" t="s">
        <v>342</v>
      </c>
      <c r="H260" s="4" t="s">
        <v>491</v>
      </c>
      <c r="I260" s="3"/>
      <c r="J260" s="3"/>
    </row>
    <row r="261" ht="15.75" customHeight="1">
      <c r="A261" s="2">
        <v>117.0</v>
      </c>
      <c r="B261" s="3" t="s">
        <v>813</v>
      </c>
      <c r="C261" s="3" t="s">
        <v>771</v>
      </c>
      <c r="D261" s="3" t="s">
        <v>363</v>
      </c>
      <c r="E261" s="2">
        <v>5.700533000066E12</v>
      </c>
      <c r="F261" s="3" t="s">
        <v>814</v>
      </c>
      <c r="G261" s="3" t="s">
        <v>342</v>
      </c>
      <c r="H261" s="4" t="s">
        <v>491</v>
      </c>
      <c r="I261" s="3"/>
      <c r="J261" s="3"/>
    </row>
    <row r="262" ht="15.75" customHeight="1">
      <c r="A262" s="2">
        <v>118.0</v>
      </c>
      <c r="B262" s="3" t="s">
        <v>815</v>
      </c>
      <c r="C262" s="3" t="s">
        <v>816</v>
      </c>
      <c r="D262" s="3" t="s">
        <v>817</v>
      </c>
      <c r="E262" s="2">
        <v>5.700533000067E12</v>
      </c>
      <c r="F262" s="3" t="s">
        <v>818</v>
      </c>
      <c r="G262" s="3" t="s">
        <v>477</v>
      </c>
      <c r="H262" s="4" t="s">
        <v>491</v>
      </c>
      <c r="I262" s="3"/>
      <c r="J262" s="3"/>
    </row>
    <row r="263" ht="15.75" customHeight="1">
      <c r="A263" s="2">
        <v>119.0</v>
      </c>
      <c r="B263" s="3" t="s">
        <v>819</v>
      </c>
      <c r="C263" s="3" t="s">
        <v>820</v>
      </c>
      <c r="D263" s="3" t="s">
        <v>821</v>
      </c>
      <c r="E263" s="2">
        <v>5.700533000071E12</v>
      </c>
      <c r="F263" s="3" t="s">
        <v>822</v>
      </c>
      <c r="G263" s="3" t="s">
        <v>477</v>
      </c>
      <c r="H263" s="4" t="s">
        <v>491</v>
      </c>
      <c r="I263" s="3"/>
      <c r="J263" s="3"/>
    </row>
    <row r="264" ht="15.75" customHeight="1">
      <c r="A264" s="2">
        <v>120.0</v>
      </c>
      <c r="B264" s="3" t="s">
        <v>823</v>
      </c>
      <c r="C264" s="3" t="s">
        <v>171</v>
      </c>
      <c r="D264" s="3" t="s">
        <v>369</v>
      </c>
      <c r="E264" s="2">
        <v>5.700533000072E12</v>
      </c>
      <c r="F264" s="3" t="s">
        <v>824</v>
      </c>
      <c r="G264" s="3" t="s">
        <v>477</v>
      </c>
      <c r="H264" s="4" t="s">
        <v>491</v>
      </c>
      <c r="I264" s="3"/>
      <c r="J264" s="3"/>
    </row>
    <row r="265" ht="15.75" customHeight="1">
      <c r="A265" s="2">
        <v>121.0</v>
      </c>
      <c r="B265" s="3" t="s">
        <v>825</v>
      </c>
      <c r="C265" s="3" t="s">
        <v>826</v>
      </c>
      <c r="D265" s="3" t="s">
        <v>827</v>
      </c>
      <c r="E265" s="2">
        <v>5.700533748682E12</v>
      </c>
      <c r="F265" s="3" t="s">
        <v>828</v>
      </c>
      <c r="G265" s="3" t="s">
        <v>477</v>
      </c>
      <c r="H265" s="4" t="s">
        <v>491</v>
      </c>
      <c r="I265" s="3"/>
      <c r="J265" s="3"/>
    </row>
    <row r="266" ht="15.75" customHeight="1">
      <c r="A266" s="2">
        <v>122.0</v>
      </c>
      <c r="B266" s="3" t="s">
        <v>829</v>
      </c>
      <c r="C266" s="3" t="s">
        <v>830</v>
      </c>
      <c r="D266" s="3" t="s">
        <v>831</v>
      </c>
      <c r="E266" s="2">
        <v>5.700533748659E12</v>
      </c>
      <c r="F266" s="3" t="s">
        <v>832</v>
      </c>
      <c r="G266" s="3" t="s">
        <v>477</v>
      </c>
      <c r="H266" s="4" t="s">
        <v>491</v>
      </c>
      <c r="I266" s="3"/>
      <c r="J266" s="3"/>
    </row>
    <row r="267" ht="15.75" customHeight="1">
      <c r="A267" s="2">
        <v>123.0</v>
      </c>
      <c r="B267" s="3" t="s">
        <v>833</v>
      </c>
      <c r="C267" s="3" t="s">
        <v>379</v>
      </c>
      <c r="D267" s="3" t="s">
        <v>499</v>
      </c>
      <c r="E267" s="2">
        <v>5.700533000077E12</v>
      </c>
      <c r="F267" s="3" t="s">
        <v>834</v>
      </c>
      <c r="G267" s="3" t="s">
        <v>342</v>
      </c>
      <c r="H267" s="4" t="s">
        <v>491</v>
      </c>
      <c r="I267" s="3"/>
      <c r="J267" s="3"/>
    </row>
    <row r="268" ht="15.75" customHeight="1">
      <c r="A268" s="2">
        <v>124.0</v>
      </c>
      <c r="B268" s="3" t="s">
        <v>582</v>
      </c>
      <c r="C268" s="3" t="s">
        <v>835</v>
      </c>
      <c r="D268" s="3" t="s">
        <v>836</v>
      </c>
      <c r="E268" s="2">
        <v>5.700533000078E12</v>
      </c>
      <c r="F268" s="3" t="s">
        <v>837</v>
      </c>
      <c r="G268" s="3" t="s">
        <v>477</v>
      </c>
      <c r="H268" s="4" t="s">
        <v>491</v>
      </c>
      <c r="I268" s="3"/>
      <c r="J268" s="3"/>
    </row>
    <row r="269" ht="15.75" customHeight="1">
      <c r="A269" s="2">
        <v>125.0</v>
      </c>
      <c r="B269" s="3" t="s">
        <v>838</v>
      </c>
      <c r="C269" s="3" t="s">
        <v>839</v>
      </c>
      <c r="D269" s="3" t="s">
        <v>840</v>
      </c>
      <c r="E269" s="2">
        <v>5.700533000079E12</v>
      </c>
      <c r="F269" s="3" t="s">
        <v>841</v>
      </c>
      <c r="G269" s="3" t="s">
        <v>477</v>
      </c>
      <c r="H269" s="4" t="s">
        <v>491</v>
      </c>
      <c r="I269" s="3"/>
      <c r="J269" s="3"/>
    </row>
    <row r="270" ht="15.75" customHeight="1">
      <c r="A270" s="2">
        <v>126.0</v>
      </c>
      <c r="B270" s="3" t="s">
        <v>842</v>
      </c>
      <c r="C270" s="3" t="s">
        <v>843</v>
      </c>
      <c r="D270" s="3" t="s">
        <v>46</v>
      </c>
      <c r="E270" s="2">
        <v>5.70053300008E12</v>
      </c>
      <c r="F270" s="3" t="s">
        <v>844</v>
      </c>
      <c r="G270" s="3" t="s">
        <v>477</v>
      </c>
      <c r="H270" s="4" t="s">
        <v>845</v>
      </c>
      <c r="I270" s="3"/>
      <c r="J270" s="3"/>
    </row>
    <row r="271" ht="15.75" customHeight="1">
      <c r="A271" s="2">
        <v>127.0</v>
      </c>
      <c r="B271" s="3" t="s">
        <v>846</v>
      </c>
      <c r="C271" s="3" t="s">
        <v>847</v>
      </c>
      <c r="D271" s="3" t="s">
        <v>561</v>
      </c>
      <c r="E271" s="2">
        <v>5.700533000081E12</v>
      </c>
      <c r="F271" s="3" t="s">
        <v>848</v>
      </c>
      <c r="G271" s="3" t="s">
        <v>477</v>
      </c>
      <c r="H271" s="4" t="s">
        <v>491</v>
      </c>
      <c r="I271" s="3"/>
      <c r="J271" s="3"/>
    </row>
    <row r="272" ht="15.75" customHeight="1">
      <c r="A272" s="2">
        <v>128.0</v>
      </c>
      <c r="B272" s="3" t="s">
        <v>815</v>
      </c>
      <c r="C272" s="3" t="s">
        <v>90</v>
      </c>
      <c r="D272" s="3" t="s">
        <v>849</v>
      </c>
      <c r="E272" s="2">
        <v>5.700533000082E12</v>
      </c>
      <c r="F272" s="3" t="s">
        <v>850</v>
      </c>
      <c r="G272" s="3" t="s">
        <v>477</v>
      </c>
      <c r="H272" s="4" t="s">
        <v>491</v>
      </c>
      <c r="I272" s="3"/>
      <c r="J272" s="3"/>
    </row>
    <row r="273" ht="15.75" customHeight="1">
      <c r="A273" s="2">
        <v>129.0</v>
      </c>
      <c r="B273" s="3" t="s">
        <v>851</v>
      </c>
      <c r="C273" s="3" t="s">
        <v>852</v>
      </c>
      <c r="D273" s="3" t="s">
        <v>640</v>
      </c>
      <c r="E273" s="2">
        <v>5.700533000084E12</v>
      </c>
      <c r="F273" s="3" t="s">
        <v>853</v>
      </c>
      <c r="G273" s="3" t="s">
        <v>477</v>
      </c>
      <c r="H273" s="4" t="s">
        <v>491</v>
      </c>
      <c r="I273" s="3"/>
      <c r="J273" s="3"/>
    </row>
    <row r="274" ht="15.75" customHeight="1">
      <c r="A274" s="2">
        <v>130.0</v>
      </c>
      <c r="B274" s="3" t="s">
        <v>854</v>
      </c>
      <c r="C274" s="3" t="s">
        <v>40</v>
      </c>
      <c r="D274" s="3" t="s">
        <v>855</v>
      </c>
      <c r="E274" s="2">
        <v>5.700533000085E12</v>
      </c>
      <c r="F274" s="3" t="s">
        <v>856</v>
      </c>
      <c r="G274" s="3" t="s">
        <v>477</v>
      </c>
      <c r="H274" s="4" t="s">
        <v>491</v>
      </c>
      <c r="I274" s="3"/>
      <c r="J274" s="3"/>
    </row>
    <row r="275" ht="15.75" customHeight="1">
      <c r="A275" s="2">
        <v>131.0</v>
      </c>
      <c r="B275" s="3" t="s">
        <v>764</v>
      </c>
      <c r="C275" s="3" t="s">
        <v>259</v>
      </c>
      <c r="D275" s="3" t="s">
        <v>369</v>
      </c>
      <c r="E275" s="2">
        <v>5.70053300009E12</v>
      </c>
      <c r="F275" s="3" t="s">
        <v>857</v>
      </c>
      <c r="G275" s="3" t="s">
        <v>342</v>
      </c>
      <c r="H275" s="4" t="s">
        <v>858</v>
      </c>
      <c r="I275" s="3"/>
      <c r="J275" s="3"/>
    </row>
    <row r="276" ht="15.75" customHeight="1">
      <c r="A276" s="2">
        <v>132.0</v>
      </c>
      <c r="B276" s="3" t="s">
        <v>859</v>
      </c>
      <c r="C276" s="3" t="s">
        <v>860</v>
      </c>
      <c r="D276" s="3" t="s">
        <v>32</v>
      </c>
      <c r="E276" s="2">
        <v>5.700533744663E12</v>
      </c>
      <c r="F276" s="3" t="s">
        <v>861</v>
      </c>
      <c r="G276" s="3" t="s">
        <v>477</v>
      </c>
      <c r="H276" s="4" t="s">
        <v>491</v>
      </c>
      <c r="I276" s="3"/>
      <c r="J276" s="3"/>
    </row>
    <row r="277" ht="15.75" customHeight="1">
      <c r="A277" s="2">
        <v>133.0</v>
      </c>
      <c r="B277" s="3" t="s">
        <v>862</v>
      </c>
      <c r="C277" s="3" t="s">
        <v>150</v>
      </c>
      <c r="D277" s="3" t="s">
        <v>636</v>
      </c>
      <c r="E277" s="2">
        <v>5.700533744666E12</v>
      </c>
      <c r="F277" s="3" t="s">
        <v>863</v>
      </c>
      <c r="G277" s="3" t="s">
        <v>477</v>
      </c>
      <c r="H277" s="4" t="s">
        <v>491</v>
      </c>
      <c r="I277" s="3"/>
      <c r="J277" s="3"/>
    </row>
    <row r="278" ht="15.75" customHeight="1">
      <c r="A278" s="2">
        <v>134.0</v>
      </c>
      <c r="B278" s="3" t="s">
        <v>864</v>
      </c>
      <c r="C278" s="3" t="s">
        <v>865</v>
      </c>
      <c r="D278" s="3" t="s">
        <v>866</v>
      </c>
      <c r="E278" s="2">
        <v>5.700533744667E12</v>
      </c>
      <c r="F278" s="3" t="s">
        <v>867</v>
      </c>
      <c r="G278" s="3" t="s">
        <v>477</v>
      </c>
      <c r="H278" s="4" t="s">
        <v>868</v>
      </c>
      <c r="I278" s="3"/>
      <c r="J278" s="3"/>
    </row>
    <row r="279" ht="15.75" customHeight="1">
      <c r="A279" s="2">
        <v>135.0</v>
      </c>
      <c r="B279" s="3" t="s">
        <v>869</v>
      </c>
      <c r="C279" s="3" t="s">
        <v>870</v>
      </c>
      <c r="D279" s="3" t="s">
        <v>599</v>
      </c>
      <c r="E279" s="2">
        <v>5.700533744668E12</v>
      </c>
      <c r="F279" s="3" t="s">
        <v>871</v>
      </c>
      <c r="G279" s="3" t="s">
        <v>477</v>
      </c>
      <c r="H279" s="4" t="s">
        <v>491</v>
      </c>
      <c r="I279" s="3"/>
      <c r="J279" s="3"/>
    </row>
    <row r="280" ht="15.75" customHeight="1">
      <c r="A280" s="2">
        <v>136.0</v>
      </c>
      <c r="B280" s="3" t="s">
        <v>872</v>
      </c>
      <c r="C280" s="3" t="s">
        <v>873</v>
      </c>
      <c r="D280" s="3" t="s">
        <v>874</v>
      </c>
      <c r="E280" s="2">
        <v>5.700533744669E12</v>
      </c>
      <c r="F280" s="3" t="s">
        <v>875</v>
      </c>
      <c r="G280" s="3" t="s">
        <v>342</v>
      </c>
      <c r="H280" s="4" t="s">
        <v>744</v>
      </c>
      <c r="I280" s="3"/>
      <c r="J280" s="3"/>
    </row>
    <row r="281" ht="15.75" customHeight="1">
      <c r="A281" s="2">
        <v>137.0</v>
      </c>
      <c r="B281" s="3" t="s">
        <v>876</v>
      </c>
      <c r="C281" s="3" t="s">
        <v>877</v>
      </c>
      <c r="D281" s="3" t="s">
        <v>50</v>
      </c>
      <c r="E281" s="2">
        <v>5.700533744675E12</v>
      </c>
      <c r="F281" s="3" t="s">
        <v>878</v>
      </c>
      <c r="G281" s="3" t="s">
        <v>477</v>
      </c>
      <c r="H281" s="4" t="s">
        <v>491</v>
      </c>
      <c r="I281" s="3"/>
      <c r="J281" s="3"/>
    </row>
    <row r="282" ht="15.75" customHeight="1">
      <c r="A282" s="2">
        <v>138.0</v>
      </c>
      <c r="B282" s="3" t="s">
        <v>879</v>
      </c>
      <c r="C282" s="3" t="s">
        <v>36</v>
      </c>
      <c r="D282" s="3" t="s">
        <v>880</v>
      </c>
      <c r="E282" s="2">
        <v>5.700533744676E12</v>
      </c>
      <c r="F282" s="3" t="s">
        <v>881</v>
      </c>
      <c r="G282" s="3" t="s">
        <v>477</v>
      </c>
      <c r="H282" s="4" t="s">
        <v>491</v>
      </c>
      <c r="I282" s="3"/>
      <c r="J282" s="3"/>
    </row>
    <row r="283" ht="15.75" customHeight="1">
      <c r="A283" s="2">
        <v>139.0</v>
      </c>
      <c r="B283" s="3" t="s">
        <v>882</v>
      </c>
      <c r="C283" s="3" t="s">
        <v>142</v>
      </c>
      <c r="D283" s="3" t="s">
        <v>883</v>
      </c>
      <c r="E283" s="2">
        <v>5.700533744677E12</v>
      </c>
      <c r="F283" s="3" t="s">
        <v>884</v>
      </c>
      <c r="G283" s="3" t="s">
        <v>477</v>
      </c>
      <c r="H283" s="4" t="s">
        <v>491</v>
      </c>
      <c r="I283" s="3"/>
      <c r="J283" s="3"/>
    </row>
    <row r="284" ht="15.75" customHeight="1">
      <c r="A284" s="2">
        <v>140.0</v>
      </c>
      <c r="B284" s="3" t="s">
        <v>885</v>
      </c>
      <c r="C284" s="3" t="s">
        <v>886</v>
      </c>
      <c r="D284" s="3" t="s">
        <v>729</v>
      </c>
      <c r="E284" s="2">
        <v>5.700533744678E12</v>
      </c>
      <c r="F284" s="3" t="s">
        <v>887</v>
      </c>
      <c r="G284" s="3" t="s">
        <v>477</v>
      </c>
      <c r="H284" s="4" t="s">
        <v>491</v>
      </c>
      <c r="I284" s="3"/>
      <c r="J284" s="3"/>
    </row>
    <row r="285" ht="15.75" customHeight="1">
      <c r="A285" s="2">
        <v>141.0</v>
      </c>
      <c r="B285" s="3" t="s">
        <v>888</v>
      </c>
      <c r="C285" s="3" t="s">
        <v>889</v>
      </c>
      <c r="D285" s="3" t="s">
        <v>890</v>
      </c>
      <c r="E285" s="2">
        <v>5.700533744679E12</v>
      </c>
      <c r="F285" s="3" t="s">
        <v>891</v>
      </c>
      <c r="G285" s="3" t="s">
        <v>477</v>
      </c>
      <c r="H285" s="4" t="s">
        <v>491</v>
      </c>
      <c r="I285" s="3"/>
      <c r="J285" s="3"/>
    </row>
    <row r="286" ht="15.75" customHeight="1">
      <c r="A286" s="2">
        <v>142.0</v>
      </c>
      <c r="B286" s="3" t="s">
        <v>892</v>
      </c>
      <c r="C286" s="3" t="s">
        <v>893</v>
      </c>
      <c r="D286" s="3" t="s">
        <v>894</v>
      </c>
      <c r="E286" s="2">
        <v>5.70053374468E12</v>
      </c>
      <c r="F286" s="3" t="s">
        <v>895</v>
      </c>
      <c r="G286" s="3" t="s">
        <v>477</v>
      </c>
      <c r="H286" s="4" t="s">
        <v>896</v>
      </c>
      <c r="I286" s="3"/>
      <c r="J286" s="3"/>
    </row>
    <row r="287" ht="15.75" customHeight="1">
      <c r="A287" s="2">
        <v>143.0</v>
      </c>
      <c r="B287" s="3" t="s">
        <v>897</v>
      </c>
      <c r="C287" s="3" t="s">
        <v>9</v>
      </c>
      <c r="D287" s="3" t="s">
        <v>293</v>
      </c>
      <c r="E287" s="2">
        <v>5.700533000092E12</v>
      </c>
      <c r="F287" s="3" t="s">
        <v>898</v>
      </c>
      <c r="G287" s="3" t="s">
        <v>477</v>
      </c>
      <c r="H287" s="4" t="s">
        <v>896</v>
      </c>
      <c r="I287" s="3"/>
      <c r="J287" s="3"/>
    </row>
    <row r="288" ht="15.75" customHeight="1">
      <c r="A288" s="2">
        <v>144.0</v>
      </c>
      <c r="B288" s="3" t="s">
        <v>899</v>
      </c>
      <c r="C288" s="3" t="s">
        <v>900</v>
      </c>
      <c r="D288" s="3" t="s">
        <v>901</v>
      </c>
      <c r="E288" s="2">
        <v>5.700533000094E12</v>
      </c>
      <c r="F288" s="3" t="s">
        <v>902</v>
      </c>
      <c r="G288" s="3" t="s">
        <v>477</v>
      </c>
      <c r="H288" s="4" t="s">
        <v>896</v>
      </c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5" t="s">
        <v>903</v>
      </c>
      <c r="B1" s="1" t="str">
        <f>IFERROR(__xludf.DUMMYFUNCTION("SPLIT(A1,"","")"),"ক্রমিক নং")</f>
        <v>ক্রমিক নং</v>
      </c>
      <c r="C1" s="1" t="str">
        <f>IFERROR(__xludf.DUMMYFUNCTION("""COMPUTED_VALUE"""),"নাম")</f>
        <v>নাম</v>
      </c>
      <c r="D1" s="1" t="str">
        <f>IFERROR(__xludf.DUMMYFUNCTION("""COMPUTED_VALUE"""),"ভোটার নং")</f>
        <v>ভোটার নং</v>
      </c>
      <c r="E1" s="1" t="str">
        <f>IFERROR(__xludf.DUMMYFUNCTION("""COMPUTED_VALUE"""),"পিতা")</f>
        <v>পিতা</v>
      </c>
      <c r="F1" s="1" t="str">
        <f>IFERROR(__xludf.DUMMYFUNCTION("""COMPUTED_VALUE"""),"মাতা")</f>
        <v>মাতা</v>
      </c>
      <c r="G1" s="1" t="str">
        <f>IFERROR(__xludf.DUMMYFUNCTION("""COMPUTED_VALUE"""),"জন্ম তারিখ")</f>
        <v>জন্ম তারিখ</v>
      </c>
      <c r="H1" s="1" t="str">
        <f>IFERROR(__xludf.DUMMYFUNCTION("""COMPUTED_VALUE"""),"পেশা")</f>
        <v>পেশা</v>
      </c>
      <c r="I1" s="1" t="str">
        <f>IFERROR(__xludf.DUMMYFUNCTION("""COMPUTED_VALUE"""),"ঠিকানা")</f>
        <v>ঠিকানা</v>
      </c>
    </row>
    <row r="2" ht="15.75" customHeight="1">
      <c r="A2" s="5" t="s">
        <v>904</v>
      </c>
      <c r="B2" s="1">
        <f>IFERROR(__xludf.DUMMYFUNCTION("SPLIT(A2,"","")"),1.0)</f>
        <v>1</v>
      </c>
      <c r="C2" s="1" t="str">
        <f>IFERROR(__xludf.DUMMYFUNCTION("""COMPUTED_VALUE"""),"মোঃ নাজমুল ইসলাম")</f>
        <v>মোঃ নাজমুল ইসলাম</v>
      </c>
      <c r="D2" s="1">
        <f>IFERROR(__xludf.DUMMYFUNCTION("""COMPUTED_VALUE"""),5.70053374303E11)</f>
        <v>570053374303</v>
      </c>
      <c r="E2" s="1" t="str">
        <f>IFERROR(__xludf.DUMMYFUNCTION("""COMPUTED_VALUE"""),"মোঃ সিরাজুল ইসলাম")</f>
        <v>মোঃ সিরাজুল ইসলাম</v>
      </c>
      <c r="F2" s="1" t="str">
        <f>IFERROR(__xludf.DUMMYFUNCTION("""COMPUTED_VALUE"""),"মোছাঃ রহিমা খাতুন")</f>
        <v>মোছাঃ রহিমা খাতুন</v>
      </c>
      <c r="G2" s="1" t="str">
        <f>IFERROR(__xludf.DUMMYFUNCTION("""COMPUTED_VALUE"""),"০৮/০৩/১৯৮৫")</f>
        <v>০৮/০৩/১৯৮৫</v>
      </c>
      <c r="H2" s="1" t="str">
        <f>IFERROR(__xludf.DUMMYFUNCTION("""COMPUTED_VALUE"""),"কৃষক")</f>
        <v>কৃষক</v>
      </c>
      <c r="I2" s="1" t="str">
        <f>IFERROR(__xludf.DUMMYFUNCTION("""COMPUTED_VALUE"""),"""দঃ তেতুলবাড়ীয়া")</f>
        <v>"দঃ তেতুলবাড়ীয়া</v>
      </c>
      <c r="J2" s="1" t="str">
        <f>IFERROR(__xludf.DUMMYFUNCTION("""COMPUTED_VALUE""")," গাংনী")</f>
        <v> গাংনী</v>
      </c>
      <c r="K2" s="1" t="str">
        <f>IFERROR(__xludf.DUMMYFUNCTION("""COMPUTED_VALUE""")," মেহেরপুর""")</f>
        <v> মেহেরপুর"</v>
      </c>
    </row>
    <row r="3" ht="15.75" customHeight="1">
      <c r="A3" s="5" t="s">
        <v>905</v>
      </c>
      <c r="B3" s="1">
        <f>IFERROR(__xludf.DUMMYFUNCTION("SPLIT(A3,"","")"),2.0)</f>
        <v>2</v>
      </c>
      <c r="C3" s="1" t="str">
        <f>IFERROR(__xludf.DUMMYFUNCTION("""COMPUTED_VALUE"""),"মোঃ ইলিয়াস হোসেন")</f>
        <v>মোঃ ইলিয়াস হোসেন</v>
      </c>
      <c r="D3" s="1">
        <f>IFERROR(__xludf.DUMMYFUNCTION("""COMPUTED_VALUE"""),5.70053374133E11)</f>
        <v>570053374133</v>
      </c>
      <c r="E3" s="1" t="str">
        <f>IFERROR(__xludf.DUMMYFUNCTION("""COMPUTED_VALUE"""),"মোঃ ইউনুচ আলী")</f>
        <v>মোঃ ইউনুচ আলী</v>
      </c>
      <c r="F3" s="1" t="str">
        <f>IFERROR(__xludf.DUMMYFUNCTION("""COMPUTED_VALUE"""),"মোছাঃ আলেয়া খাতুন")</f>
        <v>মোছাঃ আলেয়া খাতুন</v>
      </c>
      <c r="G3" s="1" t="str">
        <f>IFERROR(__xludf.DUMMYFUNCTION("""COMPUTED_VALUE"""),"১০/০৩/১৯৮৩")</f>
        <v>১০/০৩/১৯৮৩</v>
      </c>
      <c r="H3" s="1" t="str">
        <f>IFERROR(__xludf.DUMMYFUNCTION("""COMPUTED_VALUE"""),"কৃষক")</f>
        <v>কৃষক</v>
      </c>
      <c r="I3" s="1" t="str">
        <f>IFERROR(__xludf.DUMMYFUNCTION("""COMPUTED_VALUE"""),"""দঃ তেতুলবাড়িয়া")</f>
        <v>"দঃ তেতুলবাড়িয়া</v>
      </c>
      <c r="J3" s="1" t="str">
        <f>IFERROR(__xludf.DUMMYFUNCTION("""COMPUTED_VALUE""")," গাংনী")</f>
        <v> গাংনী</v>
      </c>
      <c r="K3" s="1" t="str">
        <f>IFERROR(__xludf.DUMMYFUNCTION("""COMPUTED_VALUE""")," মেহেরপুর""")</f>
        <v> মেহেরপুর"</v>
      </c>
    </row>
    <row r="4" ht="15.75" customHeight="1">
      <c r="A4" s="5" t="s">
        <v>906</v>
      </c>
      <c r="B4" s="1">
        <f>IFERROR(__xludf.DUMMYFUNCTION("SPLIT(A4,"","")"),3.0)</f>
        <v>3</v>
      </c>
      <c r="C4" s="1" t="str">
        <f>IFERROR(__xludf.DUMMYFUNCTION("""COMPUTED_VALUE"""),"মোঃ আব্দুর রহমান")</f>
        <v>মোঃ আব্দুর রহমান</v>
      </c>
      <c r="D4" s="1">
        <f>IFERROR(__xludf.DUMMYFUNCTION("""COMPUTED_VALUE"""),5.70053374134E11)</f>
        <v>570053374134</v>
      </c>
      <c r="E4" s="1" t="str">
        <f>IFERROR(__xludf.DUMMYFUNCTION("""COMPUTED_VALUE"""),"আবুল হোসেন")</f>
        <v>আবুল হোসেন</v>
      </c>
      <c r="F4" s="1" t="str">
        <f>IFERROR(__xludf.DUMMYFUNCTION("""COMPUTED_VALUE"""),"মোছাঃ আনোয়ারা খাতুন")</f>
        <v>মোছাঃ আনোয়ারা খাতুন</v>
      </c>
      <c r="G4" s="1" t="str">
        <f>IFERROR(__xludf.DUMMYFUNCTION("""COMPUTED_VALUE"""),"১০/০২/১৯৫৩")</f>
        <v>১০/০২/১৯৫৩</v>
      </c>
      <c r="H4" s="1" t="str">
        <f>IFERROR(__xludf.DUMMYFUNCTION("""COMPUTED_VALUE"""),"দিনমজুর")</f>
        <v>দিনমজুর</v>
      </c>
      <c r="I4" s="1" t="str">
        <f>IFERROR(__xludf.DUMMYFUNCTION("""COMPUTED_VALUE"""),"""দঃ তেতুল বাড়িয়া")</f>
        <v>"দঃ তেতুল বাড়িয়া</v>
      </c>
      <c r="J4" s="1" t="str">
        <f>IFERROR(__xludf.DUMMYFUNCTION("""COMPUTED_VALUE""")," গাংনী")</f>
        <v> গাংনী</v>
      </c>
      <c r="K4" s="1" t="str">
        <f>IFERROR(__xludf.DUMMYFUNCTION("""COMPUTED_VALUE""")," মেহেরপুর""")</f>
        <v> মেহেরপুর"</v>
      </c>
    </row>
    <row r="5" ht="15.75" customHeight="1">
      <c r="A5" s="5" t="s">
        <v>907</v>
      </c>
      <c r="B5" s="1">
        <f>IFERROR(__xludf.DUMMYFUNCTION("SPLIT(A5,"","")"),4.0)</f>
        <v>4</v>
      </c>
      <c r="C5" s="1" t="str">
        <f>IFERROR(__xludf.DUMMYFUNCTION("""COMPUTED_VALUE"""),"মোঃ ইউনুচ আলী")</f>
        <v>মোঃ ইউনুচ আলী</v>
      </c>
      <c r="D5" s="1">
        <f>IFERROR(__xludf.DUMMYFUNCTION("""COMPUTED_VALUE"""),5.70053374137E11)</f>
        <v>570053374137</v>
      </c>
      <c r="E5" s="1" t="str">
        <f>IFERROR(__xludf.DUMMYFUNCTION("""COMPUTED_VALUE"""),"মফেজ উদ্দীন")</f>
        <v>মফেজ উদ্দীন</v>
      </c>
      <c r="F5" s="1" t="str">
        <f>IFERROR(__xludf.DUMMYFUNCTION("""COMPUTED_VALUE"""),"মোছাঃ সহিতেন নেছা")</f>
        <v>মোছাঃ সহিতেন নেছা</v>
      </c>
      <c r="G5" s="1" t="str">
        <f>IFERROR(__xludf.DUMMYFUNCTION("""COMPUTED_VALUE"""),"০৮/০৩/১৯৫৭")</f>
        <v>০৮/০৩/১৯৫৭</v>
      </c>
      <c r="H5" s="1" t="str">
        <f>IFERROR(__xludf.DUMMYFUNCTION("""COMPUTED_VALUE"""),"কৃষক")</f>
        <v>কৃষক</v>
      </c>
      <c r="I5" s="1" t="str">
        <f>IFERROR(__xludf.DUMMYFUNCTION("""COMPUTED_VALUE"""),"""দঃ তেতুল বাড়িয়া")</f>
        <v>"দঃ তেতুল বাড়িয়া</v>
      </c>
      <c r="J5" s="1" t="str">
        <f>IFERROR(__xludf.DUMMYFUNCTION("""COMPUTED_VALUE""")," গাংনী")</f>
        <v> গাংনী</v>
      </c>
      <c r="K5" s="1" t="str">
        <f>IFERROR(__xludf.DUMMYFUNCTION("""COMPUTED_VALUE""")," মেহেরপুর""")</f>
        <v> মেহেরপুর"</v>
      </c>
    </row>
    <row r="6" ht="15.75" customHeight="1">
      <c r="A6" s="5" t="s">
        <v>908</v>
      </c>
      <c r="B6" s="1">
        <f>IFERROR(__xludf.DUMMYFUNCTION("SPLIT(A6,"","")"),5.0)</f>
        <v>5</v>
      </c>
      <c r="C6" s="1" t="str">
        <f>IFERROR(__xludf.DUMMYFUNCTION("""COMPUTED_VALUE"""),"মোঃ আব্দুস ছালাম")</f>
        <v>মোঃ আব্দুস ছালাম</v>
      </c>
      <c r="D6" s="1">
        <f>IFERROR(__xludf.DUMMYFUNCTION("""COMPUTED_VALUE"""),5.70053374139E11)</f>
        <v>570053374139</v>
      </c>
      <c r="E6" s="1" t="str">
        <f>IFERROR(__xludf.DUMMYFUNCTION("""COMPUTED_VALUE"""),"রবজেল বিশ্বাস")</f>
        <v>রবজেল বিশ্বাস</v>
      </c>
      <c r="F6" s="1" t="str">
        <f>IFERROR(__xludf.DUMMYFUNCTION("""COMPUTED_VALUE"""),"মোছাঃ মনোয়ারা খাতুন")</f>
        <v>মোছাঃ মনোয়ারা খাতুন</v>
      </c>
      <c r="G6" s="1" t="str">
        <f>IFERROR(__xludf.DUMMYFUNCTION("""COMPUTED_VALUE"""),"০৮/০৪/১৯৭৭")</f>
        <v>০৮/০৪/১৯৭৭</v>
      </c>
      <c r="H6" s="1" t="str">
        <f>IFERROR(__xludf.DUMMYFUNCTION("""COMPUTED_VALUE"""),"কৃষক")</f>
        <v>কৃষক</v>
      </c>
      <c r="I6" s="1" t="str">
        <f>IFERROR(__xludf.DUMMYFUNCTION("""COMPUTED_VALUE"""),"""দঃ তেতুল বাড়িয়া")</f>
        <v>"দঃ তেতুল বাড়িয়া</v>
      </c>
      <c r="J6" s="1" t="str">
        <f>IFERROR(__xludf.DUMMYFUNCTION("""COMPUTED_VALUE""")," গাংনী")</f>
        <v> গাংনী</v>
      </c>
      <c r="K6" s="1" t="str">
        <f>IFERROR(__xludf.DUMMYFUNCTION("""COMPUTED_VALUE""")," মেহেরপুর""")</f>
        <v> মেহেরপুর"</v>
      </c>
    </row>
    <row r="7" ht="15.75" customHeight="1">
      <c r="A7" s="5" t="s">
        <v>909</v>
      </c>
      <c r="B7" s="1">
        <f>IFERROR(__xludf.DUMMYFUNCTION("SPLIT(A7,"","")"),6.0)</f>
        <v>6</v>
      </c>
      <c r="C7" s="1" t="str">
        <f>IFERROR(__xludf.DUMMYFUNCTION("""COMPUTED_VALUE"""),"মোঃ রাফিজুল হক")</f>
        <v>মোঃ রাফিজুল হক</v>
      </c>
      <c r="D7" s="1">
        <f>IFERROR(__xludf.DUMMYFUNCTION("""COMPUTED_VALUE"""),5.70053374322E11)</f>
        <v>570053374322</v>
      </c>
      <c r="E7" s="1" t="str">
        <f>IFERROR(__xludf.DUMMYFUNCTION("""COMPUTED_VALUE"""),"রবজেল বিশ্বাস")</f>
        <v>রবজেল বিশ্বাস</v>
      </c>
      <c r="F7" s="1" t="str">
        <f>IFERROR(__xludf.DUMMYFUNCTION("""COMPUTED_VALUE"""),"মোছাঃ মনোয়ারা খাতুন")</f>
        <v>মোছাঃ মনোয়ারা খাতুন</v>
      </c>
      <c r="G7" s="1" t="str">
        <f>IFERROR(__xludf.DUMMYFUNCTION("""COMPUTED_VALUE"""),"১০/০৪/১৯৭২")</f>
        <v>১০/০৪/১৯৭২</v>
      </c>
      <c r="H7" s="1" t="str">
        <f>IFERROR(__xludf.DUMMYFUNCTION("""COMPUTED_VALUE"""),"দিনমজুর")</f>
        <v>দিনমজুর</v>
      </c>
      <c r="I7" s="1" t="str">
        <f>IFERROR(__xludf.DUMMYFUNCTION("""COMPUTED_VALUE"""),"""দঃ তেতুলবাড়িয়া")</f>
        <v>"দঃ তেতুলবাড়িয়া</v>
      </c>
      <c r="J7" s="1" t="str">
        <f>IFERROR(__xludf.DUMMYFUNCTION("""COMPUTED_VALUE""")," গাংনী")</f>
        <v> গাংনী</v>
      </c>
      <c r="K7" s="1" t="str">
        <f>IFERROR(__xludf.DUMMYFUNCTION("""COMPUTED_VALUE""")," মেহেরপুর""")</f>
        <v> মেহেরপুর"</v>
      </c>
    </row>
    <row r="8" ht="15.75" customHeight="1">
      <c r="A8" s="5" t="s">
        <v>910</v>
      </c>
      <c r="B8" s="1">
        <f>IFERROR(__xludf.DUMMYFUNCTION("SPLIT(A8,"","")"),7.0)</f>
        <v>7</v>
      </c>
      <c r="C8" s="1" t="str">
        <f>IFERROR(__xludf.DUMMYFUNCTION("""COMPUTED_VALUE"""),"মোঃ রাশিদুল ইসলাম")</f>
        <v>মোঃ রাশিদুল ইসলাম</v>
      </c>
      <c r="D8" s="1">
        <f>IFERROR(__xludf.DUMMYFUNCTION("""COMPUTED_VALUE"""),5.70053374324E11)</f>
        <v>570053374324</v>
      </c>
      <c r="E8" s="1" t="str">
        <f>IFERROR(__xludf.DUMMYFUNCTION("""COMPUTED_VALUE"""),"মফেজউদ্দিন")</f>
        <v>মফেজউদ্দিন</v>
      </c>
      <c r="F8" s="1" t="str">
        <f>IFERROR(__xludf.DUMMYFUNCTION("""COMPUTED_VALUE"""),"মোছাঃ সহিতেন নেছা")</f>
        <v>মোছাঃ সহিতেন নেছা</v>
      </c>
      <c r="G8" s="1" t="str">
        <f>IFERROR(__xludf.DUMMYFUNCTION("""COMPUTED_VALUE"""),"১০/০৫/১৯৭২")</f>
        <v>১০/০৫/১৯৭২</v>
      </c>
      <c r="H8" s="1" t="str">
        <f>IFERROR(__xludf.DUMMYFUNCTION("""COMPUTED_VALUE"""),"দিনমজুর")</f>
        <v>দিনমজুর</v>
      </c>
      <c r="I8" s="1" t="str">
        <f>IFERROR(__xludf.DUMMYFUNCTION("""COMPUTED_VALUE"""),"""দঃতেতুলবাড়িয়া")</f>
        <v>"দঃতেতুলবাড়িয়া</v>
      </c>
      <c r="J8" s="1" t="str">
        <f>IFERROR(__xludf.DUMMYFUNCTION("""COMPUTED_VALUE""")," গাংনী")</f>
        <v> গাংনী</v>
      </c>
      <c r="K8" s="1" t="str">
        <f>IFERROR(__xludf.DUMMYFUNCTION("""COMPUTED_VALUE""")," মেহেরপুর""")</f>
        <v> মেহেরপুর"</v>
      </c>
    </row>
    <row r="9" ht="15.75" customHeight="1">
      <c r="A9" s="5" t="s">
        <v>911</v>
      </c>
      <c r="B9" s="1">
        <f>IFERROR(__xludf.DUMMYFUNCTION("SPLIT(A9,"","")"),8.0)</f>
        <v>8</v>
      </c>
      <c r="C9" s="1" t="str">
        <f>IFERROR(__xludf.DUMMYFUNCTION("""COMPUTED_VALUE"""),"মোঃ রবিউল ইসলাম")</f>
        <v>মোঃ রবিউল ইসলাম</v>
      </c>
      <c r="D9" s="1">
        <f>IFERROR(__xludf.DUMMYFUNCTION("""COMPUTED_VALUE"""),5.70053374325E11)</f>
        <v>570053374325</v>
      </c>
      <c r="E9" s="1" t="str">
        <f>IFERROR(__xludf.DUMMYFUNCTION("""COMPUTED_VALUE"""),"পিয়ার মন্ডল")</f>
        <v>পিয়ার মন্ডল</v>
      </c>
      <c r="F9" s="1" t="str">
        <f>IFERROR(__xludf.DUMMYFUNCTION("""COMPUTED_VALUE"""),"মোছাঃ মাহারন নেছা")</f>
        <v>মোছাঃ মাহারন নেছা</v>
      </c>
      <c r="G9" s="1" t="str">
        <f>IFERROR(__xludf.DUMMYFUNCTION("""COMPUTED_VALUE"""),"০৭/০৫/১৯৫২")</f>
        <v>০৭/০৫/১৯৫২</v>
      </c>
      <c r="H9" s="1" t="str">
        <f>IFERROR(__xludf.DUMMYFUNCTION("""COMPUTED_VALUE"""),"দিনমজুর")</f>
        <v>দিনমজুর</v>
      </c>
      <c r="I9" s="1" t="str">
        <f>IFERROR(__xludf.DUMMYFUNCTION("""COMPUTED_VALUE"""),"""দক্ষিন তেঁতুলবাড়িয়া")</f>
        <v>"দক্ষিন তেঁতুলবাড়িয়া</v>
      </c>
      <c r="J9" s="1" t="str">
        <f>IFERROR(__xludf.DUMMYFUNCTION("""COMPUTED_VALUE""")," গাংনী")</f>
        <v> গাংনী</v>
      </c>
      <c r="K9" s="1" t="str">
        <f>IFERROR(__xludf.DUMMYFUNCTION("""COMPUTED_VALUE""")," মেহেরপুর""")</f>
        <v> মেহেরপুর"</v>
      </c>
    </row>
    <row r="10" ht="15.75" customHeight="1">
      <c r="A10" s="5" t="s">
        <v>912</v>
      </c>
      <c r="B10" s="1">
        <f>IFERROR(__xludf.DUMMYFUNCTION("SPLIT(A10,"","")"),9.0)</f>
        <v>9</v>
      </c>
      <c r="C10" s="1" t="str">
        <f>IFERROR(__xludf.DUMMYFUNCTION("""COMPUTED_VALUE"""),"মোঃ জিয়াউর রহমান")</f>
        <v>মোঃ জিয়াউর রহমান</v>
      </c>
      <c r="D10" s="1">
        <f>IFERROR(__xludf.DUMMYFUNCTION("""COMPUTED_VALUE"""),5.70053374326E11)</f>
        <v>570053374326</v>
      </c>
      <c r="E10" s="1" t="str">
        <f>IFERROR(__xludf.DUMMYFUNCTION("""COMPUTED_VALUE"""),"মোঃ রবিউল ইসলাম")</f>
        <v>মোঃ রবিউল ইসলাম</v>
      </c>
      <c r="F10" s="1" t="str">
        <f>IFERROR(__xludf.DUMMYFUNCTION("""COMPUTED_VALUE"""),"মোছাঃ জোসনা খাতুন")</f>
        <v>মোছাঃ জোসনা খাতুন</v>
      </c>
      <c r="G10" s="1" t="str">
        <f>IFERROR(__xludf.DUMMYFUNCTION("""COMPUTED_VALUE"""),"১০/০৫/১৯৭৭")</f>
        <v>১০/০৫/১৯৭৭</v>
      </c>
      <c r="H10" s="1" t="str">
        <f>IFERROR(__xludf.DUMMYFUNCTION("""COMPUTED_VALUE"""),"দিনমজুর")</f>
        <v>দিনমজুর</v>
      </c>
      <c r="I10" s="1" t="str">
        <f>IFERROR(__xludf.DUMMYFUNCTION("""COMPUTED_VALUE"""),"""দঃ তেতুলবাড়িয়া")</f>
        <v>"দঃ তেতুলবাড়িয়া</v>
      </c>
      <c r="J10" s="1" t="str">
        <f>IFERROR(__xludf.DUMMYFUNCTION("""COMPUTED_VALUE""")," গাংনী")</f>
        <v> গাংনী</v>
      </c>
      <c r="K10" s="1" t="str">
        <f>IFERROR(__xludf.DUMMYFUNCTION("""COMPUTED_VALUE""")," মেহেরপুর""")</f>
        <v> মেহেরপুর"</v>
      </c>
    </row>
    <row r="11" ht="15.75" customHeight="1">
      <c r="A11" s="5" t="s">
        <v>913</v>
      </c>
      <c r="B11" s="1">
        <f>IFERROR(__xludf.DUMMYFUNCTION("SPLIT(A11,"","")"),10.0)</f>
        <v>10</v>
      </c>
      <c r="C11" s="1" t="str">
        <f>IFERROR(__xludf.DUMMYFUNCTION("""COMPUTED_VALUE"""),"মোঃ সাজদার আলী")</f>
        <v>মোঃ সাজদার আলী</v>
      </c>
      <c r="D11" s="1">
        <f>IFERROR(__xludf.DUMMYFUNCTION("""COMPUTED_VALUE"""),5.70053374327E11)</f>
        <v>570053374327</v>
      </c>
      <c r="E11" s="1" t="str">
        <f>IFERROR(__xludf.DUMMYFUNCTION("""COMPUTED_VALUE"""),"মোঃ বিশারত আলী")</f>
        <v>মোঃ বিশারত আলী</v>
      </c>
      <c r="F11" s="1" t="str">
        <f>IFERROR(__xludf.DUMMYFUNCTION("""COMPUTED_VALUE"""),"মোছাঃ সাজেদা খাতুন")</f>
        <v>মোছাঃ সাজেদা খাতুন</v>
      </c>
      <c r="G11" s="1" t="str">
        <f>IFERROR(__xludf.DUMMYFUNCTION("""COMPUTED_VALUE"""),"০৭/০৩/১৯৮১")</f>
        <v>০৭/০৩/১৯৮১</v>
      </c>
      <c r="H11" s="1" t="str">
        <f>IFERROR(__xludf.DUMMYFUNCTION("""COMPUTED_VALUE"""),"দিনমজুর")</f>
        <v>দিনমজুর</v>
      </c>
      <c r="I11" s="1" t="str">
        <f>IFERROR(__xludf.DUMMYFUNCTION("""COMPUTED_VALUE"""),"""দঃ তেতুলবাড়িয়া")</f>
        <v>"দঃ তেতুলবাড়িয়া</v>
      </c>
      <c r="J11" s="1" t="str">
        <f>IFERROR(__xludf.DUMMYFUNCTION("""COMPUTED_VALUE""")," গাংনী")</f>
        <v> গাংনী</v>
      </c>
      <c r="K11" s="1" t="str">
        <f>IFERROR(__xludf.DUMMYFUNCTION("""COMPUTED_VALUE""")," মেহেরপুর""")</f>
        <v> মেহেরপুর"</v>
      </c>
    </row>
    <row r="12" ht="15.75" customHeight="1">
      <c r="A12" s="5" t="s">
        <v>914</v>
      </c>
      <c r="B12" s="1">
        <f>IFERROR(__xludf.DUMMYFUNCTION("SPLIT(A12,"","")"),11.0)</f>
        <v>11</v>
      </c>
      <c r="C12" s="1" t="str">
        <f>IFERROR(__xludf.DUMMYFUNCTION("""COMPUTED_VALUE"""),"মোঃ বিশারত আলী")</f>
        <v>মোঃ বিশারত আলী</v>
      </c>
      <c r="D12" s="1">
        <f>IFERROR(__xludf.DUMMYFUNCTION("""COMPUTED_VALUE"""),5.7005337433E11)</f>
        <v>570053374330</v>
      </c>
      <c r="E12" s="1" t="str">
        <f>IFERROR(__xludf.DUMMYFUNCTION("""COMPUTED_VALUE"""),"কলিমদ্দীন")</f>
        <v>কলিমদ্দীন</v>
      </c>
      <c r="F12" s="1" t="str">
        <f>IFERROR(__xludf.DUMMYFUNCTION("""COMPUTED_VALUE"""),"মোছাঃ খোশজান নেছা")</f>
        <v>মোছাঃ খোশজান নেছা</v>
      </c>
      <c r="G12" s="1" t="str">
        <f>IFERROR(__xludf.DUMMYFUNCTION("""COMPUTED_VALUE"""),"০৭/০৫/১৯৬২")</f>
        <v>০৭/০৫/১৯৬২</v>
      </c>
      <c r="H12" s="1" t="str">
        <f>IFERROR(__xludf.DUMMYFUNCTION("""COMPUTED_VALUE"""),"দিনমজুর")</f>
        <v>দিনমজুর</v>
      </c>
      <c r="I12" s="1" t="str">
        <f>IFERROR(__xludf.DUMMYFUNCTION("""COMPUTED_VALUE"""),"""দঃ তেতুল বাড়িয়া")</f>
        <v>"দঃ তেতুল বাড়িয়া</v>
      </c>
      <c r="J12" s="1" t="str">
        <f>IFERROR(__xludf.DUMMYFUNCTION("""COMPUTED_VALUE""")," গাংনী")</f>
        <v> গাংনী</v>
      </c>
      <c r="K12" s="1" t="str">
        <f>IFERROR(__xludf.DUMMYFUNCTION("""COMPUTED_VALUE""")," মেহেরপুর""")</f>
        <v> মেহেরপুর"</v>
      </c>
    </row>
    <row r="13" ht="15.75" customHeight="1">
      <c r="A13" s="5" t="s">
        <v>915</v>
      </c>
      <c r="B13" s="1">
        <f>IFERROR(__xludf.DUMMYFUNCTION("SPLIT(A13,"","")"),12.0)</f>
        <v>12</v>
      </c>
      <c r="C13" s="1" t="str">
        <f>IFERROR(__xludf.DUMMYFUNCTION("""COMPUTED_VALUE"""),"মোঃ আঃ মজিদ")</f>
        <v>মোঃ আঃ মজিদ</v>
      </c>
      <c r="D13" s="1">
        <f>IFERROR(__xludf.DUMMYFUNCTION("""COMPUTED_VALUE"""),5.70053374336E11)</f>
        <v>570053374336</v>
      </c>
      <c r="E13" s="1" t="str">
        <f>IFERROR(__xludf.DUMMYFUNCTION("""COMPUTED_VALUE"""),"জহিরুদ্দীন")</f>
        <v>জহিরুদ্দীন</v>
      </c>
      <c r="F13" s="1" t="str">
        <f>IFERROR(__xludf.DUMMYFUNCTION("""COMPUTED_VALUE"""),"এলাজন নেছা")</f>
        <v>এলাজন নেছা</v>
      </c>
      <c r="G13" s="1" t="str">
        <f>IFERROR(__xludf.DUMMYFUNCTION("""COMPUTED_VALUE"""),"১০/০৫/১৯৫১")</f>
        <v>১০/০৫/১৯৫১</v>
      </c>
      <c r="H13" s="1" t="str">
        <f>IFERROR(__xludf.DUMMYFUNCTION("""COMPUTED_VALUE"""),"দিনমজুর")</f>
        <v>দিনমজুর</v>
      </c>
      <c r="I13" s="1" t="str">
        <f>IFERROR(__xludf.DUMMYFUNCTION("""COMPUTED_VALUE"""),"""দঃ তেতুলবাড়িয়া")</f>
        <v>"দঃ তেতুলবাড়িয়া</v>
      </c>
      <c r="J13" s="1" t="str">
        <f>IFERROR(__xludf.DUMMYFUNCTION("""COMPUTED_VALUE""")," গাংনী")</f>
        <v> গাংনী</v>
      </c>
      <c r="K13" s="1" t="str">
        <f>IFERROR(__xludf.DUMMYFUNCTION("""COMPUTED_VALUE""")," মেহেরপুর""")</f>
        <v> মেহেরপুর"</v>
      </c>
    </row>
    <row r="14" ht="15.75" customHeight="1">
      <c r="A14" s="5" t="s">
        <v>916</v>
      </c>
      <c r="B14" s="1">
        <f>IFERROR(__xludf.DUMMYFUNCTION("SPLIT(A14,"","")"),13.0)</f>
        <v>13</v>
      </c>
      <c r="C14" s="1" t="str">
        <f>IFERROR(__xludf.DUMMYFUNCTION("""COMPUTED_VALUE"""),"মোঃ হাসান আলী")</f>
        <v>মোঃ হাসান আলী</v>
      </c>
      <c r="D14" s="1">
        <f>IFERROR(__xludf.DUMMYFUNCTION("""COMPUTED_VALUE"""),5.70053374337E11)</f>
        <v>570053374337</v>
      </c>
      <c r="E14" s="1" t="str">
        <f>IFERROR(__xludf.DUMMYFUNCTION("""COMPUTED_VALUE"""),"মোঃ আঃ মজিদ")</f>
        <v>মোঃ আঃ মজিদ</v>
      </c>
      <c r="F14" s="1" t="str">
        <f>IFERROR(__xludf.DUMMYFUNCTION("""COMPUTED_VALUE"""),"মোছাঃ ফাতেমা খাতুন")</f>
        <v>মোছাঃ ফাতেমা খাতুন</v>
      </c>
      <c r="G14" s="1" t="str">
        <f>IFERROR(__xludf.DUMMYFUNCTION("""COMPUTED_VALUE"""),"২০/০৮/১৯৭৯")</f>
        <v>২০/০৮/১৯৭৯</v>
      </c>
      <c r="H14" s="1" t="str">
        <f>IFERROR(__xludf.DUMMYFUNCTION("""COMPUTED_VALUE"""),"দিনমজুর")</f>
        <v>দিনমজুর</v>
      </c>
      <c r="I14" s="1" t="str">
        <f>IFERROR(__xludf.DUMMYFUNCTION("""COMPUTED_VALUE"""),"""দঃ তেতুল বারিয়া")</f>
        <v>"দঃ তেতুল বারিয়া</v>
      </c>
      <c r="J14" s="1" t="str">
        <f>IFERROR(__xludf.DUMMYFUNCTION("""COMPUTED_VALUE""")," গাংনী")</f>
        <v> গাংনী</v>
      </c>
      <c r="K14" s="1" t="str">
        <f>IFERROR(__xludf.DUMMYFUNCTION("""COMPUTED_VALUE""")," মেহেরপুর""")</f>
        <v> মেহেরপুর"</v>
      </c>
    </row>
    <row r="15" ht="15.75" customHeight="1">
      <c r="A15" s="5" t="s">
        <v>917</v>
      </c>
      <c r="B15" s="1">
        <f>IFERROR(__xludf.DUMMYFUNCTION("SPLIT(A15,"","")"),14.0)</f>
        <v>14</v>
      </c>
      <c r="C15" s="1" t="str">
        <f>IFERROR(__xludf.DUMMYFUNCTION("""COMPUTED_VALUE"""),"মোঃ আঃ লতিব")</f>
        <v>মোঃ আঃ লতিব</v>
      </c>
      <c r="D15" s="1">
        <f>IFERROR(__xludf.DUMMYFUNCTION("""COMPUTED_VALUE"""),5.70053374343E11)</f>
        <v>570053374343</v>
      </c>
      <c r="E15" s="1" t="str">
        <f>IFERROR(__xludf.DUMMYFUNCTION("""COMPUTED_VALUE"""),"রগবুল মন্ডল")</f>
        <v>রগবুল মন্ডল</v>
      </c>
      <c r="F15" s="1" t="str">
        <f>IFERROR(__xludf.DUMMYFUNCTION("""COMPUTED_VALUE"""),"ছপেলার খাতুন")</f>
        <v>ছপেলার খাতুন</v>
      </c>
      <c r="G15" s="1" t="str">
        <f>IFERROR(__xludf.DUMMYFUNCTION("""COMPUTED_VALUE"""),"১০/০৫/১৯৬২")</f>
        <v>১০/০৫/১৯৬২</v>
      </c>
      <c r="H15" s="1" t="str">
        <f>IFERROR(__xludf.DUMMYFUNCTION("""COMPUTED_VALUE"""),"দিনমজুর")</f>
        <v>দিনমজুর</v>
      </c>
      <c r="I15" s="1" t="str">
        <f>IFERROR(__xludf.DUMMYFUNCTION("""COMPUTED_VALUE"""),"""দক্ষিণ তেঁতুলবাড়িয়া")</f>
        <v>"দক্ষিণ তেঁতুলবাড়িয়া</v>
      </c>
      <c r="J15" s="1" t="str">
        <f>IFERROR(__xludf.DUMMYFUNCTION("""COMPUTED_VALUE""")," গাংনী")</f>
        <v> গাংনী</v>
      </c>
      <c r="K15" s="1" t="str">
        <f>IFERROR(__xludf.DUMMYFUNCTION("""COMPUTED_VALUE""")," মেহেরপুর""")</f>
        <v> মেহেরপুর"</v>
      </c>
    </row>
    <row r="16" ht="15.75" customHeight="1">
      <c r="A16" s="5" t="s">
        <v>918</v>
      </c>
      <c r="B16" s="1">
        <f>IFERROR(__xludf.DUMMYFUNCTION("SPLIT(A16,"","")"),15.0)</f>
        <v>15</v>
      </c>
      <c r="C16" s="1" t="str">
        <f>IFERROR(__xludf.DUMMYFUNCTION("""COMPUTED_VALUE"""),"মোঃ লাল্টু আলি")</f>
        <v>মোঃ লাল্টু আলি</v>
      </c>
      <c r="D16" s="1">
        <f>IFERROR(__xludf.DUMMYFUNCTION("""COMPUTED_VALUE"""),5.70053374345E11)</f>
        <v>570053374345</v>
      </c>
      <c r="E16" s="1" t="str">
        <f>IFERROR(__xludf.DUMMYFUNCTION("""COMPUTED_VALUE"""),"মোঃ আজি বকস")</f>
        <v>মোঃ আজি বকস</v>
      </c>
      <c r="F16" s="1" t="str">
        <f>IFERROR(__xludf.DUMMYFUNCTION("""COMPUTED_VALUE"""),"মোছাঃ ভাদিনা খাতুন")</f>
        <v>মোছাঃ ভাদিনা খাতুন</v>
      </c>
      <c r="G16" s="1" t="str">
        <f>IFERROR(__xludf.DUMMYFUNCTION("""COMPUTED_VALUE"""),"১০/০৫/১৯৭২")</f>
        <v>১০/০৫/১৯৭২</v>
      </c>
      <c r="H16" s="1" t="str">
        <f>IFERROR(__xludf.DUMMYFUNCTION("""COMPUTED_VALUE"""),"দিনমজুর")</f>
        <v>দিনমজুর</v>
      </c>
      <c r="I16" s="1" t="str">
        <f>IFERROR(__xludf.DUMMYFUNCTION("""COMPUTED_VALUE"""),"""দক্ষিণ তেঁতুলবাড়িয়া")</f>
        <v>"দক্ষিণ তেঁতুলবাড়িয়া</v>
      </c>
      <c r="J16" s="1" t="str">
        <f>IFERROR(__xludf.DUMMYFUNCTION("""COMPUTED_VALUE""")," গাংনী")</f>
        <v> গাংনী</v>
      </c>
      <c r="K16" s="1" t="str">
        <f>IFERROR(__xludf.DUMMYFUNCTION("""COMPUTED_VALUE""")," মেহেরপুর""")</f>
        <v> মেহেরপুর"</v>
      </c>
    </row>
    <row r="17" ht="15.75" customHeight="1">
      <c r="A17" s="5" t="s">
        <v>919</v>
      </c>
      <c r="B17" s="1">
        <f>IFERROR(__xludf.DUMMYFUNCTION("SPLIT(A17,"","")"),16.0)</f>
        <v>16</v>
      </c>
      <c r="C17" s="1" t="str">
        <f>IFERROR(__xludf.DUMMYFUNCTION("""COMPUTED_VALUE"""),"মোঃ আহাসান আলী")</f>
        <v>মোঃ আহাসান আলী</v>
      </c>
      <c r="D17" s="1">
        <f>IFERROR(__xludf.DUMMYFUNCTION("""COMPUTED_VALUE"""),5.70053374347E11)</f>
        <v>570053374347</v>
      </c>
      <c r="E17" s="1" t="str">
        <f>IFERROR(__xludf.DUMMYFUNCTION("""COMPUTED_VALUE"""),"মকছেদ আলী বিশ্বাস")</f>
        <v>মকছেদ আলী বিশ্বাস</v>
      </c>
      <c r="F17" s="1" t="str">
        <f>IFERROR(__xludf.DUMMYFUNCTION("""COMPUTED_VALUE"""),"জমেলা খাতুন")</f>
        <v>জমেলা খাতুন</v>
      </c>
      <c r="G17" s="1" t="str">
        <f>IFERROR(__xludf.DUMMYFUNCTION("""COMPUTED_VALUE"""),"১০/০৫/১৯৫৪")</f>
        <v>১০/০৫/১৯৫৪</v>
      </c>
      <c r="H17" s="1" t="str">
        <f>IFERROR(__xludf.DUMMYFUNCTION("""COMPUTED_VALUE"""),"দিনমজুর")</f>
        <v>দিনমজুর</v>
      </c>
      <c r="I17" s="1" t="str">
        <f>IFERROR(__xludf.DUMMYFUNCTION("""COMPUTED_VALUE"""),"""দঃ তেতুলবাড়িয়া")</f>
        <v>"দঃ তেতুলবাড়িয়া</v>
      </c>
      <c r="J17" s="1" t="str">
        <f>IFERROR(__xludf.DUMMYFUNCTION("""COMPUTED_VALUE""")," গাংনী")</f>
        <v> গাংনী</v>
      </c>
      <c r="K17" s="1" t="str">
        <f>IFERROR(__xludf.DUMMYFUNCTION("""COMPUTED_VALUE""")," মেহেরপুর""")</f>
        <v> মেহেরপুর"</v>
      </c>
    </row>
    <row r="18" ht="15.75" customHeight="1">
      <c r="A18" s="5" t="s">
        <v>920</v>
      </c>
      <c r="B18" s="1">
        <f>IFERROR(__xludf.DUMMYFUNCTION("SPLIT(A18,"","")"),17.0)</f>
        <v>17</v>
      </c>
      <c r="C18" s="1" t="str">
        <f>IFERROR(__xludf.DUMMYFUNCTION("""COMPUTED_VALUE"""),"মোঃ আমিরুল ইসলাম")</f>
        <v>মোঃ আমিরুল ইসলাম</v>
      </c>
      <c r="D18" s="1">
        <f>IFERROR(__xludf.DUMMYFUNCTION("""COMPUTED_VALUE"""),5.70053374348E11)</f>
        <v>570053374348</v>
      </c>
      <c r="E18" s="1" t="str">
        <f>IFERROR(__xludf.DUMMYFUNCTION("""COMPUTED_VALUE"""),"ছিয়ামদ্দিন")</f>
        <v>ছিয়ামদ্দিন</v>
      </c>
      <c r="F18" s="1" t="str">
        <f>IFERROR(__xludf.DUMMYFUNCTION("""COMPUTED_VALUE"""),"আশাফন নেছা")</f>
        <v>আশাফন নেছা</v>
      </c>
      <c r="G18" s="1" t="str">
        <f>IFERROR(__xludf.DUMMYFUNCTION("""COMPUTED_VALUE"""),"০৮/০৪/১৯৬৭")</f>
        <v>০৮/০৪/১৯৬৭</v>
      </c>
      <c r="H18" s="1" t="str">
        <f>IFERROR(__xludf.DUMMYFUNCTION("""COMPUTED_VALUE"""),"দিনমজুর")</f>
        <v>দিনমজুর</v>
      </c>
      <c r="I18" s="1" t="str">
        <f>IFERROR(__xludf.DUMMYFUNCTION("""COMPUTED_VALUE"""),"""দঃ তেতুল বাড়িয়া")</f>
        <v>"দঃ তেতুল বাড়িয়া</v>
      </c>
      <c r="J18" s="1" t="str">
        <f>IFERROR(__xludf.DUMMYFUNCTION("""COMPUTED_VALUE""")," গাংনী")</f>
        <v> গাংনী</v>
      </c>
      <c r="K18" s="1" t="str">
        <f>IFERROR(__xludf.DUMMYFUNCTION("""COMPUTED_VALUE""")," মেহেরপুর""")</f>
        <v> মেহেরপুর"</v>
      </c>
    </row>
    <row r="19" ht="15.75" customHeight="1">
      <c r="A19" s="5" t="s">
        <v>921</v>
      </c>
      <c r="B19" s="1">
        <f>IFERROR(__xludf.DUMMYFUNCTION("SPLIT(A19,"","")"),18.0)</f>
        <v>18</v>
      </c>
      <c r="C19" s="1" t="str">
        <f>IFERROR(__xludf.DUMMYFUNCTION("""COMPUTED_VALUE"""),"মোঃ নাসিরুল")</f>
        <v>মোঃ নাসিরুল</v>
      </c>
      <c r="D19" s="1">
        <f>IFERROR(__xludf.DUMMYFUNCTION("""COMPUTED_VALUE"""),5.70053374355E11)</f>
        <v>570053374355</v>
      </c>
      <c r="E19" s="1" t="str">
        <f>IFERROR(__xludf.DUMMYFUNCTION("""COMPUTED_VALUE"""),"মোঃ হবিবার")</f>
        <v>মোঃ হবিবার</v>
      </c>
      <c r="F19" s="1" t="str">
        <f>IFERROR(__xludf.DUMMYFUNCTION("""COMPUTED_VALUE"""),"মোছাঃ ভাদিরন")</f>
        <v>মোছাঃ ভাদিরন</v>
      </c>
      <c r="G19" s="1" t="str">
        <f>IFERROR(__xludf.DUMMYFUNCTION("""COMPUTED_VALUE"""),"০৭/০৫/১৯৮৩")</f>
        <v>০৭/০৫/১৯৮৩</v>
      </c>
      <c r="H19" s="1" t="str">
        <f>IFERROR(__xludf.DUMMYFUNCTION("""COMPUTED_VALUE"""),"কৃষক")</f>
        <v>কৃষক</v>
      </c>
      <c r="I19" s="1" t="str">
        <f>IFERROR(__xludf.DUMMYFUNCTION("""COMPUTED_VALUE"""),"""দক্ষিণ তেঁতুলবাড়িয়া")</f>
        <v>"দক্ষিণ তেঁতুলবাড়িয়া</v>
      </c>
      <c r="J19" s="1" t="str">
        <f>IFERROR(__xludf.DUMMYFUNCTION("""COMPUTED_VALUE""")," গাংনী")</f>
        <v> গাংনী</v>
      </c>
      <c r="K19" s="1" t="str">
        <f>IFERROR(__xludf.DUMMYFUNCTION("""COMPUTED_VALUE""")," মেহেরপুর""")</f>
        <v> মেহেরপুর"</v>
      </c>
    </row>
    <row r="20" ht="15.75" customHeight="1">
      <c r="A20" s="5" t="s">
        <v>922</v>
      </c>
      <c r="B20" s="1">
        <f>IFERROR(__xludf.DUMMYFUNCTION("SPLIT(A20,"","")"),19.0)</f>
        <v>19</v>
      </c>
      <c r="C20" s="1" t="str">
        <f>IFERROR(__xludf.DUMMYFUNCTION("""COMPUTED_VALUE"""),"মোঃ আস্তাব আলী")</f>
        <v>মোঃ আস্তাব আলী</v>
      </c>
      <c r="D20" s="1">
        <f>IFERROR(__xludf.DUMMYFUNCTION("""COMPUTED_VALUE"""),5.7005337436E11)</f>
        <v>570053374360</v>
      </c>
      <c r="E20" s="1" t="str">
        <f>IFERROR(__xludf.DUMMYFUNCTION("""COMPUTED_VALUE"""),"ছিয়ামদ্দিন")</f>
        <v>ছিয়ামদ্দিন</v>
      </c>
      <c r="F20" s="1" t="str">
        <f>IFERROR(__xludf.DUMMYFUNCTION("""COMPUTED_VALUE"""),"আমেনা খাতুন")</f>
        <v>আমেনা খাতুন</v>
      </c>
      <c r="G20" s="1" t="str">
        <f>IFERROR(__xludf.DUMMYFUNCTION("""COMPUTED_VALUE"""),"১০/০৫/১৯৭২")</f>
        <v>১০/০৫/১৯৭২</v>
      </c>
      <c r="H20" s="1" t="str">
        <f>IFERROR(__xludf.DUMMYFUNCTION("""COMPUTED_VALUE"""),"দিনমজুর")</f>
        <v>দিনমজুর</v>
      </c>
      <c r="I20" s="1" t="str">
        <f>IFERROR(__xludf.DUMMYFUNCTION("""COMPUTED_VALUE"""),"""দঃ তেতুলবাড়িয়া")</f>
        <v>"দঃ তেতুলবাড়িয়া</v>
      </c>
      <c r="J20" s="1" t="str">
        <f>IFERROR(__xludf.DUMMYFUNCTION("""COMPUTED_VALUE""")," গাংনী")</f>
        <v> গাংনী</v>
      </c>
      <c r="K20" s="1" t="str">
        <f>IFERROR(__xludf.DUMMYFUNCTION("""COMPUTED_VALUE""")," মেহেরপুর""")</f>
        <v> মেহেরপুর"</v>
      </c>
    </row>
    <row r="21" ht="15.75" customHeight="1">
      <c r="A21" s="5" t="s">
        <v>923</v>
      </c>
      <c r="B21" s="1">
        <f>IFERROR(__xludf.DUMMYFUNCTION("SPLIT(A21,"","")"),20.0)</f>
        <v>20</v>
      </c>
      <c r="C21" s="1" t="str">
        <f>IFERROR(__xludf.DUMMYFUNCTION("""COMPUTED_VALUE"""),"মোঃ আঃ সাত্তার")</f>
        <v>মোঃ আঃ সাত্তার</v>
      </c>
      <c r="D21" s="1">
        <f>IFERROR(__xludf.DUMMYFUNCTION("""COMPUTED_VALUE"""),5.70053374369E11)</f>
        <v>570053374369</v>
      </c>
      <c r="E21" s="1" t="str">
        <f>IFERROR(__xludf.DUMMYFUNCTION("""COMPUTED_VALUE"""),"রগবুল মন্ডল")</f>
        <v>রগবুল মন্ডল</v>
      </c>
      <c r="F21" s="1" t="str">
        <f>IFERROR(__xludf.DUMMYFUNCTION("""COMPUTED_VALUE"""),"ছপেলা বিবি")</f>
        <v>ছপেলা বিবি</v>
      </c>
      <c r="G21" s="1" t="str">
        <f>IFERROR(__xludf.DUMMYFUNCTION("""COMPUTED_VALUE"""),"১০/০৪/১৯৪৭")</f>
        <v>১০/০৪/১৯৪৭</v>
      </c>
      <c r="H21" s="1" t="str">
        <f>IFERROR(__xludf.DUMMYFUNCTION("""COMPUTED_VALUE"""),"দিনমজুর")</f>
        <v>দিনমজুর</v>
      </c>
      <c r="I21" s="1" t="str">
        <f>IFERROR(__xludf.DUMMYFUNCTION("""COMPUTED_VALUE"""),"""দঃ তেতুল বাড়িয়া")</f>
        <v>"দঃ তেতুল বাড়িয়া</v>
      </c>
      <c r="J21" s="1" t="str">
        <f>IFERROR(__xludf.DUMMYFUNCTION("""COMPUTED_VALUE""")," গাংনী")</f>
        <v> গাংনী</v>
      </c>
      <c r="K21" s="1" t="str">
        <f>IFERROR(__xludf.DUMMYFUNCTION("""COMPUTED_VALUE""")," মেহেরপুর""")</f>
        <v> মেহেরপুর"</v>
      </c>
    </row>
    <row r="22" ht="15.75" customHeight="1">
      <c r="A22" s="5" t="s">
        <v>924</v>
      </c>
      <c r="B22" s="1">
        <f>IFERROR(__xludf.DUMMYFUNCTION("SPLIT(A22,"","")"),21.0)</f>
        <v>21</v>
      </c>
      <c r="C22" s="1" t="str">
        <f>IFERROR(__xludf.DUMMYFUNCTION("""COMPUTED_VALUE"""),"মোঃ ফজলুল হক")</f>
        <v>মোঃ ফজলুল হক</v>
      </c>
      <c r="D22" s="1">
        <f>IFERROR(__xludf.DUMMYFUNCTION("""COMPUTED_VALUE"""),5.7005337437E11)</f>
        <v>570053374370</v>
      </c>
      <c r="E22" s="1" t="str">
        <f>IFERROR(__xludf.DUMMYFUNCTION("""COMPUTED_VALUE"""),"মোঃ আঃ সাত্তার")</f>
        <v>মোঃ আঃ সাত্তার</v>
      </c>
      <c r="F22" s="1" t="str">
        <f>IFERROR(__xludf.DUMMYFUNCTION("""COMPUTED_VALUE"""),"মোছাঃ রহিমা খাতুন")</f>
        <v>মোছাঃ রহিমা খাতুন</v>
      </c>
      <c r="G22" s="1" t="str">
        <f>IFERROR(__xludf.DUMMYFUNCTION("""COMPUTED_VALUE"""),"০৮/০৫/১৯৭৭")</f>
        <v>০৮/০৫/১৯৭৭</v>
      </c>
      <c r="H22" s="1" t="str">
        <f>IFERROR(__xludf.DUMMYFUNCTION("""COMPUTED_VALUE"""),"দিনমজুর")</f>
        <v>দিনমজুর</v>
      </c>
      <c r="I22" s="1" t="str">
        <f>IFERROR(__xludf.DUMMYFUNCTION("""COMPUTED_VALUE"""),"""দক্ষিণ তেঁতুলবাড়িয়া")</f>
        <v>"দক্ষিণ তেঁতুলবাড়িয়া</v>
      </c>
      <c r="J22" s="1" t="str">
        <f>IFERROR(__xludf.DUMMYFUNCTION("""COMPUTED_VALUE""")," গাংনী")</f>
        <v> গাংনী</v>
      </c>
      <c r="K22" s="1" t="str">
        <f>IFERROR(__xludf.DUMMYFUNCTION("""COMPUTED_VALUE""")," মেহেরপুর""")</f>
        <v> মেহেরপুর"</v>
      </c>
    </row>
    <row r="23" ht="15.75" customHeight="1">
      <c r="A23" s="5" t="s">
        <v>925</v>
      </c>
      <c r="B23" s="1">
        <f>IFERROR(__xludf.DUMMYFUNCTION("SPLIT(A23,"","")"),22.0)</f>
        <v>22</v>
      </c>
      <c r="C23" s="1" t="str">
        <f>IFERROR(__xludf.DUMMYFUNCTION("""COMPUTED_VALUE"""),"মোঃ আলতাব হোসেন")</f>
        <v>মোঃ আলতাব হোসেন</v>
      </c>
      <c r="D23" s="1">
        <f>IFERROR(__xludf.DUMMYFUNCTION("""COMPUTED_VALUE"""),5.70053374371E11)</f>
        <v>570053374371</v>
      </c>
      <c r="E23" s="1" t="str">
        <f>IFERROR(__xludf.DUMMYFUNCTION("""COMPUTED_VALUE"""),"রবজেল বিশ্বাস")</f>
        <v>রবজেল বিশ্বাস</v>
      </c>
      <c r="F23" s="1" t="str">
        <f>IFERROR(__xludf.DUMMYFUNCTION("""COMPUTED_VALUE"""),"মোছাঃ মনোয়ারা খাতুন")</f>
        <v>মোছাঃ মনোয়ারা খাতুন</v>
      </c>
      <c r="G23" s="1" t="str">
        <f>IFERROR(__xludf.DUMMYFUNCTION("""COMPUTED_VALUE"""),"১০/০৫/১৯৭৪")</f>
        <v>১০/০৫/১৯৭৪</v>
      </c>
      <c r="H23" s="1" t="str">
        <f>IFERROR(__xludf.DUMMYFUNCTION("""COMPUTED_VALUE"""),"দিনমজুর")</f>
        <v>দিনমজুর</v>
      </c>
      <c r="I23" s="1" t="str">
        <f>IFERROR(__xludf.DUMMYFUNCTION("""COMPUTED_VALUE"""),"""দঃ তেতুল বাড়িয়া")</f>
        <v>"দঃ তেতুল বাড়িয়া</v>
      </c>
      <c r="J23" s="1" t="str">
        <f>IFERROR(__xludf.DUMMYFUNCTION("""COMPUTED_VALUE""")," গাংনী")</f>
        <v> গাংনী</v>
      </c>
      <c r="K23" s="1" t="str">
        <f>IFERROR(__xludf.DUMMYFUNCTION("""COMPUTED_VALUE""")," মেহেরপুর""")</f>
        <v> মেহেরপুর"</v>
      </c>
    </row>
    <row r="24" ht="15.75" customHeight="1">
      <c r="A24" s="5" t="s">
        <v>926</v>
      </c>
      <c r="B24" s="1">
        <f>IFERROR(__xludf.DUMMYFUNCTION("SPLIT(A24,"","")"),23.0)</f>
        <v>23</v>
      </c>
      <c r="C24" s="1" t="str">
        <f>IFERROR(__xludf.DUMMYFUNCTION("""COMPUTED_VALUE"""),"মোঃ আবুল কালাম আজাদ")</f>
        <v>মোঃ আবুল কালাম আজাদ</v>
      </c>
      <c r="D24" s="1">
        <f>IFERROR(__xludf.DUMMYFUNCTION("""COMPUTED_VALUE"""),5.70053374373E11)</f>
        <v>570053374373</v>
      </c>
      <c r="E24" s="1" t="str">
        <f>IFERROR(__xludf.DUMMYFUNCTION("""COMPUTED_VALUE"""),"রবজেল বিশ্বাস")</f>
        <v>রবজেল বিশ্বাস</v>
      </c>
      <c r="F24" s="1" t="str">
        <f>IFERROR(__xludf.DUMMYFUNCTION("""COMPUTED_VALUE"""),"মোছাঃ মনোয়ারা খাতুন")</f>
        <v>মোছাঃ মনোয়ারা খাতুন</v>
      </c>
      <c r="G24" s="1" t="str">
        <f>IFERROR(__xludf.DUMMYFUNCTION("""COMPUTED_VALUE"""),"০৭/০৫/১৯৮৩")</f>
        <v>০৭/০৫/১৯৮৩</v>
      </c>
      <c r="H24" s="1" t="str">
        <f>IFERROR(__xludf.DUMMYFUNCTION("""COMPUTED_VALUE"""),"শ্রমিক")</f>
        <v>শ্রমিক</v>
      </c>
      <c r="I24" s="1" t="str">
        <f>IFERROR(__xludf.DUMMYFUNCTION("""COMPUTED_VALUE"""),"""দক্ষিণ তেঁতুলবাড়িয়া")</f>
        <v>"দক্ষিণ তেঁতুলবাড়িয়া</v>
      </c>
      <c r="J24" s="1" t="str">
        <f>IFERROR(__xludf.DUMMYFUNCTION("""COMPUTED_VALUE""")," গাংনী")</f>
        <v> গাংনী</v>
      </c>
      <c r="K24" s="1" t="str">
        <f>IFERROR(__xludf.DUMMYFUNCTION("""COMPUTED_VALUE""")," মেহেরপুর""")</f>
        <v> মেহেরপুর"</v>
      </c>
    </row>
    <row r="25" ht="15.75" customHeight="1">
      <c r="A25" s="5" t="s">
        <v>927</v>
      </c>
      <c r="B25" s="1">
        <f>IFERROR(__xludf.DUMMYFUNCTION("SPLIT(A25,"","")"),24.0)</f>
        <v>24</v>
      </c>
      <c r="C25" s="1" t="str">
        <f>IFERROR(__xludf.DUMMYFUNCTION("""COMPUTED_VALUE"""),"মোঃ গনিরুল ইসলাম")</f>
        <v>মোঃ গনিরুল ইসলাম</v>
      </c>
      <c r="D25" s="1">
        <f>IFERROR(__xludf.DUMMYFUNCTION("""COMPUTED_VALUE"""),5.70053374374E11)</f>
        <v>570053374374</v>
      </c>
      <c r="E25" s="1" t="str">
        <f>IFERROR(__xludf.DUMMYFUNCTION("""COMPUTED_VALUE"""),"মোঃ তাহাজ উদ্দীন")</f>
        <v>মোঃ তাহাজ উদ্দীন</v>
      </c>
      <c r="F25" s="1" t="str">
        <f>IFERROR(__xludf.DUMMYFUNCTION("""COMPUTED_VALUE"""),"মোছাঃ আয়েশা খাতুন")</f>
        <v>মোছাঃ আয়েশা খাতুন</v>
      </c>
      <c r="G25" s="1" t="str">
        <f>IFERROR(__xludf.DUMMYFUNCTION("""COMPUTED_VALUE"""),"০৫/০৩/১৯৭২")</f>
        <v>০৫/০৩/১৯৭২</v>
      </c>
      <c r="H25" s="1" t="str">
        <f>IFERROR(__xludf.DUMMYFUNCTION("""COMPUTED_VALUE"""),"দিনমজুর")</f>
        <v>দিনমজুর</v>
      </c>
      <c r="I25" s="1" t="str">
        <f>IFERROR(__xludf.DUMMYFUNCTION("""COMPUTED_VALUE"""),"""দঃ তেতুল বাড়িয়া")</f>
        <v>"দঃ তেতুল বাড়িয়া</v>
      </c>
      <c r="J25" s="1" t="str">
        <f>IFERROR(__xludf.DUMMYFUNCTION("""COMPUTED_VALUE""")," গাংনী")</f>
        <v> গাংনী</v>
      </c>
      <c r="K25" s="1" t="str">
        <f>IFERROR(__xludf.DUMMYFUNCTION("""COMPUTED_VALUE""")," মেহেরপুর""")</f>
        <v> মেহেরপুর"</v>
      </c>
    </row>
    <row r="26" ht="15.75" customHeight="1">
      <c r="A26" s="5" t="s">
        <v>928</v>
      </c>
      <c r="B26" s="1">
        <f>IFERROR(__xludf.DUMMYFUNCTION("SPLIT(A26,"","")"),25.0)</f>
        <v>25</v>
      </c>
      <c r="C26" s="1" t="str">
        <f>IFERROR(__xludf.DUMMYFUNCTION("""COMPUTED_VALUE"""),"মোঃ মিনারুল ইসলাম")</f>
        <v>মোঃ মিনারুল ইসলাম</v>
      </c>
      <c r="D26" s="1">
        <f>IFERROR(__xludf.DUMMYFUNCTION("""COMPUTED_VALUE"""),5.70053374375E11)</f>
        <v>570053374375</v>
      </c>
      <c r="E26" s="1" t="str">
        <f>IFERROR(__xludf.DUMMYFUNCTION("""COMPUTED_VALUE"""),"রবজেল বিশ্বাস")</f>
        <v>রবজেল বিশ্বাস</v>
      </c>
      <c r="F26" s="1" t="str">
        <f>IFERROR(__xludf.DUMMYFUNCTION("""COMPUTED_VALUE"""),"মোছাঃ মনোয়ারা খাতুন")</f>
        <v>মোছাঃ মনোয়ারা খাতুন</v>
      </c>
      <c r="G26" s="1" t="str">
        <f>IFERROR(__xludf.DUMMYFUNCTION("""COMPUTED_VALUE"""),"১০/০৭/১৯৮৫")</f>
        <v>১০/০৭/১৯৮৫</v>
      </c>
      <c r="H26" s="1" t="str">
        <f>IFERROR(__xludf.DUMMYFUNCTION("""COMPUTED_VALUE"""),"দিনমজুর")</f>
        <v>দিনমজুর</v>
      </c>
      <c r="I26" s="1" t="str">
        <f>IFERROR(__xludf.DUMMYFUNCTION("""COMPUTED_VALUE"""),"""দঃ তেতুল বাড়িয়া")</f>
        <v>"দঃ তেতুল বাড়িয়া</v>
      </c>
      <c r="J26" s="1" t="str">
        <f>IFERROR(__xludf.DUMMYFUNCTION("""COMPUTED_VALUE""")," গাংনী")</f>
        <v> গাংনী</v>
      </c>
      <c r="K26" s="1" t="str">
        <f>IFERROR(__xludf.DUMMYFUNCTION("""COMPUTED_VALUE""")," মেহেরপুর""")</f>
        <v> মেহেরপুর"</v>
      </c>
    </row>
    <row r="27" ht="15.75" customHeight="1">
      <c r="A27" s="5" t="s">
        <v>929</v>
      </c>
      <c r="B27" s="1">
        <f>IFERROR(__xludf.DUMMYFUNCTION("SPLIT(A27,"","")"),26.0)</f>
        <v>26</v>
      </c>
      <c r="C27" s="1" t="str">
        <f>IFERROR(__xludf.DUMMYFUNCTION("""COMPUTED_VALUE"""),"মোঃ আকছেদ আলী")</f>
        <v>মোঃ আকছেদ আলী</v>
      </c>
      <c r="D27" s="1">
        <f>IFERROR(__xludf.DUMMYFUNCTION("""COMPUTED_VALUE"""),5.70053374377E11)</f>
        <v>570053374377</v>
      </c>
      <c r="E27" s="1" t="str">
        <f>IFERROR(__xludf.DUMMYFUNCTION("""COMPUTED_VALUE"""),"সিরাজুল ইসলাম")</f>
        <v>সিরাজুল ইসলাম</v>
      </c>
      <c r="F27" s="1" t="str">
        <f>IFERROR(__xludf.DUMMYFUNCTION("""COMPUTED_VALUE"""),"মোছাঃ সালেহার খাতুন")</f>
        <v>মোছাঃ সালেহার খাতুন</v>
      </c>
      <c r="G27" s="1" t="str">
        <f>IFERROR(__xludf.DUMMYFUNCTION("""COMPUTED_VALUE"""),"১০/০৫/১৯৭৪")</f>
        <v>১০/০৫/১৯৭৪</v>
      </c>
      <c r="H27" s="1" t="str">
        <f>IFERROR(__xludf.DUMMYFUNCTION("""COMPUTED_VALUE"""),"ব্যবসা")</f>
        <v>ব্যবসা</v>
      </c>
      <c r="I27" s="1" t="str">
        <f>IFERROR(__xludf.DUMMYFUNCTION("""COMPUTED_VALUE"""),"""দক্ষিণ তেঁতুলবাড়িয়া")</f>
        <v>"দক্ষিণ তেঁতুলবাড়িয়া</v>
      </c>
      <c r="J27" s="1" t="str">
        <f>IFERROR(__xludf.DUMMYFUNCTION("""COMPUTED_VALUE""")," গাংনী")</f>
        <v> গাংনী</v>
      </c>
      <c r="K27" s="1" t="str">
        <f>IFERROR(__xludf.DUMMYFUNCTION("""COMPUTED_VALUE""")," মেহেরপুর""")</f>
        <v> মেহেরপুর"</v>
      </c>
    </row>
    <row r="28" ht="15.75" customHeight="1">
      <c r="A28" s="5" t="s">
        <v>930</v>
      </c>
      <c r="B28" s="1">
        <f>IFERROR(__xludf.DUMMYFUNCTION("SPLIT(A28,"","")"),27.0)</f>
        <v>27</v>
      </c>
      <c r="C28" s="1" t="str">
        <f>IFERROR(__xludf.DUMMYFUNCTION("""COMPUTED_VALUE"""),"মোঃ কাওসার আলী")</f>
        <v>মোঃ কাওসার আলী</v>
      </c>
      <c r="D28" s="1">
        <f>IFERROR(__xludf.DUMMYFUNCTION("""COMPUTED_VALUE"""),5.70053374378E11)</f>
        <v>570053374378</v>
      </c>
      <c r="E28" s="1" t="str">
        <f>IFERROR(__xludf.DUMMYFUNCTION("""COMPUTED_VALUE"""),"সিরাজুল ইসলাম")</f>
        <v>সিরাজুল ইসলাম</v>
      </c>
      <c r="F28" s="1" t="str">
        <f>IFERROR(__xludf.DUMMYFUNCTION("""COMPUTED_VALUE"""),"মোছাঃ সালেহার খাতুন")</f>
        <v>মোছাঃ সালেহার খাতুন</v>
      </c>
      <c r="G28" s="1" t="str">
        <f>IFERROR(__xludf.DUMMYFUNCTION("""COMPUTED_VALUE"""),"১৫/০৪/১৯৮০")</f>
        <v>১৫/০৪/১৯৮০</v>
      </c>
      <c r="H28" s="1" t="str">
        <f>IFERROR(__xludf.DUMMYFUNCTION("""COMPUTED_VALUE"""),"দর্জি")</f>
        <v>দর্জি</v>
      </c>
      <c r="I28" s="1" t="str">
        <f>IFERROR(__xludf.DUMMYFUNCTION("""COMPUTED_VALUE"""),"""দঃ তেতুল বাড়িয়া")</f>
        <v>"দঃ তেতুল বাড়িয়া</v>
      </c>
      <c r="J28" s="1" t="str">
        <f>IFERROR(__xludf.DUMMYFUNCTION("""COMPUTED_VALUE""")," গাংনী")</f>
        <v> গাংনী</v>
      </c>
      <c r="K28" s="1" t="str">
        <f>IFERROR(__xludf.DUMMYFUNCTION("""COMPUTED_VALUE""")," মেহেরপুর""")</f>
        <v> মেহেরপুর"</v>
      </c>
    </row>
    <row r="29" ht="15.75" customHeight="1">
      <c r="A29" s="5" t="s">
        <v>931</v>
      </c>
      <c r="B29" s="1">
        <f>IFERROR(__xludf.DUMMYFUNCTION("SPLIT(A29,"","")"),28.0)</f>
        <v>28</v>
      </c>
      <c r="C29" s="1" t="str">
        <f>IFERROR(__xludf.DUMMYFUNCTION("""COMPUTED_VALUE"""),"মোঃ বিল্লাল হোসেন")</f>
        <v>মোঃ বিল্লাল হোসেন</v>
      </c>
      <c r="D29" s="1">
        <f>IFERROR(__xludf.DUMMYFUNCTION("""COMPUTED_VALUE"""),5.7005337438E11)</f>
        <v>570053374380</v>
      </c>
      <c r="E29" s="1" t="str">
        <f>IFERROR(__xludf.DUMMYFUNCTION("""COMPUTED_VALUE"""),"মোঃ হাশেম আলী")</f>
        <v>মোঃ হাশেম আলী</v>
      </c>
      <c r="F29" s="1" t="str">
        <f>IFERROR(__xludf.DUMMYFUNCTION("""COMPUTED_VALUE"""),"মোছাঃ বেবী খাতুন")</f>
        <v>মোছাঃ বেবী খাতুন</v>
      </c>
      <c r="G29" s="1" t="str">
        <f>IFERROR(__xludf.DUMMYFUNCTION("""COMPUTED_VALUE"""),"১০/০৭/১৯৮৫")</f>
        <v>১০/০৭/১৯৮৫</v>
      </c>
      <c r="H29" s="1" t="str">
        <f>IFERROR(__xludf.DUMMYFUNCTION("""COMPUTED_VALUE"""),"ব্যবসা")</f>
        <v>ব্যবসা</v>
      </c>
      <c r="I29" s="1" t="str">
        <f>IFERROR(__xludf.DUMMYFUNCTION("""COMPUTED_VALUE"""),"""দঃতেতুল বাড়িয়া")</f>
        <v>"দঃতেতুল বাড়িয়া</v>
      </c>
      <c r="J29" s="1" t="str">
        <f>IFERROR(__xludf.DUMMYFUNCTION("""COMPUTED_VALUE""")," গাংনী")</f>
        <v> গাংনী</v>
      </c>
      <c r="K29" s="1" t="str">
        <f>IFERROR(__xludf.DUMMYFUNCTION("""COMPUTED_VALUE""")," মেহেরপুর""")</f>
        <v> মেহেরপুর"</v>
      </c>
    </row>
    <row r="30" ht="15.75" customHeight="1">
      <c r="A30" s="5" t="s">
        <v>932</v>
      </c>
      <c r="B30" s="1">
        <f>IFERROR(__xludf.DUMMYFUNCTION("SPLIT(A30,"","")"),29.0)</f>
        <v>29</v>
      </c>
      <c r="C30" s="1" t="str">
        <f>IFERROR(__xludf.DUMMYFUNCTION("""COMPUTED_VALUE"""),"মোঃ সহরাফ মল্লিক")</f>
        <v>মোঃ সহরাফ মল্লিক</v>
      </c>
      <c r="D30" s="1">
        <f>IFERROR(__xludf.DUMMYFUNCTION("""COMPUTED_VALUE"""),5.70053374381E11)</f>
        <v>570053374381</v>
      </c>
      <c r="E30" s="1" t="str">
        <f>IFERROR(__xludf.DUMMYFUNCTION("""COMPUTED_VALUE"""),"মোঃ নজীবদ্দীন মল্লিক")</f>
        <v>মোঃ নজীবদ্দীন মল্লিক</v>
      </c>
      <c r="F30" s="1" t="str">
        <f>IFERROR(__xludf.DUMMYFUNCTION("""COMPUTED_VALUE"""),"সফুরা খাতুন")</f>
        <v>সফুরা খাতুন</v>
      </c>
      <c r="G30" s="1" t="str">
        <f>IFERROR(__xludf.DUMMYFUNCTION("""COMPUTED_VALUE"""),"০৭/০৪/১৯৬২")</f>
        <v>০৭/০৪/১৯৬২</v>
      </c>
      <c r="H30" s="1" t="str">
        <f>IFERROR(__xludf.DUMMYFUNCTION("""COMPUTED_VALUE"""),"কৃষক")</f>
        <v>কৃষক</v>
      </c>
      <c r="I30" s="1" t="str">
        <f>IFERROR(__xludf.DUMMYFUNCTION("""COMPUTED_VALUE"""),"""দঃ তেতুলবাড়িয়া")</f>
        <v>"দঃ তেতুলবাড়িয়া</v>
      </c>
      <c r="J30" s="1" t="str">
        <f>IFERROR(__xludf.DUMMYFUNCTION("""COMPUTED_VALUE""")," গাংনী")</f>
        <v> গাংনী</v>
      </c>
      <c r="K30" s="1" t="str">
        <f>IFERROR(__xludf.DUMMYFUNCTION("""COMPUTED_VALUE""")," মেহেরপুর""")</f>
        <v> মেহেরপুর"</v>
      </c>
    </row>
    <row r="31" ht="15.75" customHeight="1">
      <c r="A31" s="5" t="s">
        <v>933</v>
      </c>
      <c r="B31" s="1">
        <f>IFERROR(__xludf.DUMMYFUNCTION("SPLIT(A31,"","")"),30.0)</f>
        <v>30</v>
      </c>
      <c r="C31" s="1" t="str">
        <f>IFERROR(__xludf.DUMMYFUNCTION("""COMPUTED_VALUE"""),"মোঃ ইসমাইল হক")</f>
        <v>মোঃ ইসমাইল হক</v>
      </c>
      <c r="D31" s="1">
        <f>IFERROR(__xludf.DUMMYFUNCTION("""COMPUTED_VALUE"""),5.70053374382E11)</f>
        <v>570053374382</v>
      </c>
      <c r="E31" s="1" t="str">
        <f>IFERROR(__xludf.DUMMYFUNCTION("""COMPUTED_VALUE"""),"মোঃ আকবার আলী")</f>
        <v>মোঃ আকবার আলী</v>
      </c>
      <c r="F31" s="1" t="str">
        <f>IFERROR(__xludf.DUMMYFUNCTION("""COMPUTED_VALUE"""),"মোছাঃ ছাহারন নেছা")</f>
        <v>মোছাঃ ছাহারন নেছা</v>
      </c>
      <c r="G31" s="1" t="str">
        <f>IFERROR(__xludf.DUMMYFUNCTION("""COMPUTED_VALUE"""),"০৫/০৫/১৯৭৭")</f>
        <v>০৫/০৫/১৯৭৭</v>
      </c>
      <c r="H31" s="1" t="str">
        <f>IFERROR(__xludf.DUMMYFUNCTION("""COMPUTED_VALUE"""),"কৃষক")</f>
        <v>কৃষক</v>
      </c>
      <c r="I31" s="1" t="str">
        <f>IFERROR(__xludf.DUMMYFUNCTION("""COMPUTED_VALUE"""),"""দক্ষিণ তেঁতুলবাড়িয়া")</f>
        <v>"দক্ষিণ তেঁতুলবাড়িয়া</v>
      </c>
      <c r="J31" s="1" t="str">
        <f>IFERROR(__xludf.DUMMYFUNCTION("""COMPUTED_VALUE""")," গাংনী")</f>
        <v> গাংনী</v>
      </c>
      <c r="K31" s="1" t="str">
        <f>IFERROR(__xludf.DUMMYFUNCTION("""COMPUTED_VALUE""")," মেহেরপুর""")</f>
        <v> মেহেরপুর"</v>
      </c>
    </row>
    <row r="32" ht="15.75" customHeight="1">
      <c r="A32" s="5" t="s">
        <v>934</v>
      </c>
      <c r="B32" s="1">
        <f>IFERROR(__xludf.DUMMYFUNCTION("SPLIT(A32,"","")"),31.0)</f>
        <v>31</v>
      </c>
      <c r="C32" s="1" t="str">
        <f>IFERROR(__xludf.DUMMYFUNCTION("""COMPUTED_VALUE"""),"মোঃ লিয়াকত আলী")</f>
        <v>মোঃ লিয়াকত আলী</v>
      </c>
      <c r="D32" s="1">
        <f>IFERROR(__xludf.DUMMYFUNCTION("""COMPUTED_VALUE"""),5.70053374388E11)</f>
        <v>570053374388</v>
      </c>
      <c r="E32" s="1" t="str">
        <f>IFERROR(__xludf.DUMMYFUNCTION("""COMPUTED_VALUE"""),"কচিমদ্দীন বিশ্বাস")</f>
        <v>কচিমদ্দীন বিশ্বাস</v>
      </c>
      <c r="F32" s="1" t="str">
        <f>IFERROR(__xludf.DUMMYFUNCTION("""COMPUTED_VALUE"""),"মোছাঃ জাহিরন খাতুন")</f>
        <v>মোছাঃ জাহিরন খাতুন</v>
      </c>
      <c r="G32" s="1" t="str">
        <f>IFERROR(__xludf.DUMMYFUNCTION("""COMPUTED_VALUE"""),"১১/০৬/১৯৭০")</f>
        <v>১১/০৬/১৯৭০</v>
      </c>
      <c r="H32" s="1" t="str">
        <f>IFERROR(__xludf.DUMMYFUNCTION("""COMPUTED_VALUE"""),"কৃষক")</f>
        <v>কৃষক</v>
      </c>
      <c r="I32" s="1" t="str">
        <f>IFERROR(__xludf.DUMMYFUNCTION("""COMPUTED_VALUE"""),"""দঃ তেতুল বাড়িয়া")</f>
        <v>"দঃ তেতুল বাড়িয়া</v>
      </c>
      <c r="J32" s="1" t="str">
        <f>IFERROR(__xludf.DUMMYFUNCTION("""COMPUTED_VALUE""")," গাংনী")</f>
        <v> গাংনী</v>
      </c>
      <c r="K32" s="1" t="str">
        <f>IFERROR(__xludf.DUMMYFUNCTION("""COMPUTED_VALUE""")," মেহেরপুর""")</f>
        <v> মেহেরপুর"</v>
      </c>
    </row>
    <row r="33" ht="15.75" customHeight="1">
      <c r="A33" s="5" t="s">
        <v>935</v>
      </c>
      <c r="B33" s="1">
        <f>IFERROR(__xludf.DUMMYFUNCTION("SPLIT(A33,"","")"),32.0)</f>
        <v>32</v>
      </c>
      <c r="C33" s="1" t="str">
        <f>IFERROR(__xludf.DUMMYFUNCTION("""COMPUTED_VALUE"""),"মোঃ হামিদুল ইসলাম")</f>
        <v>মোঃ হামিদুল ইসলাম</v>
      </c>
      <c r="D33" s="1">
        <f>IFERROR(__xludf.DUMMYFUNCTION("""COMPUTED_VALUE"""),5.7005337439E11)</f>
        <v>570053374390</v>
      </c>
      <c r="E33" s="1" t="str">
        <f>IFERROR(__xludf.DUMMYFUNCTION("""COMPUTED_VALUE"""),"আলী হোসেন")</f>
        <v>আলী হোসেন</v>
      </c>
      <c r="F33" s="1" t="str">
        <f>IFERROR(__xludf.DUMMYFUNCTION("""COMPUTED_VALUE"""),"মোছাঃ ছকিনা খাতুন")</f>
        <v>মোছাঃ ছকিনা খাতুন</v>
      </c>
      <c r="G33" s="1" t="str">
        <f>IFERROR(__xludf.DUMMYFUNCTION("""COMPUTED_VALUE"""),"১০/০৬/১৯৮২")</f>
        <v>১০/০৬/১৯৮২</v>
      </c>
      <c r="H33" s="1" t="str">
        <f>IFERROR(__xludf.DUMMYFUNCTION("""COMPUTED_VALUE"""),"দিনমজুর")</f>
        <v>দিনমজুর</v>
      </c>
      <c r="I33" s="1" t="str">
        <f>IFERROR(__xludf.DUMMYFUNCTION("""COMPUTED_VALUE"""),"""দঃ তেতুল বাড়িয়া")</f>
        <v>"দঃ তেতুল বাড়িয়া</v>
      </c>
      <c r="J33" s="1" t="str">
        <f>IFERROR(__xludf.DUMMYFUNCTION("""COMPUTED_VALUE""")," গাংনী")</f>
        <v> গাংনী</v>
      </c>
      <c r="K33" s="1" t="str">
        <f>IFERROR(__xludf.DUMMYFUNCTION("""COMPUTED_VALUE""")," মেহেরপুর""")</f>
        <v> মেহেরপুর"</v>
      </c>
    </row>
    <row r="34" ht="15.75" customHeight="1">
      <c r="A34" s="5" t="s">
        <v>936</v>
      </c>
      <c r="B34" s="1">
        <f>IFERROR(__xludf.DUMMYFUNCTION("SPLIT(A34,"","")"),33.0)</f>
        <v>33</v>
      </c>
      <c r="C34" s="1" t="str">
        <f>IFERROR(__xludf.DUMMYFUNCTION("""COMPUTED_VALUE"""),"মোঃ নাসির উদ্দীন")</f>
        <v>মোঃ নাসির উদ্দীন</v>
      </c>
      <c r="D34" s="1">
        <f>IFERROR(__xludf.DUMMYFUNCTION("""COMPUTED_VALUE"""),5.70053374394E11)</f>
        <v>570053374394</v>
      </c>
      <c r="E34" s="1" t="str">
        <f>IFERROR(__xludf.DUMMYFUNCTION("""COMPUTED_VALUE"""),"আলী হোসেন")</f>
        <v>আলী হোসেন</v>
      </c>
      <c r="F34" s="1" t="str">
        <f>IFERROR(__xludf.DUMMYFUNCTION("""COMPUTED_VALUE"""),"মোছাঃ ছকিনা খাতুন")</f>
        <v>মোছাঃ ছকিনা খাতুন</v>
      </c>
      <c r="G34" s="1" t="str">
        <f>IFERROR(__xludf.DUMMYFUNCTION("""COMPUTED_VALUE"""),"১০/০৪/১৯৭৮")</f>
        <v>১০/০৪/১৯৭৮</v>
      </c>
      <c r="H34" s="1" t="str">
        <f>IFERROR(__xludf.DUMMYFUNCTION("""COMPUTED_VALUE"""),"কৃষক")</f>
        <v>কৃষক</v>
      </c>
      <c r="I34" s="1" t="str">
        <f>IFERROR(__xludf.DUMMYFUNCTION("""COMPUTED_VALUE"""),"""দঃ তেতুলবাড়িয়া")</f>
        <v>"দঃ তেতুলবাড়িয়া</v>
      </c>
      <c r="J34" s="1" t="str">
        <f>IFERROR(__xludf.DUMMYFUNCTION("""COMPUTED_VALUE""")," গাংনী")</f>
        <v> গাংনী</v>
      </c>
      <c r="K34" s="1" t="str">
        <f>IFERROR(__xludf.DUMMYFUNCTION("""COMPUTED_VALUE""")," মেহেরপুর""")</f>
        <v> মেহেরপুর"</v>
      </c>
    </row>
    <row r="35" ht="15.75" customHeight="1">
      <c r="A35" s="5" t="s">
        <v>937</v>
      </c>
      <c r="B35" s="1">
        <f>IFERROR(__xludf.DUMMYFUNCTION("SPLIT(A35,"","")"),34.0)</f>
        <v>34</v>
      </c>
      <c r="C35" s="1" t="str">
        <f>IFERROR(__xludf.DUMMYFUNCTION("""COMPUTED_VALUE"""),"মোঃ আমছার আলী")</f>
        <v>মোঃ আমছার আলী</v>
      </c>
      <c r="D35" s="1">
        <f>IFERROR(__xludf.DUMMYFUNCTION("""COMPUTED_VALUE"""),5.70053374395E11)</f>
        <v>570053374395</v>
      </c>
      <c r="E35" s="1" t="str">
        <f>IFERROR(__xludf.DUMMYFUNCTION("""COMPUTED_VALUE"""),"মোতালেব মন্ডল")</f>
        <v>মোতালেব মন্ডল</v>
      </c>
      <c r="F35" s="1" t="str">
        <f>IFERROR(__xludf.DUMMYFUNCTION("""COMPUTED_VALUE"""),"নিবাহুন নেছা")</f>
        <v>নিবাহুন নেছা</v>
      </c>
      <c r="G35" s="1" t="str">
        <f>IFERROR(__xludf.DUMMYFUNCTION("""COMPUTED_VALUE"""),"২০/০২/১৯৬০")</f>
        <v>২০/০২/১৯৬০</v>
      </c>
      <c r="H35" s="1" t="str">
        <f>IFERROR(__xludf.DUMMYFUNCTION("""COMPUTED_VALUE"""),"ব্যবসা")</f>
        <v>ব্যবসা</v>
      </c>
      <c r="I35" s="1" t="str">
        <f>IFERROR(__xludf.DUMMYFUNCTION("""COMPUTED_VALUE"""),"""দঃ তেতুলবাড়িয়া")</f>
        <v>"দঃ তেতুলবাড়িয়া</v>
      </c>
      <c r="J35" s="1" t="str">
        <f>IFERROR(__xludf.DUMMYFUNCTION("""COMPUTED_VALUE""")," গাংনী")</f>
        <v> গাংনী</v>
      </c>
      <c r="K35" s="1" t="str">
        <f>IFERROR(__xludf.DUMMYFUNCTION("""COMPUTED_VALUE""")," মেহেরপুর""")</f>
        <v> মেহেরপুর"</v>
      </c>
    </row>
    <row r="36" ht="15.75" customHeight="1">
      <c r="A36" s="5" t="s">
        <v>938</v>
      </c>
      <c r="B36" s="1">
        <f>IFERROR(__xludf.DUMMYFUNCTION("SPLIT(A36,"","")"),36.0)</f>
        <v>36</v>
      </c>
      <c r="C36" s="1" t="str">
        <f>IFERROR(__xludf.DUMMYFUNCTION("""COMPUTED_VALUE"""),"মোঃ আলামিন হোসেন")</f>
        <v>মোঃ আলামিন হোসেন</v>
      </c>
      <c r="D36" s="1">
        <f>IFERROR(__xludf.DUMMYFUNCTION("""COMPUTED_VALUE"""),5.70053374397E11)</f>
        <v>570053374397</v>
      </c>
      <c r="E36" s="1" t="str">
        <f>IFERROR(__xludf.DUMMYFUNCTION("""COMPUTED_VALUE"""),"মোঃ রিয়াজউদ্দীন")</f>
        <v>মোঃ রিয়াজউদ্দীন</v>
      </c>
      <c r="F36" s="1" t="str">
        <f>IFERROR(__xludf.DUMMYFUNCTION("""COMPUTED_VALUE"""),"মোছাঃ আনোয়ারা খাতুন")</f>
        <v>মোছাঃ আনোয়ারা খাতুন</v>
      </c>
      <c r="G36" s="1" t="str">
        <f>IFERROR(__xludf.DUMMYFUNCTION("""COMPUTED_VALUE"""),"১০/০৪/১৯৭৯")</f>
        <v>১০/০৪/১৯৭৯</v>
      </c>
      <c r="H36" s="1" t="str">
        <f>IFERROR(__xludf.DUMMYFUNCTION("""COMPUTED_VALUE"""),"দিনমজুর")</f>
        <v>দিনমজুর</v>
      </c>
      <c r="I36" s="1" t="str">
        <f>IFERROR(__xludf.DUMMYFUNCTION("""COMPUTED_VALUE"""),"""দক্ষিণ তেঁতুলবাড়িয়া")</f>
        <v>"দক্ষিণ তেঁতুলবাড়িয়া</v>
      </c>
      <c r="J36" s="1" t="str">
        <f>IFERROR(__xludf.DUMMYFUNCTION("""COMPUTED_VALUE""")," গাংনী")</f>
        <v> গাংনী</v>
      </c>
      <c r="K36" s="1" t="str">
        <f>IFERROR(__xludf.DUMMYFUNCTION("""COMPUTED_VALUE""")," মেহেরপুর""")</f>
        <v> মেহেরপুর"</v>
      </c>
    </row>
    <row r="37" ht="15.75" customHeight="1">
      <c r="A37" s="5" t="s">
        <v>939</v>
      </c>
      <c r="B37" s="1">
        <f>IFERROR(__xludf.DUMMYFUNCTION("SPLIT(A37,"","")"),37.0)</f>
        <v>37</v>
      </c>
      <c r="C37" s="1" t="str">
        <f>IFERROR(__xludf.DUMMYFUNCTION("""COMPUTED_VALUE"""),"মোঃ খোকন আলী")</f>
        <v>মোঃ খোকন আলী</v>
      </c>
      <c r="D37" s="1">
        <f>IFERROR(__xludf.DUMMYFUNCTION("""COMPUTED_VALUE"""),5.70053374399E11)</f>
        <v>570053374399</v>
      </c>
      <c r="E37" s="1" t="str">
        <f>IFERROR(__xludf.DUMMYFUNCTION("""COMPUTED_VALUE"""),"মোঃ আকবার আলী")</f>
        <v>মোঃ আকবার আলী</v>
      </c>
      <c r="F37" s="1" t="str">
        <f>IFERROR(__xludf.DUMMYFUNCTION("""COMPUTED_VALUE"""),"মোছাঃ ছাহারন খাতুন")</f>
        <v>মোছাঃ ছাহারন খাতুন</v>
      </c>
      <c r="G37" s="1" t="str">
        <f>IFERROR(__xludf.DUMMYFUNCTION("""COMPUTED_VALUE"""),"১০/০৫/১৯৮২")</f>
        <v>১০/০৫/১৯৮২</v>
      </c>
      <c r="H37" s="1" t="str">
        <f>IFERROR(__xludf.DUMMYFUNCTION("""COMPUTED_VALUE"""),"দিনমজুর")</f>
        <v>দিনমজুর</v>
      </c>
      <c r="I37" s="1" t="str">
        <f>IFERROR(__xludf.DUMMYFUNCTION("""COMPUTED_VALUE"""),"""দক্ষিণ তেঁতুলবাড়িয়া")</f>
        <v>"দক্ষিণ তেঁতুলবাড়িয়া</v>
      </c>
      <c r="J37" s="1" t="str">
        <f>IFERROR(__xludf.DUMMYFUNCTION("""COMPUTED_VALUE""")," গাংনী")</f>
        <v> গাংনী</v>
      </c>
      <c r="K37" s="1" t="str">
        <f>IFERROR(__xludf.DUMMYFUNCTION("""COMPUTED_VALUE""")," মেহেরপুর""")</f>
        <v> মেহেরপুর"</v>
      </c>
    </row>
    <row r="38" ht="15.75" customHeight="1">
      <c r="A38" s="5" t="s">
        <v>940</v>
      </c>
      <c r="B38" s="1">
        <f>IFERROR(__xludf.DUMMYFUNCTION("SPLIT(A38,"","")"),38.0)</f>
        <v>38</v>
      </c>
      <c r="C38" s="1" t="str">
        <f>IFERROR(__xludf.DUMMYFUNCTION("""COMPUTED_VALUE"""),"মোহাঃ আব্দুল কুদ্দুস")</f>
        <v>মোহাঃ আব্দুল কুদ্দুস</v>
      </c>
      <c r="D38" s="1">
        <f>IFERROR(__xludf.DUMMYFUNCTION("""COMPUTED_VALUE"""),5.70053374409E11)</f>
        <v>570053374409</v>
      </c>
      <c r="E38" s="1" t="str">
        <f>IFERROR(__xludf.DUMMYFUNCTION("""COMPUTED_VALUE"""),"মফিজ উদ্দীন")</f>
        <v>মফিজ উদ্দীন</v>
      </c>
      <c r="F38" s="1" t="str">
        <f>IFERROR(__xludf.DUMMYFUNCTION("""COMPUTED_VALUE"""),"মোছাঃ সহিতেন নেছা")</f>
        <v>মোছাঃ সহিতেন নেছা</v>
      </c>
      <c r="G38" s="1" t="str">
        <f>IFERROR(__xludf.DUMMYFUNCTION("""COMPUTED_VALUE"""),"০১/০১/১৯৬৮")</f>
        <v>০১/০১/১৯৬৮</v>
      </c>
      <c r="H38" s="1" t="str">
        <f>IFERROR(__xludf.DUMMYFUNCTION("""COMPUTED_VALUE"""),"কৃষক")</f>
        <v>কৃষক</v>
      </c>
      <c r="I38" s="1" t="str">
        <f>IFERROR(__xludf.DUMMYFUNCTION("""COMPUTED_VALUE"""),"""দঃ তেতুলবাড়িয়া")</f>
        <v>"দঃ তেতুলবাড়িয়া</v>
      </c>
      <c r="J38" s="1" t="str">
        <f>IFERROR(__xludf.DUMMYFUNCTION("""COMPUTED_VALUE""")," গাংনী")</f>
        <v> গাংনী</v>
      </c>
      <c r="K38" s="1" t="str">
        <f>IFERROR(__xludf.DUMMYFUNCTION("""COMPUTED_VALUE""")," মেহেরপুর""")</f>
        <v> মেহেরপুর"</v>
      </c>
    </row>
    <row r="39" ht="15.75" customHeight="1">
      <c r="A39" s="5" t="s">
        <v>941</v>
      </c>
      <c r="B39" s="1">
        <f>IFERROR(__xludf.DUMMYFUNCTION("SPLIT(A39,"","")"),39.0)</f>
        <v>39</v>
      </c>
      <c r="C39" s="1" t="str">
        <f>IFERROR(__xludf.DUMMYFUNCTION("""COMPUTED_VALUE"""),"মোঃ হাফিজুল ইসলাম")</f>
        <v>মোঃ হাফিজুল ইসলাম</v>
      </c>
      <c r="D39" s="1">
        <f>IFERROR(__xludf.DUMMYFUNCTION("""COMPUTED_VALUE"""),5.70053374411E11)</f>
        <v>570053374411</v>
      </c>
      <c r="E39" s="1" t="str">
        <f>IFERROR(__xludf.DUMMYFUNCTION("""COMPUTED_VALUE"""),"মোঃ চয়ন উদ্দীন")</f>
        <v>মোঃ চয়ন উদ্দীন</v>
      </c>
      <c r="F39" s="1" t="str">
        <f>IFERROR(__xludf.DUMMYFUNCTION("""COMPUTED_VALUE"""),"মোছাঃ হাছিনা খাতুন")</f>
        <v>মোছাঃ হাছিনা খাতুন</v>
      </c>
      <c r="G39" s="1" t="str">
        <f>IFERROR(__xludf.DUMMYFUNCTION("""COMPUTED_VALUE"""),"১০/১০/১৯৮৫")</f>
        <v>১০/১০/১৯৮৫</v>
      </c>
      <c r="H39" s="1" t="str">
        <f>IFERROR(__xludf.DUMMYFUNCTION("""COMPUTED_VALUE"""),"কৃষক")</f>
        <v>কৃষক</v>
      </c>
      <c r="I39" s="1" t="str">
        <f>IFERROR(__xludf.DUMMYFUNCTION("""COMPUTED_VALUE"""),"""দক্ষিণ তেঁতুলবাড়িয়া")</f>
        <v>"দক্ষিণ তেঁতুলবাড়িয়া</v>
      </c>
      <c r="J39" s="1" t="str">
        <f>IFERROR(__xludf.DUMMYFUNCTION("""COMPUTED_VALUE""")," গাংনী")</f>
        <v> গাংনী</v>
      </c>
      <c r="K39" s="1" t="str">
        <f>IFERROR(__xludf.DUMMYFUNCTION("""COMPUTED_VALUE""")," মেহেরপুর""")</f>
        <v> মেহেরপুর"</v>
      </c>
    </row>
    <row r="40" ht="15.75" customHeight="1">
      <c r="A40" s="5" t="s">
        <v>942</v>
      </c>
      <c r="B40" s="1">
        <f>IFERROR(__xludf.DUMMYFUNCTION("SPLIT(A40,"","")"),40.0)</f>
        <v>40</v>
      </c>
      <c r="C40" s="1" t="str">
        <f>IFERROR(__xludf.DUMMYFUNCTION("""COMPUTED_VALUE"""),"মোঃ মনিরুল ইসলাম")</f>
        <v>মোঃ মনিরুল ইসলাম</v>
      </c>
      <c r="D40" s="1">
        <f>IFERROR(__xludf.DUMMYFUNCTION("""COMPUTED_VALUE"""),5.70053374412E11)</f>
        <v>570053374412</v>
      </c>
      <c r="E40" s="1" t="str">
        <f>IFERROR(__xludf.DUMMYFUNCTION("""COMPUTED_VALUE"""),"মোঃ তাহাজ উদ্দীন")</f>
        <v>মোঃ তাহাজ উদ্দীন</v>
      </c>
      <c r="F40" s="1" t="str">
        <f>IFERROR(__xludf.DUMMYFUNCTION("""COMPUTED_VALUE"""),"মোছাঃ আয়েশা খাতুন")</f>
        <v>মোছাঃ আয়েশা খাতুন</v>
      </c>
      <c r="G40" s="1" t="str">
        <f>IFERROR(__xludf.DUMMYFUNCTION("""COMPUTED_VALUE"""),"৩১/০১/১৯৬৮")</f>
        <v>৩১/০১/১৯৬৮</v>
      </c>
      <c r="H40" s="1" t="str">
        <f>IFERROR(__xludf.DUMMYFUNCTION("""COMPUTED_VALUE"""),"কৃষক")</f>
        <v>কৃষক</v>
      </c>
      <c r="I40" s="1" t="str">
        <f>IFERROR(__xludf.DUMMYFUNCTION("""COMPUTED_VALUE"""),"""দঃ তেতুলবাড়িয়া")</f>
        <v>"দঃ তেতুলবাড়িয়া</v>
      </c>
      <c r="J40" s="1" t="str">
        <f>IFERROR(__xludf.DUMMYFUNCTION("""COMPUTED_VALUE""")," গাংনী")</f>
        <v> গাংনী</v>
      </c>
      <c r="K40" s="1" t="str">
        <f>IFERROR(__xludf.DUMMYFUNCTION("""COMPUTED_VALUE""")," মেহেরপুর""")</f>
        <v> মেহেরপুর"</v>
      </c>
    </row>
    <row r="41" ht="15.75" customHeight="1">
      <c r="A41" s="5" t="s">
        <v>943</v>
      </c>
      <c r="B41" s="1">
        <f>IFERROR(__xludf.DUMMYFUNCTION("SPLIT(A41,"","")"),41.0)</f>
        <v>41</v>
      </c>
      <c r="C41" s="1" t="str">
        <f>IFERROR(__xludf.DUMMYFUNCTION("""COMPUTED_VALUE"""),"মোঃ আমিকুল ইসলাম")</f>
        <v>মোঃ আমিকুল ইসলাম</v>
      </c>
      <c r="D41" s="1">
        <f>IFERROR(__xludf.DUMMYFUNCTION("""COMPUTED_VALUE"""),5.70053374415E11)</f>
        <v>570053374415</v>
      </c>
      <c r="E41" s="1" t="str">
        <f>IFERROR(__xludf.DUMMYFUNCTION("""COMPUTED_VALUE"""),"মোঃ তাহাজ উদ্দীন")</f>
        <v>মোঃ তাহাজ উদ্দীন</v>
      </c>
      <c r="F41" s="1" t="str">
        <f>IFERROR(__xludf.DUMMYFUNCTION("""COMPUTED_VALUE"""),"মোছাঃ আয়েশা খাতুন")</f>
        <v>মোছাঃ আয়েশা খাতুন</v>
      </c>
      <c r="G41" s="1" t="str">
        <f>IFERROR(__xludf.DUMMYFUNCTION("""COMPUTED_VALUE"""),"১০/০৪/১৯৮২")</f>
        <v>১০/০৪/১৯৮২</v>
      </c>
      <c r="H41" s="1" t="str">
        <f>IFERROR(__xludf.DUMMYFUNCTION("""COMPUTED_VALUE"""),"কৃষক")</f>
        <v>কৃষক</v>
      </c>
      <c r="I41" s="1" t="str">
        <f>IFERROR(__xludf.DUMMYFUNCTION("""COMPUTED_VALUE"""),"""দঃ তেতুল বাড়িয়া")</f>
        <v>"দঃ তেতুল বাড়িয়া</v>
      </c>
      <c r="J41" s="1" t="str">
        <f>IFERROR(__xludf.DUMMYFUNCTION("""COMPUTED_VALUE""")," গাংনী")</f>
        <v> গাংনী</v>
      </c>
      <c r="K41" s="1" t="str">
        <f>IFERROR(__xludf.DUMMYFUNCTION("""COMPUTED_VALUE""")," মেহেরপুর""")</f>
        <v> মেহেরপুর"</v>
      </c>
    </row>
    <row r="42" ht="15.75" customHeight="1">
      <c r="A42" s="5" t="s">
        <v>944</v>
      </c>
      <c r="B42" s="1">
        <f>IFERROR(__xludf.DUMMYFUNCTION("SPLIT(A42,"","")"),42.0)</f>
        <v>42</v>
      </c>
      <c r="C42" s="1" t="str">
        <f>IFERROR(__xludf.DUMMYFUNCTION("""COMPUTED_VALUE"""),"মোঃ কালু শেখ")</f>
        <v>মোঃ কালু শেখ</v>
      </c>
      <c r="D42" s="1">
        <f>IFERROR(__xludf.DUMMYFUNCTION("""COMPUTED_VALUE"""),5.70053374416E11)</f>
        <v>570053374416</v>
      </c>
      <c r="E42" s="1" t="str">
        <f>IFERROR(__xludf.DUMMYFUNCTION("""COMPUTED_VALUE"""),"মোঃ ফজল হক")</f>
        <v>মোঃ ফজল হক</v>
      </c>
      <c r="F42" s="1" t="str">
        <f>IFERROR(__xludf.DUMMYFUNCTION("""COMPUTED_VALUE"""),"মোছাঃ ফাতু খাতুন")</f>
        <v>মোছাঃ ফাতু খাতুন</v>
      </c>
      <c r="G42" s="1" t="str">
        <f>IFERROR(__xludf.DUMMYFUNCTION("""COMPUTED_VALUE"""),"২৫/০৬/১৯৭৭")</f>
        <v>২৫/০৬/১৯৭৭</v>
      </c>
      <c r="H42" s="1" t="str">
        <f>IFERROR(__xludf.DUMMYFUNCTION("""COMPUTED_VALUE"""),"কৃষক")</f>
        <v>কৃষক</v>
      </c>
      <c r="I42" s="1" t="str">
        <f>IFERROR(__xludf.DUMMYFUNCTION("""COMPUTED_VALUE"""),"""দঃ তেতুল বাড়িয়া")</f>
        <v>"দঃ তেতুল বাড়িয়া</v>
      </c>
      <c r="J42" s="1" t="str">
        <f>IFERROR(__xludf.DUMMYFUNCTION("""COMPUTED_VALUE""")," গাংনী")</f>
        <v> গাংনী</v>
      </c>
      <c r="K42" s="1" t="str">
        <f>IFERROR(__xludf.DUMMYFUNCTION("""COMPUTED_VALUE""")," মেহেরপুর""")</f>
        <v> মেহেরপুর"</v>
      </c>
    </row>
    <row r="43" ht="15.75" customHeight="1">
      <c r="A43" s="5" t="s">
        <v>945</v>
      </c>
      <c r="B43" s="1">
        <f>IFERROR(__xludf.DUMMYFUNCTION("SPLIT(A43,"","")"),43.0)</f>
        <v>43</v>
      </c>
      <c r="C43" s="1" t="str">
        <f>IFERROR(__xludf.DUMMYFUNCTION("""COMPUTED_VALUE"""),"মোঃ ইব্রাহিম")</f>
        <v>মোঃ ইব্রাহিম</v>
      </c>
      <c r="D43" s="1">
        <f>IFERROR(__xludf.DUMMYFUNCTION("""COMPUTED_VALUE"""),5.70053374418E11)</f>
        <v>570053374418</v>
      </c>
      <c r="E43" s="1" t="str">
        <f>IFERROR(__xludf.DUMMYFUNCTION("""COMPUTED_VALUE"""),"মোঃ মোজাম্মেল হক")</f>
        <v>মোঃ মোজাম্মেল হক</v>
      </c>
      <c r="F43" s="1" t="str">
        <f>IFERROR(__xludf.DUMMYFUNCTION("""COMPUTED_VALUE"""),"মোছাঃ ফাতেমা খাতুন")</f>
        <v>মোছাঃ ফাতেমা খাতুন</v>
      </c>
      <c r="G43" s="1" t="str">
        <f>IFERROR(__xludf.DUMMYFUNCTION("""COMPUTED_VALUE"""),"০৫/০৩/১৯৭২")</f>
        <v>০৫/০৩/১৯৭২</v>
      </c>
      <c r="H43" s="1" t="str">
        <f>IFERROR(__xludf.DUMMYFUNCTION("""COMPUTED_VALUE"""),"কৃষক")</f>
        <v>কৃষক</v>
      </c>
      <c r="I43" s="1" t="str">
        <f>IFERROR(__xludf.DUMMYFUNCTION("""COMPUTED_VALUE"""),"""দঃ তেতুল বাড়িয়া")</f>
        <v>"দঃ তেতুল বাড়িয়া</v>
      </c>
      <c r="J43" s="1" t="str">
        <f>IFERROR(__xludf.DUMMYFUNCTION("""COMPUTED_VALUE""")," গাংনী")</f>
        <v> গাংনী</v>
      </c>
      <c r="K43" s="1" t="str">
        <f>IFERROR(__xludf.DUMMYFUNCTION("""COMPUTED_VALUE""")," মেহেরপুর""")</f>
        <v> মেহেরপুর"</v>
      </c>
    </row>
    <row r="44" ht="15.75" customHeight="1">
      <c r="A44" s="5" t="s">
        <v>946</v>
      </c>
      <c r="B44" s="1">
        <f>IFERROR(__xludf.DUMMYFUNCTION("SPLIT(A44,"","")"),44.0)</f>
        <v>44</v>
      </c>
      <c r="C44" s="1" t="str">
        <f>IFERROR(__xludf.DUMMYFUNCTION("""COMPUTED_VALUE"""),"মোঃ মদু মল্লিক")</f>
        <v>মোঃ মদু মল্লিক</v>
      </c>
      <c r="D44" s="1">
        <f>IFERROR(__xludf.DUMMYFUNCTION("""COMPUTED_VALUE"""),5.70053374419E11)</f>
        <v>570053374419</v>
      </c>
      <c r="E44" s="1" t="str">
        <f>IFERROR(__xludf.DUMMYFUNCTION("""COMPUTED_VALUE"""),"মোঃ সোহরাব হোসেন")</f>
        <v>মোঃ সোহরাব হোসেন</v>
      </c>
      <c r="F44" s="1" t="str">
        <f>IFERROR(__xludf.DUMMYFUNCTION("""COMPUTED_VALUE"""),"মোছাঃ ফুলছুরা খাতুন")</f>
        <v>মোছাঃ ফুলছুরা খাতুন</v>
      </c>
      <c r="G44" s="1" t="str">
        <f>IFERROR(__xludf.DUMMYFUNCTION("""COMPUTED_VALUE"""),"০৮/০৩/১৯৮৪")</f>
        <v>০৮/০৩/১৯৮৪</v>
      </c>
      <c r="H44" s="1" t="str">
        <f>IFERROR(__xludf.DUMMYFUNCTION("""COMPUTED_VALUE"""),"দিনমজুর")</f>
        <v>দিনমজুর</v>
      </c>
      <c r="I44" s="1" t="str">
        <f>IFERROR(__xludf.DUMMYFUNCTION("""COMPUTED_VALUE"""),"""দঃ তেতুলবাড়িয়া")</f>
        <v>"দঃ তেতুলবাড়িয়া</v>
      </c>
      <c r="J44" s="1" t="str">
        <f>IFERROR(__xludf.DUMMYFUNCTION("""COMPUTED_VALUE""")," গাংনী")</f>
        <v> গাংনী</v>
      </c>
      <c r="K44" s="1" t="str">
        <f>IFERROR(__xludf.DUMMYFUNCTION("""COMPUTED_VALUE""")," মেহেরপুর""")</f>
        <v> মেহেরপুর"</v>
      </c>
    </row>
    <row r="45" ht="15.75" customHeight="1">
      <c r="A45" s="5" t="s">
        <v>947</v>
      </c>
      <c r="B45" s="1">
        <f>IFERROR(__xludf.DUMMYFUNCTION("SPLIT(A45,"","")"),45.0)</f>
        <v>45</v>
      </c>
      <c r="C45" s="1" t="str">
        <f>IFERROR(__xludf.DUMMYFUNCTION("""COMPUTED_VALUE"""),"মোঃ চয়ন উদ্দীন মন্ডল")</f>
        <v>মোঃ চয়ন উদ্দীন মন্ডল</v>
      </c>
      <c r="D45" s="1">
        <f>IFERROR(__xludf.DUMMYFUNCTION("""COMPUTED_VALUE"""),5.70053374423E11)</f>
        <v>570053374423</v>
      </c>
      <c r="E45" s="1" t="str">
        <f>IFERROR(__xludf.DUMMYFUNCTION("""COMPUTED_VALUE"""),"মোঃ ইয়াসিন বিশ্বাস")</f>
        <v>মোঃ ইয়াসিন বিশ্বাস</v>
      </c>
      <c r="F45" s="1" t="str">
        <f>IFERROR(__xludf.DUMMYFUNCTION("""COMPUTED_VALUE"""),"খুকী বিবি")</f>
        <v>খুকী বিবি</v>
      </c>
      <c r="G45" s="1" t="str">
        <f>IFERROR(__xludf.DUMMYFUNCTION("""COMPUTED_VALUE"""),"০৫/০৭/১৯৪২")</f>
        <v>০৫/০৭/১৯৪২</v>
      </c>
      <c r="H45" s="1" t="str">
        <f>IFERROR(__xludf.DUMMYFUNCTION("""COMPUTED_VALUE"""),"কৃষক")</f>
        <v>কৃষক</v>
      </c>
      <c r="I45" s="1" t="str">
        <f>IFERROR(__xludf.DUMMYFUNCTION("""COMPUTED_VALUE"""),"""দক্ষিণ তেঁতুলবাড়িয়া")</f>
        <v>"দক্ষিণ তেঁতুলবাড়িয়া</v>
      </c>
      <c r="J45" s="1" t="str">
        <f>IFERROR(__xludf.DUMMYFUNCTION("""COMPUTED_VALUE""")," গাংনী")</f>
        <v> গাংনী</v>
      </c>
      <c r="K45" s="1" t="str">
        <f>IFERROR(__xludf.DUMMYFUNCTION("""COMPUTED_VALUE""")," মেহেরপুর""")</f>
        <v> মেহেরপুর"</v>
      </c>
    </row>
    <row r="46" ht="15.75" customHeight="1">
      <c r="A46" s="5" t="s">
        <v>948</v>
      </c>
      <c r="B46" s="1">
        <f>IFERROR(__xludf.DUMMYFUNCTION("SPLIT(A46,"","")"),46.0)</f>
        <v>46</v>
      </c>
      <c r="C46" s="1" t="str">
        <f>IFERROR(__xludf.DUMMYFUNCTION("""COMPUTED_VALUE"""),"মোঃ জিনারুল ইসলাম")</f>
        <v>মোঃ জিনারুল ইসলাম</v>
      </c>
      <c r="D46" s="1">
        <f>IFERROR(__xludf.DUMMYFUNCTION("""COMPUTED_VALUE"""),5.70053374429E11)</f>
        <v>570053374429</v>
      </c>
      <c r="E46" s="1" t="str">
        <f>IFERROR(__xludf.DUMMYFUNCTION("""COMPUTED_VALUE"""),"হাউশ আলী")</f>
        <v>হাউশ আলী</v>
      </c>
      <c r="F46" s="1" t="str">
        <f>IFERROR(__xludf.DUMMYFUNCTION("""COMPUTED_VALUE"""),"মোছাঃ কহিনুর খাতুন")</f>
        <v>মোছাঃ কহিনুর খাতুন</v>
      </c>
      <c r="G46" s="1" t="str">
        <f>IFERROR(__xludf.DUMMYFUNCTION("""COMPUTED_VALUE"""),"০৫/০১/১৯৮৬")</f>
        <v>০৫/০১/১৯৮৬</v>
      </c>
      <c r="H46" s="1" t="str">
        <f>IFERROR(__xludf.DUMMYFUNCTION("""COMPUTED_VALUE"""),"দিনমজুর")</f>
        <v>দিনমজুর</v>
      </c>
      <c r="I46" s="1" t="str">
        <f>IFERROR(__xludf.DUMMYFUNCTION("""COMPUTED_VALUE"""),"""দক্ষিণ তেঁতুলবাড়িয়া")</f>
        <v>"দক্ষিণ তেঁতুলবাড়িয়া</v>
      </c>
      <c r="J46" s="1" t="str">
        <f>IFERROR(__xludf.DUMMYFUNCTION("""COMPUTED_VALUE""")," গাংনী")</f>
        <v> গাংনী</v>
      </c>
      <c r="K46" s="1" t="str">
        <f>IFERROR(__xludf.DUMMYFUNCTION("""COMPUTED_VALUE""")," মেহেরপুর""")</f>
        <v> মেহেরপুর"</v>
      </c>
    </row>
    <row r="47" ht="15.75" customHeight="1">
      <c r="A47" s="5" t="s">
        <v>949</v>
      </c>
      <c r="B47" s="1">
        <f>IFERROR(__xludf.DUMMYFUNCTION("SPLIT(A47,"","")"),47.0)</f>
        <v>47</v>
      </c>
      <c r="C47" s="1" t="str">
        <f>IFERROR(__xludf.DUMMYFUNCTION("""COMPUTED_VALUE"""),"মোঃ আক্তারুল ইসলাম")</f>
        <v>মোঃ আক্তারুল ইসলাম</v>
      </c>
      <c r="D47" s="1">
        <f>IFERROR(__xludf.DUMMYFUNCTION("""COMPUTED_VALUE"""),5.70053374433E11)</f>
        <v>570053374433</v>
      </c>
      <c r="E47" s="1" t="str">
        <f>IFERROR(__xludf.DUMMYFUNCTION("""COMPUTED_VALUE"""),"মোঃ বাদশ মন্ডল")</f>
        <v>মোঃ বাদশ মন্ডল</v>
      </c>
      <c r="F47" s="1" t="str">
        <f>IFERROR(__xludf.DUMMYFUNCTION("""COMPUTED_VALUE"""),"মোছাঃ ফাতেমা খাতুন")</f>
        <v>মোছাঃ ফাতেমা খাতুন</v>
      </c>
      <c r="G47" s="1" t="str">
        <f>IFERROR(__xludf.DUMMYFUNCTION("""COMPUTED_VALUE"""),"০৭/০৪/১৯৭১")</f>
        <v>০৭/০৪/১৯৭১</v>
      </c>
      <c r="H47" s="1" t="str">
        <f>IFERROR(__xludf.DUMMYFUNCTION("""COMPUTED_VALUE"""),"কৃষক")</f>
        <v>কৃষক</v>
      </c>
      <c r="I47" s="1" t="str">
        <f>IFERROR(__xludf.DUMMYFUNCTION("""COMPUTED_VALUE"""),"""দক্ষিণ তেঁতুলবাড়িয়া")</f>
        <v>"দক্ষিণ তেঁতুলবাড়িয়া</v>
      </c>
      <c r="J47" s="1" t="str">
        <f>IFERROR(__xludf.DUMMYFUNCTION("""COMPUTED_VALUE""")," গাংনী")</f>
        <v> গাংনী</v>
      </c>
      <c r="K47" s="1" t="str">
        <f>IFERROR(__xludf.DUMMYFUNCTION("""COMPUTED_VALUE""")," মেহেরপুর""")</f>
        <v> মেহেরপুর"</v>
      </c>
    </row>
    <row r="48" ht="15.75" customHeight="1">
      <c r="A48" s="5" t="s">
        <v>950</v>
      </c>
      <c r="B48" s="1">
        <f>IFERROR(__xludf.DUMMYFUNCTION("SPLIT(A48,"","")"),48.0)</f>
        <v>48</v>
      </c>
      <c r="C48" s="1" t="str">
        <f>IFERROR(__xludf.DUMMYFUNCTION("""COMPUTED_VALUE"""),"মোঃ নজরুল ইসলাম")</f>
        <v>মোঃ নজরুল ইসলাম</v>
      </c>
      <c r="D48" s="1">
        <f>IFERROR(__xludf.DUMMYFUNCTION("""COMPUTED_VALUE"""),5.70053374435E11)</f>
        <v>570053374435</v>
      </c>
      <c r="E48" s="1" t="str">
        <f>IFERROR(__xludf.DUMMYFUNCTION("""COMPUTED_VALUE"""),"মোঃ আঃ রহমান")</f>
        <v>মোঃ আঃ রহমান</v>
      </c>
      <c r="F48" s="1" t="str">
        <f>IFERROR(__xludf.DUMMYFUNCTION("""COMPUTED_VALUE"""),"মোছাঃ নেকজান খাতুন")</f>
        <v>মোছাঃ নেকজান খাতুন</v>
      </c>
      <c r="G48" s="1" t="str">
        <f>IFERROR(__xludf.DUMMYFUNCTION("""COMPUTED_VALUE"""),"১০/০৫/১৯৭৭")</f>
        <v>১০/০৫/১৯৭৭</v>
      </c>
      <c r="H48" s="1" t="str">
        <f>IFERROR(__xludf.DUMMYFUNCTION("""COMPUTED_VALUE"""),"কৃষক")</f>
        <v>কৃষক</v>
      </c>
      <c r="I48" s="1" t="str">
        <f>IFERROR(__xludf.DUMMYFUNCTION("""COMPUTED_VALUE"""),"""দক্ষিণ তেঁতুলবাড়িয়া")</f>
        <v>"দক্ষিণ তেঁতুলবাড়িয়া</v>
      </c>
      <c r="J48" s="1" t="str">
        <f>IFERROR(__xludf.DUMMYFUNCTION("""COMPUTED_VALUE""")," গাংনী")</f>
        <v> গাংনী</v>
      </c>
      <c r="K48" s="1" t="str">
        <f>IFERROR(__xludf.DUMMYFUNCTION("""COMPUTED_VALUE""")," মেহেরপুর""")</f>
        <v> মেহেরপুর"</v>
      </c>
    </row>
    <row r="49" ht="15.75" customHeight="1">
      <c r="A49" s="5" t="s">
        <v>951</v>
      </c>
      <c r="B49" s="1">
        <f>IFERROR(__xludf.DUMMYFUNCTION("SPLIT(A49,"","")"),49.0)</f>
        <v>49</v>
      </c>
      <c r="C49" s="1" t="str">
        <f>IFERROR(__xludf.DUMMYFUNCTION("""COMPUTED_VALUE"""),"মোঃ আনারুল ইসলাম")</f>
        <v>মোঃ আনারুল ইসলাম</v>
      </c>
      <c r="D49" s="1">
        <f>IFERROR(__xludf.DUMMYFUNCTION("""COMPUTED_VALUE"""),5.70053374438E11)</f>
        <v>570053374438</v>
      </c>
      <c r="E49" s="1" t="str">
        <f>IFERROR(__xludf.DUMMYFUNCTION("""COMPUTED_VALUE"""),"মোঃ আঃ রহমান")</f>
        <v>মোঃ আঃ রহমান</v>
      </c>
      <c r="F49" s="1" t="str">
        <f>IFERROR(__xludf.DUMMYFUNCTION("""COMPUTED_VALUE"""),"মোছাঃ নেকজান খাতুন")</f>
        <v>মোছাঃ নেকজান খাতুন</v>
      </c>
      <c r="G49" s="1" t="str">
        <f>IFERROR(__xludf.DUMMYFUNCTION("""COMPUTED_VALUE"""),"১০/০৫/১৯৭৭")</f>
        <v>১০/০৫/১৯৭৭</v>
      </c>
      <c r="H49" s="1" t="str">
        <f>IFERROR(__xludf.DUMMYFUNCTION("""COMPUTED_VALUE"""),"কৃষক")</f>
        <v>কৃষক</v>
      </c>
      <c r="I49" s="1" t="str">
        <f>IFERROR(__xludf.DUMMYFUNCTION("""COMPUTED_VALUE"""),"""দক্ষিণ তেঁতুলবাড়িয়া")</f>
        <v>"দক্ষিণ তেঁতুলবাড়িয়া</v>
      </c>
      <c r="J49" s="1" t="str">
        <f>IFERROR(__xludf.DUMMYFUNCTION("""COMPUTED_VALUE""")," গাংনী")</f>
        <v> গাংনী</v>
      </c>
      <c r="K49" s="1" t="str">
        <f>IFERROR(__xludf.DUMMYFUNCTION("""COMPUTED_VALUE""")," মেহেরপুর""")</f>
        <v> মেহেরপুর"</v>
      </c>
    </row>
    <row r="50" ht="15.75" customHeight="1">
      <c r="A50" s="5" t="s">
        <v>952</v>
      </c>
      <c r="B50" s="1">
        <f>IFERROR(__xludf.DUMMYFUNCTION("SPLIT(A50,"","")"),50.0)</f>
        <v>50</v>
      </c>
      <c r="C50" s="1" t="str">
        <f>IFERROR(__xludf.DUMMYFUNCTION("""COMPUTED_VALUE"""),"মোঃ মতিয়ার রহমান")</f>
        <v>মোঃ মতিয়ার রহমান</v>
      </c>
      <c r="D50" s="1">
        <f>IFERROR(__xludf.DUMMYFUNCTION("""COMPUTED_VALUE"""),5.7005337444E11)</f>
        <v>570053374440</v>
      </c>
      <c r="E50" s="1" t="str">
        <f>IFERROR(__xludf.DUMMYFUNCTION("""COMPUTED_VALUE"""),"মোঃ চায়েন উদ্দিন")</f>
        <v>মোঃ চায়েন উদ্দিন</v>
      </c>
      <c r="F50" s="1" t="str">
        <f>IFERROR(__xludf.DUMMYFUNCTION("""COMPUTED_VALUE"""),"মোছাঃ সুন্দরী")</f>
        <v>মোছাঃ সুন্দরী</v>
      </c>
      <c r="G50" s="1" t="str">
        <f>IFERROR(__xludf.DUMMYFUNCTION("""COMPUTED_VALUE"""),"২৫/০৯/১৯৭২")</f>
        <v>২৫/০৯/১৯৭২</v>
      </c>
      <c r="H50" s="1" t="str">
        <f>IFERROR(__xludf.DUMMYFUNCTION("""COMPUTED_VALUE"""),"কৃষক")</f>
        <v>কৃষক</v>
      </c>
      <c r="I50" s="1" t="str">
        <f>IFERROR(__xludf.DUMMYFUNCTION("""COMPUTED_VALUE"""),"""দক্ষিণ তেঁতুলবাড়িয়া")</f>
        <v>"দক্ষিণ তেঁতুলবাড়িয়া</v>
      </c>
      <c r="J50" s="1" t="str">
        <f>IFERROR(__xludf.DUMMYFUNCTION("""COMPUTED_VALUE""")," গাংনী")</f>
        <v> গাংনী</v>
      </c>
      <c r="K50" s="1" t="str">
        <f>IFERROR(__xludf.DUMMYFUNCTION("""COMPUTED_VALUE""")," মেহেরপুর""")</f>
        <v> মেহেরপুর"</v>
      </c>
    </row>
    <row r="51" ht="15.75" customHeight="1">
      <c r="A51" s="5" t="s">
        <v>953</v>
      </c>
      <c r="B51" s="1">
        <f>IFERROR(__xludf.DUMMYFUNCTION("SPLIT(A51,"","")"),51.0)</f>
        <v>51</v>
      </c>
      <c r="C51" s="1" t="str">
        <f>IFERROR(__xludf.DUMMYFUNCTION("""COMPUTED_VALUE"""),"মোঃ গনি শেখ")</f>
        <v>মোঃ গনি শেখ</v>
      </c>
      <c r="D51" s="1">
        <f>IFERROR(__xludf.DUMMYFUNCTION("""COMPUTED_VALUE"""),5.70053374446E11)</f>
        <v>570053374446</v>
      </c>
      <c r="E51" s="1" t="str">
        <f>IFERROR(__xludf.DUMMYFUNCTION("""COMPUTED_VALUE"""),"মজুহার শেখ")</f>
        <v>মজুহার শেখ</v>
      </c>
      <c r="F51" s="1" t="str">
        <f>IFERROR(__xludf.DUMMYFUNCTION("""COMPUTED_VALUE"""),"মোছাঃ হাজেরা খাতুন")</f>
        <v>মোছাঃ হাজেরা খাতুন</v>
      </c>
      <c r="G51" s="1" t="str">
        <f>IFERROR(__xludf.DUMMYFUNCTION("""COMPUTED_VALUE"""),"০৫/০১/১৯৬২")</f>
        <v>০৫/০১/১৯৬২</v>
      </c>
      <c r="H51" s="1" t="str">
        <f>IFERROR(__xludf.DUMMYFUNCTION("""COMPUTED_VALUE"""),"দিনমজুর")</f>
        <v>দিনমজুর</v>
      </c>
      <c r="I51" s="1" t="str">
        <f>IFERROR(__xludf.DUMMYFUNCTION("""COMPUTED_VALUE"""),"""দক্ষিণ তেঁতুলবাড়িয়া")</f>
        <v>"দক্ষিণ তেঁতুলবাড়িয়া</v>
      </c>
      <c r="J51" s="1" t="str">
        <f>IFERROR(__xludf.DUMMYFUNCTION("""COMPUTED_VALUE""")," গাংনী")</f>
        <v> গাংনী</v>
      </c>
      <c r="K51" s="1" t="str">
        <f>IFERROR(__xludf.DUMMYFUNCTION("""COMPUTED_VALUE""")," মেহেরপুর""")</f>
        <v> মেহেরপুর"</v>
      </c>
    </row>
    <row r="52" ht="15.75" customHeight="1">
      <c r="A52" s="5" t="s">
        <v>954</v>
      </c>
      <c r="B52" s="1">
        <f>IFERROR(__xludf.DUMMYFUNCTION("SPLIT(A52,"","")"),52.0)</f>
        <v>52</v>
      </c>
      <c r="C52" s="1" t="str">
        <f>IFERROR(__xludf.DUMMYFUNCTION("""COMPUTED_VALUE"""),"মোঃ মিজানুর রহমান")</f>
        <v>মোঃ মিজানুর রহমান</v>
      </c>
      <c r="D52" s="1">
        <f>IFERROR(__xludf.DUMMYFUNCTION("""COMPUTED_VALUE"""),5.7005337445E11)</f>
        <v>570053374450</v>
      </c>
      <c r="E52" s="1" t="str">
        <f>IFERROR(__xludf.DUMMYFUNCTION("""COMPUTED_VALUE"""),"মোঃ মুজাফফর বিশ্বাস")</f>
        <v>মোঃ মুজাফফর বিশ্বাস</v>
      </c>
      <c r="F52" s="1" t="str">
        <f>IFERROR(__xludf.DUMMYFUNCTION("""COMPUTED_VALUE"""),"মোছাঃ জাহেরা খাতুন")</f>
        <v>মোছাঃ জাহেরা খাতুন</v>
      </c>
      <c r="G52" s="1" t="str">
        <f>IFERROR(__xludf.DUMMYFUNCTION("""COMPUTED_VALUE"""),"০৫/০২/১৯৬৭")</f>
        <v>০৫/০২/১৯৬৭</v>
      </c>
      <c r="H52" s="1" t="str">
        <f>IFERROR(__xludf.DUMMYFUNCTION("""COMPUTED_VALUE"""),"দিনমজুর")</f>
        <v>দিনমজুর</v>
      </c>
      <c r="I52" s="1" t="str">
        <f>IFERROR(__xludf.DUMMYFUNCTION("""COMPUTED_VALUE"""),"""দক্ষিণ তেঁতুলবাড়িয়া")</f>
        <v>"দক্ষিণ তেঁতুলবাড়িয়া</v>
      </c>
      <c r="J52" s="1" t="str">
        <f>IFERROR(__xludf.DUMMYFUNCTION("""COMPUTED_VALUE""")," গাংনী")</f>
        <v> গাংনী</v>
      </c>
      <c r="K52" s="1" t="str">
        <f>IFERROR(__xludf.DUMMYFUNCTION("""COMPUTED_VALUE""")," মেহেরপুর""")</f>
        <v> মেহেরপুর"</v>
      </c>
    </row>
    <row r="53" ht="15.75" customHeight="1">
      <c r="A53" s="5" t="s">
        <v>955</v>
      </c>
      <c r="B53" s="1">
        <f>IFERROR(__xludf.DUMMYFUNCTION("SPLIT(A53,"","")"),53.0)</f>
        <v>53</v>
      </c>
      <c r="C53" s="1" t="str">
        <f>IFERROR(__xludf.DUMMYFUNCTION("""COMPUTED_VALUE"""),"মোঃ মজিদ আলী")</f>
        <v>মোঃ মজিদ আলী</v>
      </c>
      <c r="D53" s="1">
        <f>IFERROR(__xludf.DUMMYFUNCTION("""COMPUTED_VALUE"""),5.70053374452E11)</f>
        <v>570053374452</v>
      </c>
      <c r="E53" s="1" t="str">
        <f>IFERROR(__xludf.DUMMYFUNCTION("""COMPUTED_VALUE"""),"দুঃখী মন্ডল")</f>
        <v>দুঃখী মন্ডল</v>
      </c>
      <c r="F53" s="1" t="str">
        <f>IFERROR(__xludf.DUMMYFUNCTION("""COMPUTED_VALUE"""),"মোছাঃ ছারা খাতুন")</f>
        <v>মোছাঃ ছারা খাতুন</v>
      </c>
      <c r="G53" s="1" t="str">
        <f>IFERROR(__xludf.DUMMYFUNCTION("""COMPUTED_VALUE"""),"০৫/০৫/১৯৬২")</f>
        <v>০৫/০৫/১৯৬২</v>
      </c>
      <c r="H53" s="1" t="str">
        <f>IFERROR(__xludf.DUMMYFUNCTION("""COMPUTED_VALUE"""),"দিনমজুর")</f>
        <v>দিনমজুর</v>
      </c>
      <c r="I53" s="1" t="str">
        <f>IFERROR(__xludf.DUMMYFUNCTION("""COMPUTED_VALUE"""),"""দক্ষিণ তেঁতুলবাড়িয়া")</f>
        <v>"দক্ষিণ তেঁতুলবাড়িয়া</v>
      </c>
      <c r="J53" s="1" t="str">
        <f>IFERROR(__xludf.DUMMYFUNCTION("""COMPUTED_VALUE""")," গাংনী")</f>
        <v> গাংনী</v>
      </c>
      <c r="K53" s="1" t="str">
        <f>IFERROR(__xludf.DUMMYFUNCTION("""COMPUTED_VALUE""")," মেহেরপুর""")</f>
        <v> মেহেরপুর"</v>
      </c>
    </row>
    <row r="54" ht="15.75" customHeight="1">
      <c r="A54" s="5" t="s">
        <v>956</v>
      </c>
      <c r="B54" s="1">
        <f>IFERROR(__xludf.DUMMYFUNCTION("SPLIT(A54,"","")"),54.0)</f>
        <v>54</v>
      </c>
      <c r="C54" s="1" t="str">
        <f>IFERROR(__xludf.DUMMYFUNCTION("""COMPUTED_VALUE"""),"মোঃ আতিয়ার রহমান")</f>
        <v>মোঃ আতিয়ার রহমান</v>
      </c>
      <c r="D54" s="1">
        <f>IFERROR(__xludf.DUMMYFUNCTION("""COMPUTED_VALUE"""),5.7005337446E11)</f>
        <v>570053374460</v>
      </c>
      <c r="E54" s="1" t="str">
        <f>IFERROR(__xludf.DUMMYFUNCTION("""COMPUTED_VALUE"""),"মোঃ চায়েন উদ্দিন")</f>
        <v>মোঃ চায়েন উদ্দিন</v>
      </c>
      <c r="F54" s="1" t="str">
        <f>IFERROR(__xludf.DUMMYFUNCTION("""COMPUTED_VALUE"""),"মাতাঃ সুন্দরী খাতুন")</f>
        <v>মাতাঃ সুন্দরী খাতুন</v>
      </c>
      <c r="G54" s="1" t="str">
        <f>IFERROR(__xludf.DUMMYFUNCTION("""COMPUTED_VALUE"""),"১০/০৩/১৯৭০")</f>
        <v>১০/০৩/১৯৭০</v>
      </c>
      <c r="H54" s="1" t="str">
        <f>IFERROR(__xludf.DUMMYFUNCTION("""COMPUTED_VALUE"""),"কৃষক")</f>
        <v>কৃষক</v>
      </c>
      <c r="I54" s="1" t="str">
        <f>IFERROR(__xludf.DUMMYFUNCTION("""COMPUTED_VALUE"""),"""দক্ষিণ তেঁতুলবাড়িয়া")</f>
        <v>"দক্ষিণ তেঁতুলবাড়িয়া</v>
      </c>
      <c r="J54" s="1" t="str">
        <f>IFERROR(__xludf.DUMMYFUNCTION("""COMPUTED_VALUE""")," গাংনী")</f>
        <v> গাংনী</v>
      </c>
      <c r="K54" s="1" t="str">
        <f>IFERROR(__xludf.DUMMYFUNCTION("""COMPUTED_VALUE""")," মেহেরপুর""")</f>
        <v> মেহেরপুর"</v>
      </c>
    </row>
    <row r="55" ht="15.75" customHeight="1">
      <c r="A55" s="5" t="s">
        <v>957</v>
      </c>
      <c r="B55" s="1">
        <f>IFERROR(__xludf.DUMMYFUNCTION("SPLIT(A55,"","")"),55.0)</f>
        <v>55</v>
      </c>
      <c r="C55" s="1" t="str">
        <f>IFERROR(__xludf.DUMMYFUNCTION("""COMPUTED_VALUE"""),"মোঃ জামাত আলী")</f>
        <v>মোঃ জামাত আলী</v>
      </c>
      <c r="D55" s="1">
        <f>IFERROR(__xludf.DUMMYFUNCTION("""COMPUTED_VALUE"""),5.70053374465E11)</f>
        <v>570053374465</v>
      </c>
      <c r="E55" s="1" t="str">
        <f>IFERROR(__xludf.DUMMYFUNCTION("""COMPUTED_VALUE"""),"কচিমদ্দীন বিশ্বাস")</f>
        <v>কচিমদ্দীন বিশ্বাস</v>
      </c>
      <c r="F55" s="1" t="str">
        <f>IFERROR(__xludf.DUMMYFUNCTION("""COMPUTED_VALUE"""),"মোছাঃ জাহিরন নেছা")</f>
        <v>মোছাঃ জাহিরন নেছা</v>
      </c>
      <c r="G55" s="1" t="str">
        <f>IFERROR(__xludf.DUMMYFUNCTION("""COMPUTED_VALUE"""),"১০/০২/১৯৫৭")</f>
        <v>১০/০২/১৯৫৭</v>
      </c>
      <c r="H55" s="1" t="str">
        <f>IFERROR(__xludf.DUMMYFUNCTION("""COMPUTED_VALUE"""),"কৃষক")</f>
        <v>কৃষক</v>
      </c>
      <c r="I55" s="1" t="str">
        <f>IFERROR(__xludf.DUMMYFUNCTION("""COMPUTED_VALUE"""),"""দক্ষিণ তেঁতুলবাড়িয়া")</f>
        <v>"দক্ষিণ তেঁতুলবাড়িয়া</v>
      </c>
      <c r="J55" s="1" t="str">
        <f>IFERROR(__xludf.DUMMYFUNCTION("""COMPUTED_VALUE""")," গাংনী")</f>
        <v> গাংনী</v>
      </c>
      <c r="K55" s="1" t="str">
        <f>IFERROR(__xludf.DUMMYFUNCTION("""COMPUTED_VALUE""")," মেহেরপুর""")</f>
        <v> মেহেরপুর"</v>
      </c>
    </row>
    <row r="56" ht="15.75" customHeight="1">
      <c r="A56" s="5" t="s">
        <v>958</v>
      </c>
      <c r="B56" s="1">
        <f>IFERROR(__xludf.DUMMYFUNCTION("SPLIT(A56,"","")"),56.0)</f>
        <v>56</v>
      </c>
      <c r="C56" s="1" t="str">
        <f>IFERROR(__xludf.DUMMYFUNCTION("""COMPUTED_VALUE"""),"মোঃ মোসলেম উদ্দীন")</f>
        <v>মোঃ মোসলেম উদ্দীন</v>
      </c>
      <c r="D56" s="1">
        <f>IFERROR(__xludf.DUMMYFUNCTION("""COMPUTED_VALUE"""),5.70053374468E11)</f>
        <v>570053374468</v>
      </c>
      <c r="E56" s="1" t="str">
        <f>IFERROR(__xludf.DUMMYFUNCTION("""COMPUTED_VALUE"""),"ফুলবাস মন্ডল")</f>
        <v>ফুলবাস মন্ডল</v>
      </c>
      <c r="F56" s="1" t="str">
        <f>IFERROR(__xludf.DUMMYFUNCTION("""COMPUTED_VALUE"""),"মাতাঃ নেকজান খাতুন")</f>
        <v>মাতাঃ নেকজান খাতুন</v>
      </c>
      <c r="G56" s="1" t="str">
        <f>IFERROR(__xludf.DUMMYFUNCTION("""COMPUTED_VALUE"""),"১০/০১/১৯৫৭")</f>
        <v>১০/০১/১৯৫৭</v>
      </c>
      <c r="H56" s="1" t="str">
        <f>IFERROR(__xludf.DUMMYFUNCTION("""COMPUTED_VALUE"""),"কৃষক")</f>
        <v>কৃষক</v>
      </c>
      <c r="I56" s="1" t="str">
        <f>IFERROR(__xludf.DUMMYFUNCTION("""COMPUTED_VALUE"""),"""দঃ তেতুল বাড়িয়া")</f>
        <v>"দঃ তেতুল বাড়িয়া</v>
      </c>
      <c r="J56" s="1" t="str">
        <f>IFERROR(__xludf.DUMMYFUNCTION("""COMPUTED_VALUE""")," গাংনী")</f>
        <v> গাংনী</v>
      </c>
      <c r="K56" s="1" t="str">
        <f>IFERROR(__xludf.DUMMYFUNCTION("""COMPUTED_VALUE""")," মেহেরপুর""")</f>
        <v> মেহেরপুর"</v>
      </c>
    </row>
    <row r="57" ht="15.75" customHeight="1">
      <c r="A57" s="5" t="s">
        <v>959</v>
      </c>
      <c r="B57" s="1">
        <f>IFERROR(__xludf.DUMMYFUNCTION("SPLIT(A57,"","")"),57.0)</f>
        <v>57</v>
      </c>
      <c r="C57" s="1" t="str">
        <f>IFERROR(__xludf.DUMMYFUNCTION("""COMPUTED_VALUE"""),"মোঃ বানারুল ইসলাম")</f>
        <v>মোঃ বানারুল ইসলাম</v>
      </c>
      <c r="D57" s="1">
        <f>IFERROR(__xludf.DUMMYFUNCTION("""COMPUTED_VALUE"""),5.7005337447E11)</f>
        <v>570053374470</v>
      </c>
      <c r="E57" s="1" t="str">
        <f>IFERROR(__xludf.DUMMYFUNCTION("""COMPUTED_VALUE"""),"মোঃ আঃ রহমান")</f>
        <v>মোঃ আঃ রহমান</v>
      </c>
      <c r="F57" s="1" t="str">
        <f>IFERROR(__xludf.DUMMYFUNCTION("""COMPUTED_VALUE"""),"মোছাঃ নেকজান")</f>
        <v>মোছাঃ নেকজান</v>
      </c>
      <c r="G57" s="1" t="str">
        <f>IFERROR(__xludf.DUMMYFUNCTION("""COMPUTED_VALUE"""),"১৫/০১/১৯৮৭")</f>
        <v>১৫/০১/১৯৮৭</v>
      </c>
      <c r="H57" s="1" t="str">
        <f>IFERROR(__xludf.DUMMYFUNCTION("""COMPUTED_VALUE"""),"কৃষক")</f>
        <v>কৃষক</v>
      </c>
      <c r="I57" s="1" t="str">
        <f>IFERROR(__xludf.DUMMYFUNCTION("""COMPUTED_VALUE"""),"""দক্ষিণ তেঁতুলবাড়িয়া")</f>
        <v>"দক্ষিণ তেঁতুলবাড়িয়া</v>
      </c>
      <c r="J57" s="1" t="str">
        <f>IFERROR(__xludf.DUMMYFUNCTION("""COMPUTED_VALUE""")," গাংনী")</f>
        <v> গাংনী</v>
      </c>
      <c r="K57" s="1" t="str">
        <f>IFERROR(__xludf.DUMMYFUNCTION("""COMPUTED_VALUE""")," মেহেরপুর""")</f>
        <v> মেহেরপুর"</v>
      </c>
    </row>
    <row r="58" ht="15.75" customHeight="1">
      <c r="A58" s="5" t="s">
        <v>960</v>
      </c>
      <c r="B58" s="1">
        <f>IFERROR(__xludf.DUMMYFUNCTION("SPLIT(A58,"","")"),58.0)</f>
        <v>58</v>
      </c>
      <c r="C58" s="1" t="str">
        <f>IFERROR(__xludf.DUMMYFUNCTION("""COMPUTED_VALUE"""),"মোঃ রাজিবুল ইসলাম")</f>
        <v>মোঃ রাজিবুল ইসলাম</v>
      </c>
      <c r="D58" s="1">
        <f>IFERROR(__xludf.DUMMYFUNCTION("""COMPUTED_VALUE"""),5.70053374471E11)</f>
        <v>570053374471</v>
      </c>
      <c r="E58" s="1" t="str">
        <f>IFERROR(__xludf.DUMMYFUNCTION("""COMPUTED_VALUE"""),"মোঃ লিয়াকত আলী")</f>
        <v>মোঃ লিয়াকত আলী</v>
      </c>
      <c r="F58" s="1" t="str">
        <f>IFERROR(__xludf.DUMMYFUNCTION("""COMPUTED_VALUE"""),"মোছাঃ হাজেরা খাতুন")</f>
        <v>মোছাঃ হাজেরা খাতুন</v>
      </c>
      <c r="G58" s="1" t="str">
        <f>IFERROR(__xludf.DUMMYFUNCTION("""COMPUTED_VALUE"""),"১৫/০৫/১৯৮৬")</f>
        <v>১৫/০৫/১৯৮৬</v>
      </c>
      <c r="H58" s="1" t="str">
        <f>IFERROR(__xludf.DUMMYFUNCTION("""COMPUTED_VALUE"""),"কৃষক")</f>
        <v>কৃষক</v>
      </c>
      <c r="I58" s="1" t="str">
        <f>IFERROR(__xludf.DUMMYFUNCTION("""COMPUTED_VALUE"""),"""দঃ তেতুলবাড়িয়া")</f>
        <v>"দঃ তেতুলবাড়িয়া</v>
      </c>
      <c r="J58" s="1" t="str">
        <f>IFERROR(__xludf.DUMMYFUNCTION("""COMPUTED_VALUE""")," গাংনী")</f>
        <v> গাংনী</v>
      </c>
      <c r="K58" s="1" t="str">
        <f>IFERROR(__xludf.DUMMYFUNCTION("""COMPUTED_VALUE""")," মেহেরপুর""")</f>
        <v> মেহেরপুর"</v>
      </c>
    </row>
    <row r="59" ht="15.75" customHeight="1">
      <c r="A59" s="5" t="s">
        <v>961</v>
      </c>
      <c r="B59" s="1">
        <f>IFERROR(__xludf.DUMMYFUNCTION("SPLIT(A59,"","")"),59.0)</f>
        <v>59</v>
      </c>
      <c r="C59" s="1" t="str">
        <f>IFERROR(__xludf.DUMMYFUNCTION("""COMPUTED_VALUE"""),"মোঃ হেলাল উদ্দিন")</f>
        <v>মোঃ হেলাল উদ্দিন</v>
      </c>
      <c r="D59" s="1">
        <f>IFERROR(__xludf.DUMMYFUNCTION("""COMPUTED_VALUE"""),5.70053374472E11)</f>
        <v>570053374472</v>
      </c>
      <c r="E59" s="1" t="str">
        <f>IFERROR(__xludf.DUMMYFUNCTION("""COMPUTED_VALUE"""),"মোঃ হাশেম আলী")</f>
        <v>মোঃ হাশেম আলী</v>
      </c>
      <c r="F59" s="1" t="str">
        <f>IFERROR(__xludf.DUMMYFUNCTION("""COMPUTED_VALUE"""),"মোছাঃ বেবী খাতুন")</f>
        <v>মোছাঃ বেবী খাতুন</v>
      </c>
      <c r="G59" s="1" t="str">
        <f>IFERROR(__xludf.DUMMYFUNCTION("""COMPUTED_VALUE"""),"১০/০৭/১৯৮৫")</f>
        <v>১০/০৭/১৯৮৫</v>
      </c>
      <c r="H59" s="1" t="str">
        <f>IFERROR(__xludf.DUMMYFUNCTION("""COMPUTED_VALUE"""),"কৃষক")</f>
        <v>কৃষক</v>
      </c>
      <c r="I59" s="1" t="str">
        <f>IFERROR(__xludf.DUMMYFUNCTION("""COMPUTED_VALUE"""),"""দক্ষিণ তেঁতুলবাড়িয়া")</f>
        <v>"দক্ষিণ তেঁতুলবাড়িয়া</v>
      </c>
      <c r="J59" s="1" t="str">
        <f>IFERROR(__xludf.DUMMYFUNCTION("""COMPUTED_VALUE""")," গাংনী")</f>
        <v> গাংনী</v>
      </c>
      <c r="K59" s="1" t="str">
        <f>IFERROR(__xludf.DUMMYFUNCTION("""COMPUTED_VALUE""")," মেহেরপুর""")</f>
        <v> মেহেরপুর"</v>
      </c>
    </row>
    <row r="60" ht="15.75" customHeight="1">
      <c r="A60" s="5" t="s">
        <v>962</v>
      </c>
      <c r="B60" s="1">
        <f>IFERROR(__xludf.DUMMYFUNCTION("SPLIT(A60,"","")"),60.0)</f>
        <v>60</v>
      </c>
      <c r="C60" s="1" t="str">
        <f>IFERROR(__xludf.DUMMYFUNCTION("""COMPUTED_VALUE"""),"মোঃ দেলোয়ার হোসেন")</f>
        <v>মোঃ দেলোয়ার হোসেন</v>
      </c>
      <c r="D60" s="1">
        <f>IFERROR(__xludf.DUMMYFUNCTION("""COMPUTED_VALUE"""),5.70053374473E11)</f>
        <v>570053374473</v>
      </c>
      <c r="E60" s="1" t="str">
        <f>IFERROR(__xludf.DUMMYFUNCTION("""COMPUTED_VALUE"""),"মোঃ চায়ান উদ্দীন")</f>
        <v>মোঃ চায়ান উদ্দীন</v>
      </c>
      <c r="F60" s="1" t="str">
        <f>IFERROR(__xludf.DUMMYFUNCTION("""COMPUTED_VALUE"""),"মোছাঃ বেফুল খাতুন")</f>
        <v>মোছাঃ বেফুল খাতুন</v>
      </c>
      <c r="G60" s="1" t="str">
        <f>IFERROR(__xludf.DUMMYFUNCTION("""COMPUTED_VALUE"""),"১৫/০৮/১৯৮৫")</f>
        <v>১৫/০৮/১৯৮৫</v>
      </c>
      <c r="H60" s="1" t="str">
        <f>IFERROR(__xludf.DUMMYFUNCTION("""COMPUTED_VALUE"""),"কৃষক")</f>
        <v>কৃষক</v>
      </c>
      <c r="I60" s="1" t="str">
        <f>IFERROR(__xludf.DUMMYFUNCTION("""COMPUTED_VALUE"""),"""দঃ তেতুলবাড়িয়া")</f>
        <v>"দঃ তেতুলবাড়িয়া</v>
      </c>
      <c r="J60" s="1" t="str">
        <f>IFERROR(__xludf.DUMMYFUNCTION("""COMPUTED_VALUE""")," গাংনী")</f>
        <v> গাংনী</v>
      </c>
      <c r="K60" s="1" t="str">
        <f>IFERROR(__xludf.DUMMYFUNCTION("""COMPUTED_VALUE""")," মেহেরপুর""")</f>
        <v> মেহেরপুর"</v>
      </c>
    </row>
    <row r="61" ht="15.75" customHeight="1">
      <c r="A61" s="5" t="s">
        <v>963</v>
      </c>
      <c r="B61" s="1">
        <f>IFERROR(__xludf.DUMMYFUNCTION("SPLIT(A61,"","")"),61.0)</f>
        <v>61</v>
      </c>
      <c r="C61" s="1" t="str">
        <f>IFERROR(__xludf.DUMMYFUNCTION("""COMPUTED_VALUE"""),"রিপন আলী")</f>
        <v>রিপন আলী</v>
      </c>
      <c r="D61" s="1">
        <f>IFERROR(__xludf.DUMMYFUNCTION("""COMPUTED_VALUE"""),5.70053374474E11)</f>
        <v>570053374474</v>
      </c>
      <c r="E61" s="1" t="str">
        <f>IFERROR(__xludf.DUMMYFUNCTION("""COMPUTED_VALUE"""),"পিতাঃ মোহামদ তাহের আলী")</f>
        <v>পিতাঃ মোহামদ তাহের আলী</v>
      </c>
      <c r="F61" s="1" t="str">
        <f>IFERROR(__xludf.DUMMYFUNCTION("""COMPUTED_VALUE"""),"মাতাঃ ছাবিরন খাতুন")</f>
        <v>মাতাঃ ছাবিরন খাতুন</v>
      </c>
      <c r="G61" s="1" t="str">
        <f>IFERROR(__xludf.DUMMYFUNCTION("""COMPUTED_VALUE"""),"১৫/০৫/১৯৮৬")</f>
        <v>১৫/০৫/১৯৮৬</v>
      </c>
      <c r="H61" s="1" t="str">
        <f>IFERROR(__xludf.DUMMYFUNCTION("""COMPUTED_VALUE"""),"কৃষক")</f>
        <v>কৃষক</v>
      </c>
      <c r="I61" s="1" t="str">
        <f>IFERROR(__xludf.DUMMYFUNCTION("""COMPUTED_VALUE"""),"""দঃ তেতুলবাড়িয়া")</f>
        <v>"দঃ তেতুলবাড়িয়া</v>
      </c>
      <c r="J61" s="1" t="str">
        <f>IFERROR(__xludf.DUMMYFUNCTION("""COMPUTED_VALUE""")," গাংনী")</f>
        <v> গাংনী</v>
      </c>
      <c r="K61" s="1" t="str">
        <f>IFERROR(__xludf.DUMMYFUNCTION("""COMPUTED_VALUE""")," মেহেরপুর""")</f>
        <v> মেহেরপুর"</v>
      </c>
    </row>
    <row r="62" ht="15.75" customHeight="1">
      <c r="A62" s="5" t="s">
        <v>964</v>
      </c>
      <c r="B62" s="1">
        <f>IFERROR(__xludf.DUMMYFUNCTION("SPLIT(A62,"","")"),62.0)</f>
        <v>62</v>
      </c>
      <c r="C62" s="1" t="str">
        <f>IFERROR(__xludf.DUMMYFUNCTION("""COMPUTED_VALUE"""),"মোঃ হাশেম আলী")</f>
        <v>মোঃ হাশেম আলী</v>
      </c>
      <c r="D62" s="1">
        <f>IFERROR(__xludf.DUMMYFUNCTION("""COMPUTED_VALUE"""),5.70053374475E11)</f>
        <v>570053374475</v>
      </c>
      <c r="E62" s="1" t="str">
        <f>IFERROR(__xludf.DUMMYFUNCTION("""COMPUTED_VALUE"""),"মোঃ তাহাজুদ্দিন")</f>
        <v>মোঃ তাহাজুদ্দিন</v>
      </c>
      <c r="F62" s="1" t="str">
        <f>IFERROR(__xludf.DUMMYFUNCTION("""COMPUTED_VALUE"""),"মোছাঃ আয়েশা খাতুন")</f>
        <v>মোছাঃ আয়েশা খাতুন</v>
      </c>
      <c r="G62" s="1" t="str">
        <f>IFERROR(__xludf.DUMMYFUNCTION("""COMPUTED_VALUE"""),"১০/০৫/১৯৬১")</f>
        <v>১০/০৫/১৯৬১</v>
      </c>
      <c r="H62" s="1" t="str">
        <f>IFERROR(__xludf.DUMMYFUNCTION("""COMPUTED_VALUE"""),"কৃষক")</f>
        <v>কৃষক</v>
      </c>
      <c r="I62" s="1" t="str">
        <f>IFERROR(__xludf.DUMMYFUNCTION("""COMPUTED_VALUE"""),"""দক্ষিণ তেঁতুলবাড়িয়া")</f>
        <v>"দক্ষিণ তেঁতুলবাড়িয়া</v>
      </c>
      <c r="J62" s="1" t="str">
        <f>IFERROR(__xludf.DUMMYFUNCTION("""COMPUTED_VALUE""")," গাংনী")</f>
        <v> গাংনী</v>
      </c>
      <c r="K62" s="1" t="str">
        <f>IFERROR(__xludf.DUMMYFUNCTION("""COMPUTED_VALUE""")," মেহেরপুর""")</f>
        <v> মেহেরপুর"</v>
      </c>
    </row>
    <row r="63" ht="15.75" customHeight="1">
      <c r="A63" s="5" t="s">
        <v>965</v>
      </c>
      <c r="B63" s="1">
        <f>IFERROR(__xludf.DUMMYFUNCTION("SPLIT(A63,"","")"),63.0)</f>
        <v>63</v>
      </c>
      <c r="C63" s="1" t="str">
        <f>IFERROR(__xludf.DUMMYFUNCTION("""COMPUTED_VALUE"""),"মোঃ জিনারুল ইসলাম")</f>
        <v>মোঃ জিনারুল ইসলাম</v>
      </c>
      <c r="D63" s="1">
        <f>IFERROR(__xludf.DUMMYFUNCTION("""COMPUTED_VALUE"""),5.70053374476E11)</f>
        <v>570053374476</v>
      </c>
      <c r="E63" s="1" t="str">
        <f>IFERROR(__xludf.DUMMYFUNCTION("""COMPUTED_VALUE"""),"মোঃ আঃ লতিফ")</f>
        <v>মোঃ আঃ লতিফ</v>
      </c>
      <c r="F63" s="1" t="str">
        <f>IFERROR(__xludf.DUMMYFUNCTION("""COMPUTED_VALUE"""),"মোছাঃ জাহানারা খাতুন")</f>
        <v>মোছাঃ জাহানারা খাতুন</v>
      </c>
      <c r="G63" s="1" t="str">
        <f>IFERROR(__xludf.DUMMYFUNCTION("""COMPUTED_VALUE"""),"১০/০৫/১৯৮৪")</f>
        <v>১০/০৫/১৯৮৪</v>
      </c>
      <c r="H63" s="1" t="str">
        <f>IFERROR(__xludf.DUMMYFUNCTION("""COMPUTED_VALUE"""),"কৃষক")</f>
        <v>কৃষক</v>
      </c>
      <c r="I63" s="1" t="str">
        <f>IFERROR(__xludf.DUMMYFUNCTION("""COMPUTED_VALUE"""),"""দক্ষিণ তেঁতুলবাড়িয়া")</f>
        <v>"দক্ষিণ তেঁতুলবাড়িয়া</v>
      </c>
      <c r="J63" s="1" t="str">
        <f>IFERROR(__xludf.DUMMYFUNCTION("""COMPUTED_VALUE""")," গাংনী")</f>
        <v> গাংনী</v>
      </c>
      <c r="K63" s="1" t="str">
        <f>IFERROR(__xludf.DUMMYFUNCTION("""COMPUTED_VALUE""")," মেহেরপুর""")</f>
        <v> মেহেরপুর"</v>
      </c>
    </row>
    <row r="64" ht="15.75" customHeight="1">
      <c r="A64" s="5" t="s">
        <v>966</v>
      </c>
      <c r="B64" s="1">
        <f>IFERROR(__xludf.DUMMYFUNCTION("SPLIT(A64,"","")"),64.0)</f>
        <v>64</v>
      </c>
      <c r="C64" s="1" t="str">
        <f>IFERROR(__xludf.DUMMYFUNCTION("""COMPUTED_VALUE"""),"মোঃ জাকিরুল ইসলাম")</f>
        <v>মোঃ জাকিরুল ইসলাম</v>
      </c>
      <c r="D64" s="1">
        <f>IFERROR(__xludf.DUMMYFUNCTION("""COMPUTED_VALUE"""),5.70053374477E11)</f>
        <v>570053374477</v>
      </c>
      <c r="E64" s="1" t="str">
        <f>IFERROR(__xludf.DUMMYFUNCTION("""COMPUTED_VALUE"""),"মোঃ আঃ লতিব")</f>
        <v>মোঃ আঃ লতিব</v>
      </c>
      <c r="F64" s="1" t="str">
        <f>IFERROR(__xludf.DUMMYFUNCTION("""COMPUTED_VALUE"""),"মোছাঃ জাহানারা খাতুন")</f>
        <v>মোছাঃ জাহানারা খাতুন</v>
      </c>
      <c r="G64" s="1" t="str">
        <f>IFERROR(__xludf.DUMMYFUNCTION("""COMPUTED_VALUE"""),"০৮/০১/১৯৮৭")</f>
        <v>০৮/০১/১৯৮৭</v>
      </c>
      <c r="H64" s="1" t="str">
        <f>IFERROR(__xludf.DUMMYFUNCTION("""COMPUTED_VALUE"""),"কৃষক")</f>
        <v>কৃষক</v>
      </c>
      <c r="I64" s="1" t="str">
        <f>IFERROR(__xludf.DUMMYFUNCTION("""COMPUTED_VALUE"""),"""দক্ষিণ তেঁতুলবাড়িয়া")</f>
        <v>"দক্ষিণ তেঁতুলবাড়িয়া</v>
      </c>
      <c r="J64" s="1" t="str">
        <f>IFERROR(__xludf.DUMMYFUNCTION("""COMPUTED_VALUE""")," গাংনী")</f>
        <v> গাংনী</v>
      </c>
      <c r="K64" s="1" t="str">
        <f>IFERROR(__xludf.DUMMYFUNCTION("""COMPUTED_VALUE""")," মেহেরপুর""")</f>
        <v> মেহেরপুর"</v>
      </c>
    </row>
    <row r="65" ht="15.75" customHeight="1">
      <c r="A65" s="5" t="s">
        <v>967</v>
      </c>
      <c r="B65" s="1">
        <f>IFERROR(__xludf.DUMMYFUNCTION("SPLIT(A65,"","")"),65.0)</f>
        <v>65</v>
      </c>
      <c r="C65" s="1" t="str">
        <f>IFERROR(__xludf.DUMMYFUNCTION("""COMPUTED_VALUE"""),"মোঃ তানজিল হোসেন")</f>
        <v>মোঃ তানজিল হোসেন</v>
      </c>
      <c r="D65" s="1">
        <f>IFERROR(__xludf.DUMMYFUNCTION("""COMPUTED_VALUE"""),5.70053374479E11)</f>
        <v>570053374479</v>
      </c>
      <c r="E65" s="1" t="str">
        <f>IFERROR(__xludf.DUMMYFUNCTION("""COMPUTED_VALUE"""),"মোঃ আপেল বিশ্বাস")</f>
        <v>মোঃ আপেল বিশ্বাস</v>
      </c>
      <c r="F65" s="1" t="str">
        <f>IFERROR(__xludf.DUMMYFUNCTION("""COMPUTED_VALUE"""),"মোছাঃ ছামেনা খাতুন")</f>
        <v>মোছাঃ ছামেনা খাতুন</v>
      </c>
      <c r="G65" s="1" t="str">
        <f>IFERROR(__xludf.DUMMYFUNCTION("""COMPUTED_VALUE"""),"১০/০৫/১৯৫৭")</f>
        <v>১০/০৫/১৯৫৭</v>
      </c>
      <c r="H65" s="1" t="str">
        <f>IFERROR(__xludf.DUMMYFUNCTION("""COMPUTED_VALUE"""),"কৃষক")</f>
        <v>কৃষক</v>
      </c>
      <c r="I65" s="1" t="str">
        <f>IFERROR(__xludf.DUMMYFUNCTION("""COMPUTED_VALUE"""),"""দক্ষিণ তেঁতুলবাড়িয়া")</f>
        <v>"দক্ষিণ তেঁতুলবাড়িয়া</v>
      </c>
      <c r="J65" s="1" t="str">
        <f>IFERROR(__xludf.DUMMYFUNCTION("""COMPUTED_VALUE""")," গাংনী")</f>
        <v> গাংনী</v>
      </c>
      <c r="K65" s="1" t="str">
        <f>IFERROR(__xludf.DUMMYFUNCTION("""COMPUTED_VALUE""")," মেহেরপুর""")</f>
        <v> মেহেরপুর"</v>
      </c>
    </row>
    <row r="66" ht="15.75" customHeight="1">
      <c r="A66" s="5" t="s">
        <v>968</v>
      </c>
      <c r="B66" s="1">
        <f>IFERROR(__xludf.DUMMYFUNCTION("SPLIT(A66,"","")"),66.0)</f>
        <v>66</v>
      </c>
      <c r="C66" s="1" t="str">
        <f>IFERROR(__xludf.DUMMYFUNCTION("""COMPUTED_VALUE"""),"মোঃ তাহের আলী")</f>
        <v>মোঃ তাহের আলী</v>
      </c>
      <c r="D66" s="1">
        <f>IFERROR(__xludf.DUMMYFUNCTION("""COMPUTED_VALUE"""),5.7005337448E11)</f>
        <v>570053374480</v>
      </c>
      <c r="E66" s="1" t="str">
        <f>IFERROR(__xludf.DUMMYFUNCTION("""COMPUTED_VALUE"""),"মোঃ মফেজ উদ্দীন")</f>
        <v>মোঃ মফেজ উদ্দীন</v>
      </c>
      <c r="F66" s="1" t="str">
        <f>IFERROR(__xludf.DUMMYFUNCTION("""COMPUTED_VALUE"""),"মোছাঃ কদভান খাতুন")</f>
        <v>মোছাঃ কদভান খাতুন</v>
      </c>
      <c r="G66" s="1" t="str">
        <f>IFERROR(__xludf.DUMMYFUNCTION("""COMPUTED_VALUE"""),"১৫/০২/১৯৬২")</f>
        <v>১৫/০২/১৯৬২</v>
      </c>
      <c r="H66" s="1" t="str">
        <f>IFERROR(__xludf.DUMMYFUNCTION("""COMPUTED_VALUE"""),"কৃষক")</f>
        <v>কৃষক</v>
      </c>
      <c r="I66" s="1" t="str">
        <f>IFERROR(__xludf.DUMMYFUNCTION("""COMPUTED_VALUE"""),"""দক্ষিণ তেঁতুলবাড়িয়া")</f>
        <v>"দক্ষিণ তেঁতুলবাড়িয়া</v>
      </c>
      <c r="J66" s="1" t="str">
        <f>IFERROR(__xludf.DUMMYFUNCTION("""COMPUTED_VALUE""")," গাংনী")</f>
        <v> গাংনী</v>
      </c>
      <c r="K66" s="1" t="str">
        <f>IFERROR(__xludf.DUMMYFUNCTION("""COMPUTED_VALUE""")," মেহেরপুর""")</f>
        <v> মেহেরপুর"</v>
      </c>
    </row>
    <row r="67" ht="15.75" customHeight="1">
      <c r="A67" s="5" t="s">
        <v>969</v>
      </c>
      <c r="B67" s="1">
        <f>IFERROR(__xludf.DUMMYFUNCTION("SPLIT(A67,"","")"),67.0)</f>
        <v>67</v>
      </c>
      <c r="C67" s="1" t="str">
        <f>IFERROR(__xludf.DUMMYFUNCTION("""COMPUTED_VALUE"""),"মোঃ আরিফুল ইসলাম")</f>
        <v>মোঃ আরিফুল ইসলাম</v>
      </c>
      <c r="D67" s="1">
        <f>IFERROR(__xludf.DUMMYFUNCTION("""COMPUTED_VALUE"""),5.70053374481E11)</f>
        <v>570053374481</v>
      </c>
      <c r="E67" s="1" t="str">
        <f>IFERROR(__xludf.DUMMYFUNCTION("""COMPUTED_VALUE"""),"মোঃ আহসান আলী")</f>
        <v>মোঃ আহসান আলী</v>
      </c>
      <c r="F67" s="1" t="str">
        <f>IFERROR(__xludf.DUMMYFUNCTION("""COMPUTED_VALUE"""),"মোছাঃ ছাহেরা খাতুন")</f>
        <v>মোছাঃ ছাহেরা খাতুন</v>
      </c>
      <c r="G67" s="1" t="str">
        <f>IFERROR(__xludf.DUMMYFUNCTION("""COMPUTED_VALUE"""),"১৩/১০/১৯৮২")</f>
        <v>১৩/১০/১৯৮২</v>
      </c>
      <c r="H67" s="1" t="str">
        <f>IFERROR(__xludf.DUMMYFUNCTION("""COMPUTED_VALUE"""),"বেসরকারী চাকুরী")</f>
        <v>বেসরকারী চাকুরী</v>
      </c>
      <c r="I67" s="1" t="str">
        <f>IFERROR(__xludf.DUMMYFUNCTION("""COMPUTED_VALUE"""),"""দঃ তেতুলবাড়িয়া")</f>
        <v>"দঃ তেতুলবাড়িয়া</v>
      </c>
      <c r="J67" s="1" t="str">
        <f>IFERROR(__xludf.DUMMYFUNCTION("""COMPUTED_VALUE""")," গাংনী")</f>
        <v> গাংনী</v>
      </c>
      <c r="K67" s="1" t="str">
        <f>IFERROR(__xludf.DUMMYFUNCTION("""COMPUTED_VALUE""")," মেহেরপুর""")</f>
        <v> মেহেরপুর"</v>
      </c>
    </row>
    <row r="68" ht="15.75" customHeight="1">
      <c r="A68" s="5" t="s">
        <v>970</v>
      </c>
      <c r="B68" s="1">
        <f>IFERROR(__xludf.DUMMYFUNCTION("SPLIT(A68,"","")"),68.0)</f>
        <v>68</v>
      </c>
      <c r="C68" s="1" t="str">
        <f>IFERROR(__xludf.DUMMYFUNCTION("""COMPUTED_VALUE"""),"মোঃ রাজ্জাক আলী")</f>
        <v>মোঃ রাজ্জাক আলী</v>
      </c>
      <c r="D68" s="1">
        <f>IFERROR(__xludf.DUMMYFUNCTION("""COMPUTED_VALUE"""),5.70053374482E11)</f>
        <v>570053374482</v>
      </c>
      <c r="E68" s="1" t="str">
        <f>IFERROR(__xludf.DUMMYFUNCTION("""COMPUTED_VALUE"""),"মোঃ মুজাম্মেল হক")</f>
        <v>মোঃ মুজাম্মেল হক</v>
      </c>
      <c r="F68" s="1" t="str">
        <f>IFERROR(__xludf.DUMMYFUNCTION("""COMPUTED_VALUE"""),"মোছাঃ ফাতেমা খাতুন")</f>
        <v>মোছাঃ ফাতেমা খাতুন</v>
      </c>
      <c r="G68" s="1" t="str">
        <f>IFERROR(__xludf.DUMMYFUNCTION("""COMPUTED_VALUE"""),"১৮/০২/১৯৭৩")</f>
        <v>১৮/০২/১৯৭৩</v>
      </c>
      <c r="H68" s="1" t="str">
        <f>IFERROR(__xludf.DUMMYFUNCTION("""COMPUTED_VALUE"""),"কৃষক")</f>
        <v>কৃষক</v>
      </c>
      <c r="I68" s="1" t="str">
        <f>IFERROR(__xludf.DUMMYFUNCTION("""COMPUTED_VALUE"""),"""দঃ তেতুলবাড়িয়া")</f>
        <v>"দঃ তেতুলবাড়িয়া</v>
      </c>
      <c r="J68" s="1" t="str">
        <f>IFERROR(__xludf.DUMMYFUNCTION("""COMPUTED_VALUE""")," গাংনী")</f>
        <v> গাংনী</v>
      </c>
      <c r="K68" s="1" t="str">
        <f>IFERROR(__xludf.DUMMYFUNCTION("""COMPUTED_VALUE""")," মেহেরপুর""")</f>
        <v> মেহেরপুর"</v>
      </c>
    </row>
    <row r="69" ht="15.75" customHeight="1">
      <c r="A69" s="5" t="s">
        <v>971</v>
      </c>
      <c r="B69" s="1">
        <f>IFERROR(__xludf.DUMMYFUNCTION("SPLIT(A69,"","")"),69.0)</f>
        <v>69</v>
      </c>
      <c r="C69" s="1" t="str">
        <f>IFERROR(__xludf.DUMMYFUNCTION("""COMPUTED_VALUE"""),"মোঃ মোলায়েম আলী")</f>
        <v>মোঃ মোলায়েম আলী</v>
      </c>
      <c r="D69" s="1">
        <f>IFERROR(__xludf.DUMMYFUNCTION("""COMPUTED_VALUE"""),5.70053374484E11)</f>
        <v>570053374484</v>
      </c>
      <c r="E69" s="1" t="str">
        <f>IFERROR(__xludf.DUMMYFUNCTION("""COMPUTED_VALUE"""),"মোঃ আঃ আজিজ")</f>
        <v>মোঃ আঃ আজিজ</v>
      </c>
      <c r="F69" s="1" t="str">
        <f>IFERROR(__xludf.DUMMYFUNCTION("""COMPUTED_VALUE"""),"মোছাঃ ফুলজান নেছা")</f>
        <v>মোছাঃ ফুলজান নেছা</v>
      </c>
      <c r="G69" s="1" t="str">
        <f>IFERROR(__xludf.DUMMYFUNCTION("""COMPUTED_VALUE"""),"০৫/০১/১৯৭৩")</f>
        <v>০৫/০১/১৯৭৩</v>
      </c>
      <c r="H69" s="1" t="str">
        <f>IFERROR(__xludf.DUMMYFUNCTION("""COMPUTED_VALUE"""),"কৃষক")</f>
        <v>কৃষক</v>
      </c>
      <c r="I69" s="1" t="str">
        <f>IFERROR(__xludf.DUMMYFUNCTION("""COMPUTED_VALUE"""),"""দঃ তেতুল বাড়িয়া")</f>
        <v>"দঃ তেতুল বাড়িয়া</v>
      </c>
      <c r="J69" s="1" t="str">
        <f>IFERROR(__xludf.DUMMYFUNCTION("""COMPUTED_VALUE""")," গাংনী")</f>
        <v> গাংনী</v>
      </c>
      <c r="K69" s="1" t="str">
        <f>IFERROR(__xludf.DUMMYFUNCTION("""COMPUTED_VALUE""")," মেহেরপুর""")</f>
        <v> মেহেরপুর"</v>
      </c>
    </row>
    <row r="70" ht="15.75" customHeight="1">
      <c r="A70" s="5" t="s">
        <v>972</v>
      </c>
      <c r="B70" s="1">
        <f>IFERROR(__xludf.DUMMYFUNCTION("SPLIT(A70,"","")"),70.0)</f>
        <v>70</v>
      </c>
      <c r="C70" s="1" t="str">
        <f>IFERROR(__xludf.DUMMYFUNCTION("""COMPUTED_VALUE"""),"মোঃ উসমান গণি")</f>
        <v>মোঃ উসমান গণি</v>
      </c>
      <c r="D70" s="1">
        <f>IFERROR(__xludf.DUMMYFUNCTION("""COMPUTED_VALUE"""),5.70053374485E11)</f>
        <v>570053374485</v>
      </c>
      <c r="E70" s="1" t="str">
        <f>IFERROR(__xludf.DUMMYFUNCTION("""COMPUTED_VALUE"""),"সিরাজ উদ্দীন")</f>
        <v>সিরাজ উদ্দীন</v>
      </c>
      <c r="F70" s="1" t="str">
        <f>IFERROR(__xludf.DUMMYFUNCTION("""COMPUTED_VALUE"""),"মোছাঃ ছালেহা খাতুন")</f>
        <v>মোছাঃ ছালেহা খাতুন</v>
      </c>
      <c r="G70" s="1" t="str">
        <f>IFERROR(__xludf.DUMMYFUNCTION("""COMPUTED_VALUE"""),"২৫/০১/১৯৬৫")</f>
        <v>২৫/০১/১৯৬৫</v>
      </c>
      <c r="H70" s="1" t="str">
        <f>IFERROR(__xludf.DUMMYFUNCTION("""COMPUTED_VALUE"""),"কৃষক")</f>
        <v>কৃষক</v>
      </c>
      <c r="I70" s="1" t="str">
        <f>IFERROR(__xludf.DUMMYFUNCTION("""COMPUTED_VALUE"""),"""দঃ তেতুল বাড়িয়া")</f>
        <v>"দঃ তেতুল বাড়িয়া</v>
      </c>
      <c r="J70" s="1" t="str">
        <f>IFERROR(__xludf.DUMMYFUNCTION("""COMPUTED_VALUE""")," গাংনী")</f>
        <v> গাংনী</v>
      </c>
      <c r="K70" s="1" t="str">
        <f>IFERROR(__xludf.DUMMYFUNCTION("""COMPUTED_VALUE""")," মেহেরপুর""")</f>
        <v> মেহেরপুর"</v>
      </c>
    </row>
    <row r="71" ht="15.75" customHeight="1">
      <c r="A71" s="5" t="s">
        <v>973</v>
      </c>
      <c r="B71" s="1">
        <f>IFERROR(__xludf.DUMMYFUNCTION("SPLIT(A71,"","")"),71.0)</f>
        <v>71</v>
      </c>
      <c r="C71" s="1" t="str">
        <f>IFERROR(__xludf.DUMMYFUNCTION("""COMPUTED_VALUE"""),"মোঃ আহাদ আলী")</f>
        <v>মোঃ আহাদ আলী</v>
      </c>
      <c r="D71" s="1">
        <f>IFERROR(__xludf.DUMMYFUNCTION("""COMPUTED_VALUE"""),5.70053374486E11)</f>
        <v>570053374486</v>
      </c>
      <c r="E71" s="1" t="str">
        <f>IFERROR(__xludf.DUMMYFUNCTION("""COMPUTED_VALUE"""),"মোঃ নবিছুদ্দিন")</f>
        <v>মোঃ নবিছুদ্দিন</v>
      </c>
      <c r="F71" s="1" t="str">
        <f>IFERROR(__xludf.DUMMYFUNCTION("""COMPUTED_VALUE"""),"মোছাঃ হালিমা খাতুন")</f>
        <v>মোছাঃ হালিমা খাতুন</v>
      </c>
      <c r="G71" s="1" t="str">
        <f>IFERROR(__xludf.DUMMYFUNCTION("""COMPUTED_VALUE"""),"১৭/০২/১৯৭৩")</f>
        <v>১৭/০২/১৯৭৩</v>
      </c>
      <c r="H71" s="1" t="str">
        <f>IFERROR(__xludf.DUMMYFUNCTION("""COMPUTED_VALUE"""),"শ্রমিক")</f>
        <v>শ্রমিক</v>
      </c>
      <c r="I71" s="1" t="str">
        <f>IFERROR(__xludf.DUMMYFUNCTION("""COMPUTED_VALUE"""),"""দক্ষিণ তেঁতুলবাড়িয়া")</f>
        <v>"দক্ষিণ তেঁতুলবাড়িয়া</v>
      </c>
      <c r="J71" s="1" t="str">
        <f>IFERROR(__xludf.DUMMYFUNCTION("""COMPUTED_VALUE""")," গাংনী")</f>
        <v> গাংনী</v>
      </c>
      <c r="K71" s="1" t="str">
        <f>IFERROR(__xludf.DUMMYFUNCTION("""COMPUTED_VALUE""")," মেহেরপুর""")</f>
        <v> মেহেরপুর"</v>
      </c>
    </row>
    <row r="72" ht="15.75" customHeight="1">
      <c r="A72" s="5" t="s">
        <v>974</v>
      </c>
      <c r="B72" s="1">
        <f>IFERROR(__xludf.DUMMYFUNCTION("SPLIT(A72,"","")"),72.0)</f>
        <v>72</v>
      </c>
      <c r="C72" s="1" t="str">
        <f>IFERROR(__xludf.DUMMYFUNCTION("""COMPUTED_VALUE"""),"মোঃ আমিরুল ইসলাম")</f>
        <v>মোঃ আমিরুল ইসলাম</v>
      </c>
      <c r="D72" s="1">
        <f>IFERROR(__xludf.DUMMYFUNCTION("""COMPUTED_VALUE"""),5.70053374487E11)</f>
        <v>570053374487</v>
      </c>
      <c r="E72" s="1" t="str">
        <f>IFERROR(__xludf.DUMMYFUNCTION("""COMPUTED_VALUE"""),"মোঃ আঃ রহমান")</f>
        <v>মোঃ আঃ রহমান</v>
      </c>
      <c r="F72" s="1" t="str">
        <f>IFERROR(__xludf.DUMMYFUNCTION("""COMPUTED_VALUE"""),"মোছাঃ আছিয়া খাতুন")</f>
        <v>মোছাঃ আছিয়া খাতুন</v>
      </c>
      <c r="G72" s="1" t="str">
        <f>IFERROR(__xludf.DUMMYFUNCTION("""COMPUTED_VALUE"""),"০৯/০১/১৯৭৮")</f>
        <v>০৯/০১/১৯৭৮</v>
      </c>
      <c r="H72" s="1" t="str">
        <f>IFERROR(__xludf.DUMMYFUNCTION("""COMPUTED_VALUE"""),"কৃষক")</f>
        <v>কৃষক</v>
      </c>
      <c r="I72" s="1" t="str">
        <f>IFERROR(__xludf.DUMMYFUNCTION("""COMPUTED_VALUE"""),"""দঃ তেতুল বাড়িয়া")</f>
        <v>"দঃ তেতুল বাড়িয়া</v>
      </c>
      <c r="J72" s="1" t="str">
        <f>IFERROR(__xludf.DUMMYFUNCTION("""COMPUTED_VALUE""")," গাংনী")</f>
        <v> গাংনী</v>
      </c>
      <c r="K72" s="1" t="str">
        <f>IFERROR(__xludf.DUMMYFUNCTION("""COMPUTED_VALUE""")," মেহেরপুর""")</f>
        <v> মেহেরপুর"</v>
      </c>
    </row>
    <row r="73" ht="15.75" customHeight="1">
      <c r="A73" s="5" t="s">
        <v>975</v>
      </c>
      <c r="B73" s="1">
        <f>IFERROR(__xludf.DUMMYFUNCTION("SPLIT(A73,"","")"),73.0)</f>
        <v>73</v>
      </c>
      <c r="C73" s="1" t="str">
        <f>IFERROR(__xludf.DUMMYFUNCTION("""COMPUTED_VALUE"""),"মোঃ সাহারুল ইসলাম")</f>
        <v>মোঃ সাহারুল ইসলাম</v>
      </c>
      <c r="D73" s="1">
        <f>IFERROR(__xludf.DUMMYFUNCTION("""COMPUTED_VALUE"""),5.70053374488E11)</f>
        <v>570053374488</v>
      </c>
      <c r="E73" s="1" t="str">
        <f>IFERROR(__xludf.DUMMYFUNCTION("""COMPUTED_VALUE"""),"হাউস আলী")</f>
        <v>হাউস আলী</v>
      </c>
      <c r="F73" s="1" t="str">
        <f>IFERROR(__xludf.DUMMYFUNCTION("""COMPUTED_VALUE"""),"মোছাঃ কহিনুর")</f>
        <v>মোছাঃ কহিনুর</v>
      </c>
      <c r="G73" s="1" t="str">
        <f>IFERROR(__xludf.DUMMYFUNCTION("""COMPUTED_VALUE"""),"০৭/০২/১৯৮০")</f>
        <v>০৭/০২/১৯৮০</v>
      </c>
      <c r="H73" s="1" t="str">
        <f>IFERROR(__xludf.DUMMYFUNCTION("""COMPUTED_VALUE"""),"রিক্সা/ভ্যান চালক")</f>
        <v>রিক্সা/ভ্যান চালক</v>
      </c>
      <c r="I73" s="1" t="str">
        <f>IFERROR(__xludf.DUMMYFUNCTION("""COMPUTED_VALUE"""),"""দঃ তেতুলবাড়িয়া")</f>
        <v>"দঃ তেতুলবাড়িয়া</v>
      </c>
      <c r="J73" s="1" t="str">
        <f>IFERROR(__xludf.DUMMYFUNCTION("""COMPUTED_VALUE""")," গাংনী")</f>
        <v> গাংনী</v>
      </c>
      <c r="K73" s="1" t="str">
        <f>IFERROR(__xludf.DUMMYFUNCTION("""COMPUTED_VALUE""")," মেহেরপুর""")</f>
        <v> মেহেরপুর"</v>
      </c>
    </row>
    <row r="74" ht="15.75" customHeight="1">
      <c r="A74" s="5" t="s">
        <v>976</v>
      </c>
      <c r="B74" s="1">
        <f>IFERROR(__xludf.DUMMYFUNCTION("SPLIT(A74,"","")"),74.0)</f>
        <v>74</v>
      </c>
      <c r="C74" s="1" t="str">
        <f>IFERROR(__xludf.DUMMYFUNCTION("""COMPUTED_VALUE"""),"মোঃ মোস্তফা")</f>
        <v>মোঃ মোস্তফা</v>
      </c>
      <c r="D74" s="1">
        <f>IFERROR(__xludf.DUMMYFUNCTION("""COMPUTED_VALUE"""),5.7005337449E11)</f>
        <v>570053374490</v>
      </c>
      <c r="E74" s="1" t="str">
        <f>IFERROR(__xludf.DUMMYFUNCTION("""COMPUTED_VALUE"""),"মোঃ আঃ আজিজ")</f>
        <v>মোঃ আঃ আজিজ</v>
      </c>
      <c r="F74" s="1" t="str">
        <f>IFERROR(__xludf.DUMMYFUNCTION("""COMPUTED_VALUE"""),"মোছাঃ ফুলজান")</f>
        <v>মোছাঃ ফুলজান</v>
      </c>
      <c r="G74" s="1" t="str">
        <f>IFERROR(__xludf.DUMMYFUNCTION("""COMPUTED_VALUE"""),"১০/১০/১৯৭৭")</f>
        <v>১০/১০/১৯৭৭</v>
      </c>
      <c r="H74" s="1" t="str">
        <f>IFERROR(__xludf.DUMMYFUNCTION("""COMPUTED_VALUE"""),"কৃষক")</f>
        <v>কৃষক</v>
      </c>
      <c r="I74" s="1" t="str">
        <f>IFERROR(__xludf.DUMMYFUNCTION("""COMPUTED_VALUE"""),"""দঃ তেতুল বাড়িয়া")</f>
        <v>"দঃ তেতুল বাড়িয়া</v>
      </c>
      <c r="J74" s="1" t="str">
        <f>IFERROR(__xludf.DUMMYFUNCTION("""COMPUTED_VALUE""")," গাংনী")</f>
        <v> গাংনী</v>
      </c>
      <c r="K74" s="1" t="str">
        <f>IFERROR(__xludf.DUMMYFUNCTION("""COMPUTED_VALUE""")," মেহেরপুর""")</f>
        <v> মেহেরপুর"</v>
      </c>
    </row>
    <row r="75" ht="15.75" customHeight="1">
      <c r="A75" s="5" t="s">
        <v>977</v>
      </c>
      <c r="B75" s="1">
        <f>IFERROR(__xludf.DUMMYFUNCTION("SPLIT(A75,"","")"),75.0)</f>
        <v>75</v>
      </c>
      <c r="C75" s="1" t="str">
        <f>IFERROR(__xludf.DUMMYFUNCTION("""COMPUTED_VALUE"""),"মোঃ তোফাজ্জেল আলী")</f>
        <v>মোঃ তোফাজ্জেল আলী</v>
      </c>
      <c r="D75" s="1">
        <f>IFERROR(__xludf.DUMMYFUNCTION("""COMPUTED_VALUE"""),5.70053374493E11)</f>
        <v>570053374493</v>
      </c>
      <c r="E75" s="1" t="str">
        <f>IFERROR(__xludf.DUMMYFUNCTION("""COMPUTED_VALUE"""),"মোঃ ফজল জদ্দার")</f>
        <v>মোঃ ফজল জদ্দার</v>
      </c>
      <c r="F75" s="1" t="str">
        <f>IFERROR(__xludf.DUMMYFUNCTION("""COMPUTED_VALUE"""),"মোছাঃ ফতেজা খাতুন")</f>
        <v>মোছাঃ ফতেজা খাতুন</v>
      </c>
      <c r="G75" s="1" t="str">
        <f>IFERROR(__xludf.DUMMYFUNCTION("""COMPUTED_VALUE"""),"০৮/১১/১৯৭২")</f>
        <v>০৮/১১/১৯৭২</v>
      </c>
      <c r="H75" s="1" t="str">
        <f>IFERROR(__xludf.DUMMYFUNCTION("""COMPUTED_VALUE"""),"কৃষক")</f>
        <v>কৃষক</v>
      </c>
      <c r="I75" s="1" t="str">
        <f>IFERROR(__xludf.DUMMYFUNCTION("""COMPUTED_VALUE"""),"""দঃ তেতুল বাড়িয়া")</f>
        <v>"দঃ তেতুল বাড়িয়া</v>
      </c>
      <c r="J75" s="1" t="str">
        <f>IFERROR(__xludf.DUMMYFUNCTION("""COMPUTED_VALUE""")," গাংনী")</f>
        <v> গাংনী</v>
      </c>
      <c r="K75" s="1" t="str">
        <f>IFERROR(__xludf.DUMMYFUNCTION("""COMPUTED_VALUE""")," মেহেরপুর""")</f>
        <v> মেহেরপুর"</v>
      </c>
    </row>
    <row r="76" ht="15.75" customHeight="1">
      <c r="A76" s="5" t="s">
        <v>978</v>
      </c>
      <c r="B76" s="1">
        <f>IFERROR(__xludf.DUMMYFUNCTION("SPLIT(A76,"","")"),76.0)</f>
        <v>76</v>
      </c>
      <c r="C76" s="1" t="str">
        <f>IFERROR(__xludf.DUMMYFUNCTION("""COMPUTED_VALUE"""),"মোঃ বকুল হোসেন")</f>
        <v>মোঃ বকুল হোসেন</v>
      </c>
      <c r="D76" s="1">
        <f>IFERROR(__xludf.DUMMYFUNCTION("""COMPUTED_VALUE"""),5.70053374494E11)</f>
        <v>570053374494</v>
      </c>
      <c r="E76" s="1" t="str">
        <f>IFERROR(__xludf.DUMMYFUNCTION("""COMPUTED_VALUE"""),"হাবেজ উদ্দীন")</f>
        <v>হাবেজ উদ্দীন</v>
      </c>
      <c r="F76" s="1" t="str">
        <f>IFERROR(__xludf.DUMMYFUNCTION("""COMPUTED_VALUE"""),"মোছাঃ লাহেলা খাতুন")</f>
        <v>মোছাঃ লাহেলা খাতুন</v>
      </c>
      <c r="G76" s="1" t="str">
        <f>IFERROR(__xludf.DUMMYFUNCTION("""COMPUTED_VALUE"""),"২০/১১/১৯৬৭")</f>
        <v>২০/১১/১৯৬৭</v>
      </c>
      <c r="H76" s="1" t="str">
        <f>IFERROR(__xludf.DUMMYFUNCTION("""COMPUTED_VALUE"""),"কৃষক")</f>
        <v>কৃষক</v>
      </c>
      <c r="I76" s="1" t="str">
        <f>IFERROR(__xludf.DUMMYFUNCTION("""COMPUTED_VALUE"""),"""দক্ষিন তেতুল বাড়িয়া")</f>
        <v>"দক্ষিন তেতুল বাড়িয়া</v>
      </c>
      <c r="J76" s="1" t="str">
        <f>IFERROR(__xludf.DUMMYFUNCTION("""COMPUTED_VALUE""")," গাংনী")</f>
        <v> গাংনী</v>
      </c>
      <c r="K76" s="1" t="str">
        <f>IFERROR(__xludf.DUMMYFUNCTION("""COMPUTED_VALUE""")," মেহেরপুর""")</f>
        <v> মেহেরপুর"</v>
      </c>
    </row>
    <row r="77" ht="15.75" customHeight="1">
      <c r="A77" s="5" t="s">
        <v>979</v>
      </c>
      <c r="B77" s="1">
        <f>IFERROR(__xludf.DUMMYFUNCTION("SPLIT(A77,"","")"),77.0)</f>
        <v>77</v>
      </c>
      <c r="C77" s="1" t="str">
        <f>IFERROR(__xludf.DUMMYFUNCTION("""COMPUTED_VALUE"""),"মোঃ আলফাজ")</f>
        <v>মোঃ আলফাজ</v>
      </c>
      <c r="D77" s="1">
        <f>IFERROR(__xludf.DUMMYFUNCTION("""COMPUTED_VALUE"""),5.70053374496E11)</f>
        <v>570053374496</v>
      </c>
      <c r="E77" s="1" t="str">
        <f>IFERROR(__xludf.DUMMYFUNCTION("""COMPUTED_VALUE"""),"রবজেল")</f>
        <v>রবজেল</v>
      </c>
      <c r="F77" s="1" t="str">
        <f>IFERROR(__xludf.DUMMYFUNCTION("""COMPUTED_VALUE"""),"মোছাঃ মনোয়ারা")</f>
        <v>মোছাঃ মনোয়ারা</v>
      </c>
      <c r="G77" s="1" t="str">
        <f>IFERROR(__xludf.DUMMYFUNCTION("""COMPUTED_VALUE"""),"০১/০১/১৯৯০")</f>
        <v>০১/০১/১৯৯০</v>
      </c>
      <c r="H77" s="1" t="str">
        <f>IFERROR(__xludf.DUMMYFUNCTION("""COMPUTED_VALUE"""),"কৃষক")</f>
        <v>কৃষক</v>
      </c>
      <c r="I77" s="1" t="str">
        <f>IFERROR(__xludf.DUMMYFUNCTION("""COMPUTED_VALUE"""),"""দঃ তেতুলবাড়িয়া")</f>
        <v>"দঃ তেতুলবাড়িয়া</v>
      </c>
      <c r="J77" s="1" t="str">
        <f>IFERROR(__xludf.DUMMYFUNCTION("""COMPUTED_VALUE""")," গাংনী")</f>
        <v> গাংনী</v>
      </c>
      <c r="K77" s="1" t="str">
        <f>IFERROR(__xludf.DUMMYFUNCTION("""COMPUTED_VALUE""")," মেহেরপুর""")</f>
        <v> মেহেরপুর"</v>
      </c>
    </row>
    <row r="78" ht="15.75" customHeight="1">
      <c r="A78" s="5" t="s">
        <v>980</v>
      </c>
      <c r="B78" s="1">
        <f>IFERROR(__xludf.DUMMYFUNCTION("SPLIT(A78,"","")"),78.0)</f>
        <v>78</v>
      </c>
      <c r="C78" s="1" t="str">
        <f>IFERROR(__xludf.DUMMYFUNCTION("""COMPUTED_VALUE"""),"মোঃ জিনারুল")</f>
        <v>মোঃ জিনারুল</v>
      </c>
      <c r="D78" s="1">
        <f>IFERROR(__xludf.DUMMYFUNCTION("""COMPUTED_VALUE"""),5.70053374497E11)</f>
        <v>570053374497</v>
      </c>
      <c r="E78" s="1" t="str">
        <f>IFERROR(__xludf.DUMMYFUNCTION("""COMPUTED_VALUE"""),"মোঃ মসলেম আলী")</f>
        <v>মোঃ মসলেম আলী</v>
      </c>
      <c r="F78" s="1" t="str">
        <f>IFERROR(__xludf.DUMMYFUNCTION("""COMPUTED_VALUE"""),"মোছাঃ জবেদা খাতুন")</f>
        <v>মোছাঃ জবেদা খাতুন</v>
      </c>
      <c r="G78" s="1" t="str">
        <f>IFERROR(__xludf.DUMMYFUNCTION("""COMPUTED_VALUE"""),"১২/০২/১৯৮৭")</f>
        <v>১২/০২/১৯৮৭</v>
      </c>
      <c r="H78" s="1" t="str">
        <f>IFERROR(__xludf.DUMMYFUNCTION("""COMPUTED_VALUE"""),"শ্রমিক")</f>
        <v>শ্রমিক</v>
      </c>
      <c r="I78" s="1" t="str">
        <f>IFERROR(__xludf.DUMMYFUNCTION("""COMPUTED_VALUE"""),"""দক্ষিন তেঁতুলবাড়িয়া")</f>
        <v>"দক্ষিন তেঁতুলবাড়িয়া</v>
      </c>
      <c r="J78" s="1" t="str">
        <f>IFERROR(__xludf.DUMMYFUNCTION("""COMPUTED_VALUE""")," গাংনী")</f>
        <v> গাংনী</v>
      </c>
      <c r="K78" s="1" t="str">
        <f>IFERROR(__xludf.DUMMYFUNCTION("""COMPUTED_VALUE""")," মেহেরপুর""")</f>
        <v> মেহেরপুর"</v>
      </c>
    </row>
    <row r="79" ht="15.75" customHeight="1">
      <c r="A79" s="5" t="s">
        <v>981</v>
      </c>
      <c r="B79" s="1">
        <f>IFERROR(__xludf.DUMMYFUNCTION("SPLIT(A79,"","")"),79.0)</f>
        <v>79</v>
      </c>
      <c r="C79" s="1" t="str">
        <f>IFERROR(__xludf.DUMMYFUNCTION("""COMPUTED_VALUE"""),"মোঃ শামসুল হুদা")</f>
        <v>মোঃ শামসুল হুদা</v>
      </c>
      <c r="D79" s="1">
        <f>IFERROR(__xludf.DUMMYFUNCTION("""COMPUTED_VALUE"""),5.70053374545E11)</f>
        <v>570053374545</v>
      </c>
      <c r="E79" s="1" t="str">
        <f>IFERROR(__xludf.DUMMYFUNCTION("""COMPUTED_VALUE"""),"মফেজ উদ্দীন")</f>
        <v>মফেজ উদ্দীন</v>
      </c>
      <c r="F79" s="1" t="str">
        <f>IFERROR(__xludf.DUMMYFUNCTION("""COMPUTED_VALUE"""),"মোছাঃ সহিতেন নেছা")</f>
        <v>মোছাঃ সহিতেন নেছা</v>
      </c>
      <c r="G79" s="1" t="str">
        <f>IFERROR(__xludf.DUMMYFUNCTION("""COMPUTED_VALUE"""),"২৫/১০/১৯৫৯")</f>
        <v>২৫/১০/১৯৫৯</v>
      </c>
      <c r="H79" s="1" t="str">
        <f>IFERROR(__xludf.DUMMYFUNCTION("""COMPUTED_VALUE"""),"দিনমজুর")</f>
        <v>দিনমজুর</v>
      </c>
      <c r="I79" s="1" t="str">
        <f>IFERROR(__xludf.DUMMYFUNCTION("""COMPUTED_VALUE"""),"""দঃ তেতুল বাড়িয়া")</f>
        <v>"দঃ তেতুল বাড়িয়া</v>
      </c>
      <c r="J79" s="1" t="str">
        <f>IFERROR(__xludf.DUMMYFUNCTION("""COMPUTED_VALUE""")," গাংনী")</f>
        <v> গাংনী</v>
      </c>
      <c r="K79" s="1" t="str">
        <f>IFERROR(__xludf.DUMMYFUNCTION("""COMPUTED_VALUE""")," মেহেরপুর""")</f>
        <v> মেহেরপুর"</v>
      </c>
    </row>
    <row r="80" ht="15.75" customHeight="1">
      <c r="A80" s="5" t="s">
        <v>982</v>
      </c>
      <c r="B80" s="1">
        <f>IFERROR(__xludf.DUMMYFUNCTION("SPLIT(A80,"","")"),80.0)</f>
        <v>80</v>
      </c>
      <c r="C80" s="1" t="str">
        <f>IFERROR(__xludf.DUMMYFUNCTION("""COMPUTED_VALUE"""),"মোঃ বদরুদ্দীন")</f>
        <v>মোঃ বদরুদ্দীন</v>
      </c>
      <c r="D80" s="1">
        <f>IFERROR(__xludf.DUMMYFUNCTION("""COMPUTED_VALUE"""),5.70053374556E11)</f>
        <v>570053374556</v>
      </c>
      <c r="E80" s="1" t="str">
        <f>IFERROR(__xludf.DUMMYFUNCTION("""COMPUTED_VALUE"""),"দুখি মন্ডল")</f>
        <v>দুখি মন্ডল</v>
      </c>
      <c r="F80" s="1" t="str">
        <f>IFERROR(__xludf.DUMMYFUNCTION("""COMPUTED_VALUE"""),"মোছাঃ ছারা খাতুন")</f>
        <v>মোছাঃ ছারা খাতুন</v>
      </c>
      <c r="G80" s="1" t="str">
        <f>IFERROR(__xludf.DUMMYFUNCTION("""COMPUTED_VALUE"""),"১৫/০৫/১৯৫৯")</f>
        <v>১৫/০৫/১৯৫৯</v>
      </c>
      <c r="H80" s="1" t="str">
        <f>IFERROR(__xludf.DUMMYFUNCTION("""COMPUTED_VALUE"""),"কৃষক")</f>
        <v>কৃষক</v>
      </c>
      <c r="I80" s="1" t="str">
        <f>IFERROR(__xludf.DUMMYFUNCTION("""COMPUTED_VALUE"""),"""দঃ তেতুল বাড়িয়া")</f>
        <v>"দঃ তেতুল বাড়িয়া</v>
      </c>
      <c r="J80" s="1" t="str">
        <f>IFERROR(__xludf.DUMMYFUNCTION("""COMPUTED_VALUE""")," গাংনী")</f>
        <v> গাংনী</v>
      </c>
      <c r="K80" s="1" t="str">
        <f>IFERROR(__xludf.DUMMYFUNCTION("""COMPUTED_VALUE""")," মেহেরপুর""")</f>
        <v> মেহেরপুর"</v>
      </c>
    </row>
    <row r="81" ht="15.75" customHeight="1">
      <c r="A81" s="5" t="s">
        <v>983</v>
      </c>
      <c r="B81" s="1">
        <f>IFERROR(__xludf.DUMMYFUNCTION("SPLIT(A81,"","")"),81.0)</f>
        <v>81</v>
      </c>
      <c r="C81" s="1" t="str">
        <f>IFERROR(__xludf.DUMMYFUNCTION("""COMPUTED_VALUE"""),"মোঃ আনেচ উদ্দীন")</f>
        <v>মোঃ আনেচ উদ্দীন</v>
      </c>
      <c r="D81" s="1">
        <f>IFERROR(__xludf.DUMMYFUNCTION("""COMPUTED_VALUE"""),5.70053374562E11)</f>
        <v>570053374562</v>
      </c>
      <c r="E81" s="1" t="str">
        <f>IFERROR(__xludf.DUMMYFUNCTION("""COMPUTED_VALUE"""),"আলি হোসেন")</f>
        <v>আলি হোসেন</v>
      </c>
      <c r="F81" s="1" t="str">
        <f>IFERROR(__xludf.DUMMYFUNCTION("""COMPUTED_VALUE"""),"মোছাঃ ছকিনা খাতুন")</f>
        <v>মোছাঃ ছকিনা খাতুন</v>
      </c>
      <c r="G81" s="1" t="str">
        <f>IFERROR(__xludf.DUMMYFUNCTION("""COMPUTED_VALUE"""),"২০/০৮/১৯৭২")</f>
        <v>২০/০৮/১৯৭২</v>
      </c>
      <c r="H81" s="1" t="str">
        <f>IFERROR(__xludf.DUMMYFUNCTION("""COMPUTED_VALUE"""),"কৃষক")</f>
        <v>কৃষক</v>
      </c>
      <c r="I81" s="1" t="str">
        <f>IFERROR(__xludf.DUMMYFUNCTION("""COMPUTED_VALUE"""),"""দক্ষিণ তেঁতুলবাড়িয়া")</f>
        <v>"দক্ষিণ তেঁতুলবাড়িয়া</v>
      </c>
      <c r="J81" s="1" t="str">
        <f>IFERROR(__xludf.DUMMYFUNCTION("""COMPUTED_VALUE""")," গাংনী")</f>
        <v> গাংনী</v>
      </c>
      <c r="K81" s="1" t="str">
        <f>IFERROR(__xludf.DUMMYFUNCTION("""COMPUTED_VALUE""")," মেহেরপুর""")</f>
        <v> মেহেরপুর"</v>
      </c>
    </row>
    <row r="82" ht="15.75" customHeight="1">
      <c r="A82" s="5" t="s">
        <v>984</v>
      </c>
      <c r="B82" s="1">
        <f>IFERROR(__xludf.DUMMYFUNCTION("SPLIT(A82,"","")"),82.0)</f>
        <v>82</v>
      </c>
      <c r="C82" s="1" t="str">
        <f>IFERROR(__xludf.DUMMYFUNCTION("""COMPUTED_VALUE"""),"মোঃ লাল্টু")</f>
        <v>মোঃ লাল্টু</v>
      </c>
      <c r="D82" s="1">
        <f>IFERROR(__xludf.DUMMYFUNCTION("""COMPUTED_VALUE"""),5.70053374565E11)</f>
        <v>570053374565</v>
      </c>
      <c r="E82" s="1" t="str">
        <f>IFERROR(__xludf.DUMMYFUNCTION("""COMPUTED_VALUE"""),"মোঃ বিশারত আলী")</f>
        <v>মোঃ বিশারত আলী</v>
      </c>
      <c r="F82" s="1" t="str">
        <f>IFERROR(__xludf.DUMMYFUNCTION("""COMPUTED_VALUE"""),"মোছাঃ সাজেদা খাতুন")</f>
        <v>মোছাঃ সাজেদা খাতুন</v>
      </c>
      <c r="G82" s="1" t="str">
        <f>IFERROR(__xludf.DUMMYFUNCTION("""COMPUTED_VALUE"""),"১০/০৯/১৯৮২")</f>
        <v>১০/০৯/১৯৮২</v>
      </c>
      <c r="H82" s="1" t="str">
        <f>IFERROR(__xludf.DUMMYFUNCTION("""COMPUTED_VALUE"""),"কৃষক")</f>
        <v>কৃষক</v>
      </c>
      <c r="I82" s="1" t="str">
        <f>IFERROR(__xludf.DUMMYFUNCTION("""COMPUTED_VALUE"""),"""দক্ষিণ তেঁতুলবাড়িয়া")</f>
        <v>"দক্ষিণ তেঁতুলবাড়িয়া</v>
      </c>
      <c r="J82" s="1" t="str">
        <f>IFERROR(__xludf.DUMMYFUNCTION("""COMPUTED_VALUE""")," গাংনী")</f>
        <v> গাংনী</v>
      </c>
      <c r="K82" s="1" t="str">
        <f>IFERROR(__xludf.DUMMYFUNCTION("""COMPUTED_VALUE""")," মেহেরপুর""")</f>
        <v> মেহেরপুর"</v>
      </c>
    </row>
    <row r="83" ht="15.75" customHeight="1">
      <c r="A83" s="5" t="s">
        <v>985</v>
      </c>
      <c r="B83" s="1">
        <f>IFERROR(__xludf.DUMMYFUNCTION("SPLIT(A83,"","")"),83.0)</f>
        <v>83</v>
      </c>
      <c r="C83" s="1" t="str">
        <f>IFERROR(__xludf.DUMMYFUNCTION("""COMPUTED_VALUE"""),"মোঃ হেলাল উদ্দিন")</f>
        <v>মোঃ হেলাল উদ্দিন</v>
      </c>
      <c r="D83" s="1">
        <f>IFERROR(__xludf.DUMMYFUNCTION("""COMPUTED_VALUE"""),5.70053374568E11)</f>
        <v>570053374568</v>
      </c>
      <c r="E83" s="1" t="str">
        <f>IFERROR(__xludf.DUMMYFUNCTION("""COMPUTED_VALUE"""),"মোঃ বদর উদ্দীন")</f>
        <v>মোঃ বদর উদ্দীন</v>
      </c>
      <c r="F83" s="1" t="str">
        <f>IFERROR(__xludf.DUMMYFUNCTION("""COMPUTED_VALUE"""),"মোছাঃ তহমিনা খাতুন")</f>
        <v>মোছাঃ তহমিনা খাতুন</v>
      </c>
      <c r="G83" s="1" t="str">
        <f>IFERROR(__xludf.DUMMYFUNCTION("""COMPUTED_VALUE"""),"১০/০৫/১৯৮২")</f>
        <v>১০/০৫/১৯৮২</v>
      </c>
      <c r="H83" s="1" t="str">
        <f>IFERROR(__xludf.DUMMYFUNCTION("""COMPUTED_VALUE"""),"কৃষক")</f>
        <v>কৃষক</v>
      </c>
      <c r="I83" s="1" t="str">
        <f>IFERROR(__xludf.DUMMYFUNCTION("""COMPUTED_VALUE"""),"""দক্ষিণ তেঁতুলবাড়িয়া")</f>
        <v>"দক্ষিণ তেঁতুলবাড়িয়া</v>
      </c>
      <c r="J83" s="1" t="str">
        <f>IFERROR(__xludf.DUMMYFUNCTION("""COMPUTED_VALUE""")," গাংনী")</f>
        <v> গাংনী</v>
      </c>
      <c r="K83" s="1" t="str">
        <f>IFERROR(__xludf.DUMMYFUNCTION("""COMPUTED_VALUE""")," মেহেরপুর""")</f>
        <v> মেহেরপুর"</v>
      </c>
    </row>
    <row r="84" ht="15.75" customHeight="1">
      <c r="A84" s="5" t="s">
        <v>986</v>
      </c>
      <c r="B84" s="1">
        <f>IFERROR(__xludf.DUMMYFUNCTION("SPLIT(A84,"","")"),85.0)</f>
        <v>85</v>
      </c>
      <c r="C84" s="1" t="str">
        <f>IFERROR(__xludf.DUMMYFUNCTION("""COMPUTED_VALUE"""),"মোঃ মজিবুর রহমান")</f>
        <v>মোঃ মজিবুর রহমান</v>
      </c>
      <c r="D84" s="1">
        <f>IFERROR(__xludf.DUMMYFUNCTION("""COMPUTED_VALUE"""),5.70053374657E11)</f>
        <v>570053374657</v>
      </c>
      <c r="E84" s="1" t="str">
        <f>IFERROR(__xludf.DUMMYFUNCTION("""COMPUTED_VALUE"""),"রহিম বক্স")</f>
        <v>রহিম বক্স</v>
      </c>
      <c r="F84" s="1" t="str">
        <f>IFERROR(__xludf.DUMMYFUNCTION("""COMPUTED_VALUE"""),"মোছাঃ ওবিছুন নেছা")</f>
        <v>মোছাঃ ওবিছুন নেছা</v>
      </c>
      <c r="G84" s="1" t="str">
        <f>IFERROR(__xludf.DUMMYFUNCTION("""COMPUTED_VALUE"""),"১২/০৮/১৯৬২")</f>
        <v>১২/০৮/১৯৬২</v>
      </c>
      <c r="H84" s="1" t="str">
        <f>IFERROR(__xludf.DUMMYFUNCTION("""COMPUTED_VALUE"""),"কৃষক")</f>
        <v>কৃষক</v>
      </c>
      <c r="I84" s="1" t="str">
        <f>IFERROR(__xludf.DUMMYFUNCTION("""COMPUTED_VALUE"""),"""দক্ষিণ তেঁতুলবাড়িয়া")</f>
        <v>"দক্ষিণ তেঁতুলবাড়িয়া</v>
      </c>
      <c r="J84" s="1" t="str">
        <f>IFERROR(__xludf.DUMMYFUNCTION("""COMPUTED_VALUE""")," গাংনী")</f>
        <v> গাংনী</v>
      </c>
      <c r="K84" s="1" t="str">
        <f>IFERROR(__xludf.DUMMYFUNCTION("""COMPUTED_VALUE""")," মেহেরপুর""")</f>
        <v> মেহেরপুর"</v>
      </c>
    </row>
    <row r="85" ht="15.75" customHeight="1">
      <c r="A85" s="5" t="s">
        <v>987</v>
      </c>
      <c r="B85" s="1">
        <f>IFERROR(__xludf.DUMMYFUNCTION("SPLIT(A85,"","")"),86.0)</f>
        <v>86</v>
      </c>
      <c r="C85" s="1" t="str">
        <f>IFERROR(__xludf.DUMMYFUNCTION("""COMPUTED_VALUE"""),"মোঃ লাল্টু")</f>
        <v>মোঃ লাল্টু</v>
      </c>
      <c r="D85" s="1">
        <f>IFERROR(__xludf.DUMMYFUNCTION("""COMPUTED_VALUE"""),5.70053374658E11)</f>
        <v>570053374658</v>
      </c>
      <c r="E85" s="1" t="str">
        <f>IFERROR(__xludf.DUMMYFUNCTION("""COMPUTED_VALUE"""),"মোঃ শামসুল হক")</f>
        <v>মোঃ শামসুল হক</v>
      </c>
      <c r="F85" s="1" t="str">
        <f>IFERROR(__xludf.DUMMYFUNCTION("""COMPUTED_VALUE"""),"মোছাঃ মারজিয়া খাতুন")</f>
        <v>মোছাঃ মারজিয়া খাতুন</v>
      </c>
      <c r="G85" s="1" t="str">
        <f>IFERROR(__xludf.DUMMYFUNCTION("""COMPUTED_VALUE"""),"১৫/১০/১৯৭৭")</f>
        <v>১৫/১০/১৯৭৭</v>
      </c>
      <c r="H85" s="1" t="str">
        <f>IFERROR(__xludf.DUMMYFUNCTION("""COMPUTED_VALUE"""),"মিস্ত্রী")</f>
        <v>মিস্ত্রী</v>
      </c>
      <c r="I85" s="1" t="str">
        <f>IFERROR(__xludf.DUMMYFUNCTION("""COMPUTED_VALUE"""),"""দক্ষিণ তেঁতুলবাড়িয়া")</f>
        <v>"দক্ষিণ তেঁতুলবাড়িয়া</v>
      </c>
      <c r="J85" s="1" t="str">
        <f>IFERROR(__xludf.DUMMYFUNCTION("""COMPUTED_VALUE""")," গাংনী")</f>
        <v> গাংনী</v>
      </c>
      <c r="K85" s="1" t="str">
        <f>IFERROR(__xludf.DUMMYFUNCTION("""COMPUTED_VALUE""")," মেহেরপুর""")</f>
        <v> মেহেরপুর"</v>
      </c>
    </row>
    <row r="86" ht="15.75" customHeight="1">
      <c r="A86" s="5" t="s">
        <v>988</v>
      </c>
      <c r="B86" s="1">
        <f>IFERROR(__xludf.DUMMYFUNCTION("SPLIT(A86,"","")"),87.0)</f>
        <v>87</v>
      </c>
      <c r="C86" s="1" t="str">
        <f>IFERROR(__xludf.DUMMYFUNCTION("""COMPUTED_VALUE"""),"মোঃ লালু মিয়া")</f>
        <v>মোঃ লালু মিয়া</v>
      </c>
      <c r="D86" s="1">
        <f>IFERROR(__xludf.DUMMYFUNCTION("""COMPUTED_VALUE"""),5.70053000001E11)</f>
        <v>570053000001</v>
      </c>
      <c r="E86" s="1" t="str">
        <f>IFERROR(__xludf.DUMMYFUNCTION("""COMPUTED_VALUE"""),"মোঃ চায়েন উদ্দীন")</f>
        <v>মোঃ চায়েন উদ্দীন</v>
      </c>
      <c r="F86" s="1" t="str">
        <f>IFERROR(__xludf.DUMMYFUNCTION("""COMPUTED_VALUE"""),"মোছাঃ রেফুল খাতুন")</f>
        <v>মোছাঃ রেফুল খাতুন</v>
      </c>
      <c r="G86" s="1" t="str">
        <f>IFERROR(__xludf.DUMMYFUNCTION("""COMPUTED_VALUE"""),"১২/০৮/১৯৯১")</f>
        <v>১২/০৮/১৯৯১</v>
      </c>
      <c r="H86" s="1" t="str">
        <f>IFERROR(__xludf.DUMMYFUNCTION("""COMPUTED_VALUE"""),"কৃষক")</f>
        <v>কৃষক</v>
      </c>
      <c r="I86" s="1" t="str">
        <f>IFERROR(__xludf.DUMMYFUNCTION("""COMPUTED_VALUE"""),"""দক্ষিণ তেঁতুলবাড়ীয়া")</f>
        <v>"দক্ষিণ তেঁতুলবাড়ীয়া</v>
      </c>
      <c r="J86" s="1" t="str">
        <f>IFERROR(__xludf.DUMMYFUNCTION("""COMPUTED_VALUE""")," গাংনী")</f>
        <v> গাংনী</v>
      </c>
      <c r="K86" s="1" t="str">
        <f>IFERROR(__xludf.DUMMYFUNCTION("""COMPUTED_VALUE""")," মেহেরপুর""")</f>
        <v> মেহেরপুর"</v>
      </c>
    </row>
    <row r="87" ht="15.75" customHeight="1">
      <c r="A87" s="5" t="s">
        <v>989</v>
      </c>
      <c r="B87" s="1">
        <f>IFERROR(__xludf.DUMMYFUNCTION("SPLIT(A87,"","")"),88.0)</f>
        <v>88</v>
      </c>
      <c r="C87" s="1" t="str">
        <f>IFERROR(__xludf.DUMMYFUNCTION("""COMPUTED_VALUE"""),"মোঃ আশরাফুল ইসলাম")</f>
        <v>মোঃ আশরাফুল ইসলাম</v>
      </c>
      <c r="D87" s="1">
        <f>IFERROR(__xludf.DUMMYFUNCTION("""COMPUTED_VALUE"""),5.70053000002E11)</f>
        <v>570053000002</v>
      </c>
      <c r="E87" s="1" t="str">
        <f>IFERROR(__xludf.DUMMYFUNCTION("""COMPUTED_VALUE"""),"মোঃ রুস্তম আলী")</f>
        <v>মোঃ রুস্তম আলী</v>
      </c>
      <c r="F87" s="1" t="str">
        <f>IFERROR(__xludf.DUMMYFUNCTION("""COMPUTED_VALUE"""),"মোছাঃ আশুরা খাতুন")</f>
        <v>মোছাঃ আশুরা খাতুন</v>
      </c>
      <c r="G87" s="1" t="str">
        <f>IFERROR(__xludf.DUMMYFUNCTION("""COMPUTED_VALUE"""),"১১/০৯/১৯৯১")</f>
        <v>১১/০৯/১৯৯১</v>
      </c>
      <c r="H87" s="1" t="str">
        <f>IFERROR(__xludf.DUMMYFUNCTION("""COMPUTED_VALUE"""),"কৃষক")</f>
        <v>কৃষক</v>
      </c>
      <c r="I87" s="1" t="str">
        <f>IFERROR(__xludf.DUMMYFUNCTION("""COMPUTED_VALUE"""),"""দক্ষিণ তেঁতুলবাড়ীয়া")</f>
        <v>"দক্ষিণ তেঁতুলবাড়ীয়া</v>
      </c>
      <c r="J87" s="1" t="str">
        <f>IFERROR(__xludf.DUMMYFUNCTION("""COMPUTED_VALUE""")," গাংনী")</f>
        <v> গাংনী</v>
      </c>
      <c r="K87" s="1" t="str">
        <f>IFERROR(__xludf.DUMMYFUNCTION("""COMPUTED_VALUE""")," মেহেরপুর""")</f>
        <v> মেহেরপুর"</v>
      </c>
    </row>
    <row r="88" ht="15.75" customHeight="1">
      <c r="A88" s="5" t="s">
        <v>990</v>
      </c>
      <c r="B88" s="1">
        <f>IFERROR(__xludf.DUMMYFUNCTION("SPLIT(A88,"","")"),89.0)</f>
        <v>89</v>
      </c>
      <c r="C88" s="1" t="str">
        <f>IFERROR(__xludf.DUMMYFUNCTION("""COMPUTED_VALUE"""),"মোঃ জসিম উদ্দীন")</f>
        <v>মোঃ জসিম উদ্দীন</v>
      </c>
      <c r="D88" s="1">
        <f>IFERROR(__xludf.DUMMYFUNCTION("""COMPUTED_VALUE"""),5.70053000006E11)</f>
        <v>570053000006</v>
      </c>
      <c r="E88" s="1" t="str">
        <f>IFERROR(__xludf.DUMMYFUNCTION("""COMPUTED_VALUE"""),"মোঃ সোহরাব হোসেন")</f>
        <v>মোঃ সোহরাব হোসেন</v>
      </c>
      <c r="F88" s="1" t="str">
        <f>IFERROR(__xludf.DUMMYFUNCTION("""COMPUTED_VALUE"""),"মোছাঃ ফুলছুরা")</f>
        <v>মোছাঃ ফুলছুরা</v>
      </c>
      <c r="G88" s="1" t="str">
        <f>IFERROR(__xludf.DUMMYFUNCTION("""COMPUTED_VALUE"""),"১৫/১০/১৯৮৯")</f>
        <v>১৫/১০/১৯৮৯</v>
      </c>
      <c r="H88" s="1" t="str">
        <f>IFERROR(__xludf.DUMMYFUNCTION("""COMPUTED_VALUE"""),"কৃষক")</f>
        <v>কৃষক</v>
      </c>
      <c r="I88" s="1" t="str">
        <f>IFERROR(__xludf.DUMMYFUNCTION("""COMPUTED_VALUE"""),"""দক্ষিণ তেঁতুলবাড়ীয়া")</f>
        <v>"দক্ষিণ তেঁতুলবাড়ীয়া</v>
      </c>
      <c r="J88" s="1" t="str">
        <f>IFERROR(__xludf.DUMMYFUNCTION("""COMPUTED_VALUE""")," গাংনী")</f>
        <v> গাংনী</v>
      </c>
      <c r="K88" s="1" t="str">
        <f>IFERROR(__xludf.DUMMYFUNCTION("""COMPUTED_VALUE""")," মেহেরপুর""")</f>
        <v> মেহেরপুর"</v>
      </c>
    </row>
    <row r="89" ht="15.75" customHeight="1">
      <c r="A89" s="5" t="s">
        <v>991</v>
      </c>
      <c r="B89" s="1">
        <f>IFERROR(__xludf.DUMMYFUNCTION("SPLIT(A89,"","")"),90.0)</f>
        <v>90</v>
      </c>
      <c r="C89" s="1" t="str">
        <f>IFERROR(__xludf.DUMMYFUNCTION("""COMPUTED_VALUE"""),"মোঃ ইসরাফিল হোসেন")</f>
        <v>মোঃ ইসরাফিল হোসেন</v>
      </c>
      <c r="D89" s="1">
        <f>IFERROR(__xludf.DUMMYFUNCTION("""COMPUTED_VALUE"""),5.70053000007E11)</f>
        <v>570053000007</v>
      </c>
      <c r="E89" s="1" t="str">
        <f>IFERROR(__xludf.DUMMYFUNCTION("""COMPUTED_VALUE"""),"মোঃ আত্তাব আলি")</f>
        <v>মোঃ আত্তাব আলি</v>
      </c>
      <c r="F89" s="1" t="str">
        <f>IFERROR(__xludf.DUMMYFUNCTION("""COMPUTED_VALUE"""),"মোছাঃ রাশিয় খাতুন")</f>
        <v>মোছাঃ রাশিয় খাতুন</v>
      </c>
      <c r="G89" s="1" t="str">
        <f>IFERROR(__xludf.DUMMYFUNCTION("""COMPUTED_VALUE"""),"১২/০২/১৯৮৯")</f>
        <v>১২/০২/১৯৮৯</v>
      </c>
      <c r="H89" s="1" t="str">
        <f>IFERROR(__xludf.DUMMYFUNCTION("""COMPUTED_VALUE"""),"কৃষক")</f>
        <v>কৃষক</v>
      </c>
      <c r="I89" s="1" t="str">
        <f>IFERROR(__xludf.DUMMYFUNCTION("""COMPUTED_VALUE"""),"""দক্ষিণ তেঁতুলবাড়ীয়া")</f>
        <v>"দক্ষিণ তেঁতুলবাড়ীয়া</v>
      </c>
      <c r="J89" s="1" t="str">
        <f>IFERROR(__xludf.DUMMYFUNCTION("""COMPUTED_VALUE""")," গাংনী")</f>
        <v> গাংনী</v>
      </c>
      <c r="K89" s="1" t="str">
        <f>IFERROR(__xludf.DUMMYFUNCTION("""COMPUTED_VALUE""")," মেহেরপুর""")</f>
        <v> মেহেরপুর"</v>
      </c>
    </row>
    <row r="90" ht="15.75" customHeight="1">
      <c r="A90" s="5" t="s">
        <v>992</v>
      </c>
      <c r="B90" s="1">
        <f>IFERROR(__xludf.DUMMYFUNCTION("SPLIT(A90,"","")"),91.0)</f>
        <v>91</v>
      </c>
      <c r="C90" s="1" t="str">
        <f>IFERROR(__xludf.DUMMYFUNCTION("""COMPUTED_VALUE"""),"মোঃ নাজমুল ইসলাম")</f>
        <v>মোঃ নাজমুল ইসলাম</v>
      </c>
      <c r="D90" s="1">
        <f>IFERROR(__xludf.DUMMYFUNCTION("""COMPUTED_VALUE"""),5.70053000008E11)</f>
        <v>570053000008</v>
      </c>
      <c r="E90" s="1" t="str">
        <f>IFERROR(__xludf.DUMMYFUNCTION("""COMPUTED_VALUE"""),"মোঃ মনিরুল ইসলাম")</f>
        <v>মোঃ মনিরুল ইসলাম</v>
      </c>
      <c r="F90" s="1" t="str">
        <f>IFERROR(__xludf.DUMMYFUNCTION("""COMPUTED_VALUE"""),"মোছাঃ ফুলজান")</f>
        <v>মোছাঃ ফুলজান</v>
      </c>
      <c r="G90" s="1" t="str">
        <f>IFERROR(__xludf.DUMMYFUNCTION("""COMPUTED_VALUE"""),"০২/০১/১৯৯০")</f>
        <v>০২/০১/১৯৯০</v>
      </c>
      <c r="H90" s="1" t="str">
        <f>IFERROR(__xludf.DUMMYFUNCTION("""COMPUTED_VALUE"""),"কৃষক")</f>
        <v>কৃষক</v>
      </c>
      <c r="I90" s="1" t="str">
        <f>IFERROR(__xludf.DUMMYFUNCTION("""COMPUTED_VALUE"""),"""দক্ষিন তেঁতুলবাড়িয়া")</f>
        <v>"দক্ষিন তেঁতুলবাড়িয়া</v>
      </c>
      <c r="J90" s="1" t="str">
        <f>IFERROR(__xludf.DUMMYFUNCTION("""COMPUTED_VALUE""")," গাংনী")</f>
        <v> গাংনী</v>
      </c>
      <c r="K90" s="1" t="str">
        <f>IFERROR(__xludf.DUMMYFUNCTION("""COMPUTED_VALUE""")," মেহেরপুর""")</f>
        <v> মেহেরপুর"</v>
      </c>
    </row>
    <row r="91" ht="15.75" customHeight="1">
      <c r="A91" s="5" t="s">
        <v>993</v>
      </c>
      <c r="B91" s="1">
        <f>IFERROR(__xludf.DUMMYFUNCTION("SPLIT(A91,"","")"),92.0)</f>
        <v>92</v>
      </c>
      <c r="C91" s="1" t="str">
        <f>IFERROR(__xludf.DUMMYFUNCTION("""COMPUTED_VALUE"""),"মোঃ লিটন")</f>
        <v>মোঃ লিটন</v>
      </c>
      <c r="D91" s="1">
        <f>IFERROR(__xludf.DUMMYFUNCTION("""COMPUTED_VALUE"""),5.70053000009E11)</f>
        <v>570053000009</v>
      </c>
      <c r="E91" s="1" t="str">
        <f>IFERROR(__xludf.DUMMYFUNCTION("""COMPUTED_VALUE"""),"মোঃ মজিবুর রহমান")</f>
        <v>মোঃ মজিবুর রহমান</v>
      </c>
      <c r="F91" s="1" t="str">
        <f>IFERROR(__xludf.DUMMYFUNCTION("""COMPUTED_VALUE"""),"মোছাঃ পারুলা খাতুন")</f>
        <v>মোছাঃ পারুলা খাতুন</v>
      </c>
      <c r="G91" s="1" t="str">
        <f>IFERROR(__xludf.DUMMYFUNCTION("""COMPUTED_VALUE"""),"০৮/০৪/১৯৯০")</f>
        <v>০৮/০৪/১৯৯০</v>
      </c>
      <c r="H91" s="1" t="str">
        <f>IFERROR(__xludf.DUMMYFUNCTION("""COMPUTED_VALUE"""),"কৃষক")</f>
        <v>কৃষক</v>
      </c>
      <c r="I91" s="1" t="str">
        <f>IFERROR(__xludf.DUMMYFUNCTION("""COMPUTED_VALUE"""),"""দক্ষিন তেঁতুলবাড়িয়া")</f>
        <v>"দক্ষিন তেঁতুলবাড়িয়া</v>
      </c>
      <c r="J91" s="1" t="str">
        <f>IFERROR(__xludf.DUMMYFUNCTION("""COMPUTED_VALUE""")," গাংনী")</f>
        <v> গাংনী</v>
      </c>
      <c r="K91" s="1" t="str">
        <f>IFERROR(__xludf.DUMMYFUNCTION("""COMPUTED_VALUE""")," মেহেরপুর""")</f>
        <v> মেহেরপুর"</v>
      </c>
    </row>
    <row r="92" ht="15.75" customHeight="1">
      <c r="A92" s="5" t="s">
        <v>994</v>
      </c>
      <c r="B92" s="1">
        <f>IFERROR(__xludf.DUMMYFUNCTION("SPLIT(A92,"","")"),93.0)</f>
        <v>93</v>
      </c>
      <c r="C92" s="1" t="str">
        <f>IFERROR(__xludf.DUMMYFUNCTION("""COMPUTED_VALUE"""),"মোঃ মজিবুল ইসলাম")</f>
        <v>মোঃ মজিবুল ইসলাম</v>
      </c>
      <c r="D92" s="1">
        <f>IFERROR(__xludf.DUMMYFUNCTION("""COMPUTED_VALUE"""),5.7005300001E11)</f>
        <v>570053000010</v>
      </c>
      <c r="E92" s="1" t="str">
        <f>IFERROR(__xludf.DUMMYFUNCTION("""COMPUTED_VALUE"""),"মোঃ লিয়াকত আলী")</f>
        <v>মোঃ লিয়াকত আলী</v>
      </c>
      <c r="F92" s="1" t="str">
        <f>IFERROR(__xludf.DUMMYFUNCTION("""COMPUTED_VALUE"""),"মোছাঃ হাজেরা বেগম")</f>
        <v>মোছাঃ হাজেরা বেগম</v>
      </c>
      <c r="G92" s="1" t="str">
        <f>IFERROR(__xludf.DUMMYFUNCTION("""COMPUTED_VALUE"""),"০৭/০৮/১৯৯০")</f>
        <v>০৭/০৮/১৯৯০</v>
      </c>
      <c r="H92" s="1" t="str">
        <f>IFERROR(__xludf.DUMMYFUNCTION("""COMPUTED_VALUE"""),"কৃষক")</f>
        <v>কৃষক</v>
      </c>
      <c r="I92" s="1" t="str">
        <f>IFERROR(__xludf.DUMMYFUNCTION("""COMPUTED_VALUE"""),"""দক্ষিন তেঁতুলবাড়িয়া")</f>
        <v>"দক্ষিন তেঁতুলবাড়িয়া</v>
      </c>
      <c r="J92" s="1" t="str">
        <f>IFERROR(__xludf.DUMMYFUNCTION("""COMPUTED_VALUE""")," গাংনী")</f>
        <v> গাংনী</v>
      </c>
      <c r="K92" s="1" t="str">
        <f>IFERROR(__xludf.DUMMYFUNCTION("""COMPUTED_VALUE""")," মেহেরপুর""")</f>
        <v> মেহেরপুর"</v>
      </c>
    </row>
    <row r="93" ht="15.75" customHeight="1">
      <c r="A93" s="5" t="s">
        <v>995</v>
      </c>
      <c r="B93" s="1">
        <f>IFERROR(__xludf.DUMMYFUNCTION("SPLIT(A93,"","")"),94.0)</f>
        <v>94</v>
      </c>
      <c r="C93" s="1" t="str">
        <f>IFERROR(__xludf.DUMMYFUNCTION("""COMPUTED_VALUE"""),"মোঃ স্বপন আলী")</f>
        <v>মোঃ স্বপন আলী</v>
      </c>
      <c r="D93" s="1">
        <f>IFERROR(__xludf.DUMMYFUNCTION("""COMPUTED_VALUE"""),5.70053000013E11)</f>
        <v>570053000013</v>
      </c>
      <c r="E93" s="1" t="str">
        <f>IFERROR(__xludf.DUMMYFUNCTION("""COMPUTED_VALUE"""),"মোঃ তাহের আলী")</f>
        <v>মোঃ তাহের আলী</v>
      </c>
      <c r="F93" s="1" t="str">
        <f>IFERROR(__xludf.DUMMYFUNCTION("""COMPUTED_VALUE"""),"মোছাঃ ছহিরন খাতুন")</f>
        <v>মোছাঃ ছহিরন খাতুন</v>
      </c>
      <c r="G93" s="1" t="str">
        <f>IFERROR(__xludf.DUMMYFUNCTION("""COMPUTED_VALUE"""),"২০/০৬/১৯৮৯")</f>
        <v>২০/০৬/১৯৮৯</v>
      </c>
      <c r="H93" s="1" t="str">
        <f>IFERROR(__xludf.DUMMYFUNCTION("""COMPUTED_VALUE"""),"কৃষক")</f>
        <v>কৃষক</v>
      </c>
      <c r="I93" s="1" t="str">
        <f>IFERROR(__xludf.DUMMYFUNCTION("""COMPUTED_VALUE"""),"""দক্ষিন তেঁতুলবাড়িয়া")</f>
        <v>"দক্ষিন তেঁতুলবাড়িয়া</v>
      </c>
      <c r="J93" s="1" t="str">
        <f>IFERROR(__xludf.DUMMYFUNCTION("""COMPUTED_VALUE""")," গাংনী")</f>
        <v> গাংনী</v>
      </c>
      <c r="K93" s="1" t="str">
        <f>IFERROR(__xludf.DUMMYFUNCTION("""COMPUTED_VALUE""")," মেহেরপুর""")</f>
        <v> মেহেরপুর"</v>
      </c>
    </row>
    <row r="94" ht="15.75" customHeight="1">
      <c r="A94" s="5" t="s">
        <v>996</v>
      </c>
      <c r="B94" s="1">
        <f>IFERROR(__xludf.DUMMYFUNCTION("SPLIT(A94,"","")"),95.0)</f>
        <v>95</v>
      </c>
      <c r="C94" s="1" t="str">
        <f>IFERROR(__xludf.DUMMYFUNCTION("""COMPUTED_VALUE"""),"মোঃ সোহেল রানা")</f>
        <v>মোঃ সোহেল রানা</v>
      </c>
      <c r="D94" s="1">
        <f>IFERROR(__xludf.DUMMYFUNCTION("""COMPUTED_VALUE"""),5.70053000017E11)</f>
        <v>570053000017</v>
      </c>
      <c r="E94" s="1" t="str">
        <f>IFERROR(__xludf.DUMMYFUNCTION("""COMPUTED_VALUE"""),"মোঃ মোজাম্মেল হক")</f>
        <v>মোঃ মোজাম্মেল হক</v>
      </c>
      <c r="F94" s="1" t="str">
        <f>IFERROR(__xludf.DUMMYFUNCTION("""COMPUTED_VALUE"""),"মোছাঃ ফাতেমা খাতুন")</f>
        <v>মোছাঃ ফাতেমা খাতুন</v>
      </c>
      <c r="G94" s="1" t="str">
        <f>IFERROR(__xludf.DUMMYFUNCTION("""COMPUTED_VALUE"""),"২১/০৩/১৯৮৬")</f>
        <v>২১/০৩/১৯৮৬</v>
      </c>
      <c r="H94" s="1" t="str">
        <f>IFERROR(__xludf.DUMMYFUNCTION("""COMPUTED_VALUE"""),"ব্যবসা")</f>
        <v>ব্যবসা</v>
      </c>
      <c r="I94" s="1" t="str">
        <f>IFERROR(__xludf.DUMMYFUNCTION("""COMPUTED_VALUE"""),"""দক্ষিন তেঁতুলবাড়িয়া")</f>
        <v>"দক্ষিন তেঁতুলবাড়িয়া</v>
      </c>
      <c r="J94" s="1" t="str">
        <f>IFERROR(__xludf.DUMMYFUNCTION("""COMPUTED_VALUE""")," গাংনী")</f>
        <v> গাংনী</v>
      </c>
      <c r="K94" s="1" t="str">
        <f>IFERROR(__xludf.DUMMYFUNCTION("""COMPUTED_VALUE""")," মেহেরপুর""")</f>
        <v> মেহেরপুর"</v>
      </c>
    </row>
    <row r="95" ht="15.75" customHeight="1">
      <c r="A95" s="5" t="s">
        <v>997</v>
      </c>
      <c r="B95" s="1">
        <f>IFERROR(__xludf.DUMMYFUNCTION("SPLIT(A95,"","")"),96.0)</f>
        <v>96</v>
      </c>
      <c r="C95" s="1" t="str">
        <f>IFERROR(__xludf.DUMMYFUNCTION("""COMPUTED_VALUE"""),"মোঃ আলামিন")</f>
        <v>মোঃ আলামিন</v>
      </c>
      <c r="D95" s="1">
        <f>IFERROR(__xludf.DUMMYFUNCTION("""COMPUTED_VALUE"""),5.70053000019E11)</f>
        <v>570053000019</v>
      </c>
      <c r="E95" s="1" t="str">
        <f>IFERROR(__xludf.DUMMYFUNCTION("""COMPUTED_VALUE"""),"মোহাঃ আহাদ আলী")</f>
        <v>মোহাঃ আহাদ আলী</v>
      </c>
      <c r="F95" s="1" t="str">
        <f>IFERROR(__xludf.DUMMYFUNCTION("""COMPUTED_VALUE"""),"মাতাঃ মোছাঃ শেফালী খাতুন")</f>
        <v>মাতাঃ মোছাঃ শেফালী খাতুন</v>
      </c>
      <c r="G95" s="1" t="str">
        <f>IFERROR(__xludf.DUMMYFUNCTION("""COMPUTED_VALUE"""),"২০/০৬/১৯৮৯")</f>
        <v>২০/০৬/১৯৮৯</v>
      </c>
      <c r="H95" s="1" t="str">
        <f>IFERROR(__xludf.DUMMYFUNCTION("""COMPUTED_VALUE"""),"কৃষক")</f>
        <v>কৃষক</v>
      </c>
      <c r="I95" s="1" t="str">
        <f>IFERROR(__xludf.DUMMYFUNCTION("""COMPUTED_VALUE"""),"""দক্ষিন তেঁতুলবাড়িয়া")</f>
        <v>"দক্ষিন তেঁতুলবাড়িয়া</v>
      </c>
      <c r="J95" s="1" t="str">
        <f>IFERROR(__xludf.DUMMYFUNCTION("""COMPUTED_VALUE""")," গাংনী")</f>
        <v> গাংনী</v>
      </c>
      <c r="K95" s="1" t="str">
        <f>IFERROR(__xludf.DUMMYFUNCTION("""COMPUTED_VALUE""")," মেহেরপুর""")</f>
        <v> মেহেরপুর"</v>
      </c>
    </row>
    <row r="96" ht="15.75" customHeight="1">
      <c r="A96" s="5" t="s">
        <v>998</v>
      </c>
      <c r="B96" s="1">
        <f>IFERROR(__xludf.DUMMYFUNCTION("SPLIT(A96,"","")"),97.0)</f>
        <v>97</v>
      </c>
      <c r="C96" s="1" t="str">
        <f>IFERROR(__xludf.DUMMYFUNCTION("""COMPUTED_VALUE"""),"মোঃ ফরহাদ বিশ্বাস")</f>
        <v>মোঃ ফরহাদ বিশ্বাস</v>
      </c>
      <c r="D96" s="1">
        <f>IFERROR(__xludf.DUMMYFUNCTION("""COMPUTED_VALUE"""),5.70053000024E11)</f>
        <v>570053000024</v>
      </c>
      <c r="E96" s="1" t="str">
        <f>IFERROR(__xludf.DUMMYFUNCTION("""COMPUTED_VALUE"""),"মোঃ মিজানুর রহমান")</f>
        <v>মোঃ মিজানুর রহমান</v>
      </c>
      <c r="F96" s="1" t="str">
        <f>IFERROR(__xludf.DUMMYFUNCTION("""COMPUTED_VALUE"""),"মোছাঃ ফজিলা খাতুন")</f>
        <v>মোছাঃ ফজিলা খাতুন</v>
      </c>
      <c r="G96" s="1" t="str">
        <f>IFERROR(__xludf.DUMMYFUNCTION("""COMPUTED_VALUE"""),"০৭/০৭/১৯৮৫")</f>
        <v>০৭/০৭/১৯৮৫</v>
      </c>
      <c r="H96" s="1" t="str">
        <f>IFERROR(__xludf.DUMMYFUNCTION("""COMPUTED_VALUE"""),"কৃষক")</f>
        <v>কৃষক</v>
      </c>
      <c r="I96" s="1" t="str">
        <f>IFERROR(__xludf.DUMMYFUNCTION("""COMPUTED_VALUE"""),"""দক্ষিন তেঁতুলবাড়িয়া")</f>
        <v>"দক্ষিন তেঁতুলবাড়িয়া</v>
      </c>
      <c r="J96" s="1" t="str">
        <f>IFERROR(__xludf.DUMMYFUNCTION("""COMPUTED_VALUE""")," গাংনী")</f>
        <v> গাংনী</v>
      </c>
      <c r="K96" s="1" t="str">
        <f>IFERROR(__xludf.DUMMYFUNCTION("""COMPUTED_VALUE""")," মেহেরপুর""")</f>
        <v> মেহেরপুর"</v>
      </c>
    </row>
    <row r="97" ht="15.75" customHeight="1">
      <c r="A97" s="5" t="s">
        <v>999</v>
      </c>
      <c r="B97" s="1">
        <f>IFERROR(__xludf.DUMMYFUNCTION("SPLIT(A97,"","")"),98.0)</f>
        <v>98</v>
      </c>
      <c r="C97" s="1" t="str">
        <f>IFERROR(__xludf.DUMMYFUNCTION("""COMPUTED_VALUE"""),"মোঃ ফরিদ উজ্জামান")</f>
        <v>মোঃ ফরিদ উজ্জামান</v>
      </c>
      <c r="D97" s="1">
        <f>IFERROR(__xludf.DUMMYFUNCTION("""COMPUTED_VALUE"""),5.70053000025E11)</f>
        <v>570053000025</v>
      </c>
      <c r="E97" s="1" t="str">
        <f>IFERROR(__xludf.DUMMYFUNCTION("""COMPUTED_VALUE"""),"মোঃ মিজানুর রহমান")</f>
        <v>মোঃ মিজানুর রহমান</v>
      </c>
      <c r="F97" s="1" t="str">
        <f>IFERROR(__xludf.DUMMYFUNCTION("""COMPUTED_VALUE"""),"মোছাঃ ফজিলা বেগম")</f>
        <v>মোছাঃ ফজিলা বেগম</v>
      </c>
      <c r="G97" s="1" t="str">
        <f>IFERROR(__xludf.DUMMYFUNCTION("""COMPUTED_VALUE"""),"১০/০৫/১৯৯০")</f>
        <v>১০/০৫/১৯৯০</v>
      </c>
      <c r="H97" s="1" t="str">
        <f>IFERROR(__xludf.DUMMYFUNCTION("""COMPUTED_VALUE"""),"কৃষক")</f>
        <v>কৃষক</v>
      </c>
      <c r="I97" s="1" t="str">
        <f>IFERROR(__xludf.DUMMYFUNCTION("""COMPUTED_VALUE"""),"""দক্ষিন তেঁতুলবাড়িয়া")</f>
        <v>"দক্ষিন তেঁতুলবাড়িয়া</v>
      </c>
      <c r="J97" s="1" t="str">
        <f>IFERROR(__xludf.DUMMYFUNCTION("""COMPUTED_VALUE""")," গাংনী")</f>
        <v> গাংনী</v>
      </c>
      <c r="K97" s="1" t="str">
        <f>IFERROR(__xludf.DUMMYFUNCTION("""COMPUTED_VALUE""")," মেহেরপুর""")</f>
        <v> মেহেরপুর"</v>
      </c>
    </row>
    <row r="98" ht="15.75" customHeight="1">
      <c r="A98" s="5" t="s">
        <v>1000</v>
      </c>
      <c r="B98" s="1">
        <f>IFERROR(__xludf.DUMMYFUNCTION("SPLIT(A98,"","")"),99.0)</f>
        <v>99</v>
      </c>
      <c r="C98" s="1" t="str">
        <f>IFERROR(__xludf.DUMMYFUNCTION("""COMPUTED_VALUE"""),"মোঃ আলী মোবারক")</f>
        <v>মোঃ আলী মোবারক</v>
      </c>
      <c r="D98" s="1">
        <f>IFERROR(__xludf.DUMMYFUNCTION("""COMPUTED_VALUE"""),5.70053000028E11)</f>
        <v>570053000028</v>
      </c>
      <c r="E98" s="1" t="str">
        <f>IFERROR(__xludf.DUMMYFUNCTION("""COMPUTED_VALUE"""),"মোঃ শামসুল হুদা")</f>
        <v>মোঃ শামসুল হুদা</v>
      </c>
      <c r="F98" s="1" t="str">
        <f>IFERROR(__xludf.DUMMYFUNCTION("""COMPUTED_VALUE"""),"মোছাঃ বেলেয়ারা খাতুন")</f>
        <v>মোছাঃ বেলেয়ারা খাতুন</v>
      </c>
      <c r="G98" s="1" t="str">
        <f>IFERROR(__xludf.DUMMYFUNCTION("""COMPUTED_VALUE"""),"০৮/০৮/১৯৯২")</f>
        <v>০৮/০৮/১৯৯২</v>
      </c>
      <c r="H98" s="1" t="str">
        <f>IFERROR(__xludf.DUMMYFUNCTION("""COMPUTED_VALUE"""),"কৃষক")</f>
        <v>কৃষক</v>
      </c>
      <c r="I98" s="1" t="str">
        <f>IFERROR(__xludf.DUMMYFUNCTION("""COMPUTED_VALUE"""),"""দক্ষিন তেঁতুলবাড়িয়া")</f>
        <v>"দক্ষিন তেঁতুলবাড়িয়া</v>
      </c>
      <c r="J98" s="1" t="str">
        <f>IFERROR(__xludf.DUMMYFUNCTION("""COMPUTED_VALUE""")," গাংনী")</f>
        <v> গাংনী</v>
      </c>
      <c r="K98" s="1" t="str">
        <f>IFERROR(__xludf.DUMMYFUNCTION("""COMPUTED_VALUE""")," মেহেরপুর""")</f>
        <v> মেহেরপুর"</v>
      </c>
    </row>
    <row r="99" ht="15.75" customHeight="1">
      <c r="A99" s="5" t="s">
        <v>1001</v>
      </c>
      <c r="B99" s="1">
        <f>IFERROR(__xludf.DUMMYFUNCTION("SPLIT(A99,"","")"),100.0)</f>
        <v>100</v>
      </c>
      <c r="C99" s="1" t="str">
        <f>IFERROR(__xludf.DUMMYFUNCTION("""COMPUTED_VALUE"""),"মোঃ খিলাফত হোসেন")</f>
        <v>মোঃ খিলাফত হোসেন</v>
      </c>
      <c r="D99" s="1">
        <f>IFERROR(__xludf.DUMMYFUNCTION("""COMPUTED_VALUE"""),5.70053000029E11)</f>
        <v>570053000029</v>
      </c>
      <c r="E99" s="1" t="str">
        <f>IFERROR(__xludf.DUMMYFUNCTION("""COMPUTED_VALUE"""),"মোঃ হাসেম আলী")</f>
        <v>মোঃ হাসেম আলী</v>
      </c>
      <c r="F99" s="1" t="str">
        <f>IFERROR(__xludf.DUMMYFUNCTION("""COMPUTED_VALUE"""),"মোছাঃ শাহানারা খাতুন")</f>
        <v>মোছাঃ শাহানারা খাতুন</v>
      </c>
      <c r="G99" s="1" t="str">
        <f>IFERROR(__xludf.DUMMYFUNCTION("""COMPUTED_VALUE"""),"২০/০৬/১৯৯৪")</f>
        <v>২০/০৬/১৯৯৪</v>
      </c>
      <c r="H99" s="1" t="str">
        <f>IFERROR(__xludf.DUMMYFUNCTION("""COMPUTED_VALUE"""),"কৃষক")</f>
        <v>কৃষক</v>
      </c>
      <c r="I99" s="1" t="str">
        <f>IFERROR(__xludf.DUMMYFUNCTION("""COMPUTED_VALUE"""),"""দক্ষিন তেঁতুলবাড়িয়া")</f>
        <v>"দক্ষিন তেঁতুলবাড়িয়া</v>
      </c>
      <c r="J99" s="1" t="str">
        <f>IFERROR(__xludf.DUMMYFUNCTION("""COMPUTED_VALUE""")," গাংনী")</f>
        <v> গাংনী</v>
      </c>
      <c r="K99" s="1" t="str">
        <f>IFERROR(__xludf.DUMMYFUNCTION("""COMPUTED_VALUE""")," মেহেরপুর""")</f>
        <v> মেহেরপুর"</v>
      </c>
    </row>
    <row r="100" ht="15.75" customHeight="1">
      <c r="A100" s="5" t="s">
        <v>1002</v>
      </c>
      <c r="B100" s="1">
        <f>IFERROR(__xludf.DUMMYFUNCTION("SPLIT(A100,"","")"),101.0)</f>
        <v>101</v>
      </c>
      <c r="C100" s="1" t="str">
        <f>IFERROR(__xludf.DUMMYFUNCTION("""COMPUTED_VALUE"""),"মোঃ আশরাফুল ইসলাম")</f>
        <v>মোঃ আশরাফুল ইসলাম</v>
      </c>
      <c r="D100" s="1">
        <f>IFERROR(__xludf.DUMMYFUNCTION("""COMPUTED_VALUE"""),5.70053000026E11)</f>
        <v>570053000026</v>
      </c>
      <c r="E100" s="1" t="str">
        <f>IFERROR(__xludf.DUMMYFUNCTION("""COMPUTED_VALUE"""),"মোঃ আহসান হাবিব")</f>
        <v>মোঃ আহসান হাবিব</v>
      </c>
      <c r="F100" s="1" t="str">
        <f>IFERROR(__xludf.DUMMYFUNCTION("""COMPUTED_VALUE"""),"মোছাঃ ছাহেরা খাতুন")</f>
        <v>মোছাঃ ছাহেরা খাতুন</v>
      </c>
      <c r="G100" s="1" t="str">
        <f>IFERROR(__xludf.DUMMYFUNCTION("""COMPUTED_VALUE"""),"১৩/১০/১৯৯৪")</f>
        <v>১৩/১০/১৯৯৪</v>
      </c>
      <c r="H100" s="1" t="str">
        <f>IFERROR(__xludf.DUMMYFUNCTION("""COMPUTED_VALUE"""),"ছাত্র/ছাত্রী")</f>
        <v>ছাত্র/ছাত্রী</v>
      </c>
      <c r="I100" s="1" t="str">
        <f>IFERROR(__xludf.DUMMYFUNCTION("""COMPUTED_VALUE"""),"""দক্ষিন তেঁতুলবাড়িয়া")</f>
        <v>"দক্ষিন তেঁতুলবাড়িয়া</v>
      </c>
      <c r="J100" s="1" t="str">
        <f>IFERROR(__xludf.DUMMYFUNCTION("""COMPUTED_VALUE""")," গাংনী")</f>
        <v> গাংনী</v>
      </c>
      <c r="K100" s="1" t="str">
        <f>IFERROR(__xludf.DUMMYFUNCTION("""COMPUTED_VALUE""")," মেহেরপুর""")</f>
        <v> মেহেরপুর"</v>
      </c>
    </row>
    <row r="101" ht="15.75" customHeight="1">
      <c r="A101" s="5" t="s">
        <v>1003</v>
      </c>
      <c r="B101" s="1">
        <f>IFERROR(__xludf.DUMMYFUNCTION("SPLIT(A101,"","")"),102.0)</f>
        <v>102</v>
      </c>
      <c r="C101" s="1" t="str">
        <f>IFERROR(__xludf.DUMMYFUNCTION("""COMPUTED_VALUE"""),"আলফাজ")</f>
        <v>আলফাজ</v>
      </c>
      <c r="D101" s="1">
        <f>IFERROR(__xludf.DUMMYFUNCTION("""COMPUTED_VALUE"""),5.70053000031E11)</f>
        <v>570053000031</v>
      </c>
      <c r="E101" s="1" t="str">
        <f>IFERROR(__xludf.DUMMYFUNCTION("""COMPUTED_VALUE"""),"আঃ গনি")</f>
        <v>আঃ গনি</v>
      </c>
      <c r="F101" s="1" t="str">
        <f>IFERROR(__xludf.DUMMYFUNCTION("""COMPUTED_VALUE"""),"আল্লাদী")</f>
        <v>আল্লাদী</v>
      </c>
      <c r="G101" s="1" t="str">
        <f>IFERROR(__xludf.DUMMYFUNCTION("""COMPUTED_VALUE"""),"২৫/০২/১৯৯২")</f>
        <v>২৫/০২/১৯৯২</v>
      </c>
      <c r="H101" s="1" t="str">
        <f>IFERROR(__xludf.DUMMYFUNCTION("""COMPUTED_VALUE"""),"কৃষক")</f>
        <v>কৃষক</v>
      </c>
      <c r="I101" s="1" t="str">
        <f>IFERROR(__xludf.DUMMYFUNCTION("""COMPUTED_VALUE"""),"""দক্ষিন তেঁতুলবাড়িয়া")</f>
        <v>"দক্ষিন তেঁতুলবাড়িয়া</v>
      </c>
      <c r="J101" s="1" t="str">
        <f>IFERROR(__xludf.DUMMYFUNCTION("""COMPUTED_VALUE""")," গাংনী")</f>
        <v> গাংনী</v>
      </c>
      <c r="K101" s="1" t="str">
        <f>IFERROR(__xludf.DUMMYFUNCTION("""COMPUTED_VALUE""")," মেহেরপুর""")</f>
        <v> মেহেরপুর"</v>
      </c>
    </row>
    <row r="102" ht="15.75" customHeight="1">
      <c r="A102" s="5" t="s">
        <v>1004</v>
      </c>
      <c r="B102" s="1">
        <f>IFERROR(__xludf.DUMMYFUNCTION("SPLIT(A102,"","")"),103.0)</f>
        <v>103</v>
      </c>
      <c r="C102" s="1" t="str">
        <f>IFERROR(__xludf.DUMMYFUNCTION("""COMPUTED_VALUE"""),"মোঃ জহুরুল ইসলাম")</f>
        <v>মোঃ জহুরুল ইসলাম</v>
      </c>
      <c r="D102" s="1">
        <f>IFERROR(__xludf.DUMMYFUNCTION("""COMPUTED_VALUE"""),5.70053000032E11)</f>
        <v>570053000032</v>
      </c>
      <c r="E102" s="1" t="str">
        <f>IFERROR(__xludf.DUMMYFUNCTION("""COMPUTED_VALUE"""),"মসলেম")</f>
        <v>মসলেম</v>
      </c>
      <c r="F102" s="1" t="str">
        <f>IFERROR(__xludf.DUMMYFUNCTION("""COMPUTED_VALUE"""),"জবেদা খাতুন")</f>
        <v>জবেদা খাতুন</v>
      </c>
      <c r="G102" s="1" t="str">
        <f>IFERROR(__xludf.DUMMYFUNCTION("""COMPUTED_VALUE"""),"০৮/০৬/১৯৯১")</f>
        <v>০৮/০৬/১৯৯১</v>
      </c>
      <c r="H102" s="1" t="str">
        <f>IFERROR(__xludf.DUMMYFUNCTION("""COMPUTED_VALUE"""),"কৃষক")</f>
        <v>কৃষক</v>
      </c>
      <c r="I102" s="1" t="str">
        <f>IFERROR(__xludf.DUMMYFUNCTION("""COMPUTED_VALUE"""),"""দক্ষিন তেঁতুলবাড়িয়া")</f>
        <v>"দক্ষিন তেঁতুলবাড়িয়া</v>
      </c>
      <c r="J102" s="1" t="str">
        <f>IFERROR(__xludf.DUMMYFUNCTION("""COMPUTED_VALUE""")," গাংনী")</f>
        <v> গাংনী</v>
      </c>
      <c r="K102" s="1" t="str">
        <f>IFERROR(__xludf.DUMMYFUNCTION("""COMPUTED_VALUE""")," মেহেরপুর""")</f>
        <v> মেহেরপুর"</v>
      </c>
    </row>
    <row r="103" ht="15.75" customHeight="1">
      <c r="A103" s="5" t="s">
        <v>1005</v>
      </c>
      <c r="B103" s="1">
        <f>IFERROR(__xludf.DUMMYFUNCTION("SPLIT(A103,"","")"),104.0)</f>
        <v>104</v>
      </c>
      <c r="C103" s="1" t="str">
        <f>IFERROR(__xludf.DUMMYFUNCTION("""COMPUTED_VALUE"""),"মোঃ তৌকিরুল ইসলাম")</f>
        <v>মোঃ তৌকিরুল ইসলাম</v>
      </c>
      <c r="D103" s="1">
        <f>IFERROR(__xludf.DUMMYFUNCTION("""COMPUTED_VALUE"""),5.70053000033E11)</f>
        <v>570053000033</v>
      </c>
      <c r="E103" s="1" t="str">
        <f>IFERROR(__xludf.DUMMYFUNCTION("""COMPUTED_VALUE"""),"মোঃ জামাত আলী")</f>
        <v>মোঃ জামাত আলী</v>
      </c>
      <c r="F103" s="1" t="str">
        <f>IFERROR(__xludf.DUMMYFUNCTION("""COMPUTED_VALUE"""),"মোছাঃ শয়মন নেছা")</f>
        <v>মোছাঃ শয়মন নেছা</v>
      </c>
      <c r="G103" s="1" t="str">
        <f>IFERROR(__xludf.DUMMYFUNCTION("""COMPUTED_VALUE"""),"০৭/০৫/১৯৯২")</f>
        <v>০৭/০৫/১৯৯২</v>
      </c>
      <c r="H103" s="1" t="str">
        <f>IFERROR(__xludf.DUMMYFUNCTION("""COMPUTED_VALUE"""),"কৃষক")</f>
        <v>কৃষক</v>
      </c>
      <c r="I103" s="1" t="str">
        <f>IFERROR(__xludf.DUMMYFUNCTION("""COMPUTED_VALUE"""),"""দক্ষিন তেঁতুলবাড়িয়া")</f>
        <v>"দক্ষিন তেঁতুলবাড়িয়া</v>
      </c>
      <c r="J103" s="1" t="str">
        <f>IFERROR(__xludf.DUMMYFUNCTION("""COMPUTED_VALUE""")," গাংনী")</f>
        <v> গাংনী</v>
      </c>
      <c r="K103" s="1" t="str">
        <f>IFERROR(__xludf.DUMMYFUNCTION("""COMPUTED_VALUE""")," মেহেরপুর""")</f>
        <v> মেহেরপুর"</v>
      </c>
    </row>
    <row r="104" ht="15.75" customHeight="1">
      <c r="A104" s="5" t="s">
        <v>1006</v>
      </c>
      <c r="B104" s="1">
        <f>IFERROR(__xludf.DUMMYFUNCTION("SPLIT(A104,"","")"),105.0)</f>
        <v>105</v>
      </c>
      <c r="C104" s="1" t="str">
        <f>IFERROR(__xludf.DUMMYFUNCTION("""COMPUTED_VALUE"""),"ইসরাফিল আলম")</f>
        <v>ইসরাফিল আলম</v>
      </c>
      <c r="D104" s="1">
        <f>IFERROR(__xludf.DUMMYFUNCTION("""COMPUTED_VALUE"""),5.70053000034E11)</f>
        <v>570053000034</v>
      </c>
      <c r="E104" s="1" t="str">
        <f>IFERROR(__xludf.DUMMYFUNCTION("""COMPUTED_VALUE"""),"আফজাল হোসেন")</f>
        <v>আফজাল হোসেন</v>
      </c>
      <c r="F104" s="1" t="str">
        <f>IFERROR(__xludf.DUMMYFUNCTION("""COMPUTED_VALUE"""),"ফুলছুরা খাতুন")</f>
        <v>ফুলছুরা খাতুন</v>
      </c>
      <c r="G104" s="1" t="str">
        <f>IFERROR(__xludf.DUMMYFUNCTION("""COMPUTED_VALUE"""),"২৩/০৯/১৯৯৫")</f>
        <v>২৩/০৯/১৯৯৫</v>
      </c>
      <c r="H104" s="1" t="str">
        <f>IFERROR(__xludf.DUMMYFUNCTION("""COMPUTED_VALUE"""),"ছাত্র/ছাত্রী")</f>
        <v>ছাত্র/ছাত্রী</v>
      </c>
      <c r="I104" s="1" t="str">
        <f>IFERROR(__xludf.DUMMYFUNCTION("""COMPUTED_VALUE"""),"""দক্ষিন তেঁতুলবাড়িয়া")</f>
        <v>"দক্ষিন তেঁতুলবাড়িয়া</v>
      </c>
      <c r="J104" s="1" t="str">
        <f>IFERROR(__xludf.DUMMYFUNCTION("""COMPUTED_VALUE""")," গাংনী")</f>
        <v> গাংনী</v>
      </c>
      <c r="K104" s="1" t="str">
        <f>IFERROR(__xludf.DUMMYFUNCTION("""COMPUTED_VALUE""")," মেহেরপুর""")</f>
        <v> মেহেরপুর"</v>
      </c>
    </row>
    <row r="105" ht="15.75" customHeight="1">
      <c r="A105" s="5" t="s">
        <v>1007</v>
      </c>
      <c r="B105" s="1">
        <f>IFERROR(__xludf.DUMMYFUNCTION("SPLIT(A105,"","")"),106.0)</f>
        <v>106</v>
      </c>
      <c r="C105" s="1" t="str">
        <f>IFERROR(__xludf.DUMMYFUNCTION("""COMPUTED_VALUE"""),"মোঃ নাজমুল হোসেন")</f>
        <v>মোঃ নাজমুল হোসেন</v>
      </c>
      <c r="D105" s="1">
        <f>IFERROR(__xludf.DUMMYFUNCTION("""COMPUTED_VALUE"""),5.70053000035E11)</f>
        <v>570053000035</v>
      </c>
      <c r="E105" s="1" t="str">
        <f>IFERROR(__xludf.DUMMYFUNCTION("""COMPUTED_VALUE"""),"মোঃ তানজিল হোসেন")</f>
        <v>মোঃ তানজিল হোসেন</v>
      </c>
      <c r="F105" s="1" t="str">
        <f>IFERROR(__xludf.DUMMYFUNCTION("""COMPUTED_VALUE"""),"মোছাঃ মর্জিনা খাতুন")</f>
        <v>মোছাঃ মর্জিনা খাতুন</v>
      </c>
      <c r="G105" s="1" t="str">
        <f>IFERROR(__xludf.DUMMYFUNCTION("""COMPUTED_VALUE"""),"১২/১০/১৯৯৪")</f>
        <v>১২/১০/১৯৯৪</v>
      </c>
      <c r="H105" s="1" t="str">
        <f>IFERROR(__xludf.DUMMYFUNCTION("""COMPUTED_VALUE"""),"ছাত্র/ছাত্রী")</f>
        <v>ছাত্র/ছাত্রী</v>
      </c>
      <c r="I105" s="1" t="str">
        <f>IFERROR(__xludf.DUMMYFUNCTION("""COMPUTED_VALUE"""),"""দক্ষিন তেঁতুলবাড়িয়া")</f>
        <v>"দক্ষিন তেঁতুলবাড়িয়া</v>
      </c>
      <c r="J105" s="1" t="str">
        <f>IFERROR(__xludf.DUMMYFUNCTION("""COMPUTED_VALUE""")," গাংনী")</f>
        <v> গাংনী</v>
      </c>
      <c r="K105" s="1" t="str">
        <f>IFERROR(__xludf.DUMMYFUNCTION("""COMPUTED_VALUE""")," মেহেরপুর""")</f>
        <v> মেহেরপুর"</v>
      </c>
    </row>
    <row r="106" ht="15.75" customHeight="1">
      <c r="A106" s="5" t="s">
        <v>1008</v>
      </c>
      <c r="B106" s="1">
        <f>IFERROR(__xludf.DUMMYFUNCTION("SPLIT(A106,"","")"),107.0)</f>
        <v>107</v>
      </c>
      <c r="C106" s="1" t="str">
        <f>IFERROR(__xludf.DUMMYFUNCTION("""COMPUTED_VALUE"""),"মোঃ শফিকুল ইসলাম")</f>
        <v>মোঃ শফিকুল ইসলাম</v>
      </c>
      <c r="D106" s="1">
        <f>IFERROR(__xludf.DUMMYFUNCTION("""COMPUTED_VALUE"""),5.70053000039E11)</f>
        <v>570053000039</v>
      </c>
      <c r="E106" s="1" t="str">
        <f>IFERROR(__xludf.DUMMYFUNCTION("""COMPUTED_VALUE"""),"আনেচ উদ্দীন")</f>
        <v>আনেচ উদ্দীন</v>
      </c>
      <c r="F106" s="1" t="str">
        <f>IFERROR(__xludf.DUMMYFUNCTION("""COMPUTED_VALUE"""),"মোছাঃ নাজেরা খাতুন")</f>
        <v>মোছাঃ নাজেরা খাতুন</v>
      </c>
      <c r="G106" s="1" t="str">
        <f>IFERROR(__xludf.DUMMYFUNCTION("""COMPUTED_VALUE"""),"২৪/০৬/১৯৯৭")</f>
        <v>২৪/০৬/১৯৯৭</v>
      </c>
      <c r="H106" s="1" t="str">
        <f>IFERROR(__xludf.DUMMYFUNCTION("""COMPUTED_VALUE"""),"ব্যবসা")</f>
        <v>ব্যবসা</v>
      </c>
      <c r="I106" s="1" t="str">
        <f>IFERROR(__xludf.DUMMYFUNCTION("""COMPUTED_VALUE"""),"""দক্ষিন তেঁতুলবাড়িয়া")</f>
        <v>"দক্ষিন তেঁতুলবাড়িয়া</v>
      </c>
      <c r="J106" s="1" t="str">
        <f>IFERROR(__xludf.DUMMYFUNCTION("""COMPUTED_VALUE""")," গাংনী")</f>
        <v> গাংনী</v>
      </c>
      <c r="K106" s="1" t="str">
        <f>IFERROR(__xludf.DUMMYFUNCTION("""COMPUTED_VALUE""")," মেহেরপুর""")</f>
        <v> মেহেরপুর"</v>
      </c>
    </row>
    <row r="107" ht="15.75" customHeight="1">
      <c r="A107" s="5" t="s">
        <v>1009</v>
      </c>
      <c r="B107" s="1">
        <f>IFERROR(__xludf.DUMMYFUNCTION("SPLIT(A107,"","")"),108.0)</f>
        <v>108</v>
      </c>
      <c r="C107" s="1" t="str">
        <f>IFERROR(__xludf.DUMMYFUNCTION("""COMPUTED_VALUE"""),"মোঃ জামিরুল ইসলাম অন্তর")</f>
        <v>মোঃ জামিরুল ইসলাম অন্তর</v>
      </c>
      <c r="D107" s="1">
        <f>IFERROR(__xludf.DUMMYFUNCTION("""COMPUTED_VALUE"""),5.7005300004E11)</f>
        <v>570053000040</v>
      </c>
      <c r="E107" s="1" t="str">
        <f>IFERROR(__xludf.DUMMYFUNCTION("""COMPUTED_VALUE"""),"মোঃ আব্দুল লতিব")</f>
        <v>মোঃ আব্দুল লতিব</v>
      </c>
      <c r="F107" s="1" t="str">
        <f>IFERROR(__xludf.DUMMYFUNCTION("""COMPUTED_VALUE"""),"মোছাঃ জাহানারা খাতুন")</f>
        <v>মোছাঃ জাহানারা খাতুন</v>
      </c>
      <c r="G107" s="1" t="str">
        <f>IFERROR(__xludf.DUMMYFUNCTION("""COMPUTED_VALUE"""),"০৬/০৮/১৯৯৬")</f>
        <v>০৬/০৮/১৯৯৬</v>
      </c>
      <c r="H107" s="1" t="str">
        <f>IFERROR(__xludf.DUMMYFUNCTION("""COMPUTED_VALUE"""),"ছাত্র/ছাত্রী")</f>
        <v>ছাত্র/ছাত্রী</v>
      </c>
      <c r="I107" s="1" t="str">
        <f>IFERROR(__xludf.DUMMYFUNCTION("""COMPUTED_VALUE"""),"""দক্ষিন তেঁতুলবাড়িয়া")</f>
        <v>"দক্ষিন তেঁতুলবাড়িয়া</v>
      </c>
      <c r="J107" s="1" t="str">
        <f>IFERROR(__xludf.DUMMYFUNCTION("""COMPUTED_VALUE""")," গাংনী")</f>
        <v> গাংনী</v>
      </c>
      <c r="K107" s="1" t="str">
        <f>IFERROR(__xludf.DUMMYFUNCTION("""COMPUTED_VALUE""")," মেহেরপুর""")</f>
        <v> মেহেরপুর"</v>
      </c>
    </row>
    <row r="108" ht="15.75" customHeight="1">
      <c r="A108" s="5" t="s">
        <v>1010</v>
      </c>
      <c r="B108" s="1">
        <f>IFERROR(__xludf.DUMMYFUNCTION("SPLIT(A108,"","")"),109.0)</f>
        <v>109</v>
      </c>
      <c r="C108" s="1" t="str">
        <f>IFERROR(__xludf.DUMMYFUNCTION("""COMPUTED_VALUE"""),"তৌহিদুল")</f>
        <v>তৌহিদুল</v>
      </c>
      <c r="D108" s="1">
        <f>IFERROR(__xludf.DUMMYFUNCTION("""COMPUTED_VALUE"""),5.70053000043E11)</f>
        <v>570053000043</v>
      </c>
      <c r="E108" s="1" t="str">
        <f>IFERROR(__xludf.DUMMYFUNCTION("""COMPUTED_VALUE"""),"মোঃ তোফাজ্জেল আলী")</f>
        <v>মোঃ তোফাজ্জেল আলী</v>
      </c>
      <c r="F108" s="1" t="str">
        <f>IFERROR(__xludf.DUMMYFUNCTION("""COMPUTED_VALUE"""),"মোছাঃ মহিলা খাতুন")</f>
        <v>মোছাঃ মহিলা খাতুন</v>
      </c>
      <c r="G108" s="1" t="str">
        <f>IFERROR(__xludf.DUMMYFUNCTION("""COMPUTED_VALUE"""),"০৯/০৭/১৯৯১")</f>
        <v>০৯/০৭/১৯৯১</v>
      </c>
      <c r="H108" s="1" t="str">
        <f>IFERROR(__xludf.DUMMYFUNCTION("""COMPUTED_VALUE"""),"কৃষক")</f>
        <v>কৃষক</v>
      </c>
      <c r="I108" s="1" t="str">
        <f>IFERROR(__xludf.DUMMYFUNCTION("""COMPUTED_VALUE"""),"""দক্ষিন তেঁতুলবাড়িয়া")</f>
        <v>"দক্ষিন তেঁতুলবাড়িয়া</v>
      </c>
      <c r="J108" s="1" t="str">
        <f>IFERROR(__xludf.DUMMYFUNCTION("""COMPUTED_VALUE""")," গাংনী")</f>
        <v> গাংনী</v>
      </c>
      <c r="K108" s="1" t="str">
        <f>IFERROR(__xludf.DUMMYFUNCTION("""COMPUTED_VALUE""")," মেহেরপুর""")</f>
        <v> মেহেরপুর"</v>
      </c>
    </row>
    <row r="109" ht="15.75" customHeight="1">
      <c r="A109" s="5" t="s">
        <v>1011</v>
      </c>
      <c r="B109" s="1">
        <f>IFERROR(__xludf.DUMMYFUNCTION("SPLIT(A109,"","")"),110.0)</f>
        <v>110</v>
      </c>
      <c r="C109" s="1" t="str">
        <f>IFERROR(__xludf.DUMMYFUNCTION("""COMPUTED_VALUE"""),"মোঃ আনোয়ার হোসেন")</f>
        <v>মোঃ আনোয়ার হোসেন</v>
      </c>
      <c r="D109" s="1">
        <f>IFERROR(__xludf.DUMMYFUNCTION("""COMPUTED_VALUE"""),5.70053000044E11)</f>
        <v>570053000044</v>
      </c>
      <c r="E109" s="1" t="str">
        <f>IFERROR(__xludf.DUMMYFUNCTION("""COMPUTED_VALUE"""),"আমিরুল ইসলাম")</f>
        <v>আমিরুল ইসলাম</v>
      </c>
      <c r="F109" s="1" t="str">
        <f>IFERROR(__xludf.DUMMYFUNCTION("""COMPUTED_VALUE"""),"মোছাঃ ছামেনা খাতুন")</f>
        <v>মোছাঃ ছামেনা খাতুন</v>
      </c>
      <c r="G109" s="1" t="str">
        <f>IFERROR(__xludf.DUMMYFUNCTION("""COMPUTED_VALUE"""),"০১/০৩/১৯৯৫")</f>
        <v>০১/০৩/১৯৯৫</v>
      </c>
      <c r="H109" s="1" t="str">
        <f>IFERROR(__xludf.DUMMYFUNCTION("""COMPUTED_VALUE"""),"কৃষক")</f>
        <v>কৃষক</v>
      </c>
      <c r="I109" s="1" t="str">
        <f>IFERROR(__xludf.DUMMYFUNCTION("""COMPUTED_VALUE"""),"""দক্ষিন তেঁতুলবাড়িয়া")</f>
        <v>"দক্ষিন তেঁতুলবাড়িয়া</v>
      </c>
      <c r="J109" s="1" t="str">
        <f>IFERROR(__xludf.DUMMYFUNCTION("""COMPUTED_VALUE""")," গাংনী")</f>
        <v> গাংনী</v>
      </c>
      <c r="K109" s="1" t="str">
        <f>IFERROR(__xludf.DUMMYFUNCTION("""COMPUTED_VALUE""")," মেহেরপুর""")</f>
        <v> মেহেরপুর"</v>
      </c>
    </row>
    <row r="110" ht="15.75" customHeight="1">
      <c r="A110" s="5" t="s">
        <v>1012</v>
      </c>
      <c r="B110" s="1">
        <f>IFERROR(__xludf.DUMMYFUNCTION("SPLIT(A110,"","")"),111.0)</f>
        <v>111</v>
      </c>
      <c r="C110" s="1" t="str">
        <f>IFERROR(__xludf.DUMMYFUNCTION("""COMPUTED_VALUE"""),"মোঃ তারিকুল ইসলাম")</f>
        <v>মোঃ তারিকুল ইসলাম</v>
      </c>
      <c r="D110" s="1">
        <f>IFERROR(__xludf.DUMMYFUNCTION("""COMPUTED_VALUE"""),5.7005300002E11)</f>
        <v>570053000020</v>
      </c>
      <c r="E110" s="1" t="str">
        <f>IFERROR(__xludf.DUMMYFUNCTION("""COMPUTED_VALUE"""),"মোঃ রাফিজুল হক")</f>
        <v>মোঃ রাফিজুল হক</v>
      </c>
      <c r="F110" s="1" t="str">
        <f>IFERROR(__xludf.DUMMYFUNCTION("""COMPUTED_VALUE"""),"মোছাঃ রোকেয়া খাতুন")</f>
        <v>মোছাঃ রোকেয়া খাতুন</v>
      </c>
      <c r="G110" s="1" t="str">
        <f>IFERROR(__xludf.DUMMYFUNCTION("""COMPUTED_VALUE"""),"০১/০১/২০০০")</f>
        <v>০১/০১/২০০০</v>
      </c>
      <c r="H110" s="1" t="str">
        <f>IFERROR(__xludf.DUMMYFUNCTION("""COMPUTED_VALUE"""),"কৃষক")</f>
        <v>কৃষক</v>
      </c>
      <c r="I110" s="1" t="str">
        <f>IFERROR(__xludf.DUMMYFUNCTION("""COMPUTED_VALUE"""),"""দক্ষিন তেঁতুলবাড়িয়া")</f>
        <v>"দক্ষিন তেঁতুলবাড়িয়া</v>
      </c>
      <c r="J110" s="1" t="str">
        <f>IFERROR(__xludf.DUMMYFUNCTION("""COMPUTED_VALUE""")," গাংনী")</f>
        <v> গাংনী</v>
      </c>
      <c r="K110" s="1" t="str">
        <f>IFERROR(__xludf.DUMMYFUNCTION("""COMPUTED_VALUE""")," মেহেরপুর""")</f>
        <v> মেহেরপুর"</v>
      </c>
    </row>
    <row r="111" ht="15.75" customHeight="1">
      <c r="A111" s="5" t="s">
        <v>1013</v>
      </c>
      <c r="B111" s="1">
        <f>IFERROR(__xludf.DUMMYFUNCTION("SPLIT(A111,"","")"),112.0)</f>
        <v>112</v>
      </c>
      <c r="C111" s="1" t="str">
        <f>IFERROR(__xludf.DUMMYFUNCTION("""COMPUTED_VALUE"""),"ওলিউল্লাহ হামিদী")</f>
        <v>ওলিউল্লাহ হামিদী</v>
      </c>
      <c r="D111" s="1">
        <f>IFERROR(__xludf.DUMMYFUNCTION("""COMPUTED_VALUE"""),5.70053000046E11)</f>
        <v>570053000046</v>
      </c>
      <c r="E111" s="1" t="str">
        <f>IFERROR(__xludf.DUMMYFUNCTION("""COMPUTED_VALUE"""),"মোঃ হাসান আলী")</f>
        <v>মোঃ হাসান আলী</v>
      </c>
      <c r="F111" s="1" t="str">
        <f>IFERROR(__xludf.DUMMYFUNCTION("""COMPUTED_VALUE"""),"মোছাঃ রহিমা খাতুন")</f>
        <v>মোছাঃ রহিমা খাতুন</v>
      </c>
      <c r="G111" s="1" t="str">
        <f>IFERROR(__xludf.DUMMYFUNCTION("""COMPUTED_VALUE"""),"০৮/০৬/১৯৯৮")</f>
        <v>০৮/০৬/১৯৯৮</v>
      </c>
      <c r="H111" s="1" t="str">
        <f>IFERROR(__xludf.DUMMYFUNCTION("""COMPUTED_VALUE"""),"ছাত্র/ছাত্রী")</f>
        <v>ছাত্র/ছাত্রী</v>
      </c>
      <c r="I111" s="1" t="str">
        <f>IFERROR(__xludf.DUMMYFUNCTION("""COMPUTED_VALUE"""),"""দক্ষিন তেঁতুলবাড়িয়া")</f>
        <v>"দক্ষিন তেঁতুলবাড়িয়া</v>
      </c>
      <c r="J111" s="1" t="str">
        <f>IFERROR(__xludf.DUMMYFUNCTION("""COMPUTED_VALUE""")," গাংনী")</f>
        <v> গাংনী</v>
      </c>
      <c r="K111" s="1" t="str">
        <f>IFERROR(__xludf.DUMMYFUNCTION("""COMPUTED_VALUE""")," মেহেরপুর""")</f>
        <v> মেহেরপুর"</v>
      </c>
    </row>
    <row r="112" ht="15.75" customHeight="1">
      <c r="A112" s="5" t="s">
        <v>1014</v>
      </c>
      <c r="B112" s="1">
        <f>IFERROR(__xludf.DUMMYFUNCTION("SPLIT(A112,"","")"),113.0)</f>
        <v>113</v>
      </c>
      <c r="C112" s="1" t="str">
        <f>IFERROR(__xludf.DUMMYFUNCTION("""COMPUTED_VALUE"""),"মোঃ সাইদুজ্জামান")</f>
        <v>মোঃ সাইদুজ্জামান</v>
      </c>
      <c r="D112" s="1">
        <f>IFERROR(__xludf.DUMMYFUNCTION("""COMPUTED_VALUE"""),5.70053000047E11)</f>
        <v>570053000047</v>
      </c>
      <c r="E112" s="1" t="str">
        <f>IFERROR(__xludf.DUMMYFUNCTION("""COMPUTED_VALUE"""),"মোঃ সামসুল হুদা")</f>
        <v>মোঃ সামসুল হুদা</v>
      </c>
      <c r="F112" s="1" t="str">
        <f>IFERROR(__xludf.DUMMYFUNCTION("""COMPUTED_VALUE"""),"মোছাঃ জহুরা নেছা")</f>
        <v>মোছাঃ জহুরা নেছা</v>
      </c>
      <c r="G112" s="1" t="str">
        <f>IFERROR(__xludf.DUMMYFUNCTION("""COMPUTED_VALUE"""),"১১/০৯/১৯৮০")</f>
        <v>১১/০৯/১৯৮০</v>
      </c>
      <c r="H112" s="1" t="str">
        <f>IFERROR(__xludf.DUMMYFUNCTION("""COMPUTED_VALUE"""),"কৃষক")</f>
        <v>কৃষক</v>
      </c>
      <c r="I112" s="1" t="str">
        <f>IFERROR(__xludf.DUMMYFUNCTION("""COMPUTED_VALUE"""),"""দক্ষিন তেঁতুলবাড়িয়া")</f>
        <v>"দক্ষিন তেঁতুলবাড়িয়া</v>
      </c>
      <c r="J112" s="1" t="str">
        <f>IFERROR(__xludf.DUMMYFUNCTION("""COMPUTED_VALUE""")," গাংনী")</f>
        <v> গাংনী</v>
      </c>
      <c r="K112" s="1" t="str">
        <f>IFERROR(__xludf.DUMMYFUNCTION("""COMPUTED_VALUE""")," মেহেরপুর""")</f>
        <v> মেহেরপুর"</v>
      </c>
    </row>
    <row r="113" ht="15.75" customHeight="1">
      <c r="A113" s="5" t="s">
        <v>1015</v>
      </c>
      <c r="B113" s="1">
        <f>IFERROR(__xludf.DUMMYFUNCTION("SPLIT(A113,"","")"),114.0)</f>
        <v>114</v>
      </c>
      <c r="C113" s="1" t="str">
        <f>IFERROR(__xludf.DUMMYFUNCTION("""COMPUTED_VALUE"""),"মোঃ কামরুল ইসলাম")</f>
        <v>মোঃ কামরুল ইসলাম</v>
      </c>
      <c r="D113" s="1">
        <f>IFERROR(__xludf.DUMMYFUNCTION("""COMPUTED_VALUE"""),5.70053000049E11)</f>
        <v>570053000049</v>
      </c>
      <c r="E113" s="1" t="str">
        <f>IFERROR(__xludf.DUMMYFUNCTION("""COMPUTED_VALUE"""),"মোঃ আব্দুল লতিব")</f>
        <v>মোঃ আব্দুল লতিব</v>
      </c>
      <c r="F113" s="1" t="str">
        <f>IFERROR(__xludf.DUMMYFUNCTION("""COMPUTED_VALUE"""),"মোছাঃ জাহানারা বেগম")</f>
        <v>মোছাঃ জাহানারা বেগম</v>
      </c>
      <c r="G113" s="1" t="str">
        <f>IFERROR(__xludf.DUMMYFUNCTION("""COMPUTED_VALUE"""),"০১/০১/২০০০")</f>
        <v>০১/০১/২০০০</v>
      </c>
      <c r="H113" s="1" t="str">
        <f>IFERROR(__xludf.DUMMYFUNCTION("""COMPUTED_VALUE"""),"ছাত্র/ছাত্রী")</f>
        <v>ছাত্র/ছাত্রী</v>
      </c>
      <c r="I113" s="1" t="str">
        <f>IFERROR(__xludf.DUMMYFUNCTION("""COMPUTED_VALUE"""),"""দক্ষিন তেঁতুলবাড়িয়া")</f>
        <v>"দক্ষিন তেঁতুলবাড়িয়া</v>
      </c>
      <c r="J113" s="1" t="str">
        <f>IFERROR(__xludf.DUMMYFUNCTION("""COMPUTED_VALUE""")," গাংনী")</f>
        <v> গাংনী</v>
      </c>
      <c r="K113" s="1" t="str">
        <f>IFERROR(__xludf.DUMMYFUNCTION("""COMPUTED_VALUE""")," মেহেরপুর""")</f>
        <v> মেহেরপুর"</v>
      </c>
    </row>
    <row r="114" ht="15.75" customHeight="1">
      <c r="A114" s="5" t="s">
        <v>1016</v>
      </c>
      <c r="B114" s="1">
        <f>IFERROR(__xludf.DUMMYFUNCTION("SPLIT(A114,"","")"),115.0)</f>
        <v>115</v>
      </c>
      <c r="C114" s="1" t="str">
        <f>IFERROR(__xludf.DUMMYFUNCTION("""COMPUTED_VALUE"""),"মোঃ রকিবুল ইসলাম")</f>
        <v>মোঃ রকিবুল ইসলাম</v>
      </c>
      <c r="D114" s="1">
        <f>IFERROR(__xludf.DUMMYFUNCTION("""COMPUTED_VALUE"""),5.70053000048E11)</f>
        <v>570053000048</v>
      </c>
      <c r="E114" s="1" t="str">
        <f>IFERROR(__xludf.DUMMYFUNCTION("""COMPUTED_VALUE"""),"মোঃ রাফিজুল হক")</f>
        <v>মোঃ রাফিজুল হক</v>
      </c>
      <c r="F114" s="1" t="str">
        <f>IFERROR(__xludf.DUMMYFUNCTION("""COMPUTED_VALUE"""),"মোছাঃ রোকেয়া খাতুন")</f>
        <v>মোছাঃ রোকেয়া খাতুন</v>
      </c>
      <c r="G114" s="1" t="str">
        <f>IFERROR(__xludf.DUMMYFUNCTION("""COMPUTED_VALUE"""),"২৫/০৫/১৯৯৯")</f>
        <v>২৫/০৫/১৯৯৯</v>
      </c>
      <c r="H114" s="1" t="str">
        <f>IFERROR(__xludf.DUMMYFUNCTION("""COMPUTED_VALUE"""),"কৃষক")</f>
        <v>কৃষক</v>
      </c>
      <c r="I114" s="1" t="str">
        <f>IFERROR(__xludf.DUMMYFUNCTION("""COMPUTED_VALUE"""),"""দক্ষিন তেঁতুলবাড়িয়া")</f>
        <v>"দক্ষিন তেঁতুলবাড়িয়া</v>
      </c>
      <c r="J114" s="1" t="str">
        <f>IFERROR(__xludf.DUMMYFUNCTION("""COMPUTED_VALUE""")," গাংনী")</f>
        <v> গাংনী</v>
      </c>
      <c r="K114" s="1" t="str">
        <f>IFERROR(__xludf.DUMMYFUNCTION("""COMPUTED_VALUE""")," মেহেরপুর""")</f>
        <v> মেহেরপুর"</v>
      </c>
    </row>
    <row r="115" ht="15.75" customHeight="1">
      <c r="A115" s="5" t="s">
        <v>1017</v>
      </c>
      <c r="B115" s="1">
        <f>IFERROR(__xludf.DUMMYFUNCTION("SPLIT(A115,"","")"),116.0)</f>
        <v>116</v>
      </c>
      <c r="C115" s="1" t="str">
        <f>IFERROR(__xludf.DUMMYFUNCTION("""COMPUTED_VALUE"""),"মোঃ আবু হানিফ")</f>
        <v>মোঃ আবু হানিফ</v>
      </c>
      <c r="D115" s="1">
        <f>IFERROR(__xludf.DUMMYFUNCTION("""COMPUTED_VALUE"""),5.70053000051E11)</f>
        <v>570053000051</v>
      </c>
      <c r="E115" s="1" t="str">
        <f>IFERROR(__xludf.DUMMYFUNCTION("""COMPUTED_VALUE"""),"আনারুল")</f>
        <v>আনারুল</v>
      </c>
      <c r="F115" s="1" t="str">
        <f>IFERROR(__xludf.DUMMYFUNCTION("""COMPUTED_VALUE"""),"আছিয়া")</f>
        <v>আছিয়া</v>
      </c>
      <c r="G115" s="1" t="str">
        <f>IFERROR(__xludf.DUMMYFUNCTION("""COMPUTED_VALUE"""),"২০/০৬/১৯৯৮")</f>
        <v>২০/০৬/১৯৯৮</v>
      </c>
      <c r="H115" s="1" t="str">
        <f>IFERROR(__xludf.DUMMYFUNCTION("""COMPUTED_VALUE"""),"কৃষক")</f>
        <v>কৃষক</v>
      </c>
      <c r="I115" s="1" t="str">
        <f>IFERROR(__xludf.DUMMYFUNCTION("""COMPUTED_VALUE"""),"""দক্ষিন তেঁতুলবাড়িয়া")</f>
        <v>"দক্ষিন তেঁতুলবাড়িয়া</v>
      </c>
      <c r="J115" s="1" t="str">
        <f>IFERROR(__xludf.DUMMYFUNCTION("""COMPUTED_VALUE""")," গাংনী")</f>
        <v> গাংনী</v>
      </c>
      <c r="K115" s="1" t="str">
        <f>IFERROR(__xludf.DUMMYFUNCTION("""COMPUTED_VALUE""")," মেহেরপুর""")</f>
        <v> মেহেরপুর"</v>
      </c>
    </row>
    <row r="116" ht="15.75" customHeight="1">
      <c r="A116" s="5" t="s">
        <v>1018</v>
      </c>
      <c r="B116" s="1">
        <f>IFERROR(__xludf.DUMMYFUNCTION("SPLIT(A116,"","")"),117.0)</f>
        <v>117</v>
      </c>
      <c r="C116" s="1" t="str">
        <f>IFERROR(__xludf.DUMMYFUNCTION("""COMPUTED_VALUE"""),"মোঃ রাকিবুল ইসলাম")</f>
        <v>মোঃ রাকিবুল ইসলাম</v>
      </c>
      <c r="D116" s="1">
        <f>IFERROR(__xludf.DUMMYFUNCTION("""COMPUTED_VALUE"""),5.7005300004E10)</f>
        <v>57005300004</v>
      </c>
      <c r="E116" s="1" t="str">
        <f>IFERROR(__xludf.DUMMYFUNCTION("""COMPUTED_VALUE"""),"মোঃ আতিয়ার রহমান")</f>
        <v>মোঃ আতিয়ার রহমান</v>
      </c>
      <c r="F116" s="1" t="str">
        <f>IFERROR(__xludf.DUMMYFUNCTION("""COMPUTED_VALUE"""),"মোছাঃ রাফিয়া খাতুন")</f>
        <v>মোছাঃ রাফিয়া খাতুন</v>
      </c>
      <c r="G116" s="1" t="str">
        <f>IFERROR(__xludf.DUMMYFUNCTION("""COMPUTED_VALUE"""),"০৮/০৬/১৯৯৯")</f>
        <v>০৮/০৬/১৯৯৯</v>
      </c>
      <c r="H116" s="1" t="str">
        <f>IFERROR(__xludf.DUMMYFUNCTION("""COMPUTED_VALUE"""),"কৃষক")</f>
        <v>কৃষক</v>
      </c>
      <c r="I116" s="1" t="str">
        <f>IFERROR(__xludf.DUMMYFUNCTION("""COMPUTED_VALUE"""),"""দক্ষিন তেঁতুলবাড়িয়া")</f>
        <v>"দক্ষিন তেঁতুলবাড়িয়া</v>
      </c>
      <c r="J116" s="1" t="str">
        <f>IFERROR(__xludf.DUMMYFUNCTION("""COMPUTED_VALUE""")," গাংনী")</f>
        <v> গাংনী</v>
      </c>
      <c r="K116" s="1" t="str">
        <f>IFERROR(__xludf.DUMMYFUNCTION("""COMPUTED_VALUE""")," মেহেরপুর""")</f>
        <v> মেহেরপুর"</v>
      </c>
    </row>
    <row r="117" ht="15.75" customHeight="1">
      <c r="A117" s="5" t="s">
        <v>1019</v>
      </c>
      <c r="B117" s="1">
        <f>IFERROR(__xludf.DUMMYFUNCTION("SPLIT(A117,"","")"),118.0)</f>
        <v>118</v>
      </c>
      <c r="C117" s="1" t="str">
        <f>IFERROR(__xludf.DUMMYFUNCTION("""COMPUTED_VALUE"""),"মোঃ সোহাগ আলী")</f>
        <v>মোঃ সোহাগ আলী</v>
      </c>
      <c r="D117" s="1">
        <f>IFERROR(__xludf.DUMMYFUNCTION("""COMPUTED_VALUE"""),5.70053000054E11)</f>
        <v>570053000054</v>
      </c>
      <c r="E117" s="1" t="str">
        <f>IFERROR(__xludf.DUMMYFUNCTION("""COMPUTED_VALUE"""),"মোঃ ফজলুল হক")</f>
        <v>মোঃ ফজলুল হক</v>
      </c>
      <c r="F117" s="1" t="str">
        <f>IFERROR(__xludf.DUMMYFUNCTION("""COMPUTED_VALUE"""),"মৃত ছাবিনা")</f>
        <v>মৃত ছাবিনা</v>
      </c>
      <c r="G117" s="1" t="str">
        <f>IFERROR(__xludf.DUMMYFUNCTION("""COMPUTED_VALUE"""),"০৫/০৬/১৯৯৯")</f>
        <v>০৫/০৬/১৯৯৯</v>
      </c>
      <c r="H117" s="1" t="str">
        <f>IFERROR(__xludf.DUMMYFUNCTION("""COMPUTED_VALUE"""),"কৃষক")</f>
        <v>কৃষক</v>
      </c>
      <c r="I117" s="1" t="str">
        <f>IFERROR(__xludf.DUMMYFUNCTION("""COMPUTED_VALUE"""),"""দক্ষিন তেঁতুলবাড়িয়া")</f>
        <v>"দক্ষিন তেঁতুলবাড়িয়া</v>
      </c>
      <c r="J117" s="1" t="str">
        <f>IFERROR(__xludf.DUMMYFUNCTION("""COMPUTED_VALUE""")," গাংনী")</f>
        <v> গাংনী</v>
      </c>
      <c r="K117" s="1" t="str">
        <f>IFERROR(__xludf.DUMMYFUNCTION("""COMPUTED_VALUE""")," মেহেরপুর""")</f>
        <v> মেহেরপুর"</v>
      </c>
    </row>
    <row r="118" ht="15.75" customHeight="1">
      <c r="A118" s="5" t="s">
        <v>1020</v>
      </c>
      <c r="B118" s="1">
        <f>IFERROR(__xludf.DUMMYFUNCTION("SPLIT(A118,"","")"),119.0)</f>
        <v>119</v>
      </c>
      <c r="C118" s="1" t="str">
        <f>IFERROR(__xludf.DUMMYFUNCTION("""COMPUTED_VALUE"""),"মোঃ সোহেল রানা")</f>
        <v>মোঃ সোহেল রানা</v>
      </c>
      <c r="D118" s="1">
        <f>IFERROR(__xludf.DUMMYFUNCTION("""COMPUTED_VALUE"""),5.70053000055E11)</f>
        <v>570053000055</v>
      </c>
      <c r="E118" s="1" t="str">
        <f>IFERROR(__xludf.DUMMYFUNCTION("""COMPUTED_VALUE"""),"মোঃ মইনুদ্দিন")</f>
        <v>মোঃ মইনুদ্দিন</v>
      </c>
      <c r="F118" s="1" t="str">
        <f>IFERROR(__xludf.DUMMYFUNCTION("""COMPUTED_VALUE"""),"মোছাঃ জাহানারা খাতুন")</f>
        <v>মোছাঃ জাহানারা খাতুন</v>
      </c>
      <c r="G118" s="1" t="str">
        <f>IFERROR(__xludf.DUMMYFUNCTION("""COMPUTED_VALUE"""),"২০/০৬/২০০১")</f>
        <v>২০/০৬/২০০১</v>
      </c>
      <c r="H118" s="1" t="str">
        <f>IFERROR(__xludf.DUMMYFUNCTION("""COMPUTED_VALUE"""),"কৃষক")</f>
        <v>কৃষক</v>
      </c>
      <c r="I118" s="1" t="str">
        <f>IFERROR(__xludf.DUMMYFUNCTION("""COMPUTED_VALUE"""),"""দক্ষিন তেঁতুলবাড়িয়া")</f>
        <v>"দক্ষিন তেঁতুলবাড়িয়া</v>
      </c>
      <c r="J118" s="1" t="str">
        <f>IFERROR(__xludf.DUMMYFUNCTION("""COMPUTED_VALUE""")," গাংনী")</f>
        <v> গাংনী</v>
      </c>
      <c r="K118" s="1" t="str">
        <f>IFERROR(__xludf.DUMMYFUNCTION("""COMPUTED_VALUE""")," মেহেরপুর""")</f>
        <v> মেহেরপুর"</v>
      </c>
    </row>
    <row r="119" ht="15.75" customHeight="1">
      <c r="A119" s="5" t="s">
        <v>1021</v>
      </c>
      <c r="B119" s="1">
        <f>IFERROR(__xludf.DUMMYFUNCTION("SPLIT(A119,"","")"),120.0)</f>
        <v>120</v>
      </c>
      <c r="C119" s="1" t="str">
        <f>IFERROR(__xludf.DUMMYFUNCTION("""COMPUTED_VALUE"""),"মোঃ রাসেল হোসেন")</f>
        <v>মোঃ রাসেল হোসেন</v>
      </c>
      <c r="D119" s="1">
        <f>IFERROR(__xludf.DUMMYFUNCTION("""COMPUTED_VALUE"""),5.70053000056E11)</f>
        <v>570053000056</v>
      </c>
      <c r="E119" s="1" t="str">
        <f>IFERROR(__xludf.DUMMYFUNCTION("""COMPUTED_VALUE"""),"মোঃ লিয়াকত আলী")</f>
        <v>মোঃ লিয়াকত আলী</v>
      </c>
      <c r="F119" s="1" t="str">
        <f>IFERROR(__xludf.DUMMYFUNCTION("""COMPUTED_VALUE"""),"মোছাঃ বিলকিস বানু")</f>
        <v>মোছাঃ বিলকিস বানু</v>
      </c>
      <c r="G119" s="1" t="str">
        <f>IFERROR(__xludf.DUMMYFUNCTION("""COMPUTED_VALUE"""),"১০/০৮/২০০২")</f>
        <v>১০/০৮/২০০২</v>
      </c>
      <c r="H119" s="1" t="str">
        <f>IFERROR(__xludf.DUMMYFUNCTION("""COMPUTED_VALUE"""),"ছাত্র/ছাত্রী")</f>
        <v>ছাত্র/ছাত্রী</v>
      </c>
      <c r="I119" s="1" t="str">
        <f>IFERROR(__xludf.DUMMYFUNCTION("""COMPUTED_VALUE"""),"""দক্ষিন তেঁতুলবাড়িয়া")</f>
        <v>"দক্ষিন তেঁতুলবাড়িয়া</v>
      </c>
      <c r="J119" s="1" t="str">
        <f>IFERROR(__xludf.DUMMYFUNCTION("""COMPUTED_VALUE""")," গাংনী")</f>
        <v> গাংনী</v>
      </c>
      <c r="K119" s="1" t="str">
        <f>IFERROR(__xludf.DUMMYFUNCTION("""COMPUTED_VALUE""")," মেহেরপুর""")</f>
        <v> মেহেরপুর"</v>
      </c>
    </row>
    <row r="120" ht="15.75" customHeight="1">
      <c r="A120" s="5" t="s">
        <v>1022</v>
      </c>
      <c r="B120" s="1">
        <f>IFERROR(__xludf.DUMMYFUNCTION("SPLIT(A120,"","")"),121.0)</f>
        <v>121</v>
      </c>
      <c r="C120" s="1" t="str">
        <f>IFERROR(__xludf.DUMMYFUNCTION("""COMPUTED_VALUE"""),"মোঃ মশিউর রহমান")</f>
        <v>মোঃ মশিউর রহমান</v>
      </c>
      <c r="D120" s="1">
        <f>IFERROR(__xludf.DUMMYFUNCTION("""COMPUTED_VALUE"""),5.70053000057E11)</f>
        <v>570053000057</v>
      </c>
      <c r="E120" s="1" t="str">
        <f>IFERROR(__xludf.DUMMYFUNCTION("""COMPUTED_VALUE"""),"মৃত শহিদুল ইসলাম")</f>
        <v>মৃত শহিদুল ইসলাম</v>
      </c>
      <c r="F120" s="1" t="str">
        <f>IFERROR(__xludf.DUMMYFUNCTION("""COMPUTED_VALUE"""),"মোছাঃ মোমেনা খাতুন")</f>
        <v>মোছাঃ মোমেনা খাতুন</v>
      </c>
      <c r="G120" s="1" t="str">
        <f>IFERROR(__xludf.DUMMYFUNCTION("""COMPUTED_VALUE"""),"১৫/০৫/২০০১")</f>
        <v>১৫/০৫/২০০১</v>
      </c>
      <c r="H120" s="1" t="str">
        <f>IFERROR(__xludf.DUMMYFUNCTION("""COMPUTED_VALUE"""),"কৃষক")</f>
        <v>কৃষক</v>
      </c>
      <c r="I120" s="1" t="str">
        <f>IFERROR(__xludf.DUMMYFUNCTION("""COMPUTED_VALUE"""),"""দক্ষিন তেঁতুলবাড়িয়া")</f>
        <v>"দক্ষিন তেঁতুলবাড়িয়া</v>
      </c>
      <c r="J120" s="1" t="str">
        <f>IFERROR(__xludf.DUMMYFUNCTION("""COMPUTED_VALUE""")," গাংনী")</f>
        <v> গাংনী</v>
      </c>
      <c r="K120" s="1" t="str">
        <f>IFERROR(__xludf.DUMMYFUNCTION("""COMPUTED_VALUE""")," মেহেরপুর""")</f>
        <v> মেহেরপুর"</v>
      </c>
    </row>
    <row r="121" ht="15.75" customHeight="1">
      <c r="A121" s="5" t="s">
        <v>1023</v>
      </c>
      <c r="B121" s="1">
        <f>IFERROR(__xludf.DUMMYFUNCTION("SPLIT(A121,"","")"),122.0)</f>
        <v>122</v>
      </c>
      <c r="C121" s="1" t="str">
        <f>IFERROR(__xludf.DUMMYFUNCTION("""COMPUTED_VALUE"""),"মোঃ আসলাম আলী")</f>
        <v>মোঃ আসলাম আলী</v>
      </c>
      <c r="D121" s="1">
        <f>IFERROR(__xludf.DUMMYFUNCTION("""COMPUTED_VALUE"""),5.7005300006E11)</f>
        <v>570053000060</v>
      </c>
      <c r="E121" s="1" t="str">
        <f>IFERROR(__xludf.DUMMYFUNCTION("""COMPUTED_VALUE"""),"মোঃ রুস্তম আলী")</f>
        <v>মোঃ রুস্তম আলী</v>
      </c>
      <c r="F121" s="1" t="str">
        <f>IFERROR(__xludf.DUMMYFUNCTION("""COMPUTED_VALUE"""),"মোছাঃ আশুরা খাতুন")</f>
        <v>মোছাঃ আশুরা খাতুন</v>
      </c>
      <c r="G121" s="1" t="str">
        <f>IFERROR(__xludf.DUMMYFUNCTION("""COMPUTED_VALUE"""),"২১/০৬/২০০২")</f>
        <v>২১/০৬/২০০২</v>
      </c>
      <c r="H121" s="1" t="str">
        <f>IFERROR(__xludf.DUMMYFUNCTION("""COMPUTED_VALUE"""),"ছাত্র/ছাত্রী")</f>
        <v>ছাত্র/ছাত্রী</v>
      </c>
      <c r="I121" s="1" t="str">
        <f>IFERROR(__xludf.DUMMYFUNCTION("""COMPUTED_VALUE"""),"""দক্ষিন তেঁতুলবাড়িয়া")</f>
        <v>"দক্ষিন তেঁতুলবাড়িয়া</v>
      </c>
      <c r="J121" s="1" t="str">
        <f>IFERROR(__xludf.DUMMYFUNCTION("""COMPUTED_VALUE""")," গাংনী")</f>
        <v> গাংনী</v>
      </c>
      <c r="K121" s="1" t="str">
        <f>IFERROR(__xludf.DUMMYFUNCTION("""COMPUTED_VALUE""")," মেহেরপুর""")</f>
        <v> মেহেরপুর"</v>
      </c>
    </row>
    <row r="122" ht="15.75" customHeight="1">
      <c r="A122" s="5" t="s">
        <v>1024</v>
      </c>
      <c r="B122" s="1">
        <f>IFERROR(__xludf.DUMMYFUNCTION("SPLIT(A122,"","")"),123.0)</f>
        <v>123</v>
      </c>
      <c r="C122" s="1" t="str">
        <f>IFERROR(__xludf.DUMMYFUNCTION("""COMPUTED_VALUE"""),"মোঃ জুরাইস হুসাইন")</f>
        <v>মোঃ জুরাইস হুসাইন</v>
      </c>
      <c r="D122" s="1">
        <f>IFERROR(__xludf.DUMMYFUNCTION("""COMPUTED_VALUE"""),5.70053000061E11)</f>
        <v>570053000061</v>
      </c>
      <c r="E122" s="1" t="str">
        <f>IFERROR(__xludf.DUMMYFUNCTION("""COMPUTED_VALUE"""),"মোঃ আনারুল ইসলাম")</f>
        <v>মোঃ আনারুল ইসলাম</v>
      </c>
      <c r="F122" s="1" t="str">
        <f>IFERROR(__xludf.DUMMYFUNCTION("""COMPUTED_VALUE"""),"মোছাঃ আছিয়া খাতুন")</f>
        <v>মোছাঃ আছিয়া খাতুন</v>
      </c>
      <c r="G122" s="1" t="str">
        <f>IFERROR(__xludf.DUMMYFUNCTION("""COMPUTED_VALUE"""),"২০/০৬/২০০১")</f>
        <v>২০/০৬/২০০১</v>
      </c>
      <c r="H122" s="1" t="str">
        <f>IFERROR(__xludf.DUMMYFUNCTION("""COMPUTED_VALUE"""),"কৃষক")</f>
        <v>কৃষক</v>
      </c>
      <c r="I122" s="1" t="str">
        <f>IFERROR(__xludf.DUMMYFUNCTION("""COMPUTED_VALUE"""),"""দক্ষিন তেঁতুলবাড়িয়া")</f>
        <v>"দক্ষিন তেঁতুলবাড়িয়া</v>
      </c>
      <c r="J122" s="1" t="str">
        <f>IFERROR(__xludf.DUMMYFUNCTION("""COMPUTED_VALUE""")," গাংনী")</f>
        <v> গাংনী</v>
      </c>
      <c r="K122" s="1" t="str">
        <f>IFERROR(__xludf.DUMMYFUNCTION("""COMPUTED_VALUE""")," মেহেরপুর""")</f>
        <v> মেহেরপুর"</v>
      </c>
    </row>
    <row r="123" ht="15.75" customHeight="1">
      <c r="A123" s="5" t="s">
        <v>1025</v>
      </c>
      <c r="B123" s="1">
        <f>IFERROR(__xludf.DUMMYFUNCTION("SPLIT(A123,"","")"),124.0)</f>
        <v>124</v>
      </c>
      <c r="C123" s="1" t="str">
        <f>IFERROR(__xludf.DUMMYFUNCTION("""COMPUTED_VALUE"""),"মোঃ ইসরাইল হোসেন")</f>
        <v>মোঃ ইসরাইল হোসেন</v>
      </c>
      <c r="D123" s="1">
        <f>IFERROR(__xludf.DUMMYFUNCTION("""COMPUTED_VALUE"""),5.70053000063E11)</f>
        <v>570053000063</v>
      </c>
      <c r="E123" s="1" t="str">
        <f>IFERROR(__xludf.DUMMYFUNCTION("""COMPUTED_VALUE"""),"মোঃ আমিরুল ইসলাম")</f>
        <v>মোঃ আমিরুল ইসলাম</v>
      </c>
      <c r="F123" s="1" t="str">
        <f>IFERROR(__xludf.DUMMYFUNCTION("""COMPUTED_VALUE"""),"মোছাঃ মরিয়ম নেছা")</f>
        <v>মোছাঃ মরিয়ম নেছা</v>
      </c>
      <c r="G123" s="1" t="str">
        <f>IFERROR(__xludf.DUMMYFUNCTION("""COMPUTED_VALUE"""),"০৮/০৫/১৯৯০")</f>
        <v>০৮/০৫/১৯৯০</v>
      </c>
      <c r="H123" s="1" t="str">
        <f>IFERROR(__xludf.DUMMYFUNCTION("""COMPUTED_VALUE"""),"ব্যবসা")</f>
        <v>ব্যবসা</v>
      </c>
      <c r="I123" s="1" t="str">
        <f>IFERROR(__xludf.DUMMYFUNCTION("""COMPUTED_VALUE"""),"""দক্ষিন তেঁতুলবাড়িয়া")</f>
        <v>"দক্ষিন তেঁতুলবাড়িয়া</v>
      </c>
      <c r="J123" s="1" t="str">
        <f>IFERROR(__xludf.DUMMYFUNCTION("""COMPUTED_VALUE""")," গাংনী")</f>
        <v> গাংনী</v>
      </c>
      <c r="K123" s="1" t="str">
        <f>IFERROR(__xludf.DUMMYFUNCTION("""COMPUTED_VALUE""")," মেহেরপুর""")</f>
        <v> মেহেরপুর"</v>
      </c>
    </row>
    <row r="124" ht="15.75" customHeight="1">
      <c r="A124" s="5" t="s">
        <v>1026</v>
      </c>
      <c r="B124" s="1">
        <f>IFERROR(__xludf.DUMMYFUNCTION("SPLIT(A124,"","")"),125.0)</f>
        <v>125</v>
      </c>
      <c r="C124" s="1" t="str">
        <f>IFERROR(__xludf.DUMMYFUNCTION("""COMPUTED_VALUE"""),"মোঃ শরিফুল ইসলাম")</f>
        <v>মোঃ শরিফুল ইসলাম</v>
      </c>
      <c r="D124" s="1">
        <f>IFERROR(__xludf.DUMMYFUNCTION("""COMPUTED_VALUE"""),5.70053000065E11)</f>
        <v>570053000065</v>
      </c>
      <c r="E124" s="1" t="str">
        <f>IFERROR(__xludf.DUMMYFUNCTION("""COMPUTED_VALUE"""),"মোঃ রাফিজুল হক")</f>
        <v>মোঃ রাফিজুল হক</v>
      </c>
      <c r="F124" s="1" t="str">
        <f>IFERROR(__xludf.DUMMYFUNCTION("""COMPUTED_VALUE"""),"মোছাঃ রোকেয়া খাতুন")</f>
        <v>মোছাঃ রোকেয়া খাতুন</v>
      </c>
      <c r="G124" s="1" t="str">
        <f>IFERROR(__xludf.DUMMYFUNCTION("""COMPUTED_VALUE"""),"১৫/০৫/২০০১")</f>
        <v>১৫/০৫/২০০১</v>
      </c>
      <c r="H124" s="1" t="str">
        <f>IFERROR(__xludf.DUMMYFUNCTION("""COMPUTED_VALUE"""),"কৃষক")</f>
        <v>কৃষক</v>
      </c>
      <c r="I124" s="1" t="str">
        <f>IFERROR(__xludf.DUMMYFUNCTION("""COMPUTED_VALUE"""),"""দক্ষিন তেঁতুলবাড়িয়া")</f>
        <v>"দক্ষিন তেঁতুলবাড়িয়া</v>
      </c>
      <c r="J124" s="1" t="str">
        <f>IFERROR(__xludf.DUMMYFUNCTION("""COMPUTED_VALUE""")," গাংনী")</f>
        <v> গাংনী</v>
      </c>
      <c r="K124" s="1" t="str">
        <f>IFERROR(__xludf.DUMMYFUNCTION("""COMPUTED_VALUE""")," মেহেরপুর""")</f>
        <v> মেহেরপুর"</v>
      </c>
    </row>
    <row r="125" ht="15.75" customHeight="1">
      <c r="A125" s="5" t="s">
        <v>1027</v>
      </c>
      <c r="B125" s="1">
        <f>IFERROR(__xludf.DUMMYFUNCTION("SPLIT(A125,"","")"),126.0)</f>
        <v>126</v>
      </c>
      <c r="C125" s="1" t="str">
        <f>IFERROR(__xludf.DUMMYFUNCTION("""COMPUTED_VALUE"""),"মোঃ ইমরান হোসেন")</f>
        <v>মোঃ ইমরান হোসেন</v>
      </c>
      <c r="D125" s="1">
        <f>IFERROR(__xludf.DUMMYFUNCTION("""COMPUTED_VALUE"""),5.70053000068E11)</f>
        <v>570053000068</v>
      </c>
      <c r="E125" s="1" t="str">
        <f>IFERROR(__xludf.DUMMYFUNCTION("""COMPUTED_VALUE"""),"মোঃ ইব্রাহিম আলী")</f>
        <v>মোঃ ইব্রাহিম আলী</v>
      </c>
      <c r="F125" s="1" t="str">
        <f>IFERROR(__xludf.DUMMYFUNCTION("""COMPUTED_VALUE"""),"মোছাঃ জরিনা খাতুন")</f>
        <v>মোছাঃ জরিনা খাতুন</v>
      </c>
      <c r="G125" s="1" t="str">
        <f>IFERROR(__xludf.DUMMYFUNCTION("""COMPUTED_VALUE"""),"২০/০৬/১৯৯৭")</f>
        <v>২০/০৬/১৯৯৭</v>
      </c>
      <c r="H125" s="1" t="str">
        <f>IFERROR(__xludf.DUMMYFUNCTION("""COMPUTED_VALUE"""),"ছাত্র/ছাত্রী")</f>
        <v>ছাত্র/ছাত্রী</v>
      </c>
      <c r="I125" s="1" t="str">
        <f>IFERROR(__xludf.DUMMYFUNCTION("""COMPUTED_VALUE"""),"""দক্ষিন তেঁতুলবাড়িয়া")</f>
        <v>"দক্ষিন তেঁতুলবাড়িয়া</v>
      </c>
      <c r="J125" s="1" t="str">
        <f>IFERROR(__xludf.DUMMYFUNCTION("""COMPUTED_VALUE""")," গাংনী")</f>
        <v> গাংনী</v>
      </c>
      <c r="K125" s="1" t="str">
        <f>IFERROR(__xludf.DUMMYFUNCTION("""COMPUTED_VALUE""")," মেহেরপুর""")</f>
        <v> মেহেরপুর"</v>
      </c>
    </row>
    <row r="126" ht="15.75" customHeight="1">
      <c r="A126" s="5" t="s">
        <v>1028</v>
      </c>
      <c r="B126" s="1">
        <f>IFERROR(__xludf.DUMMYFUNCTION("SPLIT(A126,"","")"),127.0)</f>
        <v>127</v>
      </c>
      <c r="C126" s="1" t="str">
        <f>IFERROR(__xludf.DUMMYFUNCTION("""COMPUTED_VALUE"""),"হযরত আলী")</f>
        <v>হযরত আলী</v>
      </c>
      <c r="D126" s="1">
        <f>IFERROR(__xludf.DUMMYFUNCTION("""COMPUTED_VALUE"""),5.70053000069E11)</f>
        <v>570053000069</v>
      </c>
      <c r="E126" s="1" t="str">
        <f>IFERROR(__xludf.DUMMYFUNCTION("""COMPUTED_VALUE"""),"মোঃ বকুল বিশ্বাস")</f>
        <v>মোঃ বকুল বিশ্বাস</v>
      </c>
      <c r="F126" s="1" t="str">
        <f>IFERROR(__xludf.DUMMYFUNCTION("""COMPUTED_VALUE"""),"মোছাঃ জহুরা খাতুন")</f>
        <v>মোছাঃ জহুরা খাতুন</v>
      </c>
      <c r="G126" s="1" t="str">
        <f>IFERROR(__xludf.DUMMYFUNCTION("""COMPUTED_VALUE"""),"০৬/০৯/১৯৯৭")</f>
        <v>০৬/০৯/১৯৯৭</v>
      </c>
      <c r="H126" s="1" t="str">
        <f>IFERROR(__xludf.DUMMYFUNCTION("""COMPUTED_VALUE"""),"কৃষক")</f>
        <v>কৃষক</v>
      </c>
      <c r="I126" s="1" t="str">
        <f>IFERROR(__xludf.DUMMYFUNCTION("""COMPUTED_VALUE"""),"""দক্ষিন তেঁতুলবাড়িয়া")</f>
        <v>"দক্ষিন তেঁতুলবাড়িয়া</v>
      </c>
      <c r="J126" s="1" t="str">
        <f>IFERROR(__xludf.DUMMYFUNCTION("""COMPUTED_VALUE""")," গাংনী")</f>
        <v> গাংনী</v>
      </c>
      <c r="K126" s="1" t="str">
        <f>IFERROR(__xludf.DUMMYFUNCTION("""COMPUTED_VALUE""")," মেহেরপুর""")</f>
        <v> মেহেরপুর"</v>
      </c>
    </row>
    <row r="127" ht="15.75" customHeight="1">
      <c r="A127" s="5" t="s">
        <v>1029</v>
      </c>
      <c r="B127" s="1">
        <f>IFERROR(__xludf.DUMMYFUNCTION("SPLIT(A127,"","")"),128.0)</f>
        <v>128</v>
      </c>
      <c r="C127" s="1" t="str">
        <f>IFERROR(__xludf.DUMMYFUNCTION("""COMPUTED_VALUE"""),"মোঃ খাইরুল ইসলাম")</f>
        <v>মোঃ খাইরুল ইসলাম</v>
      </c>
      <c r="D127" s="1">
        <f>IFERROR(__xludf.DUMMYFUNCTION("""COMPUTED_VALUE"""),5.7005300007E11)</f>
        <v>570053000070</v>
      </c>
      <c r="E127" s="1" t="str">
        <f>IFERROR(__xludf.DUMMYFUNCTION("""COMPUTED_VALUE"""),"মোঃ মনিরুল ইসলাম")</f>
        <v>মোঃ মনিরুল ইসলাম</v>
      </c>
      <c r="F127" s="1" t="str">
        <f>IFERROR(__xludf.DUMMYFUNCTION("""COMPUTED_VALUE"""),"মোছাঃ ফুলজান")</f>
        <v>মোছাঃ ফুলজান</v>
      </c>
      <c r="G127" s="1" t="str">
        <f>IFERROR(__xludf.DUMMYFUNCTION("""COMPUTED_VALUE"""),"১৯/০৭/২০০২")</f>
        <v>১৯/০৭/২০০২</v>
      </c>
      <c r="H127" s="1" t="str">
        <f>IFERROR(__xludf.DUMMYFUNCTION("""COMPUTED_VALUE"""),"ছাত্র/ছাত্রী")</f>
        <v>ছাত্র/ছাত্রী</v>
      </c>
      <c r="I127" s="1" t="str">
        <f>IFERROR(__xludf.DUMMYFUNCTION("""COMPUTED_VALUE"""),"""দক্ষিন তেঁতুলবাড়িয়া")</f>
        <v>"দক্ষিন তেঁতুলবাড়িয়া</v>
      </c>
      <c r="J127" s="1" t="str">
        <f>IFERROR(__xludf.DUMMYFUNCTION("""COMPUTED_VALUE""")," গাংনী")</f>
        <v> গাংনী</v>
      </c>
      <c r="K127" s="1" t="str">
        <f>IFERROR(__xludf.DUMMYFUNCTION("""COMPUTED_VALUE""")," মেহেরপুর""")</f>
        <v> মেহেরপুর"</v>
      </c>
    </row>
    <row r="128" ht="15.75" customHeight="1">
      <c r="A128" s="5" t="s">
        <v>1030</v>
      </c>
      <c r="B128" s="1">
        <f>IFERROR(__xludf.DUMMYFUNCTION("SPLIT(A128,"","")"),129.0)</f>
        <v>129</v>
      </c>
      <c r="C128" s="1" t="str">
        <f>IFERROR(__xludf.DUMMYFUNCTION("""COMPUTED_VALUE"""),"মোঃ হুসাইন আলী")</f>
        <v>মোঃ হুসাইন আলী</v>
      </c>
      <c r="D128" s="1">
        <f>IFERROR(__xludf.DUMMYFUNCTION("""COMPUTED_VALUE"""),5.70053000073E11)</f>
        <v>570053000073</v>
      </c>
      <c r="E128" s="1" t="str">
        <f>IFERROR(__xludf.DUMMYFUNCTION("""COMPUTED_VALUE"""),"মোঃ আলামিন হোসেন")</f>
        <v>মোঃ আলামিন হোসেন</v>
      </c>
      <c r="F128" s="1" t="str">
        <f>IFERROR(__xludf.DUMMYFUNCTION("""COMPUTED_VALUE"""),"মোছাঃ রুপালী খাতুন")</f>
        <v>মোছাঃ রুপালী খাতুন</v>
      </c>
      <c r="G128" s="1" t="str">
        <f>IFERROR(__xludf.DUMMYFUNCTION("""COMPUTED_VALUE"""),"০৬/০১/২০০২")</f>
        <v>০৬/০১/২০০২</v>
      </c>
      <c r="H128" s="1" t="str">
        <f>IFERROR(__xludf.DUMMYFUNCTION("""COMPUTED_VALUE"""),"কৃষক")</f>
        <v>কৃষক</v>
      </c>
      <c r="I128" s="1" t="str">
        <f>IFERROR(__xludf.DUMMYFUNCTION("""COMPUTED_VALUE"""),"""দক্ষিন তেঁতুলবাড়িয়া")</f>
        <v>"দক্ষিন তেঁতুলবাড়িয়া</v>
      </c>
      <c r="J128" s="1" t="str">
        <f>IFERROR(__xludf.DUMMYFUNCTION("""COMPUTED_VALUE""")," গাংনী")</f>
        <v> গাংনী</v>
      </c>
      <c r="K128" s="1" t="str">
        <f>IFERROR(__xludf.DUMMYFUNCTION("""COMPUTED_VALUE""")," মেহেরপুর""")</f>
        <v> মেহেরপুর"</v>
      </c>
    </row>
    <row r="129" ht="15.75" customHeight="1">
      <c r="A129" s="5" t="s">
        <v>1031</v>
      </c>
      <c r="B129" s="1">
        <f>IFERROR(__xludf.DUMMYFUNCTION("SPLIT(A129,"","")"),130.0)</f>
        <v>130</v>
      </c>
      <c r="C129" s="1" t="str">
        <f>IFERROR(__xludf.DUMMYFUNCTION("""COMPUTED_VALUE"""),"নাজমুল হুসাইন")</f>
        <v>নাজমুল হুসাইন</v>
      </c>
      <c r="D129" s="1">
        <f>IFERROR(__xludf.DUMMYFUNCTION("""COMPUTED_VALUE"""),5.70053000074E11)</f>
        <v>570053000074</v>
      </c>
      <c r="E129" s="1" t="str">
        <f>IFERROR(__xludf.DUMMYFUNCTION("""COMPUTED_VALUE"""),"মৃত ইদ্রিস আলী")</f>
        <v>মৃত ইদ্রিস আলী</v>
      </c>
      <c r="F129" s="1" t="str">
        <f>IFERROR(__xludf.DUMMYFUNCTION("""COMPUTED_VALUE"""),"মোছাঃ নাজেরা বেগম")</f>
        <v>মোছাঃ নাজেরা বেগম</v>
      </c>
      <c r="G129" s="1" t="str">
        <f>IFERROR(__xludf.DUMMYFUNCTION("""COMPUTED_VALUE"""),"২৫/০২/২০০৩")</f>
        <v>২৫/০২/২০০৩</v>
      </c>
      <c r="H129" s="1" t="str">
        <f>IFERROR(__xludf.DUMMYFUNCTION("""COMPUTED_VALUE"""),"কৃষক")</f>
        <v>কৃষক</v>
      </c>
      <c r="I129" s="1" t="str">
        <f>IFERROR(__xludf.DUMMYFUNCTION("""COMPUTED_VALUE"""),"""দক্ষিন তেঁতুলবাড়িয়া")</f>
        <v>"দক্ষিন তেঁতুলবাড়িয়া</v>
      </c>
      <c r="J129" s="1" t="str">
        <f>IFERROR(__xludf.DUMMYFUNCTION("""COMPUTED_VALUE""")," গাংনী")</f>
        <v> গাংনী</v>
      </c>
      <c r="K129" s="1" t="str">
        <f>IFERROR(__xludf.DUMMYFUNCTION("""COMPUTED_VALUE""")," মেহেরপুর""")</f>
        <v> মেহেরপুর"</v>
      </c>
    </row>
    <row r="130" ht="15.75" customHeight="1">
      <c r="A130" s="5" t="s">
        <v>1032</v>
      </c>
      <c r="B130" s="1">
        <f>IFERROR(__xludf.DUMMYFUNCTION("SPLIT(A130,"","")"),131.0)</f>
        <v>131</v>
      </c>
      <c r="C130" s="1" t="str">
        <f>IFERROR(__xludf.DUMMYFUNCTION("""COMPUTED_VALUE"""),"মিজানুর রহমান")</f>
        <v>মিজানুর রহমান</v>
      </c>
      <c r="D130" s="1">
        <f>IFERROR(__xludf.DUMMYFUNCTION("""COMPUTED_VALUE"""),5.70053000075E11)</f>
        <v>570053000075</v>
      </c>
      <c r="E130" s="1" t="str">
        <f>IFERROR(__xludf.DUMMYFUNCTION("""COMPUTED_VALUE"""),"মোঃ মুহরুল ইসলাম")</f>
        <v>মোঃ মুহরুল ইসলাম</v>
      </c>
      <c r="F130" s="1" t="str">
        <f>IFERROR(__xludf.DUMMYFUNCTION("""COMPUTED_VALUE"""),"মোছাঃ বানিয়া খাতুন")</f>
        <v>মোছাঃ বানিয়া খাতুন</v>
      </c>
      <c r="G130" s="1" t="str">
        <f>IFERROR(__xludf.DUMMYFUNCTION("""COMPUTED_VALUE"""),"১০/০৯/১৯৯৪")</f>
        <v>১০/০৯/১৯৯৪</v>
      </c>
      <c r="H130" s="1" t="str">
        <f>IFERROR(__xludf.DUMMYFUNCTION("""COMPUTED_VALUE"""),"কৃষক")</f>
        <v>কৃষক</v>
      </c>
      <c r="I130" s="1" t="str">
        <f>IFERROR(__xludf.DUMMYFUNCTION("""COMPUTED_VALUE"""),"""দক্ষিন তেঁতুলবাড়িয়া")</f>
        <v>"দক্ষিন তেঁতুলবাড়িয়া</v>
      </c>
      <c r="J130" s="1" t="str">
        <f>IFERROR(__xludf.DUMMYFUNCTION("""COMPUTED_VALUE""")," গাংনী")</f>
        <v> গাংনী</v>
      </c>
      <c r="K130" s="1" t="str">
        <f>IFERROR(__xludf.DUMMYFUNCTION("""COMPUTED_VALUE""")," মেহেরপুর""")</f>
        <v> মেহেরপুর"</v>
      </c>
    </row>
    <row r="131" ht="15.75" customHeight="1">
      <c r="A131" s="5" t="s">
        <v>1033</v>
      </c>
      <c r="B131" s="1">
        <f>IFERROR(__xludf.DUMMYFUNCTION("SPLIT(A131,"","")"),132.0)</f>
        <v>132</v>
      </c>
      <c r="C131" s="1" t="str">
        <f>IFERROR(__xludf.DUMMYFUNCTION("""COMPUTED_VALUE"""),"মোঃ হাবিবুর রহমান")</f>
        <v>মোঃ হাবিবুর রহমান</v>
      </c>
      <c r="D131" s="1">
        <f>IFERROR(__xludf.DUMMYFUNCTION("""COMPUTED_VALUE"""),5.70053000076E11)</f>
        <v>570053000076</v>
      </c>
      <c r="E131" s="1" t="str">
        <f>IFERROR(__xludf.DUMMYFUNCTION("""COMPUTED_VALUE"""),"মোঃ আলতাব হোসেন")</f>
        <v>মোঃ আলতাব হোসেন</v>
      </c>
      <c r="F131" s="1" t="str">
        <f>IFERROR(__xludf.DUMMYFUNCTION("""COMPUTED_VALUE"""),"মোছাঃ হালিমা খাতুন")</f>
        <v>মোছাঃ হালিমা খাতুন</v>
      </c>
      <c r="G131" s="1" t="str">
        <f>IFERROR(__xludf.DUMMYFUNCTION("""COMPUTED_VALUE"""),"২০/০৬/২০০১")</f>
        <v>২০/০৬/২০০১</v>
      </c>
      <c r="H131" s="1" t="str">
        <f>IFERROR(__xludf.DUMMYFUNCTION("""COMPUTED_VALUE"""),"কৃষক")</f>
        <v>কৃষক</v>
      </c>
      <c r="I131" s="1" t="str">
        <f>IFERROR(__xludf.DUMMYFUNCTION("""COMPUTED_VALUE"""),"""দক্ষিন তেঁতুলবাড়িয়া")</f>
        <v>"দক্ষিন তেঁতুলবাড়িয়া</v>
      </c>
      <c r="J131" s="1" t="str">
        <f>IFERROR(__xludf.DUMMYFUNCTION("""COMPUTED_VALUE""")," গাংনী")</f>
        <v> গাংনী</v>
      </c>
      <c r="K131" s="1" t="str">
        <f>IFERROR(__xludf.DUMMYFUNCTION("""COMPUTED_VALUE""")," মেহেরপুর""")</f>
        <v> মেহেরপুর"</v>
      </c>
    </row>
    <row r="132" ht="15.75" customHeight="1">
      <c r="A132" s="5" t="s">
        <v>1034</v>
      </c>
      <c r="B132" s="1">
        <f>IFERROR(__xludf.DUMMYFUNCTION("SPLIT(A132,"","")"),133.0)</f>
        <v>133</v>
      </c>
      <c r="C132" s="1" t="str">
        <f>IFERROR(__xludf.DUMMYFUNCTION("""COMPUTED_VALUE"""),"মোঃ মাফুজ রানা")</f>
        <v>মোঃ মাফুজ রানা</v>
      </c>
      <c r="D132" s="1">
        <f>IFERROR(__xludf.DUMMYFUNCTION("""COMPUTED_VALUE"""),5.70053374661E11)</f>
        <v>570053374661</v>
      </c>
      <c r="E132" s="1" t="str">
        <f>IFERROR(__xludf.DUMMYFUNCTION("""COMPUTED_VALUE"""),"মোঃ খোকন আলী")</f>
        <v>মোঃ খোকন আলী</v>
      </c>
      <c r="F132" s="1" t="str">
        <f>IFERROR(__xludf.DUMMYFUNCTION("""COMPUTED_VALUE"""),"মোছাঃ নারগিছ আরা")</f>
        <v>মোছাঃ নারগিছ আরা</v>
      </c>
      <c r="G132" s="1" t="str">
        <f>IFERROR(__xludf.DUMMYFUNCTION("""COMPUTED_VALUE"""),"০১/০১/২০০০")</f>
        <v>০১/০১/২০০০</v>
      </c>
      <c r="H132" s="1" t="str">
        <f>IFERROR(__xludf.DUMMYFUNCTION("""COMPUTED_VALUE"""),"ছাত্র/ছাত্রী")</f>
        <v>ছাত্র/ছাত্রী</v>
      </c>
      <c r="I132" s="1" t="str">
        <f>IFERROR(__xludf.DUMMYFUNCTION("""COMPUTED_VALUE"""),"""দক্ষিন তেঁতুলবাড়িয়া")</f>
        <v>"দক্ষিন তেঁতুলবাড়িয়া</v>
      </c>
      <c r="J132" s="1" t="str">
        <f>IFERROR(__xludf.DUMMYFUNCTION("""COMPUTED_VALUE""")," গাংনী")</f>
        <v> গাংনী</v>
      </c>
      <c r="K132" s="1" t="str">
        <f>IFERROR(__xludf.DUMMYFUNCTION("""COMPUTED_VALUE""")," মেহেরপুর""")</f>
        <v> মেহেরপুর"</v>
      </c>
    </row>
    <row r="133" ht="15.75" customHeight="1">
      <c r="A133" s="5" t="s">
        <v>1035</v>
      </c>
      <c r="B133" s="1">
        <f>IFERROR(__xludf.DUMMYFUNCTION("SPLIT(A133,"","")"),134.0)</f>
        <v>134</v>
      </c>
      <c r="C133" s="1" t="str">
        <f>IFERROR(__xludf.DUMMYFUNCTION("""COMPUTED_VALUE"""),"মোঃ মাসুম রেজা")</f>
        <v>মোঃ মাসুম রেজা</v>
      </c>
      <c r="D133" s="1">
        <f>IFERROR(__xludf.DUMMYFUNCTION("""COMPUTED_VALUE"""),5.7005337466E11)</f>
        <v>570053374660</v>
      </c>
      <c r="E133" s="1" t="str">
        <f>IFERROR(__xludf.DUMMYFUNCTION("""COMPUTED_VALUE"""),"মোঃ শহিদুল ইসলাম")</f>
        <v>মোঃ শহিদুল ইসলাম</v>
      </c>
      <c r="F133" s="1" t="str">
        <f>IFERROR(__xludf.DUMMYFUNCTION("""COMPUTED_VALUE"""),"মোছাঃ ইশারন নেছা")</f>
        <v>মোছাঃ ইশারন নেছা</v>
      </c>
      <c r="G133" s="1" t="str">
        <f>IFERROR(__xludf.DUMMYFUNCTION("""COMPUTED_VALUE"""),"০৫/০২/১৯৮২")</f>
        <v>০৫/০২/১৯৮২</v>
      </c>
      <c r="H133" s="1" t="str">
        <f>IFERROR(__xludf.DUMMYFUNCTION("""COMPUTED_VALUE"""),"দিনমজুর")</f>
        <v>দিনমজুর</v>
      </c>
      <c r="I133" s="1" t="str">
        <f>IFERROR(__xludf.DUMMYFUNCTION("""COMPUTED_VALUE"""),"""দক্ষিন তেঁতুলবাড়িয়া")</f>
        <v>"দক্ষিন তেঁতুলবাড়িয়া</v>
      </c>
      <c r="J133" s="1" t="str">
        <f>IFERROR(__xludf.DUMMYFUNCTION("""COMPUTED_VALUE""")," গাংনী")</f>
        <v> গাংনী</v>
      </c>
      <c r="K133" s="1" t="str">
        <f>IFERROR(__xludf.DUMMYFUNCTION("""COMPUTED_VALUE""")," মেহেরপুর""")</f>
        <v> মেহেরপুর"</v>
      </c>
    </row>
    <row r="134" ht="15.75" customHeight="1">
      <c r="A134" s="5" t="s">
        <v>1036</v>
      </c>
      <c r="B134" s="1">
        <f>IFERROR(__xludf.DUMMYFUNCTION("SPLIT(A134,"","")"),135.0)</f>
        <v>135</v>
      </c>
      <c r="C134" s="1" t="str">
        <f>IFERROR(__xludf.DUMMYFUNCTION("""COMPUTED_VALUE"""),"রানা হামিদ")</f>
        <v>রানা হামিদ</v>
      </c>
      <c r="D134" s="1">
        <f>IFERROR(__xludf.DUMMYFUNCTION("""COMPUTED_VALUE"""),5.70053000086E11)</f>
        <v>570053000086</v>
      </c>
      <c r="E134" s="1" t="str">
        <f>IFERROR(__xludf.DUMMYFUNCTION("""COMPUTED_VALUE"""),"মোঃ নাসিরুল")</f>
        <v>মোঃ নাসিরুল</v>
      </c>
      <c r="F134" s="1" t="str">
        <f>IFERROR(__xludf.DUMMYFUNCTION("""COMPUTED_VALUE"""),"মোছাঃ আনার কলি")</f>
        <v>মোছাঃ আনার কলি</v>
      </c>
      <c r="G134" s="1" t="str">
        <f>IFERROR(__xludf.DUMMYFUNCTION("""COMPUTED_VALUE"""),"২৫/০১/২০০৫")</f>
        <v>২৫/০১/২০০৫</v>
      </c>
      <c r="H134" s="1" t="str">
        <f>IFERROR(__xludf.DUMMYFUNCTION("""COMPUTED_VALUE"""),"কৃষক")</f>
        <v>কৃষক</v>
      </c>
      <c r="I134" s="1" t="str">
        <f>IFERROR(__xludf.DUMMYFUNCTION("""COMPUTED_VALUE"""),"""দক্ষিন তেঁতুলবাড়িয়া")</f>
        <v>"দক্ষিন তেঁতুলবাড়িয়া</v>
      </c>
      <c r="J134" s="1" t="str">
        <f>IFERROR(__xludf.DUMMYFUNCTION("""COMPUTED_VALUE""")," গাংনী")</f>
        <v> গাংনী</v>
      </c>
      <c r="K134" s="1" t="str">
        <f>IFERROR(__xludf.DUMMYFUNCTION("""COMPUTED_VALUE""")," মেহেরপুর""")</f>
        <v> মেহেরপুর"</v>
      </c>
    </row>
    <row r="135" ht="15.75" customHeight="1">
      <c r="A135" s="5" t="s">
        <v>1037</v>
      </c>
      <c r="B135" s="1">
        <f>IFERROR(__xludf.DUMMYFUNCTION("SPLIT(A135,"","")"),136.0)</f>
        <v>136</v>
      </c>
      <c r="C135" s="1" t="str">
        <f>IFERROR(__xludf.DUMMYFUNCTION("""COMPUTED_VALUE"""),"মোঃ নাইম হোসেন")</f>
        <v>মোঃ নাইম হোসেন</v>
      </c>
      <c r="D135" s="1">
        <f>IFERROR(__xludf.DUMMYFUNCTION("""COMPUTED_VALUE"""),5.70053000087E11)</f>
        <v>570053000087</v>
      </c>
      <c r="E135" s="1" t="str">
        <f>IFERROR(__xludf.DUMMYFUNCTION("""COMPUTED_VALUE"""),"মোঃ রাশিদুল ইসলাম")</f>
        <v>মোঃ রাশিদুল ইসলাম</v>
      </c>
      <c r="F135" s="1" t="str">
        <f>IFERROR(__xludf.DUMMYFUNCTION("""COMPUTED_VALUE"""),"মোছাঃ বেলী খাতুন")</f>
        <v>মোছাঃ বেলী খাতুন</v>
      </c>
      <c r="G135" s="1" t="str">
        <f>IFERROR(__xludf.DUMMYFUNCTION("""COMPUTED_VALUE"""),"০৫/০৪/২০০৫")</f>
        <v>০৫/০৪/২০০৫</v>
      </c>
      <c r="H135" s="1" t="str">
        <f>IFERROR(__xludf.DUMMYFUNCTION("""COMPUTED_VALUE"""),"ছাত্র/ছাত্রী")</f>
        <v>ছাত্র/ছাত্রী</v>
      </c>
      <c r="I135" s="1" t="str">
        <f>IFERROR(__xludf.DUMMYFUNCTION("""COMPUTED_VALUE"""),"""দক্ষিন তেঁতুলবাড়িয়া")</f>
        <v>"দক্ষিন তেঁতুলবাড়িয়া</v>
      </c>
      <c r="J135" s="1" t="str">
        <f>IFERROR(__xludf.DUMMYFUNCTION("""COMPUTED_VALUE""")," গাংনী")</f>
        <v> গাংনী</v>
      </c>
      <c r="K135" s="1" t="str">
        <f>IFERROR(__xludf.DUMMYFUNCTION("""COMPUTED_VALUE""")," মেহেরপুর""")</f>
        <v> মেহেরপুর"</v>
      </c>
    </row>
    <row r="136" ht="15.75" customHeight="1">
      <c r="A136" s="5" t="s">
        <v>1038</v>
      </c>
      <c r="B136" s="1">
        <f>IFERROR(__xludf.DUMMYFUNCTION("SPLIT(A136,"","")"),137.0)</f>
        <v>137</v>
      </c>
      <c r="C136" s="1" t="str">
        <f>IFERROR(__xludf.DUMMYFUNCTION("""COMPUTED_VALUE"""),"মোঃ সেলিম রেজা")</f>
        <v>মোঃ সেলিম রেজা</v>
      </c>
      <c r="D136" s="1">
        <f>IFERROR(__xludf.DUMMYFUNCTION("""COMPUTED_VALUE"""),5.70053000088E11)</f>
        <v>570053000088</v>
      </c>
      <c r="E136" s="1" t="str">
        <f>IFERROR(__xludf.DUMMYFUNCTION("""COMPUTED_VALUE"""),"মোঃ আমিরুল ইসলাম")</f>
        <v>মোঃ আমিরুল ইসলাম</v>
      </c>
      <c r="F136" s="1" t="str">
        <f>IFERROR(__xludf.DUMMYFUNCTION("""COMPUTED_VALUE"""),"মোছাঃ শেফালী খাতুন")</f>
        <v>মোছাঃ শেফালী খাতুন</v>
      </c>
      <c r="G136" s="1" t="str">
        <f>IFERROR(__xludf.DUMMYFUNCTION("""COMPUTED_VALUE"""),"২০/০১/২০০৬")</f>
        <v>২০/০১/২০০৬</v>
      </c>
      <c r="H136" s="1" t="str">
        <f>IFERROR(__xludf.DUMMYFUNCTION("""COMPUTED_VALUE"""),"ছাত্র/ছাত্রী")</f>
        <v>ছাত্র/ছাত্রী</v>
      </c>
      <c r="I136" s="1" t="str">
        <f>IFERROR(__xludf.DUMMYFUNCTION("""COMPUTED_VALUE"""),"""দক্ষিন তেঁতুলবাড়িয়া")</f>
        <v>"দক্ষিন তেঁতুলবাড়িয়া</v>
      </c>
      <c r="J136" s="1" t="str">
        <f>IFERROR(__xludf.DUMMYFUNCTION("""COMPUTED_VALUE""")," গাংনী")</f>
        <v> গাংনী</v>
      </c>
      <c r="K136" s="1" t="str">
        <f>IFERROR(__xludf.DUMMYFUNCTION("""COMPUTED_VALUE""")," মেহেরপুর""")</f>
        <v> মেহেরপুর"</v>
      </c>
    </row>
    <row r="137" ht="15.75" customHeight="1">
      <c r="A137" s="5" t="s">
        <v>1039</v>
      </c>
      <c r="B137" s="1">
        <f>IFERROR(__xludf.DUMMYFUNCTION("SPLIT(A137,"","")"),138.0)</f>
        <v>138</v>
      </c>
      <c r="C137" s="1" t="str">
        <f>IFERROR(__xludf.DUMMYFUNCTION("""COMPUTED_VALUE"""),"মোঃ নাহিদ আলী")</f>
        <v>মোঃ নাহিদ আলী</v>
      </c>
      <c r="D137" s="1">
        <f>IFERROR(__xludf.DUMMYFUNCTION("""COMPUTED_VALUE"""),5.70053000089E11)</f>
        <v>570053000089</v>
      </c>
      <c r="E137" s="1" t="str">
        <f>IFERROR(__xludf.DUMMYFUNCTION("""COMPUTED_VALUE"""),"মোঃ আব্দুস ছালাম")</f>
        <v>মোঃ আব্দুস ছালাম</v>
      </c>
      <c r="F137" s="1" t="str">
        <f>IFERROR(__xludf.DUMMYFUNCTION("""COMPUTED_VALUE"""),"মোছাঃ নাজমা খাতুন")</f>
        <v>মোছাঃ নাজমা খাতুন</v>
      </c>
      <c r="G137" s="1" t="str">
        <f>IFERROR(__xludf.DUMMYFUNCTION("""COMPUTED_VALUE"""),"০৬/০৯/২০০৬")</f>
        <v>০৬/০৯/২০০৬</v>
      </c>
      <c r="H137" s="1" t="str">
        <f>IFERROR(__xludf.DUMMYFUNCTION("""COMPUTED_VALUE"""),"ছাত্র/ছাত্রী")</f>
        <v>ছাত্র/ছাত্রী</v>
      </c>
      <c r="I137" s="1" t="str">
        <f>IFERROR(__xludf.DUMMYFUNCTION("""COMPUTED_VALUE"""),"""দক্ষিন তেঁতুলবাড়িয়া")</f>
        <v>"দক্ষিন তেঁতুলবাড়িয়া</v>
      </c>
      <c r="J137" s="1" t="str">
        <f>IFERROR(__xludf.DUMMYFUNCTION("""COMPUTED_VALUE""")," গাংনী")</f>
        <v> গাংনী</v>
      </c>
      <c r="K137" s="1" t="str">
        <f>IFERROR(__xludf.DUMMYFUNCTION("""COMPUTED_VALUE""")," মেহেরপুর""")</f>
        <v> মেহেরপুর"</v>
      </c>
    </row>
    <row r="138" ht="15.75" customHeight="1">
      <c r="A138" s="5" t="s">
        <v>1040</v>
      </c>
      <c r="B138" s="1">
        <f>IFERROR(__xludf.DUMMYFUNCTION("SPLIT(A138,"","")"),139.0)</f>
        <v>139</v>
      </c>
      <c r="C138" s="1" t="str">
        <f>IFERROR(__xludf.DUMMYFUNCTION("""COMPUTED_VALUE"""),"খলিল উল্লাহ")</f>
        <v>খলিল উল্লাহ</v>
      </c>
      <c r="D138" s="1">
        <f>IFERROR(__xludf.DUMMYFUNCTION("""COMPUTED_VALUE"""),5.70053374664E11)</f>
        <v>570053374664</v>
      </c>
      <c r="E138" s="1" t="str">
        <f>IFERROR(__xludf.DUMMYFUNCTION("""COMPUTED_VALUE"""),"মোঃ হাসান আলী")</f>
        <v>মোঃ হাসান আলী</v>
      </c>
      <c r="F138" s="1" t="str">
        <f>IFERROR(__xludf.DUMMYFUNCTION("""COMPUTED_VALUE"""),"মোছাঃ রহিমা খাতুন")</f>
        <v>মোছাঃ রহিমা খাতুন</v>
      </c>
      <c r="G138" s="1" t="str">
        <f>IFERROR(__xludf.DUMMYFUNCTION("""COMPUTED_VALUE"""),"০৩/০২/২০০০")</f>
        <v>০৩/০২/২০০০</v>
      </c>
      <c r="H138" s="1" t="str">
        <f>IFERROR(__xludf.DUMMYFUNCTION("""COMPUTED_VALUE"""),"শ্রমিক")</f>
        <v>শ্রমিক</v>
      </c>
      <c r="I138" s="1" t="str">
        <f>IFERROR(__xludf.DUMMYFUNCTION("""COMPUTED_VALUE"""),"""দক্ষিন তেঁতুলবাড়িয়া")</f>
        <v>"দক্ষিন তেঁতুলবাড়িয়া</v>
      </c>
      <c r="J138" s="1" t="str">
        <f>IFERROR(__xludf.DUMMYFUNCTION("""COMPUTED_VALUE""")," গাংনী")</f>
        <v> গাংনী</v>
      </c>
      <c r="K138" s="1" t="str">
        <f>IFERROR(__xludf.DUMMYFUNCTION("""COMPUTED_VALUE""")," মেহেরপুর""")</f>
        <v> মেহেরপুর"</v>
      </c>
    </row>
    <row r="139" ht="15.75" customHeight="1">
      <c r="A139" s="5" t="s">
        <v>1041</v>
      </c>
      <c r="B139" s="1">
        <f>IFERROR(__xludf.DUMMYFUNCTION("SPLIT(A139,"","")"),140.0)</f>
        <v>140</v>
      </c>
      <c r="C139" s="1" t="str">
        <f>IFERROR(__xludf.DUMMYFUNCTION("""COMPUTED_VALUE"""),"মোঃ আল ইমরান")</f>
        <v>মোঃ আল ইমরান</v>
      </c>
      <c r="D139" s="1">
        <f>IFERROR(__xludf.DUMMYFUNCTION("""COMPUTED_VALUE"""),5.70053374665E11)</f>
        <v>570053374665</v>
      </c>
      <c r="E139" s="1" t="str">
        <f>IFERROR(__xludf.DUMMYFUNCTION("""COMPUTED_VALUE"""),"মৃত আফজাল")</f>
        <v>মৃত আফজাল</v>
      </c>
      <c r="F139" s="1" t="str">
        <f>IFERROR(__xludf.DUMMYFUNCTION("""COMPUTED_VALUE"""),"ফুলছুরা খাতুন")</f>
        <v>ফুলছুরা খাতুন</v>
      </c>
      <c r="G139" s="1" t="str">
        <f>IFERROR(__xludf.DUMMYFUNCTION("""COMPUTED_VALUE"""),"০৫/০২/২০০০")</f>
        <v>০৫/০২/২০০০</v>
      </c>
      <c r="H139" s="1" t="str">
        <f>IFERROR(__xludf.DUMMYFUNCTION("""COMPUTED_VALUE"""),"কৃষক")</f>
        <v>কৃষক</v>
      </c>
      <c r="I139" s="1" t="str">
        <f>IFERROR(__xludf.DUMMYFUNCTION("""COMPUTED_VALUE"""),"""দক্ষিন তেঁতুলবাড়িয়া")</f>
        <v>"দক্ষিন তেঁতুলবাড়িয়া</v>
      </c>
      <c r="J139" s="1" t="str">
        <f>IFERROR(__xludf.DUMMYFUNCTION("""COMPUTED_VALUE""")," গাংনী")</f>
        <v> গাংনী</v>
      </c>
      <c r="K139" s="1" t="str">
        <f>IFERROR(__xludf.DUMMYFUNCTION("""COMPUTED_VALUE""")," মেহেরপুর""")</f>
        <v> মেহেরপুর"</v>
      </c>
    </row>
    <row r="140" ht="15.75" customHeight="1">
      <c r="A140" s="5" t="s">
        <v>1042</v>
      </c>
      <c r="B140" s="1">
        <f>IFERROR(__xludf.DUMMYFUNCTION("SPLIT(A140,"","")"),141.0)</f>
        <v>141</v>
      </c>
      <c r="C140" s="1" t="str">
        <f>IFERROR(__xludf.DUMMYFUNCTION("""COMPUTED_VALUE"""),"মোঃ ওবাইদুল্লাহ")</f>
        <v>মোঃ ওবাইদুল্লাহ</v>
      </c>
      <c r="D140" s="1">
        <f>IFERROR(__xludf.DUMMYFUNCTION("""COMPUTED_VALUE"""),5.70053000083E11)</f>
        <v>570053000083</v>
      </c>
      <c r="E140" s="1" t="str">
        <f>IFERROR(__xludf.DUMMYFUNCTION("""COMPUTED_VALUE"""),"মোঃ আনেচ উদ্দীন")</f>
        <v>মোঃ আনেচ উদ্দীন</v>
      </c>
      <c r="F140" s="1" t="str">
        <f>IFERROR(__xludf.DUMMYFUNCTION("""COMPUTED_VALUE"""),"মোছাঃ নাজেরা খাতুন")</f>
        <v>মোছাঃ নাজেরা খাতুন</v>
      </c>
      <c r="G140" s="1" t="str">
        <f>IFERROR(__xludf.DUMMYFUNCTION("""COMPUTED_VALUE"""),"০১/০৬/২০০২")</f>
        <v>০১/০৬/২০০২</v>
      </c>
      <c r="H140" s="1" t="str">
        <f>IFERROR(__xludf.DUMMYFUNCTION("""COMPUTED_VALUE"""),"শ্রমিক")</f>
        <v>শ্রমিক</v>
      </c>
      <c r="I140" s="1" t="str">
        <f>IFERROR(__xludf.DUMMYFUNCTION("""COMPUTED_VALUE"""),"""দক্ষিন তেঁতুলবাড়িয়া")</f>
        <v>"দক্ষিন তেঁতুলবাড়িয়া</v>
      </c>
      <c r="J140" s="1" t="str">
        <f>IFERROR(__xludf.DUMMYFUNCTION("""COMPUTED_VALUE""")," গাংনী")</f>
        <v> গাংনী</v>
      </c>
      <c r="K140" s="1" t="str">
        <f>IFERROR(__xludf.DUMMYFUNCTION("""COMPUTED_VALUE""")," মেহেরপুর""")</f>
        <v> মেহেরপুর"</v>
      </c>
    </row>
    <row r="141" ht="15.75" customHeight="1">
      <c r="A141" s="5" t="s">
        <v>1043</v>
      </c>
      <c r="B141" s="1">
        <f>IFERROR(__xludf.DUMMYFUNCTION("SPLIT(A141,"","")"),142.0)</f>
        <v>142</v>
      </c>
      <c r="C141" s="1" t="str">
        <f>IFERROR(__xludf.DUMMYFUNCTION("""COMPUTED_VALUE"""),"মোঃ হাসান আলী")</f>
        <v>মোঃ হাসান আলী</v>
      </c>
      <c r="D141" s="1">
        <f>IFERROR(__xludf.DUMMYFUNCTION("""COMPUTED_VALUE"""),5.70053374671E11)</f>
        <v>570053374671</v>
      </c>
      <c r="E141" s="1" t="str">
        <f>IFERROR(__xludf.DUMMYFUNCTION("""COMPUTED_VALUE"""),"মোঃ আলামিন")</f>
        <v>মোঃ আলামিন</v>
      </c>
      <c r="F141" s="1" t="str">
        <f>IFERROR(__xludf.DUMMYFUNCTION("""COMPUTED_VALUE"""),"মোছাঃ রূপালি খাতুন")</f>
        <v>মোছাঃ রূপালি খাতুন</v>
      </c>
      <c r="G141" s="1" t="str">
        <f>IFERROR(__xludf.DUMMYFUNCTION("""COMPUTED_VALUE"""),"২০/০৫/২০০৬")</f>
        <v>২০/০৫/২০০৬</v>
      </c>
      <c r="H141" s="1" t="str">
        <f>IFERROR(__xludf.DUMMYFUNCTION("""COMPUTED_VALUE"""),"কৃষক")</f>
        <v>কৃষক</v>
      </c>
      <c r="I141" s="1" t="str">
        <f>IFERROR(__xludf.DUMMYFUNCTION("""COMPUTED_VALUE"""),"""দক্ষিন তেঁতুলবাড়িয়া")</f>
        <v>"দক্ষিন তেঁতুলবাড়িয়া</v>
      </c>
      <c r="J141" s="1" t="str">
        <f>IFERROR(__xludf.DUMMYFUNCTION("""COMPUTED_VALUE""")," গাংনী")</f>
        <v> গাংনী</v>
      </c>
      <c r="K141" s="1" t="str">
        <f>IFERROR(__xludf.DUMMYFUNCTION("""COMPUTED_VALUE""")," মেহেরপুর""")</f>
        <v> মেহেরপুর"</v>
      </c>
    </row>
    <row r="142" ht="15.75" customHeight="1">
      <c r="A142" s="5" t="s">
        <v>1044</v>
      </c>
      <c r="B142" s="1">
        <f>IFERROR(__xludf.DUMMYFUNCTION("SPLIT(A142,"","")"),143.0)</f>
        <v>143</v>
      </c>
      <c r="C142" s="1" t="str">
        <f>IFERROR(__xludf.DUMMYFUNCTION("""COMPUTED_VALUE"""),"মোঃ সামিউল্লাহ")</f>
        <v>মোঃ সামিউল্লাহ</v>
      </c>
      <c r="D142" s="1">
        <f>IFERROR(__xludf.DUMMYFUNCTION("""COMPUTED_VALUE"""),5.70053374672E11)</f>
        <v>570053374672</v>
      </c>
      <c r="E142" s="1" t="str">
        <f>IFERROR(__xludf.DUMMYFUNCTION("""COMPUTED_VALUE"""),"মোঃ হাসান আলী")</f>
        <v>মোঃ হাসান আলী</v>
      </c>
      <c r="F142" s="1" t="str">
        <f>IFERROR(__xludf.DUMMYFUNCTION("""COMPUTED_VALUE"""),"মোছাঃ রহিমা খাতুন")</f>
        <v>মোছাঃ রহিমা খাতুন</v>
      </c>
      <c r="G142" s="1" t="str">
        <f>IFERROR(__xludf.DUMMYFUNCTION("""COMPUTED_VALUE"""),"২৫/০৫/২০০৩")</f>
        <v>২৫/০৫/২০০৩</v>
      </c>
      <c r="H142" s="1" t="str">
        <f>IFERROR(__xludf.DUMMYFUNCTION("""COMPUTED_VALUE"""),"কৃষক")</f>
        <v>কৃষক</v>
      </c>
      <c r="I142" s="1" t="str">
        <f>IFERROR(__xludf.DUMMYFUNCTION("""COMPUTED_VALUE"""),"""দক্ষিন তেঁতুলবাড়িয়া")</f>
        <v>"দক্ষিন তেঁতুলবাড়িয়া</v>
      </c>
      <c r="J142" s="1" t="str">
        <f>IFERROR(__xludf.DUMMYFUNCTION("""COMPUTED_VALUE""")," গাংনী")</f>
        <v> গাংনী</v>
      </c>
      <c r="K142" s="1" t="str">
        <f>IFERROR(__xludf.DUMMYFUNCTION("""COMPUTED_VALUE""")," মেহেরপুর""")</f>
        <v> মেহেরপুর"</v>
      </c>
    </row>
    <row r="143" ht="15.75" customHeight="1">
      <c r="A143" s="5" t="s">
        <v>1045</v>
      </c>
      <c r="B143" s="1">
        <f>IFERROR(__xludf.DUMMYFUNCTION("SPLIT(A143,"","")"),144.0)</f>
        <v>144</v>
      </c>
      <c r="C143" s="1" t="str">
        <f>IFERROR(__xludf.DUMMYFUNCTION("""COMPUTED_VALUE"""),"মোঃ সোহাগ আলী")</f>
        <v>মোঃ সোহাগ আলী</v>
      </c>
      <c r="D143" s="1">
        <f>IFERROR(__xludf.DUMMYFUNCTION("""COMPUTED_VALUE"""),5.70053374673E11)</f>
        <v>570053374673</v>
      </c>
      <c r="E143" s="1" t="str">
        <f>IFERROR(__xludf.DUMMYFUNCTION("""COMPUTED_VALUE"""),"মোঃ ইসমাইল হক")</f>
        <v>মোঃ ইসমাইল হক</v>
      </c>
      <c r="F143" s="1" t="str">
        <f>IFERROR(__xludf.DUMMYFUNCTION("""COMPUTED_VALUE"""),"মোছাঃ বিলকিছ বানু")</f>
        <v>মোছাঃ বিলকিছ বানু</v>
      </c>
      <c r="G143" s="1" t="str">
        <f>IFERROR(__xludf.DUMMYFUNCTION("""COMPUTED_VALUE"""),"০৮/০৫/২০০৩")</f>
        <v>০৮/০৫/২০০৩</v>
      </c>
      <c r="H143" s="1" t="str">
        <f>IFERROR(__xludf.DUMMYFUNCTION("""COMPUTED_VALUE"""),"ব্যবসা")</f>
        <v>ব্যবসা</v>
      </c>
      <c r="I143" s="1" t="str">
        <f>IFERROR(__xludf.DUMMYFUNCTION("""COMPUTED_VALUE"""),"""দক্ষিন তেঁতুলবাড়িয়া")</f>
        <v>"দক্ষিন তেঁতুলবাড়িয়া</v>
      </c>
      <c r="J143" s="1" t="str">
        <f>IFERROR(__xludf.DUMMYFUNCTION("""COMPUTED_VALUE""")," গাংনী")</f>
        <v> গাংনী</v>
      </c>
      <c r="K143" s="1" t="str">
        <f>IFERROR(__xludf.DUMMYFUNCTION("""COMPUTED_VALUE""")," মেহেরপুর""")</f>
        <v> মেহেরপুর"</v>
      </c>
    </row>
    <row r="144" ht="15.75" customHeight="1">
      <c r="A144" s="5" t="s">
        <v>1046</v>
      </c>
      <c r="B144" s="1">
        <f>IFERROR(__xludf.DUMMYFUNCTION("SPLIT(A144,"","")"),145.0)</f>
        <v>145</v>
      </c>
      <c r="C144" s="1" t="str">
        <f>IFERROR(__xludf.DUMMYFUNCTION("""COMPUTED_VALUE"""),"মোঃ মন্টু আলী")</f>
        <v>মোঃ মন্টু আলী</v>
      </c>
      <c r="D144" s="1">
        <f>IFERROR(__xludf.DUMMYFUNCTION("""COMPUTED_VALUE"""),5.70053374674E11)</f>
        <v>570053374674</v>
      </c>
      <c r="E144" s="1" t="str">
        <f>IFERROR(__xludf.DUMMYFUNCTION("""COMPUTED_VALUE"""),"মোঃ বিশারত আলী")</f>
        <v>মোঃ বিশারত আলী</v>
      </c>
      <c r="F144" s="1" t="str">
        <f>IFERROR(__xludf.DUMMYFUNCTION("""COMPUTED_VALUE"""),"মোছাঃ আছিয়া খাতুন")</f>
        <v>মোছাঃ আছিয়া খাতুন</v>
      </c>
      <c r="G144" s="1" t="str">
        <f>IFERROR(__xludf.DUMMYFUNCTION("""COMPUTED_VALUE"""),"০৬/০৯/২০০৬")</f>
        <v>০৬/০৯/২০০৬</v>
      </c>
      <c r="H144" s="1" t="str">
        <f>IFERROR(__xludf.DUMMYFUNCTION("""COMPUTED_VALUE"""),"কৃষক")</f>
        <v>কৃষক</v>
      </c>
      <c r="I144" s="1" t="str">
        <f>IFERROR(__xludf.DUMMYFUNCTION("""COMPUTED_VALUE"""),"""দক্ষিন তেঁতুলবাড়িয়া")</f>
        <v>"দক্ষিন তেঁতুলবাড়িয়া</v>
      </c>
      <c r="J144" s="1" t="str">
        <f>IFERROR(__xludf.DUMMYFUNCTION("""COMPUTED_VALUE""")," গাংনী")</f>
        <v> গাংনী</v>
      </c>
      <c r="K144" s="1" t="str">
        <f>IFERROR(__xludf.DUMMYFUNCTION("""COMPUTED_VALUE""")," মেহেরপুর""")</f>
        <v> মেহেরপুর"</v>
      </c>
    </row>
    <row r="145" ht="15.75" customHeight="1">
      <c r="A145" s="5" t="s">
        <v>1047</v>
      </c>
      <c r="B145" s="1">
        <f>IFERROR(__xludf.DUMMYFUNCTION("SPLIT(A145,"","")"),146.0)</f>
        <v>146</v>
      </c>
      <c r="C145" s="1" t="str">
        <f>IFERROR(__xludf.DUMMYFUNCTION("""COMPUTED_VALUE"""),"মোঃ বেল্টু হোসেন")</f>
        <v>মোঃ বেল্টু হোসেন</v>
      </c>
      <c r="D145" s="1">
        <f>IFERROR(__xludf.DUMMYFUNCTION("""COMPUTED_VALUE"""),5.70053374681E11)</f>
        <v>570053374681</v>
      </c>
      <c r="E145" s="1" t="str">
        <f>IFERROR(__xludf.DUMMYFUNCTION("""COMPUTED_VALUE"""),"মোঃ লিয়াকত আলী")</f>
        <v>মোঃ লিয়াকত আলী</v>
      </c>
      <c r="F145" s="1" t="str">
        <f>IFERROR(__xludf.DUMMYFUNCTION("""COMPUTED_VALUE"""),"মোছাঃ বিলকিস বানু")</f>
        <v>মোছাঃ বিলকিস বানু</v>
      </c>
      <c r="G145" s="1" t="str">
        <f>IFERROR(__xludf.DUMMYFUNCTION("""COMPUTED_VALUE"""),"১০/০৬/১৯৯৩")</f>
        <v>১০/০৬/১৯৯৩</v>
      </c>
      <c r="H145" s="1" t="str">
        <f>IFERROR(__xludf.DUMMYFUNCTION("""COMPUTED_VALUE"""),"কৃষক")</f>
        <v>কৃষক</v>
      </c>
      <c r="I145" s="1" t="str">
        <f>IFERROR(__xludf.DUMMYFUNCTION("""COMPUTED_VALUE"""),"""দক্ষিন তেঁতুলবাড়িয়া")</f>
        <v>"দক্ষিন তেঁতুলবাড়িয়া</v>
      </c>
      <c r="J145" s="1" t="str">
        <f>IFERROR(__xludf.DUMMYFUNCTION("""COMPUTED_VALUE""")," গাংনী")</f>
        <v> গাংনী</v>
      </c>
      <c r="K145" s="1" t="str">
        <f>IFERROR(__xludf.DUMMYFUNCTION("""COMPUTED_VALUE""")," মেহেরপুর""")</f>
        <v> মেহেরপুর"</v>
      </c>
    </row>
    <row r="146" ht="15.75" customHeight="1">
      <c r="A146" s="5" t="s">
        <v>1048</v>
      </c>
      <c r="B146" s="1">
        <f>IFERROR(__xludf.DUMMYFUNCTION("SPLIT(A146,"","")"),147.0)</f>
        <v>147</v>
      </c>
      <c r="C146" s="1" t="str">
        <f>IFERROR(__xludf.DUMMYFUNCTION("""COMPUTED_VALUE"""),"মোঃ সুমন আলী")</f>
        <v>মোঃ সুমন আলী</v>
      </c>
      <c r="D146" s="1">
        <f>IFERROR(__xludf.DUMMYFUNCTION("""COMPUTED_VALUE"""),5.70053000091E11)</f>
        <v>570053000091</v>
      </c>
      <c r="E146" s="1" t="str">
        <f>IFERROR(__xludf.DUMMYFUNCTION("""COMPUTED_VALUE"""),"মোঃ তাহের আলী")</f>
        <v>মোঃ তাহের আলী</v>
      </c>
      <c r="F146" s="1" t="str">
        <f>IFERROR(__xludf.DUMMYFUNCTION("""COMPUTED_VALUE"""),"মোছাঃ ছাবিরন খাতুন")</f>
        <v>মোছাঃ ছাবিরন খাতুন</v>
      </c>
      <c r="G146" s="1" t="str">
        <f>IFERROR(__xludf.DUMMYFUNCTION("""COMPUTED_VALUE"""),"২৫/০৬/২০০৭")</f>
        <v>২৫/০৬/২০০৭</v>
      </c>
      <c r="H146" s="1" t="str">
        <f>IFERROR(__xludf.DUMMYFUNCTION("""COMPUTED_VALUE"""),"কৃষক")</f>
        <v>কৃষক</v>
      </c>
      <c r="I146" s="1" t="str">
        <f>IFERROR(__xludf.DUMMYFUNCTION("""COMPUTED_VALUE"""),"""দক্ষিন তেঁতুলবাড়িয়া")</f>
        <v>"দক্ষিন তেঁতুলবাড়িয়া</v>
      </c>
      <c r="J146" s="1" t="str">
        <f>IFERROR(__xludf.DUMMYFUNCTION("""COMPUTED_VALUE""")," গাংনী")</f>
        <v> গাংনী</v>
      </c>
      <c r="K146" s="1" t="str">
        <f>IFERROR(__xludf.DUMMYFUNCTION("""COMPUTED_VALUE""")," মেহেরপুর""")</f>
        <v> মেহেরপুর"</v>
      </c>
    </row>
    <row r="147" ht="15.75" customHeight="1">
      <c r="A147" s="5" t="s">
        <v>1049</v>
      </c>
      <c r="B147" s="1">
        <f>IFERROR(__xludf.DUMMYFUNCTION("SPLIT(A147,"","")"),148.0)</f>
        <v>148</v>
      </c>
      <c r="C147" s="1" t="str">
        <f>IFERROR(__xludf.DUMMYFUNCTION("""COMPUTED_VALUE"""),"মোঃ তামিম ইকবাল")</f>
        <v>মোঃ তামিম ইকবাল</v>
      </c>
      <c r="D147" s="1">
        <f>IFERROR(__xludf.DUMMYFUNCTION("""COMPUTED_VALUE"""),5.70053000093E11)</f>
        <v>570053000093</v>
      </c>
      <c r="E147" s="1" t="str">
        <f>IFERROR(__xludf.DUMMYFUNCTION("""COMPUTED_VALUE"""),"মোঃ জিনারুল ইসলাম")</f>
        <v>মোঃ জিনারুল ইসলাম</v>
      </c>
      <c r="F147" s="1" t="str">
        <f>IFERROR(__xludf.DUMMYFUNCTION("""COMPUTED_VALUE"""),"মোছাঃ কাকলি খাতুন")</f>
        <v>মোছাঃ কাকলি খাতুন</v>
      </c>
      <c r="G147" s="1" t="str">
        <f>IFERROR(__xludf.DUMMYFUNCTION("""COMPUTED_VALUE"""),"১২/০৩/২০০৭")</f>
        <v>১২/০৩/২০০৭</v>
      </c>
      <c r="H147" s="1" t="str">
        <f>IFERROR(__xludf.DUMMYFUNCTION("""COMPUTED_VALUE"""),"ছাত্র/ছাত্রী")</f>
        <v>ছাত্র/ছাত্রী</v>
      </c>
      <c r="I147" s="1" t="str">
        <f>IFERROR(__xludf.DUMMYFUNCTION("""COMPUTED_VALUE"""),"""দক্ষিন তেঁতুলবাড়িয়া")</f>
        <v>"দক্ষিন তেঁতুলবাড়িয়া</v>
      </c>
      <c r="J147" s="1" t="str">
        <f>IFERROR(__xludf.DUMMYFUNCTION("""COMPUTED_VALUE""")," গাংনী")</f>
        <v> গাংনী</v>
      </c>
      <c r="K147" s="1" t="str">
        <f>IFERROR(__xludf.DUMMYFUNCTION("""COMPUTED_VALUE""")," মেহেরপুর""")</f>
        <v> মেহেরপুর"</v>
      </c>
    </row>
    <row r="148" ht="15.75" customHeight="1">
      <c r="B148" s="1" t="str">
        <f>IFERROR(__xludf.DUMMYFUNCTION("SPLIT(A148,"","")"),"#VALUE!")</f>
        <v>#VALUE!</v>
      </c>
    </row>
    <row r="149" ht="15.75" customHeight="1">
      <c r="B149" s="1" t="str">
        <f>IFERROR(__xludf.DUMMYFUNCTION("SPLIT(A149,"","")"),"#VALUE!")</f>
        <v>#VALUE!</v>
      </c>
    </row>
    <row r="150" ht="15.75" customHeight="1">
      <c r="B150" s="1" t="str">
        <f>IFERROR(__xludf.DUMMYFUNCTION("SPLIT(A150,"","")"),"#VALUE!")</f>
        <v>#VALUE!</v>
      </c>
    </row>
    <row r="151" ht="15.75" customHeight="1">
      <c r="B151" s="1" t="str">
        <f>IFERROR(__xludf.DUMMYFUNCTION("SPLIT(A151,"","")"),"#VALUE!")</f>
        <v>#VALUE!</v>
      </c>
    </row>
    <row r="152" ht="15.75" customHeight="1">
      <c r="B152" s="1" t="str">
        <f>IFERROR(__xludf.DUMMYFUNCTION("SPLIT(A152,"","")"),"#VALUE!")</f>
        <v>#VALUE!</v>
      </c>
    </row>
    <row r="153" ht="15.75" customHeight="1">
      <c r="B153" s="1" t="str">
        <f>IFERROR(__xludf.DUMMYFUNCTION("SPLIT(A153,"","")"),"#VALUE!")</f>
        <v>#VALUE!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