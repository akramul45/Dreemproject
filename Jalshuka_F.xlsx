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BTTLGdBR5ZcikjHOb4ueh4PSvxjIo27z1aPaDArraTE="/>
    </ext>
  </extLst>
</workbook>
</file>

<file path=xl/sharedStrings.xml><?xml version="1.0" encoding="utf-8"?>
<sst xmlns="http://schemas.openxmlformats.org/spreadsheetml/2006/main" count="7710" uniqueCount="3625">
  <si>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</si>
  <si>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</si>
  <si>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</si>
  <si>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</si>
  <si>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</si>
  <si>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</si>
  <si>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</si>
  <si>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</si>
  <si>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সাবিনা ইয়াসমিন</t>
  </si>
  <si>
    <t>মোঃ আলতাফ উদ্দীন</t>
  </si>
  <si>
    <t>মোছাঃ কহিনুর বেগম</t>
  </si>
  <si>
    <t>১৮/০২/১৯৮৭</t>
  </si>
  <si>
    <t>গৃিহনী</t>
  </si>
  <si>
    <t>জালশুকা</t>
  </si>
  <si>
    <t>গাংনী</t>
  </si>
  <si>
    <t>মেহেরপুর</t>
  </si>
  <si>
    <t>মোছাঃ আম্বুরা খাতুন</t>
  </si>
  <si>
    <t>মোহাঃ আসাদুল ইসলাম</t>
  </si>
  <si>
    <t>মোছাঃ কামরুন্নাহার</t>
  </si>
  <si>
    <t>১০/০৫/১৯৮৭</t>
  </si>
  <si>
    <t>মোছাঃ রূপালী খাতুন</t>
  </si>
  <si>
    <t>মোঃ কাশেম আলী</t>
  </si>
  <si>
    <t>মোঃ লাইলী খাতুন</t>
  </si>
  <si>
    <t>১২/০৬/১৯৮২</t>
  </si>
  <si>
    <t>জান্নাতুল ফেরদৌস</t>
  </si>
  <si>
    <t>হাফিজুর রহমান</t>
  </si>
  <si>
    <t>মোছাঃ আকলিমা খাতুন</t>
  </si>
  <si>
    <t>০৮/০৫/১৯৬২</t>
  </si>
  <si>
    <t>মোছাঃ ছানোয়ারা</t>
  </si>
  <si>
    <t>ইয়াজউদ্দিন</t>
  </si>
  <si>
    <t>রাহাতন</t>
  </si>
  <si>
    <t>১২/১০/১৯৬৭</t>
  </si>
  <si>
    <t>মোছাঃ আবেদা খাতুন</t>
  </si>
  <si>
    <t>মফেজউদ্দীন</t>
  </si>
  <si>
    <t>বশিরন</t>
  </si>
  <si>
    <t>১৬/১২/১৯৩৭</t>
  </si>
  <si>
    <t>মোছাঃ মুর্শিদা খাতুন</t>
  </si>
  <si>
    <t>তাহাজউদ্দীন</t>
  </si>
  <si>
    <t>৩০/১১/১৯৬৭</t>
  </si>
  <si>
    <t>মোছাঃ আরমিলা খাতুন</t>
  </si>
  <si>
    <t>আহসান হাবীব</t>
  </si>
  <si>
    <t>মোছাঃ জহুরা</t>
  </si>
  <si>
    <t>৩০/০৬/১৯৭৫</t>
  </si>
  <si>
    <t>মোছাঃ রুকিয়া খাতুন</t>
  </si>
  <si>
    <t>রাকাতন নেছা</t>
  </si>
  <si>
    <t>০১/০১/১৯৬২</t>
  </si>
  <si>
    <t>মোছাঃ আফরোজা খাতুন</t>
  </si>
  <si>
    <t>মোঃ হারেজ মন্ডল</t>
  </si>
  <si>
    <t>মোছাঃ ছুরাতন নেছা</t>
  </si>
  <si>
    <t>০৩/০৪/১৯৭৭</t>
  </si>
  <si>
    <t>মোছাঃ শামসুন্নাহার</t>
  </si>
  <si>
    <t>মোঃ খলিলুর রহমান</t>
  </si>
  <si>
    <t>মোছাঃ আনিজরা খাতুন</t>
  </si>
  <si>
    <t>০১/১০/১৯৮৭</t>
  </si>
  <si>
    <t>মোছাঃ আরজিনা খাতুন</t>
  </si>
  <si>
    <t>রমছদ্দী মন্ডল</t>
  </si>
  <si>
    <t>সাহেরা খাতুন</t>
  </si>
  <si>
    <t>০৩/০৪/১৯৫৭</t>
  </si>
  <si>
    <t>মোছাঃ চায়না খাতুন</t>
  </si>
  <si>
    <t>মানিক মন্ডল</t>
  </si>
  <si>
    <t>কমলা খাতুন</t>
  </si>
  <si>
    <t>০১/০৫/১৯৬২</t>
  </si>
  <si>
    <t>মোছাঃ আলতা খাতুন</t>
  </si>
  <si>
    <t>মোবারক মন্ডল</t>
  </si>
  <si>
    <t>ফূলছুরা খাতুন</t>
  </si>
  <si>
    <t>০৩/০৪/১৯৫৮</t>
  </si>
  <si>
    <t>মোছাঃ রহিমা খাতুন</t>
  </si>
  <si>
    <t>মোঃ আব্দুর রহমান</t>
  </si>
  <si>
    <t>০১/০১/১৯৮৭</t>
  </si>
  <si>
    <t>মোছাঃ তানিজরা খাতুন</t>
  </si>
  <si>
    <t>মোঃ নূর ইসলাম</t>
  </si>
  <si>
    <t>মোছাঃ সেখর ভানু</t>
  </si>
  <si>
    <t>২৫/০৪/১৯৮৯</t>
  </si>
  <si>
    <t>মোছাঃ হোসেনয়ারা</t>
  </si>
  <si>
    <t>মসেলমউদ্দীন</t>
  </si>
  <si>
    <t>মোছাঃ ছামিরন নেছা</t>
  </si>
  <si>
    <t>০১/০৪/১৯৮৮</t>
  </si>
  <si>
    <t>মোছাঃ মমতাজ খাতুন</t>
  </si>
  <si>
    <t>মোঃ আব্দুল মজিদ</t>
  </si>
  <si>
    <t>মোছাঃ সদিনা খাতুন</t>
  </si>
  <si>
    <t>২৫/০৬/১৯৮৩</t>
  </si>
  <si>
    <t>মোছাঃ রাশিদা খাতুন</t>
  </si>
  <si>
    <t>মোঃ আবুল হোসেন</t>
  </si>
  <si>
    <t>মোছাঃ সাহিদা খাতুন</t>
  </si>
  <si>
    <t>০১/০৩/১৯৭০</t>
  </si>
  <si>
    <t>মোছাঃ মমতাজ বেগম</t>
  </si>
  <si>
    <t>উস্দাদ আলি</t>
  </si>
  <si>
    <t>মোছাঃ সকিনা খাতুন</t>
  </si>
  <si>
    <t>০১/০১/১৯৬৭</t>
  </si>
  <si>
    <t>মোছাঃ ময়না খাতুন</t>
  </si>
  <si>
    <t>মোঃ নাশির আলি</t>
  </si>
  <si>
    <t>মোছাঃ জাহানারা</t>
  </si>
  <si>
    <t>০১/০৫/১৯৭৫</t>
  </si>
  <si>
    <t>মোছাঃ এসেমাতারা</t>
  </si>
  <si>
    <t>মোঃ শরিফউদ্দিন</t>
  </si>
  <si>
    <t>মোছাঃ ফহিমা খাতুন</t>
  </si>
  <si>
    <t>২০/০৫/১৯৮৫</t>
  </si>
  <si>
    <t>মোছাঃ কিরন নেছা</t>
  </si>
  <si>
    <t>মোঃ আকবর আলী</t>
  </si>
  <si>
    <t>মোছাঃ রাহেল খাতুন</t>
  </si>
  <si>
    <t>১৮/০৫/১৯৮৫</t>
  </si>
  <si>
    <t>মেহরপুর</t>
  </si>
  <si>
    <t>মোছাঃ হাসিনা খাতুন</t>
  </si>
  <si>
    <t>খিলাফত বিশ্বাস</t>
  </si>
  <si>
    <t>খাইরন নেছা</t>
  </si>
  <si>
    <t>০১/০১/১৯৬৩</t>
  </si>
  <si>
    <t>মোছাঃ রেহেনা খাতুন</t>
  </si>
  <si>
    <t>মোঃ পলান মন্ডল</t>
  </si>
  <si>
    <t>মোছাঃ আমেনা খাতুন</t>
  </si>
  <si>
    <t>০১/০১/১৯৭৭</t>
  </si>
  <si>
    <t>মোছাঃ মনজুরা খাতুন</t>
  </si>
  <si>
    <t>মওলা বকস</t>
  </si>
  <si>
    <t>মোছাঃ সাহারন নেছা</t>
  </si>
  <si>
    <t>০১/০১/১৯৫৬</t>
  </si>
  <si>
    <t>মোঃ মোজাম্মেল হক</t>
  </si>
  <si>
    <t>মোছাঃ রাহিমা খাতুন</t>
  </si>
  <si>
    <t>০৫/০৬/১৯৭৫</t>
  </si>
  <si>
    <t>মোছাঃ হালিমা খাতুন</t>
  </si>
  <si>
    <t>মোঃ তারাচাঁদ</t>
  </si>
  <si>
    <t>মোছাঃ ছপুরা খাতুন</t>
  </si>
  <si>
    <t>মোছাঃ সখিনা খাতুন</t>
  </si>
  <si>
    <t>মোঃ ছেলহমান হোসেন</t>
  </si>
  <si>
    <t>মোছাঃ সাহার বানু</t>
  </si>
  <si>
    <t>০৪/০৬/১৯৬২</t>
  </si>
  <si>
    <t>মোছাঃ জোবেদা খাতুন</t>
  </si>
  <si>
    <t>আকবর বিশ্বাস</t>
  </si>
  <si>
    <t>রয়মন নেছা</t>
  </si>
  <si>
    <t>০৩/০৭/১৯৬৭</t>
  </si>
  <si>
    <t>মোছাঃ সাহানা খাতুন</t>
  </si>
  <si>
    <t>মোঃ নূর বকস</t>
  </si>
  <si>
    <t>২৪/০৭/১৯৮৪</t>
  </si>
  <si>
    <t>মোছাঃ শিউলী খাতুন</t>
  </si>
  <si>
    <t>মোঃ ছাইদুর রহমান</t>
  </si>
  <si>
    <t>মোছাঃ মোমেনা খাতুন</t>
  </si>
  <si>
    <t>০৫/০৬/১৯৭৭</t>
  </si>
  <si>
    <t>হারেজ উদ্দীন</t>
  </si>
  <si>
    <t>মোছাঃ মেহেরনিগার</t>
  </si>
  <si>
    <t>০৭/০৭/১৯৮৮</t>
  </si>
  <si>
    <t>মোছাঃ লিলি বেগম</t>
  </si>
  <si>
    <t>নিয়ামত মন্ডল</t>
  </si>
  <si>
    <t>মোছাঃ আলেফন নেছা</t>
  </si>
  <si>
    <t>১৬/০৮/১৯৬৮</t>
  </si>
  <si>
    <t>মোছাঃ শেফালি খাতুন</t>
  </si>
  <si>
    <t>মোঃ মোনাহার মোল্লা</t>
  </si>
  <si>
    <t>মোছাঃ খেদজা খাতুন</t>
  </si>
  <si>
    <t>১০/০৬/১৯৮২</t>
  </si>
  <si>
    <t>মোছাঃ নাজিরা খাতুন</t>
  </si>
  <si>
    <t>মোবারক বিশ্বাস</t>
  </si>
  <si>
    <t>মোছাঃ মজিরন নেছা</t>
  </si>
  <si>
    <t>০২/০৪/১৯৮১</t>
  </si>
  <si>
    <t>মোছাঃ গেনি খাতুন</t>
  </si>
  <si>
    <t>মোছাঃ মাহিরন নেছা</t>
  </si>
  <si>
    <t>০৯/০৬/১৯৭২</t>
  </si>
  <si>
    <t>করিম মন্ডল</t>
  </si>
  <si>
    <t>সাজেদা খাতুন</t>
  </si>
  <si>
    <t>২২/০৭/১৯৭৭</t>
  </si>
  <si>
    <t>মোছাঃ রোকসানা খাতুন</t>
  </si>
  <si>
    <t>মোঃ আমিনুল ইসলাম</t>
  </si>
  <si>
    <t>মোছাঃ রেবেকা খাতুন</t>
  </si>
  <si>
    <t>২৫/০৮/১৯৮৬</t>
  </si>
  <si>
    <t>মোছাঃ গুলশানারা</t>
  </si>
  <si>
    <t>মোঃ গোলজার হোসেন</t>
  </si>
  <si>
    <t>মোছাঃ জাহানারা খাতুন</t>
  </si>
  <si>
    <t>০৯/০৬/১৯৭৪</t>
  </si>
  <si>
    <t>মোছাঃ কবুরা খাতুন</t>
  </si>
  <si>
    <t>মোঃ আবুল কাশেম</t>
  </si>
  <si>
    <t>মোছাঃ মঞ্জুরা খাতুন</t>
  </si>
  <si>
    <t>২৫/০৫/১৯৭৭</t>
  </si>
  <si>
    <t>খোদা বকস</t>
  </si>
  <si>
    <t>ছিজরন নেছা</t>
  </si>
  <si>
    <t>১০/০৮/১৯৪৭</t>
  </si>
  <si>
    <t>মোছাঃ সুন্দরী খাতুন</t>
  </si>
  <si>
    <t>সামছুদ্দিন</t>
  </si>
  <si>
    <t>নিথির বিবি</t>
  </si>
  <si>
    <t>২৬/০৪/১৯৪৭</t>
  </si>
  <si>
    <t>মোছাঃ কপিরন নেছা</t>
  </si>
  <si>
    <t>মোঃ আব্দুল হালিম</t>
  </si>
  <si>
    <t>মোছাঃ কদভানু খাতুন</t>
  </si>
  <si>
    <t>১১/১১/১৯৮৪</t>
  </si>
  <si>
    <t>মোছাঃ ফাতেমা খাতুন</t>
  </si>
  <si>
    <t>মোঃ আম্বিয়া বিশ্বাস</t>
  </si>
  <si>
    <t>মোছাঃ রোকেয়া বেগম</t>
  </si>
  <si>
    <t>০৫/০৩/১৯৬৪</t>
  </si>
  <si>
    <t>মোছাঃ বেণুয়ারা খাতুন</t>
  </si>
  <si>
    <t>মোঃ হায়দার আলী</t>
  </si>
  <si>
    <t>মোছা ফাতেমা খাতুন</t>
  </si>
  <si>
    <t>০৫/০৬/১৯৮৭</t>
  </si>
  <si>
    <t>ছাত্র/ছাত্রী</t>
  </si>
  <si>
    <t>মোছাঃ ফিরোদা খাতুন</t>
  </si>
  <si>
    <t>তাহাজউদ্দিন</t>
  </si>
  <si>
    <t>মোছাঃ রাহেদা খাতুন</t>
  </si>
  <si>
    <t>০২/০৩/১৯৬২</t>
  </si>
  <si>
    <t>মোছাঃ ফিরোজা খাতুন</t>
  </si>
  <si>
    <t>মোঃ রেজাউল হক</t>
  </si>
  <si>
    <t>০৫/০১/১৯৭১</t>
  </si>
  <si>
    <t>মোছাঃ ফাহিমা খাতুন</t>
  </si>
  <si>
    <t>মোঃ শফিরুদ্দিন</t>
  </si>
  <si>
    <t>মোছাঃ তহমিনা খাতুন</t>
  </si>
  <si>
    <t>০৭/০৮/১৯৭৫</t>
  </si>
  <si>
    <t>মোছাঃ জুলিথা খাতুন</t>
  </si>
  <si>
    <t>মোঃ জমির উদ্দীন</t>
  </si>
  <si>
    <t>মোছাঃ হাজেরা বেগম</t>
  </si>
  <si>
    <t>২২/০৩/১৯৮২</t>
  </si>
  <si>
    <t>মোছাঃ রোকেয়া খাতুন</t>
  </si>
  <si>
    <t>মোঃ শের আলী</t>
  </si>
  <si>
    <t>মোছাঃ হাজেরা খাতুন</t>
  </si>
  <si>
    <t>০৫/০৬/১৯৭৬</t>
  </si>
  <si>
    <t>মোছাঃ আম্বিয়া খাতুন</t>
  </si>
  <si>
    <t>মোঃ আঃ হান্নান</t>
  </si>
  <si>
    <t>২০/০৮/১৯৭১</t>
  </si>
  <si>
    <t>মোছাঃ বেলী আরা</t>
  </si>
  <si>
    <t>মোঃ আঃ আজিজ</t>
  </si>
  <si>
    <t>১৫/০৩/১৯৭৫</t>
  </si>
  <si>
    <t>মোঃ আজির মালিথা</t>
  </si>
  <si>
    <t>আছিয়া বেগম</t>
  </si>
  <si>
    <t>২২/০৩/১৯৭৬</t>
  </si>
  <si>
    <t>মোঃ দবির উদ্দীন</t>
  </si>
  <si>
    <t>মোছাঃ জরিনা খাতুন</t>
  </si>
  <si>
    <t>০২/০২/১৯৮২</t>
  </si>
  <si>
    <t>মোছাঃ গুলশান আরা</t>
  </si>
  <si>
    <t>মোঃ জাহা বকস মন্ডল</t>
  </si>
  <si>
    <t>১০/১০/১৯৮৪</t>
  </si>
  <si>
    <t>মোছাঃ রিজিয়া খাতুন</t>
  </si>
  <si>
    <t>তেজদ্দীন মন্ডল</t>
  </si>
  <si>
    <t>ছালেহা খাতুন</t>
  </si>
  <si>
    <t>১৫/০৫/১৯৪৭</t>
  </si>
  <si>
    <t>মোঃ আঃ জলিল</t>
  </si>
  <si>
    <t>মোছাঃ সুফিয়া খাতুন</t>
  </si>
  <si>
    <t>০৬/০৬/১৯৭০</t>
  </si>
  <si>
    <t>মোছাঃ হোসনী আরা</t>
  </si>
  <si>
    <t>মোহাঃ রাজা বকস</t>
  </si>
  <si>
    <t>০৯/০৯/১৯৮৮</t>
  </si>
  <si>
    <t>মোছাঃ লিলিয়ার খাতুন</t>
  </si>
  <si>
    <t>মোঃ ইয়াকুব আলী</t>
  </si>
  <si>
    <t>মোছাঃ নিহারন নেছা</t>
  </si>
  <si>
    <t>২৪/০৪/১৯৬৭</t>
  </si>
  <si>
    <t>মোছাঃ সেলিনা খাতুন</t>
  </si>
  <si>
    <t>মোঃ সুলতান উদ্দীন</t>
  </si>
  <si>
    <t>মোছাঃ মুন্নী বেগম</t>
  </si>
  <si>
    <t>মোছাঃ তাহারন নেছা</t>
  </si>
  <si>
    <t>মোছাঃ ইশারন নেছা</t>
  </si>
  <si>
    <t>০৪/০৪/১৯৬০</t>
  </si>
  <si>
    <t>আদালত বিশ্বাস</t>
  </si>
  <si>
    <t>খুিকরন নেছা</t>
  </si>
  <si>
    <t>১০/০৫/১৯৩৭</t>
  </si>
  <si>
    <t>মোছাঃ ছাহারন নেছা</t>
  </si>
  <si>
    <t>০৬/০৮/১৯৮৭</t>
  </si>
  <si>
    <t>মোছাঃ মনোয়ারা খাতুন</t>
  </si>
  <si>
    <t>১৫/০২/১৯৭০</t>
  </si>
  <si>
    <t>মোছাঃ সালমা খাতুন</t>
  </si>
  <si>
    <t>মোঃ আজগার আলী</t>
  </si>
  <si>
    <t>মোছাঃ মাজেদা খাতুন</t>
  </si>
  <si>
    <t>০৯/০৬/১৯৮৫</t>
  </si>
  <si>
    <t>মোঃ কুদ্দুস মালিথা</t>
  </si>
  <si>
    <t>১৫/০৩/১৯৮৩</t>
  </si>
  <si>
    <t>ময়নদ্দীন</t>
  </si>
  <si>
    <t>মোছাঃ জহুরা খাতুন</t>
  </si>
  <si>
    <t>০১/০১/১৯৮৫</t>
  </si>
  <si>
    <t>মোছাঃ চন্দনা খাতুন</t>
  </si>
  <si>
    <t>মোঃ মালামাল উদ্দীন</t>
  </si>
  <si>
    <t>মোছাঃ বিলিয়ারা</t>
  </si>
  <si>
    <t>১৩/১০/১৯৮৭</t>
  </si>
  <si>
    <t>মোছাঃ ছালেহার খাতুন</t>
  </si>
  <si>
    <t>মোঃ আনছার আলী</t>
  </si>
  <si>
    <t>মোছাঃ ফুলজান নেছা</t>
  </si>
  <si>
    <t>১৯/০৯/১৯৭৭</t>
  </si>
  <si>
    <t>মোছাঃ আসমানারা</t>
  </si>
  <si>
    <t>মোছাঃ ভানুমারা</t>
  </si>
  <si>
    <t>১৪/০৭/১৯৬৯</t>
  </si>
  <si>
    <t>মোছাঃ ঝর্না খাতুন</t>
  </si>
  <si>
    <t>মোঃ হায়াত আলী</t>
  </si>
  <si>
    <t>২৭/০৫/১৯৮৩</t>
  </si>
  <si>
    <t>মোঃ আবু তালেব</t>
  </si>
  <si>
    <t>মোছাঃ ছাবিরন নেছা</t>
  </si>
  <si>
    <t>১২/০৬/১৯৬৭</t>
  </si>
  <si>
    <t>আজিজুল হক</t>
  </si>
  <si>
    <t>মোছাঃ খাইরন নেছা</t>
  </si>
  <si>
    <t>২২/০৩/১৯৬২</t>
  </si>
  <si>
    <t>মোছাঃ শাহানারা খাতুন</t>
  </si>
  <si>
    <t>মোঃ জামাত আলী</t>
  </si>
  <si>
    <t>মোছাঃ খইমন নেছা</t>
  </si>
  <si>
    <t>০৬/০৭/১৯৮৮</t>
  </si>
  <si>
    <t>মোছাঃ সেলিনা আক্তার</t>
  </si>
  <si>
    <t>মোঃ রমছদ্দীন মন্ডল</t>
  </si>
  <si>
    <t>মোছাঃ আকলিমা বেগম</t>
  </si>
  <si>
    <t>০৬/০১/১৯৮৩</t>
  </si>
  <si>
    <t>জালশুকা বালিয়া পাড়া</t>
  </si>
  <si>
    <t>মোছাঃ সাহেদা খাতুন</t>
  </si>
  <si>
    <t>সাবদাল মন্ডল</t>
  </si>
  <si>
    <t>নুরজাহান</t>
  </si>
  <si>
    <t>০৯/১০/১৯৬২</t>
  </si>
  <si>
    <t>মোছাঃ জবেদা খাতুন</t>
  </si>
  <si>
    <t>আইনউদ্দীন</t>
  </si>
  <si>
    <t>মোছাঃ ছারা খাতুন</t>
  </si>
  <si>
    <t>১২/০২/১৯৪৭</t>
  </si>
  <si>
    <t>মোঃ নজরুল ইসলাম</t>
  </si>
  <si>
    <t>মোছাঃ আরিবন খাতুন</t>
  </si>
  <si>
    <t>১৯/০৮/১৯৭৬</t>
  </si>
  <si>
    <t>মোছাঃ কাঞ্চন মালা</t>
  </si>
  <si>
    <t>মোছাঃ মর্জিনা খাতুন</t>
  </si>
  <si>
    <t>১৮/০৫/১৯৮২</t>
  </si>
  <si>
    <t>মোছাঃ শেফালী খাতুন</t>
  </si>
  <si>
    <t>মোঃ আমজাদ হোসেন</t>
  </si>
  <si>
    <t>২২/০৫/১৯৮৬</t>
  </si>
  <si>
    <t>মোঃ লোকমান হোসেন</t>
  </si>
  <si>
    <t>১৭/০১/১৯৮১</t>
  </si>
  <si>
    <t>মোছাঃ বিউটি খাতুন</t>
  </si>
  <si>
    <t>মোঃ শফিরদ্দিন</t>
  </si>
  <si>
    <t>মোছাঃ নূরজাহান</t>
  </si>
  <si>
    <t>১৭/১০/১৯৮২</t>
  </si>
  <si>
    <t>মোছাঃ আদরি খাতুন</t>
  </si>
  <si>
    <t>কাষ্ঠ মালিথা</t>
  </si>
  <si>
    <t>মোছাঃ ফেলি খাতুন</t>
  </si>
  <si>
    <t>২৬/০৩/১৯৬৭</t>
  </si>
  <si>
    <t>মোছাঃ আজমিয়ারা খাতুন</t>
  </si>
  <si>
    <t>দিদার বিশ্বাস</t>
  </si>
  <si>
    <t>মোছাঃ নিছমন নেছা</t>
  </si>
  <si>
    <t>১৪/০৫/১৯৭৭</t>
  </si>
  <si>
    <t>মোছাঃ কুলছুম নাহার</t>
  </si>
  <si>
    <t>মোঃ বশির উদ্দীন</t>
  </si>
  <si>
    <t>১৪/১০/১৯৭৭</t>
  </si>
  <si>
    <t>মোছাঃ রংফুল খাতুন</t>
  </si>
  <si>
    <t>মোঃ রফিকুল ইসলাম</t>
  </si>
  <si>
    <t>মোছাঃ হোসেনা খাতুন</t>
  </si>
  <si>
    <t>০৯/০৩/১৯৮২</t>
  </si>
  <si>
    <t>মোঃ ফজলুল হক</t>
  </si>
  <si>
    <t>মোছাঃ জেবেদা খাতুন</t>
  </si>
  <si>
    <t>০৬/১০/১৯৭২</t>
  </si>
  <si>
    <t>মোছাঃ হোসেনয়ারা বেগম</t>
  </si>
  <si>
    <t>১৬/১১/১৯৭৭</t>
  </si>
  <si>
    <t>মোঃ মুনসুর আলী</t>
  </si>
  <si>
    <t>মোছাঃ নুরজাহান</t>
  </si>
  <si>
    <t>০৬/১২/১৯৮০</t>
  </si>
  <si>
    <t>মোছাঃ ছাবিনা খাতুন</t>
  </si>
  <si>
    <t>মোঃ ছাদের আলী</t>
  </si>
  <si>
    <t>মোছাঃ শাহানারা</t>
  </si>
  <si>
    <t>০৮/১০/১৯৮৫</t>
  </si>
  <si>
    <t>মোছাঃ ফরিদা খাতুন</t>
  </si>
  <si>
    <t>১২/০৪/১৯৮১</t>
  </si>
  <si>
    <t>মোছাঃ পারিছা খাতুন</t>
  </si>
  <si>
    <t>০১/১০/১৯৮৩</t>
  </si>
  <si>
    <t>মোঃ মিরাজ আলী</t>
  </si>
  <si>
    <t>মোছাঃ সালেহার বেগম</t>
  </si>
  <si>
    <t>১০/০৯/১৯৮৩</t>
  </si>
  <si>
    <t>জালশুকা উত্তর পাড়া</t>
  </si>
  <si>
    <t>মোছাঃ জুলেখা খাতুন</t>
  </si>
  <si>
    <t>মোঃ আঃ জব্বার</t>
  </si>
  <si>
    <t>মোছাঃ সুরাতন</t>
  </si>
  <si>
    <t>মোঃ শাহাদৎ মন্ডল</t>
  </si>
  <si>
    <t>মোছাঃ পানছুরাতন</t>
  </si>
  <si>
    <t>মোছাঃ রকেসোনা খাতুন</t>
  </si>
  <si>
    <t>আশেরাফ আলী</t>
  </si>
  <si>
    <t>০১/০৫/১৯৮৫</t>
  </si>
  <si>
    <t>মোঃ আঃ করিম</t>
  </si>
  <si>
    <t>মোছাঃ হামিরন নেছা</t>
  </si>
  <si>
    <t>০৮/০৭/১৯৪৭</t>
  </si>
  <si>
    <t>জালশুকা উত্তরপাড়া</t>
  </si>
  <si>
    <t>মোছাঃ নুরুন্নাহার</t>
  </si>
  <si>
    <t>মোহাঃ আবু বক্কর</t>
  </si>
  <si>
    <t>মোছাঃ হাছিনা বেগম</t>
  </si>
  <si>
    <t>০৮/০৬/১৯৮৩</t>
  </si>
  <si>
    <t>মোঃ আফতাব আলি</t>
  </si>
  <si>
    <t>মোছাঃ লুৎফন নেছা</t>
  </si>
  <si>
    <t>০৮/১১/১৯৮৮</t>
  </si>
  <si>
    <t>মোছাঃ আরিফা খাতুন</t>
  </si>
  <si>
    <t>মোহাঃ আনরুল ইসলাম</t>
  </si>
  <si>
    <t>মোছাঃ আয়েজা খাতুন</t>
  </si>
  <si>
    <t>২৬/০৭/১৯৮৮</t>
  </si>
  <si>
    <t>মোহাঃ আছেদদ্দিন</t>
  </si>
  <si>
    <t>আমেনা</t>
  </si>
  <si>
    <t>১৯/০৮/১৯৬২</t>
  </si>
  <si>
    <t>মোছাঃ লিপিওয়ারা</t>
  </si>
  <si>
    <t>মোহাঃ আনাউদ্দিন</t>
  </si>
  <si>
    <t>২৫/০৪/১৯৮৮</t>
  </si>
  <si>
    <t>মোছাঃ বানুয়ারা</t>
  </si>
  <si>
    <t>মোয়াজ্জেম</t>
  </si>
  <si>
    <t>মোছাঃ নেকজান</t>
  </si>
  <si>
    <t>০৮/১০/১৯৬৭</t>
  </si>
  <si>
    <t>আজিমুদ্দীন মোল্লা</t>
  </si>
  <si>
    <t>ছারা খাতুন</t>
  </si>
  <si>
    <t>০৩/০৪/১৯৪৭</t>
  </si>
  <si>
    <t>মোছাঃ হাওয়া খাতুন</t>
  </si>
  <si>
    <t>সামছুদ্দীন</t>
  </si>
  <si>
    <t>মোছাঃ রাবিয়া খাতুন</t>
  </si>
  <si>
    <t>০৩/০২/১৯৬৯</t>
  </si>
  <si>
    <t>মোঃ আনসার আলী</t>
  </si>
  <si>
    <t>মোঃ ভানুমারা</t>
  </si>
  <si>
    <t>০২/০৩/১৯৮২</t>
  </si>
  <si>
    <t>মোছাঃ সুরাতন নেছা</t>
  </si>
  <si>
    <t>ছালেহার</t>
  </si>
  <si>
    <t>মোছাঃ উলফাতন</t>
  </si>
  <si>
    <t>১১/০৪/১৯৬২</t>
  </si>
  <si>
    <t>মোঃ বাবুর আলি</t>
  </si>
  <si>
    <t>মোছাঃ ছহিরা খাতুন</t>
  </si>
  <si>
    <t>১৪/১০/১৯৮২</t>
  </si>
  <si>
    <t>মোছাঃ রুবিয়া খাতুন</t>
  </si>
  <si>
    <t>মোঃ ইউসুফ আলী</t>
  </si>
  <si>
    <t>মোছাঃ হামিদা বেগম</t>
  </si>
  <si>
    <t>১৬/০৪/১৯৭৬</t>
  </si>
  <si>
    <t>মোঃ আফসার আলি</t>
  </si>
  <si>
    <t>আনোয়ারা</t>
  </si>
  <si>
    <t>০৬/০৬/১৯৬৫</t>
  </si>
  <si>
    <t>মোছাঃ নাজমুন্নাহার খাতুন</t>
  </si>
  <si>
    <t>মোঃ জাফর আলী</t>
  </si>
  <si>
    <t>মোছাঃ সহিদা বেগম</t>
  </si>
  <si>
    <t>১৭/০৫/১৯৮৬</t>
  </si>
  <si>
    <t>আড়পাড়া</t>
  </si>
  <si>
    <t>মোছাঃ বেদনা খাতুন</t>
  </si>
  <si>
    <t>মোঃ আঃ কাদের শেখ</t>
  </si>
  <si>
    <t>মোছাঃ জেমলা খাতুন</t>
  </si>
  <si>
    <t>২৫/০৯/১৯৭৯</t>
  </si>
  <si>
    <t>কসবা</t>
  </si>
  <si>
    <t>মোছাঃ মোন্তারা খাতুন</t>
  </si>
  <si>
    <t>মোঃ আঃ রাজ্জাক</t>
  </si>
  <si>
    <t>০১/০১/১৯৮৬</t>
  </si>
  <si>
    <t>ছেলমান বিশ্বাস</t>
  </si>
  <si>
    <t>আমেনা খাতুন</t>
  </si>
  <si>
    <t>৩০/০৪/১৯৫৭</t>
  </si>
  <si>
    <t>মোছাঃ সোনা ভানু খাতুন</t>
  </si>
  <si>
    <t>মোঃ শুকুর আলী</t>
  </si>
  <si>
    <t>২১/১০/১৯৮১</t>
  </si>
  <si>
    <t>মোঃ মইনউদ্দীন</t>
  </si>
  <si>
    <t>মোছাঃ মালেকা</t>
  </si>
  <si>
    <t>মোছাঃ সারা খাতুন</t>
  </si>
  <si>
    <t>২৪/০৫/১৯৫২</t>
  </si>
  <si>
    <t>মোছাঃ রহিলা খাতুন</t>
  </si>
  <si>
    <t>শওকত মালিথা</t>
  </si>
  <si>
    <t>আম্বুরা খাতুন</t>
  </si>
  <si>
    <t>১০/১০/১৯৬৭</t>
  </si>
  <si>
    <t>মোছাঃ বাশিরন নেছা</t>
  </si>
  <si>
    <t>তেমেজদ্দীন</t>
  </si>
  <si>
    <t>নীহারন নেছা</t>
  </si>
  <si>
    <t>১১/১০/১৯৬৭</t>
  </si>
  <si>
    <t>মোছাঃ ছানয়ারা খাতুন</t>
  </si>
  <si>
    <t>তাহাজ উদ্দীন মন্ডল</t>
  </si>
  <si>
    <t>ছপুরা খাতুন</t>
  </si>
  <si>
    <t>১১/১১/১৯৬৭</t>
  </si>
  <si>
    <t>মোছাঃ রুশিয়া খাতুন</t>
  </si>
  <si>
    <t>মোঃ ইয়ার আলী</t>
  </si>
  <si>
    <t>মোছাঃ মাবিয়া খাতুন</t>
  </si>
  <si>
    <t>মোছাঃ নুপুর খাতুন</t>
  </si>
  <si>
    <t>মোঃ নফর আলী</t>
  </si>
  <si>
    <t>মোছাঃ কাজল রেখা</t>
  </si>
  <si>
    <t>১০/০২/১৯৮৬</t>
  </si>
  <si>
    <t>মোছাঃ নুরজাহান খাতুন</t>
  </si>
  <si>
    <t>মোছাঃ আলেপান</t>
  </si>
  <si>
    <t>১৮/০৮/১৯৪২</t>
  </si>
  <si>
    <t>মোছাঃ মদিনা খাতুন</t>
  </si>
  <si>
    <t>মোঃ গেমের আলী</t>
  </si>
  <si>
    <t>১১/০৯/১৯৮১</t>
  </si>
  <si>
    <t>মোঃ নবীছদ্দীন</t>
  </si>
  <si>
    <t>জামিরন</t>
  </si>
  <si>
    <t>০১/০৬/১৯৭৯</t>
  </si>
  <si>
    <t>মোঃ আজির বসক</t>
  </si>
  <si>
    <t>মোছাঃ সারেজান খাতুন</t>
  </si>
  <si>
    <t>১০/০২/১৯৮৭</t>
  </si>
  <si>
    <t>মোছাঃ নাজমা খাতুন</t>
  </si>
  <si>
    <t>মোঃ আলিম উদ্দীন</t>
  </si>
  <si>
    <t>১০/১০/১৯৮২</t>
  </si>
  <si>
    <t>মোঃ শাহান আলী</t>
  </si>
  <si>
    <t>রুশিয়া খাতুন</t>
  </si>
  <si>
    <t>০১/০১/১৯৮৪</t>
  </si>
  <si>
    <t>মোছাঃ মুক্তা খাতুন</t>
  </si>
  <si>
    <t>মোঃ নুর আলী</t>
  </si>
  <si>
    <t>মোছাঃ সজিনা খাতুন</t>
  </si>
  <si>
    <t>মোঃ হুজুর আলী</t>
  </si>
  <si>
    <t>মোছাঃ মেহেরনীগার</t>
  </si>
  <si>
    <t>মোছাঃ কুলছন খাতুন</t>
  </si>
  <si>
    <t>মকেছদ মোল্লা</t>
  </si>
  <si>
    <t>২১/০৩/১৯৬৯</t>
  </si>
  <si>
    <t>শফির উদ্দীন</t>
  </si>
  <si>
    <t>সবজান বেগম</t>
  </si>
  <si>
    <t>০৯/০৬/১৯৩৯</t>
  </si>
  <si>
    <t>৩০/০১/১৯৭৭</t>
  </si>
  <si>
    <t>মোছাঃ কুলছন নেছা</t>
  </si>
  <si>
    <t>আকবর আলী</t>
  </si>
  <si>
    <t>মোছাঃ আকিমন নেছা</t>
  </si>
  <si>
    <t>০১/০১/১৯৬০</t>
  </si>
  <si>
    <t>নবিছদ্দীন</t>
  </si>
  <si>
    <t>১০/০৬/১৯৭৪</t>
  </si>
  <si>
    <t>মোছাঃ সাথী খাতুন</t>
  </si>
  <si>
    <t>মোঃ নিজাম উদ্দীন</t>
  </si>
  <si>
    <t>মোছাঃ আজরা খাতুন</t>
  </si>
  <si>
    <t>০৬/০৮/১৯৮৪</t>
  </si>
  <si>
    <t>মোঃ ওয়াজেদ</t>
  </si>
  <si>
    <t>মোছাঃ খসনুন্নাহার খাতুন</t>
  </si>
  <si>
    <t>মোছাঃ জমেলা খাতুন</t>
  </si>
  <si>
    <t>খোদাবকস মন্ডল</t>
  </si>
  <si>
    <t>খুকি নেছা</t>
  </si>
  <si>
    <t>১২/১১/১৯৬২</t>
  </si>
  <si>
    <t>মোঃ আশকার আলী</t>
  </si>
  <si>
    <t>মোছাঃ গেনি আরা</t>
  </si>
  <si>
    <t>২৬/০৪/১৯৪২</t>
  </si>
  <si>
    <t>জালশুকা মসজিদপাড়া</t>
  </si>
  <si>
    <t>মোছাঃ পপিয়ারা বেগম</t>
  </si>
  <si>
    <t>মোঃ আব্দুল খায়ের</t>
  </si>
  <si>
    <t>মোঃ সোনাভানু</t>
  </si>
  <si>
    <t>২৪/০৭/১৯৮২</t>
  </si>
  <si>
    <t>জালশুকা মসজিদ পাড়া</t>
  </si>
  <si>
    <t>মোছাঃ শাহানাজ খাতুন</t>
  </si>
  <si>
    <t>মোঃ মসেলম আলী</t>
  </si>
  <si>
    <t>মোছাঃ সাবেরা খাতুন</t>
  </si>
  <si>
    <t>০৭/০৮/১৯৮১</t>
  </si>
  <si>
    <t>মোঃ নুরইসলাম</t>
  </si>
  <si>
    <t>মোছাঃ নিছারন</t>
  </si>
  <si>
    <t>০৭/০৬/১৯৮২</t>
  </si>
  <si>
    <t>মোছাঃ ছামসুন্নাহার</t>
  </si>
  <si>
    <t>মোঃ মহির উদ্দীন</t>
  </si>
  <si>
    <t>২৯/০৯/১৯৮৭</t>
  </si>
  <si>
    <t>আবুল হোসেন</t>
  </si>
  <si>
    <t>মোছাঃ ছিয়ারন নেছা</t>
  </si>
  <si>
    <t>০১/০১/১৯৫৮</t>
  </si>
  <si>
    <t>কাশেম আলী</t>
  </si>
  <si>
    <t>১০/০৩/১৯৫২</t>
  </si>
  <si>
    <t>মোছাঃ রমেছা খাতুন</t>
  </si>
  <si>
    <t>মোঃ মশেলেম মন্ডল</t>
  </si>
  <si>
    <t>মোছাঃ মনোয়ারা</t>
  </si>
  <si>
    <t>১৭/০১/১৯৭৩</t>
  </si>
  <si>
    <t>মোছাঃ নুরজাহান বেগম</t>
  </si>
  <si>
    <t>মুনছার মন্ডল</t>
  </si>
  <si>
    <t>সবুরন নেছা</t>
  </si>
  <si>
    <t>১৩/১২/১৯৪২</t>
  </si>
  <si>
    <t>মুবারেক আলী</t>
  </si>
  <si>
    <t>জহুরা বিবি</t>
  </si>
  <si>
    <t>১৭/১১/১৯৬২</t>
  </si>
  <si>
    <t>জালশুকা উত্তরপাগা</t>
  </si>
  <si>
    <t>মোছাঃ পাপিয়া খাতুন</t>
  </si>
  <si>
    <t>মোঃ খায়রুল ইসলাম</t>
  </si>
  <si>
    <t>০১/০১/১৯৮৮</t>
  </si>
  <si>
    <t>মোছাঃ পারভিনা খাতুন</t>
  </si>
  <si>
    <t>মোঃ হাফিজ উদ্দীন</t>
  </si>
  <si>
    <t>০৩/০২/১৯৭৪</t>
  </si>
  <si>
    <t>ইয়াকুব মন্ডল</t>
  </si>
  <si>
    <t>১৭/১০/১৯৬৯</t>
  </si>
  <si>
    <t>মহাতব আলী</t>
  </si>
  <si>
    <t>মোছাঃ আলতাফুন নেছা</t>
  </si>
  <si>
    <t>১৭/০২/১৯৬৪</t>
  </si>
  <si>
    <t>মোছাঃ শান্তিয়ারা খাতুন</t>
  </si>
  <si>
    <t>মোঃ আয়েলে সর্দার</t>
  </si>
  <si>
    <t>২৩/০৫/১৯৭৬</t>
  </si>
  <si>
    <t>মোছাঃ রোকেনা খাতুন</t>
  </si>
  <si>
    <t>০৫/০৩/১৯৮৪</t>
  </si>
  <si>
    <t>মোছাঃ কহিনুর নেছা</t>
  </si>
  <si>
    <t>শাহাযুদ্দীন পরামানিক</t>
  </si>
  <si>
    <t>১৭/০১/১৯৫২</t>
  </si>
  <si>
    <t>আইছউদ্দীন মন্ডল</t>
  </si>
  <si>
    <t>রাবেয়া খাতুন</t>
  </si>
  <si>
    <t>০১/০১/১৯৭৩</t>
  </si>
  <si>
    <t>মোছাঃ সাহেরা খাতুন</t>
  </si>
  <si>
    <t>মোঃ তাহাজ উদ্দীন</t>
  </si>
  <si>
    <t>মোছাঃ কাবা খাতুন</t>
  </si>
  <si>
    <t>৩১/১২/১৯৮৩</t>
  </si>
  <si>
    <t>মোঃ ছেলমান মন্ডল</t>
  </si>
  <si>
    <t>মোছাঃ রাহেলা খাতুন</t>
  </si>
  <si>
    <t>০১/০৩/১৯৭১</t>
  </si>
  <si>
    <t>ছােদর আলি</t>
  </si>
  <si>
    <t>নিহারন</t>
  </si>
  <si>
    <t>১৩/০২/১৯৬৭</t>
  </si>
  <si>
    <t>মোছাঃ পারুলা খাতুন</t>
  </si>
  <si>
    <t>সিরাজুল ইসলাম</t>
  </si>
  <si>
    <t>মোছাঃ বুলবুলি খাতুন</t>
  </si>
  <si>
    <t>মোছাঃ বছিরন নেছা</t>
  </si>
  <si>
    <t>হারান মন্ডল</t>
  </si>
  <si>
    <t>মোছাঃ হামেদা খাতুন</t>
  </si>
  <si>
    <t>০১/০১/১৯৮৩</t>
  </si>
  <si>
    <t>মোছাঃ আলেয়া খাতুন</t>
  </si>
  <si>
    <t>এলাহী মন্ডল</t>
  </si>
  <si>
    <t>মোছাঃ এলেপান নেছা</t>
  </si>
  <si>
    <t>মোছাঃ সুবারন নেছা</t>
  </si>
  <si>
    <t>মোছাঃ এলেপান</t>
  </si>
  <si>
    <t>০৫/০৫/১৯৭৯</t>
  </si>
  <si>
    <t>মকেছদ আলী</t>
  </si>
  <si>
    <t>জুলেখা খাতুন</t>
  </si>
  <si>
    <t>১০/১০/১৯৫৭</t>
  </si>
  <si>
    <t>মোছাঃ আইমানা খাতুন</t>
  </si>
  <si>
    <t>আছিব উদ্দীন</t>
  </si>
  <si>
    <t>মোঃ জোব্বার মন্ডল</t>
  </si>
  <si>
    <t>মোছাঃ রোকছনা খাতুন</t>
  </si>
  <si>
    <t>মোঃ মোছার উদ্দীন মন্ডল</t>
  </si>
  <si>
    <t>২৮/১০/১৯৮৭</t>
  </si>
  <si>
    <t>রহমান মন্ডল</t>
  </si>
  <si>
    <t>০৭/০৬/১৯৫৯</t>
  </si>
  <si>
    <t>মোছাঃ নিছারন নেছা</t>
  </si>
  <si>
    <t>নবিছদ্দীন বিশ্বাস</t>
  </si>
  <si>
    <t>ফিরোজা খাতুন</t>
  </si>
  <si>
    <t>মোছাঃ অজিফা খাতুন</t>
  </si>
  <si>
    <t>মোঃ ওয়াজেল মন্ডল</t>
  </si>
  <si>
    <t>২৩/০৮/১৯৬৯</t>
  </si>
  <si>
    <t>আব্দুল্লাহ মন্ডল</t>
  </si>
  <si>
    <t>মোছাঃ ফয়জান নেছা</t>
  </si>
  <si>
    <t>১১/১০/১৯৭২</t>
  </si>
  <si>
    <t>মোঃ তোফাজ্জেল হক</t>
  </si>
  <si>
    <t>মোছাঃ জেলে খাতুন</t>
  </si>
  <si>
    <t>২৩/০৭/১৯৭৫</t>
  </si>
  <si>
    <t>মোছাঃ বিলকিচ খাতুন</t>
  </si>
  <si>
    <t>মোঃ আঃ লতিফ</t>
  </si>
  <si>
    <t>মোছাঃ সারেজান</t>
  </si>
  <si>
    <t>মোঃ দেলবার হোসেন</t>
  </si>
  <si>
    <t>রইমন নেছা</t>
  </si>
  <si>
    <t>মোছাঃ ছালিমা খাতুন</t>
  </si>
  <si>
    <t>মোঃ বজলু হক</t>
  </si>
  <si>
    <t>মোছাঃ ফজিলা খাতুন</t>
  </si>
  <si>
    <t>মোঃ আসান উদ্দীন</t>
  </si>
  <si>
    <t>০৮/০৯/১৯৮২</t>
  </si>
  <si>
    <t>নবীছদ্দীন মন্ডল</t>
  </si>
  <si>
    <t>মোছাঃ ছাকেনা খাতুন</t>
  </si>
  <si>
    <t>১১/১১/১৯৬৫</t>
  </si>
  <si>
    <t>কেরামত মন্ডল</t>
  </si>
  <si>
    <t>মোছাঃ ছাহেরা খাতুন</t>
  </si>
  <si>
    <t>০২/০৩/১৯৭২</t>
  </si>
  <si>
    <t>মোঃ ইউচুফ আলী</t>
  </si>
  <si>
    <t>মোছাঃ আয়েশা খাতুন</t>
  </si>
  <si>
    <t>৩০/০৪/১৯৭৭</t>
  </si>
  <si>
    <t>মোছাঃ আইমনা খাতুন</t>
  </si>
  <si>
    <t>মভল মন্ডল</t>
  </si>
  <si>
    <t>রেকেল্লা খাতুন</t>
  </si>
  <si>
    <t>মোছাঃ জরিমন্ নেছা</t>
  </si>
  <si>
    <t>মুজুর মালিথা</t>
  </si>
  <si>
    <t>মোছাঃ জাহিরন নেছা</t>
  </si>
  <si>
    <t>০১/০৪/১৯৫৭</t>
  </si>
  <si>
    <t>মোছাঃ নাসিমা খাতুন</t>
  </si>
  <si>
    <t>মোঃ নাসির আলী</t>
  </si>
  <si>
    <t>০১/০৪/১৯৭০</t>
  </si>
  <si>
    <t>মোছাঃ কহিনুর খাতুন</t>
  </si>
  <si>
    <t>মোঃ দুল্লপ হোসেন</t>
  </si>
  <si>
    <t>মোছাঃ ওয়েদান নেছা</t>
  </si>
  <si>
    <t>০১/০১/১৯৬৪</t>
  </si>
  <si>
    <t>মোছাঃ সাবিনা খাতুন</t>
  </si>
  <si>
    <t>মোঃ সমশের আলী</t>
  </si>
  <si>
    <t>মোছাঃ বেলী খাতুন</t>
  </si>
  <si>
    <t>ইদ্রীস আলী</t>
  </si>
  <si>
    <t>মোছাঃ মরজিনা খাতুন</t>
  </si>
  <si>
    <t>মোছাঃ আসমিনা খাতুন</t>
  </si>
  <si>
    <t>হারান মালিথা</t>
  </si>
  <si>
    <t>মোছাঃ খুকীমালা</t>
  </si>
  <si>
    <t>২৫/০৮/১৯৬৯</t>
  </si>
  <si>
    <t>মোছাঃ নুরুন্নাহার খাতুন</t>
  </si>
  <si>
    <t>মোঃ রুহুল আমিন</t>
  </si>
  <si>
    <t>মোছাঃ আছিয়া খাতুন</t>
  </si>
  <si>
    <t>০৯/০৩/১৯৮৪</t>
  </si>
  <si>
    <t>মোছাঃ তাসলিমা খাতুন</t>
  </si>
  <si>
    <t>মোঃ ফজল উদ্দীন</t>
  </si>
  <si>
    <t>আম্বুয়ারা খাতুন</t>
  </si>
  <si>
    <t>০৫/১০/১৯৬৭</t>
  </si>
  <si>
    <t>মোছাঃ নাছিমা খাতুন</t>
  </si>
  <si>
    <t>মোঃ শাহাব উদ্দীন</t>
  </si>
  <si>
    <t>মোছাঃ বেগম</t>
  </si>
  <si>
    <t>০২/০২/১৯৭৯</t>
  </si>
  <si>
    <t>ইব্রাহিম মন্ডল</t>
  </si>
  <si>
    <t>মোছাঃ ছফুরা খাতুন</t>
  </si>
  <si>
    <t>মোছাঃ ববিতা খাতুন</t>
  </si>
  <si>
    <t>মোঃ আব্দুল কাদের শেখ</t>
  </si>
  <si>
    <t>১০/১০/১৯৮৭</t>
  </si>
  <si>
    <t>মোছাঃ মাকছুরা খাতুন</t>
  </si>
  <si>
    <t>মোঃ মহিন উদ্দীন</t>
  </si>
  <si>
    <t>মোছাঃ মালেকা খাতুন</t>
  </si>
  <si>
    <t>১০/০৩/১৯৮৪</t>
  </si>
  <si>
    <t>মোছাঃ মুসলিমা খাতুন</t>
  </si>
  <si>
    <t>মোঃ বাবলু আলী</t>
  </si>
  <si>
    <t>মোছাঃ আউলিয়া খাতুন</t>
  </si>
  <si>
    <t>১১/০৮/১৯৮৩</t>
  </si>
  <si>
    <t>মোছাঃ মাসতুরা পারভীন</t>
  </si>
  <si>
    <t>মোঃ আঃ মান্নান</t>
  </si>
  <si>
    <t>মোছাঃ সাহেরা বেগম</t>
  </si>
  <si>
    <t>২১/০৩/১৯৮২</t>
  </si>
  <si>
    <t>মোঃ খাইরুল ইসলাম</t>
  </si>
  <si>
    <t>মোছাঃ ফিরোজা বেগম</t>
  </si>
  <si>
    <t>০৭/০৫/১৯৮৭</t>
  </si>
  <si>
    <t>মোছাঃ মৌসুমী আক্তার</t>
  </si>
  <si>
    <t>মোঃ মুকুল হোসেন</t>
  </si>
  <si>
    <t>মোছাঃ চায়না বেগম</t>
  </si>
  <si>
    <t>০৪/০৯/১৯৮৫</t>
  </si>
  <si>
    <t>মোছাঃ রোকিয়া খাতুন</t>
  </si>
  <si>
    <t>মোঃ খেদালী শেখ</t>
  </si>
  <si>
    <t>মোছাঃ খেদজান</t>
  </si>
  <si>
    <t>০৪/১০/১৯৫৯</t>
  </si>
  <si>
    <t>মোছাঃ ইসমতারা</t>
  </si>
  <si>
    <t>মোঃ ইলা মালিথা</t>
  </si>
  <si>
    <t>০৭/০৯/১৯৮০</t>
  </si>
  <si>
    <t>মোছাঃ মরিয়ম নেছা</t>
  </si>
  <si>
    <t>মোঃ সুলতান মন্ডল</t>
  </si>
  <si>
    <t>আছিয়া খাতুন</t>
  </si>
  <si>
    <t>০৯/০৭/১৯৭০</t>
  </si>
  <si>
    <t>মোছাঃ আশা নুর বেগম</t>
  </si>
  <si>
    <t>কিফাতুল্লাহ</t>
  </si>
  <si>
    <t>জহিরন নেছা</t>
  </si>
  <si>
    <t>০৫/০৯/১৯৬৭</t>
  </si>
  <si>
    <t>মোঃ খেদালী</t>
  </si>
  <si>
    <t>২৩/০৭/১৯৮২</t>
  </si>
  <si>
    <t>মোঃ সালেকদ্দীন</t>
  </si>
  <si>
    <t>মোছাঃ খবিরন নেছা</t>
  </si>
  <si>
    <t>২৫/০৮/১৯৭৭</t>
  </si>
  <si>
    <t>মোছাঃ আহারন</t>
  </si>
  <si>
    <t>মোছাঃ রেজিয়া</t>
  </si>
  <si>
    <t>২২/০৪/১৯৫৭</t>
  </si>
  <si>
    <t>মোছাঃ মনোয়ারা বেগম</t>
  </si>
  <si>
    <t>মোঃ নজিমদ্দিন বিশ্বাস</t>
  </si>
  <si>
    <t>০৯/০৫/১৯৫২</t>
  </si>
  <si>
    <t>মোছাঃ সালমা</t>
  </si>
  <si>
    <t>মোছাঃ লাইলি খাতুন</t>
  </si>
  <si>
    <t>০১/০১/১৯৭৮</t>
  </si>
  <si>
    <t>মোছাঃ ফেরদৌসী</t>
  </si>
  <si>
    <t>আজিমুদ্দীন</t>
  </si>
  <si>
    <t>মোছাঃ মেহেরন নেছা</t>
  </si>
  <si>
    <t>৩০/১০/১৯৬৭</t>
  </si>
  <si>
    <t>মোছাঃ শাহেদা খাতুন</t>
  </si>
  <si>
    <t>মালেকা খাতুন</t>
  </si>
  <si>
    <t>১৮/০৭/১৯৬২</t>
  </si>
  <si>
    <t>২৭/১১/১৯৭০</t>
  </si>
  <si>
    <t>আঃ আজিজ</t>
  </si>
  <si>
    <t>০৮/০১/১৯৬৭</t>
  </si>
  <si>
    <t>মোছাঃ রমেলা খাতুন</t>
  </si>
  <si>
    <t>শামসুল হক</t>
  </si>
  <si>
    <t>১৯/০৮/১৯৮২</t>
  </si>
  <si>
    <t>রমজান মন্ডল</t>
  </si>
  <si>
    <t>লতিফেছা</t>
  </si>
  <si>
    <t>০৭/০২/১৯৭৪</t>
  </si>
  <si>
    <t>রহিম বক্স</t>
  </si>
  <si>
    <t>মোছাঃ ফতেজান</t>
  </si>
  <si>
    <t>১৫/০৮/১৯৩২</t>
  </si>
  <si>
    <t>ফরিদা খাতুন</t>
  </si>
  <si>
    <t>মোঃ করিম মন্ডল</t>
  </si>
  <si>
    <t>০২/০১/১৯৭৬</t>
  </si>
  <si>
    <t>মোছাঃ বেদানা খাতুন</t>
  </si>
  <si>
    <t>আঃ গনি</t>
  </si>
  <si>
    <t>আনোয়ারা খাতুন</t>
  </si>
  <si>
    <t>০৮/০১/১৯৭০</t>
  </si>
  <si>
    <t>মোঃ আতর মালিথা</t>
  </si>
  <si>
    <t>মোছাঃ মইরন নেছা</t>
  </si>
  <si>
    <t>১২/০৫/১৯৪২</t>
  </si>
  <si>
    <t>মোছাঃ রেনু আরা</t>
  </si>
  <si>
    <t>২০/১০/১৯৮৭</t>
  </si>
  <si>
    <t>মোছাঃ মালিয়া খাতুন</t>
  </si>
  <si>
    <t>মোঃ ঈমান আলী</t>
  </si>
  <si>
    <t>০৪/০৭/১৯৭৫</t>
  </si>
  <si>
    <t>মোছাঃ সাজেদা বেগম</t>
  </si>
  <si>
    <t>বছিুরুদ্দিন</t>
  </si>
  <si>
    <t>মোছাঃ আয়শা বেগম</t>
  </si>
  <si>
    <t>২২/০৯/১৯৭২</t>
  </si>
  <si>
    <t>মোঃ গোলাম রসুল</t>
  </si>
  <si>
    <t>০৫/০৭/১৯৬২</t>
  </si>
  <si>
    <t>মোছাঃ ডলিওয়ারা খাতুন</t>
  </si>
  <si>
    <t>মোঃ আয়ুব আলী</t>
  </si>
  <si>
    <t>মোছাঃ জেবদা খাতুন</t>
  </si>
  <si>
    <t>০২/০৫/১৯৭৫</t>
  </si>
  <si>
    <t>মোছাঃ বেবী খাতুন</t>
  </si>
  <si>
    <t>মোঃ ঠান্ডু মিয়া</t>
  </si>
  <si>
    <t>মোছাঃ বেবীওয়ারা</t>
  </si>
  <si>
    <t>মোঃ জামির হোসেন</t>
  </si>
  <si>
    <t>মোছাঃ নসেরা খাতুন</t>
  </si>
  <si>
    <t>১৮/১০/১৯৮৩</t>
  </si>
  <si>
    <t>নাসেরা খাতুন</t>
  </si>
  <si>
    <t>রেজাউল হক</t>
  </si>
  <si>
    <t>মোছাঃ নিরাতন নেছা</t>
  </si>
  <si>
    <t>২০/১১/১৯৬৭</t>
  </si>
  <si>
    <t>ইছামদ্দীন</t>
  </si>
  <si>
    <t>১২/০৯/১৯৫৬</t>
  </si>
  <si>
    <t>মোছাঃ মুর্শিদা</t>
  </si>
  <si>
    <t>মোছাঃ ছাদেক আলি</t>
  </si>
  <si>
    <t>১১/১০/১৯৭৬</t>
  </si>
  <si>
    <t>মোছাঃ আহারোন</t>
  </si>
  <si>
    <t>মোহাঃ আবুল মন্ডল</t>
  </si>
  <si>
    <t>মোছাঃ ইশারন</t>
  </si>
  <si>
    <t>১০/১১/১৯৬৮</t>
  </si>
  <si>
    <t>মোছাঃ পিকিলা (আসমা)</t>
  </si>
  <si>
    <t>মোহাঃ মইহক</t>
  </si>
  <si>
    <t>মোছাঃ টুনটুনি</t>
  </si>
  <si>
    <t>১০/০৬/১৯৮৪</t>
  </si>
  <si>
    <t>মোছাঃ আনোয়ারা</t>
  </si>
  <si>
    <t>নায়েব আলি</t>
  </si>
  <si>
    <t>জেলেহার</t>
  </si>
  <si>
    <t>১০/০২/১৯৭৭</t>
  </si>
  <si>
    <t>মোছাঃ শ্যমলী খাতুন</t>
  </si>
  <si>
    <t>মোহাঃ উছমান আলি</t>
  </si>
  <si>
    <t>১২/১০/১৯৮৬</t>
  </si>
  <si>
    <t>মোহাঃ পাতান মন্ডল</t>
  </si>
  <si>
    <t>মোছাঃ রওশন আরা</t>
  </si>
  <si>
    <t>১০/১০/১৯৮৮</t>
  </si>
  <si>
    <t>মোছাঃ শাহার বানু</t>
  </si>
  <si>
    <t>রবেজল</t>
  </si>
  <si>
    <t>মোছাঃ হামেদা</t>
  </si>
  <si>
    <t>০৪/০৩/১৯৬১</t>
  </si>
  <si>
    <t>আবুল হোসেম</t>
  </si>
  <si>
    <t>মোছাঃ সুফিয়া</t>
  </si>
  <si>
    <t>১১/১০/১৯৮০</t>
  </si>
  <si>
    <t>মরেজম</t>
  </si>
  <si>
    <t>মোছাঃ সফুরা</t>
  </si>
  <si>
    <t>মোছাঃ মিনা খাতুন</t>
  </si>
  <si>
    <t>মোহাঃ হাবিবুর বিশ্বাস</t>
  </si>
  <si>
    <t>মোছাঃ ছামেনা খাতুন</t>
  </si>
  <si>
    <t>০১/০৮/১৯৮২</t>
  </si>
  <si>
    <t>মোছাঃ কেমলা খাতুন</t>
  </si>
  <si>
    <t>আব্দুল জুব্বার</t>
  </si>
  <si>
    <t>ঠান্টা বুড়ি</t>
  </si>
  <si>
    <t>১২/১০/১৯৫৬</t>
  </si>
  <si>
    <t>মোছাঃ রেবেকা</t>
  </si>
  <si>
    <t>মোহাঃ ইয়ািছন</t>
  </si>
  <si>
    <t>মোছাঃ আয়েশা</t>
  </si>
  <si>
    <t>০১/০৪/১৯৭২</t>
  </si>
  <si>
    <t>মোছাঃ মহিমা খাতুন</t>
  </si>
  <si>
    <t>আবুল মন্ডল</t>
  </si>
  <si>
    <t>আবেদা</t>
  </si>
  <si>
    <t>১০/১১/১৯৭০</t>
  </si>
  <si>
    <t>মকেছদ আলি</t>
  </si>
  <si>
    <t>মোছাঃ রশিদা</t>
  </si>
  <si>
    <t>০৫/০৬/১৯৭১</t>
  </si>
  <si>
    <t>মোছাঃ রেশমা</t>
  </si>
  <si>
    <t>মোহাঃ মজিদ</t>
  </si>
  <si>
    <t>মোছাঃ ফজিয়া</t>
  </si>
  <si>
    <t>০৪/০২/১৯৮০</t>
  </si>
  <si>
    <t>মোছাঃ লাভলি খাতুন</t>
  </si>
  <si>
    <t>নূরুল ইসলাম</t>
  </si>
  <si>
    <t>০৪/০৫/১৯৭৫</t>
  </si>
  <si>
    <t>মোহাঃ শহিদ মালিথা</t>
  </si>
  <si>
    <t>মোছাঃ ছালেহা</t>
  </si>
  <si>
    <t>১১/১০/১৯৮৪</t>
  </si>
  <si>
    <t>মোছাঃ হাছিনা</t>
  </si>
  <si>
    <t>আহাদ্য</t>
  </si>
  <si>
    <t>মোছাঃ আজিরন</t>
  </si>
  <si>
    <t>১১/১১/১৯৫৬</t>
  </si>
  <si>
    <t>মোছাঃ সঈদা</t>
  </si>
  <si>
    <t>মোহাঃ জমিরদ্দিন</t>
  </si>
  <si>
    <t>০৩/০৫/১৯৬৫</t>
  </si>
  <si>
    <t>মোহাঃ বশিরউদ্দিন</t>
  </si>
  <si>
    <t>মোছাঃ আকলিমা</t>
  </si>
  <si>
    <t>১১/০৯/১৯৭৪</t>
  </si>
  <si>
    <t>মোছাঃ চাইনা খাতুন</t>
  </si>
  <si>
    <t>মোহাঃ রুহুল ইসলাম</t>
  </si>
  <si>
    <t>১২/১০/১৯৭৮</t>
  </si>
  <si>
    <t>মোছাঃ কফিরন</t>
  </si>
  <si>
    <t>হাতেম আলী</t>
  </si>
  <si>
    <t>মোছাঃ রহিমা</t>
  </si>
  <si>
    <t>১০/১০/১৯৮০</t>
  </si>
  <si>
    <t>ওহাব</t>
  </si>
  <si>
    <t>মোছাঃ জািছরন</t>
  </si>
  <si>
    <t>১০/১১/১৯৮৪</t>
  </si>
  <si>
    <t>তইজদ্দিন</t>
  </si>
  <si>
    <t>ছালেহা</t>
  </si>
  <si>
    <t>১১/১০/১৯৪৬</t>
  </si>
  <si>
    <t>মোছাঃ ময়না</t>
  </si>
  <si>
    <t>মোহাঃ আব্দুল মান্নান</t>
  </si>
  <si>
    <t>মোছাঃ আছিয়া</t>
  </si>
  <si>
    <t>১২/০৯/১৯৭৮</t>
  </si>
  <si>
    <t>মোছাঃ মুক্তি</t>
  </si>
  <si>
    <t>মোহাঃ মহশিন মোল্লা</t>
  </si>
  <si>
    <t>১১/০৯/১৯৬৮</t>
  </si>
  <si>
    <t>মোহাঃ আকমান</t>
  </si>
  <si>
    <t>মোছাঃ আরেজা</t>
  </si>
  <si>
    <t>১০/১১/১৯৮২</t>
  </si>
  <si>
    <t>নঈমদ্দিন</t>
  </si>
  <si>
    <t>ফয়জান</t>
  </si>
  <si>
    <t>মোছাঃ ফারজিনা</t>
  </si>
  <si>
    <t>মোহাঃ দাউদ হোসেন</t>
  </si>
  <si>
    <t>১০/০৯/১৯৮৪</t>
  </si>
  <si>
    <t>মোহাঃ ইয়াকুব</t>
  </si>
  <si>
    <t>রমেছা</t>
  </si>
  <si>
    <t>০১/১১/১৯৭৬</t>
  </si>
  <si>
    <t>মোহাঃ আলফাজ</t>
  </si>
  <si>
    <t>মোছাঃ আশানারা</t>
  </si>
  <si>
    <t>১০/০৮/১৯৭২</t>
  </si>
  <si>
    <t>মোছাঃ কবিনূর</t>
  </si>
  <si>
    <t>মোহাঃ মোশারফ</t>
  </si>
  <si>
    <t>০১/০৩/১৯৭৫</t>
  </si>
  <si>
    <t>মোছাঃ মুসলিমা</t>
  </si>
  <si>
    <t>মোহাঃ ইউনুছ</t>
  </si>
  <si>
    <t>মোছাঃ জোহরা</t>
  </si>
  <si>
    <t>১০/১০/১৯৭৮</t>
  </si>
  <si>
    <t>মোছাঃ জেসমিন</t>
  </si>
  <si>
    <t>মোহাঃ আবুল কাশেম</t>
  </si>
  <si>
    <t>মোছাঃ হাওয়া বিবি</t>
  </si>
  <si>
    <t>০৩/০১/১৯৮২</t>
  </si>
  <si>
    <t>মোছাঃ উমিয়া খাতুন (রেখা)</t>
  </si>
  <si>
    <t>মোহাঃ খলিলুর</t>
  </si>
  <si>
    <t>মোছাঃ আনেছা</t>
  </si>
  <si>
    <t>০৩/০৫/১৯৮৪</t>
  </si>
  <si>
    <t>মোহাঃ আব্দুল বারী</t>
  </si>
  <si>
    <t>মোছাঃ আম্বিয়া</t>
  </si>
  <si>
    <t>১০/১১/১৯৭৬</t>
  </si>
  <si>
    <t>মোহাঃ আশান</t>
  </si>
  <si>
    <t>মোছাঃ ওজিফা</t>
  </si>
  <si>
    <t>১০/১০/১৯৮৩</t>
  </si>
  <si>
    <t>মোছাঃ জোহরা খাতুন</t>
  </si>
  <si>
    <t>আজিবার মন্ডল</t>
  </si>
  <si>
    <t>মোছাঃ রাহিমা</t>
  </si>
  <si>
    <t>০৩/০১/১৯৭৫</t>
  </si>
  <si>
    <t>মোছাঃ পারভীন আক্তার</t>
  </si>
  <si>
    <t>মোহাঃ আবু সিদ্দিক</t>
  </si>
  <si>
    <t>০৩/০৫/১৯৮৯</t>
  </si>
  <si>
    <t>১১/১০/১৯৭৩</t>
  </si>
  <si>
    <t>মোছাঃ মলিদা</t>
  </si>
  <si>
    <t>মোছাঃ সাগরী</t>
  </si>
  <si>
    <t>১১/১০/১৯৭১</t>
  </si>
  <si>
    <t>হাবিল</t>
  </si>
  <si>
    <t>সাহার বানু</t>
  </si>
  <si>
    <t>১৫/০৬/১৯৭৫</t>
  </si>
  <si>
    <t>মোছাঃ সাহানারা</t>
  </si>
  <si>
    <t>মোছাঃ হামিদা</t>
  </si>
  <si>
    <t>০৪/০৬/১৯৮২</t>
  </si>
  <si>
    <t>মোছাঃ রোজিনা খাতুন</t>
  </si>
  <si>
    <t>মোহাঃ সলিমউদ্দীন</t>
  </si>
  <si>
    <t>মোছাঃ জরিনা</t>
  </si>
  <si>
    <t>০১/০১/১৯৯০</t>
  </si>
  <si>
    <t>এলাহি বকস</t>
  </si>
  <si>
    <t>১৫/০৫/১৯৬২</t>
  </si>
  <si>
    <t>মোছাঃ মরজিনা</t>
  </si>
  <si>
    <t>মোহাঃ নিজামদ্দিন</t>
  </si>
  <si>
    <t>মোছাঃ জলিমণ</t>
  </si>
  <si>
    <t>উম্মে সালমা মোছাঃ মনোয়ারা নাসিম খানম</t>
  </si>
  <si>
    <t>আহসান আলী</t>
  </si>
  <si>
    <t>মোছাঃ ফাজিয়া নাসিম খানম</t>
  </si>
  <si>
    <t>১৫/০৪/১৯৬৩</t>
  </si>
  <si>
    <t>ছহিরদ্দিন</t>
  </si>
  <si>
    <t>ভানু</t>
  </si>
  <si>
    <t>৩০/১১/১৯৬২</t>
  </si>
  <si>
    <t>মোছাঃ মঞ্জুরা</t>
  </si>
  <si>
    <t>মোহাঃ আজিল মালথি</t>
  </si>
  <si>
    <t>১৫/১০/১৯৮৪</t>
  </si>
  <si>
    <t>মাজাক মন্ডল</t>
  </si>
  <si>
    <t>মোছাঃ মাহিরন</t>
  </si>
  <si>
    <t>১০/১০/১৯৬২</t>
  </si>
  <si>
    <t>আব্দুল</t>
  </si>
  <si>
    <t>জবেদা</t>
  </si>
  <si>
    <t>১২/১০/১৯৫১</t>
  </si>
  <si>
    <t>মোছাঃ নাছিরন</t>
  </si>
  <si>
    <t>ইসমাইল</t>
  </si>
  <si>
    <t>মোছাঃ জোবেদা</t>
  </si>
  <si>
    <t>১০/১১/১৯৮০</t>
  </si>
  <si>
    <t>মোছাঃ তাছিলমা</t>
  </si>
  <si>
    <t>মোহাঃ আহাদ আলী</t>
  </si>
  <si>
    <t>১১/০৫/১৯৮৬</t>
  </si>
  <si>
    <t>মোছাঃ পিঞ্জিরা খাতুন</t>
  </si>
  <si>
    <t>সোনাভানু</t>
  </si>
  <si>
    <t>১৫/১০/১৯৭০</t>
  </si>
  <si>
    <t>মোহাঃ আহাদ</t>
  </si>
  <si>
    <t>শাহানুর</t>
  </si>
  <si>
    <t>মোহাঃ আলম শেখ</t>
  </si>
  <si>
    <t>মোছাঃ সাহাগী খাতুন</t>
  </si>
  <si>
    <t>১০/১০/১৯৬৬</t>
  </si>
  <si>
    <t>আইজদ্দিন</t>
  </si>
  <si>
    <t>মোছাঃ করিমন নেছা</t>
  </si>
  <si>
    <t>১৮/১০/১৯৭৬</t>
  </si>
  <si>
    <t>মোছাঃ আনিজরা বেগম</t>
  </si>
  <si>
    <t>মোহাঃ খিজিরদ্দিন</t>
  </si>
  <si>
    <t>১৫/১০/১৯৫৬</t>
  </si>
  <si>
    <t>মোছাঃ সারজিনা খাতুন</t>
  </si>
  <si>
    <t>মোহাঃ শরীফউদ্দীন</t>
  </si>
  <si>
    <t>মোছাঃ তহমিনা</t>
  </si>
  <si>
    <t>মোছাঃ রঙ্গিলা</t>
  </si>
  <si>
    <t>মোহাঃ একরামুল</t>
  </si>
  <si>
    <t>১২/১০/১৯৭৪</t>
  </si>
  <si>
    <t>মোহাঃ জালালউদ্দিন</t>
  </si>
  <si>
    <t>মোছাঃ আমেনা</t>
  </si>
  <si>
    <t>১০/১০/১৯৮৬</t>
  </si>
  <si>
    <t>ছেলমান</t>
  </si>
  <si>
    <t>মোছাঃ কািছরন</t>
  </si>
  <si>
    <t>১০/০৬/১৯৫২</t>
  </si>
  <si>
    <t>মোছাঃ সুরভী খাতুন</t>
  </si>
  <si>
    <t>মোহাঃ মহশিন আলি</t>
  </si>
  <si>
    <t>১০/১০/১৯৮৫</t>
  </si>
  <si>
    <t>মোছাঃ রেহেনা বেগম</t>
  </si>
  <si>
    <t>সোনাহার</t>
  </si>
  <si>
    <t>খাদিজা বেগম</t>
  </si>
  <si>
    <t>১০/১১/১৯৮৭</t>
  </si>
  <si>
    <t>মোছাঃ সুলতানা খাতুন</t>
  </si>
  <si>
    <t>মোহাঃ পাঁচু</t>
  </si>
  <si>
    <t>১০/১০/১৯৭৪</t>
  </si>
  <si>
    <t>মোছাঃ মহিরন</t>
  </si>
  <si>
    <t>আব্দুল মুন্সি</t>
  </si>
  <si>
    <t>ছানোয়ারা</t>
  </si>
  <si>
    <t>১০/১০/১৯৭২</t>
  </si>
  <si>
    <t>আহাদ</t>
  </si>
  <si>
    <t>মোছাঃ খোদেজা</t>
  </si>
  <si>
    <t>১৫/১১/১৯৮৪</t>
  </si>
  <si>
    <t>মোছাঃ তহুরা খাতুন</t>
  </si>
  <si>
    <t>মাজাহার</t>
  </si>
  <si>
    <t>ছাহারন</t>
  </si>
  <si>
    <t>কসমত</t>
  </si>
  <si>
    <t>মোছাঃ কহিনুর</t>
  </si>
  <si>
    <t>১৫/০৭/১৯৭৮</t>
  </si>
  <si>
    <t>রুস্তম</t>
  </si>
  <si>
    <t>মোছাঃ তিতু</t>
  </si>
  <si>
    <t>১০/১০/১৯৩৬</t>
  </si>
  <si>
    <t>তিতু বিবি</t>
  </si>
  <si>
    <t>১২/০৬/১৯৫৬</t>
  </si>
  <si>
    <t>মোছাঃ মিনারা খাতুন</t>
  </si>
  <si>
    <t>মোহাঃ রইছদ্দিন</t>
  </si>
  <si>
    <t>ওজিফা</t>
  </si>
  <si>
    <t>১০/০৫/১৯৬১</t>
  </si>
  <si>
    <t>মোছাঃ শাহিদা খাতুন</t>
  </si>
  <si>
    <t>আকবর</t>
  </si>
  <si>
    <t>রইমন</t>
  </si>
  <si>
    <t>১০/০৬/১৯৭২</t>
  </si>
  <si>
    <t>মোছাঃ সোনা ভানু</t>
  </si>
  <si>
    <t>মোহাঃ জাহা বকস</t>
  </si>
  <si>
    <t>মোছাঃ ছেবেদা</t>
  </si>
  <si>
    <t>১১/১১/১৯৭৪</t>
  </si>
  <si>
    <t>মোছাঃ আদরী খাতুন</t>
  </si>
  <si>
    <t>পরিছন</t>
  </si>
  <si>
    <t>০৪/০৮/১৯৭৮</t>
  </si>
  <si>
    <t>মোছাঃ ছামিরন</t>
  </si>
  <si>
    <t>মোহাঃ উমাদ মন্ডল</t>
  </si>
  <si>
    <t>মোছাঃ নূর জাহান</t>
  </si>
  <si>
    <t>১০/০৯/১৯৮২</t>
  </si>
  <si>
    <t>মজুহার</t>
  </si>
  <si>
    <t>০১/১০/১৯৫৬</t>
  </si>
  <si>
    <t>মোহাঃ কুদরত আলি</t>
  </si>
  <si>
    <t>০১/০১/১৯৮৯</t>
  </si>
  <si>
    <t>মোহাঃ নুরুল ইসলাম</t>
  </si>
  <si>
    <t>মোছাঃ শখের বানু</t>
  </si>
  <si>
    <t>১০/০৭/১৯৭৮</t>
  </si>
  <si>
    <t>মাজাহার মুন্শি</t>
  </si>
  <si>
    <t>সাহারন</t>
  </si>
  <si>
    <t>০৪/১০/১৯৬৭</t>
  </si>
  <si>
    <t>মোহাঃ নজরুল</t>
  </si>
  <si>
    <t>মোছাঃ ফিরোজা</t>
  </si>
  <si>
    <t>নিয়ামত</t>
  </si>
  <si>
    <t>মোছাঃ মফিজান খাতুন</t>
  </si>
  <si>
    <t>মোহাঃ কাবাতুল্লা</t>
  </si>
  <si>
    <t>১০/১১/১৯৭৭</t>
  </si>
  <si>
    <t>আব্দুল জলিল</t>
  </si>
  <si>
    <t>নিগারন নেছা</t>
  </si>
  <si>
    <t>১৫/১০/১৯৪৭</t>
  </si>
  <si>
    <t>মোছাঃ আসমা</t>
  </si>
  <si>
    <t>সাবান</t>
  </si>
  <si>
    <t>ফাতেমা</t>
  </si>
  <si>
    <t>মোছাঃ ফেন্সি</t>
  </si>
  <si>
    <t>মোহাঃ তারাচাদ</t>
  </si>
  <si>
    <t>মোছাঃ সাজেদা</t>
  </si>
  <si>
    <t>০৮/০৫/১৯৭৭</t>
  </si>
  <si>
    <t>মোছাঃ তছিিরন</t>
  </si>
  <si>
    <t>মোহাঃ আব্দুল মুন্সি</t>
  </si>
  <si>
    <t>ছানুরা</t>
  </si>
  <si>
    <t>১১/১০/১৯৬২</t>
  </si>
  <si>
    <t>মোহাঃ মিরাজ</t>
  </si>
  <si>
    <t>মোছাঃ ছালেহার</t>
  </si>
  <si>
    <t>১২/১০/১৯৮৮</t>
  </si>
  <si>
    <t>মোছাঃ ছুরাতন</t>
  </si>
  <si>
    <t>মোহাঃ আনিস</t>
  </si>
  <si>
    <t>১০/০৫/১৯৬৭</t>
  </si>
  <si>
    <t>মোহাঃ আজিজার</t>
  </si>
  <si>
    <t>মোছাঃ রমেছা</t>
  </si>
  <si>
    <t>মোহাঃ মগবুল</t>
  </si>
  <si>
    <t>তিতুমন</t>
  </si>
  <si>
    <t>০১/০৩/১৯৬৭</t>
  </si>
  <si>
    <t>মোছাঃ সুরাইয়া</t>
  </si>
  <si>
    <t>মোহাঃ সফিরদ্দিন</t>
  </si>
  <si>
    <t>মোছাঃ ফেরদৌসি</t>
  </si>
  <si>
    <t>মোছাঃ সাহারবানু</t>
  </si>
  <si>
    <t>০৩/০৫/১৯৬৭</t>
  </si>
  <si>
    <t>মোহাঃ আজিমুদ্দিন</t>
  </si>
  <si>
    <t>০৫/০৬/১৯৮০</t>
  </si>
  <si>
    <t>শিক্ষক</t>
  </si>
  <si>
    <t>বাহার আলী</t>
  </si>
  <si>
    <t>জেবেদা</t>
  </si>
  <si>
    <t>১০/০৫/১৯৪৭</t>
  </si>
  <si>
    <t>মোছাঃ শ্রাবনী আক্তার</t>
  </si>
  <si>
    <t>মোহাঃ হাবিবুর রহমান</t>
  </si>
  <si>
    <t>মোছাঃ ফরিদা আক্তার</t>
  </si>
  <si>
    <t>১০/১২/১৯৮৯</t>
  </si>
  <si>
    <t>মোছাঃ আনুরা খাতুন</t>
  </si>
  <si>
    <t>ছইমুদ্দিন</t>
  </si>
  <si>
    <t>হাওয়াতন</t>
  </si>
  <si>
    <t>০৩/০৪/১৯৭২</t>
  </si>
  <si>
    <t>মোহাঃ রফিকুল</t>
  </si>
  <si>
    <t>মোছাঃ সুবোরোন</t>
  </si>
  <si>
    <t>মোহাঃ আজিত</t>
  </si>
  <si>
    <t>মোছাঃ চান্তারা</t>
  </si>
  <si>
    <t>১০/০৪/১৯৭৫</t>
  </si>
  <si>
    <t>মোছাঃ জামিরন</t>
  </si>
  <si>
    <t>মোহাঃ গেদের আলি</t>
  </si>
  <si>
    <t>মোছাঃ সাহাগী</t>
  </si>
  <si>
    <t>১০/১০/১৯৭৫</t>
  </si>
  <si>
    <t>মোছাঃ বেদানা</t>
  </si>
  <si>
    <t>মোছাঃ রমজান</t>
  </si>
  <si>
    <t>মোছাঃ আনিজরা</t>
  </si>
  <si>
    <t>মোছাঃ তছলিমা</t>
  </si>
  <si>
    <t>মোহাঃ ফয়জদ্দিন</t>
  </si>
  <si>
    <t>গায়রুন</t>
  </si>
  <si>
    <t>১২/১০/১৯৬৯</t>
  </si>
  <si>
    <t>মাখন</t>
  </si>
  <si>
    <t>০১/১০/১৯৫২</t>
  </si>
  <si>
    <t>জয়নাল উদ্দিন</t>
  </si>
  <si>
    <t>মোছাঃ তোহরা</t>
  </si>
  <si>
    <t>১২/১০/১৯৮৭</t>
  </si>
  <si>
    <t>মোছাঃ তরিছন</t>
  </si>
  <si>
    <t>১২/১০/১৯৬২</t>
  </si>
  <si>
    <t>মোছাঃ হাজেরা</t>
  </si>
  <si>
    <t>আব্দুল খালেক</t>
  </si>
  <si>
    <t>মোছাঃ ছিয়াতন</t>
  </si>
  <si>
    <t>১০/১১/১৯৬৭</t>
  </si>
  <si>
    <t>মোছাঃ তানিয়া</t>
  </si>
  <si>
    <t>মোহাঃ কোরমান</t>
  </si>
  <si>
    <t>মোছাঃ ফুটির</t>
  </si>
  <si>
    <t>১০/১০/১৯৮৯</t>
  </si>
  <si>
    <t>মোছাঃ রিনা খাতুন</t>
  </si>
  <si>
    <t>আব্দুল শেখ</t>
  </si>
  <si>
    <t>সবুরা</t>
  </si>
  <si>
    <t>ফুলজান</t>
  </si>
  <si>
    <t>মোহাঃ দিদার বক্স</t>
  </si>
  <si>
    <t>মোছাঃ রাজিয়া</t>
  </si>
  <si>
    <t>১০/০৭/১৯৬২</t>
  </si>
  <si>
    <t>মোছাঃ নাজিরা</t>
  </si>
  <si>
    <t>মোহাঃ রহছদ্দিন</t>
  </si>
  <si>
    <t>মোছাঃ ছামছুন্নাহার</t>
  </si>
  <si>
    <t>পিজিরদ্দিন</t>
  </si>
  <si>
    <t>মোছাঃ তুলাবজান</t>
  </si>
  <si>
    <t>০৮/০৩/১৯৬০</t>
  </si>
  <si>
    <t>মোছাঃ রিছিয়া</t>
  </si>
  <si>
    <t>০১/১০/১৯৮৮</t>
  </si>
  <si>
    <t>১০/০৩/১৯৮৫</t>
  </si>
  <si>
    <t>মোছাঃ হবেলা খাতুন</t>
  </si>
  <si>
    <t>দিদার মন্ডল</t>
  </si>
  <si>
    <t>ফয়জান নেছা</t>
  </si>
  <si>
    <t>১৮/১০/১৯৩৭</t>
  </si>
  <si>
    <t>মোছাঃ আনুরা</t>
  </si>
  <si>
    <t>ইয়াজদ্দিন</t>
  </si>
  <si>
    <t>০১/০১/১৯৫২</t>
  </si>
  <si>
    <t>১৮/১০/১৯৪৭</t>
  </si>
  <si>
    <t>১২/১০/১৯৫২</t>
  </si>
  <si>
    <t>মোছাঃ সোহাগী</t>
  </si>
  <si>
    <t>মোতালেব</t>
  </si>
  <si>
    <t>আনার জান</t>
  </si>
  <si>
    <t>১৮/১০/১৯৫২</t>
  </si>
  <si>
    <t>মোছাঃ মাছুরা</t>
  </si>
  <si>
    <t>১০/০৪/১৯৮২</t>
  </si>
  <si>
    <t>মোহাঃ গেদ আলী</t>
  </si>
  <si>
    <t>মৃত জাহানারা</t>
  </si>
  <si>
    <t>১২/১০/১৯৭২</t>
  </si>
  <si>
    <t>মোছাঃ মোন্তারা</t>
  </si>
  <si>
    <t>মোহাঃ ছাত্তার</t>
  </si>
  <si>
    <t>মোছাঃ আরিমণ</t>
  </si>
  <si>
    <t>১০/১২/১৯৮৭</t>
  </si>
  <si>
    <t>জহিরদ্দিন</t>
  </si>
  <si>
    <t>জায়রন</t>
  </si>
  <si>
    <t>কছিমদ্দিন</t>
  </si>
  <si>
    <t>ইজারন</t>
  </si>
  <si>
    <t>১০/০৪/১৯৪২</t>
  </si>
  <si>
    <t>মোছাঃ ছাহারন খাতুন</t>
  </si>
  <si>
    <t>জুব্বার</t>
  </si>
  <si>
    <t>মাহিরন</t>
  </si>
  <si>
    <t>১২/১০/১৯৩২</t>
  </si>
  <si>
    <t>০৭/০৬/১৯৮৩</t>
  </si>
  <si>
    <t>মোঃ আইছদ্দিন</t>
  </si>
  <si>
    <t>০৮/০৫/১৯৮২</t>
  </si>
  <si>
    <t>মোছাঃ ছবেদা খাতুন</t>
  </si>
  <si>
    <t>ইয়ািছন বিশ্বাস</t>
  </si>
  <si>
    <t>ছিমরন নেছা</t>
  </si>
  <si>
    <t>২৩/০৮/১৯৫৯</t>
  </si>
  <si>
    <t>মোছাঃ রেনু খাতুন</t>
  </si>
  <si>
    <t>মোঃ মুবারেক আলী</t>
  </si>
  <si>
    <t>০৭/০৫/১৯৬৭</t>
  </si>
  <si>
    <t>মোঃ ইলাহি বকস</t>
  </si>
  <si>
    <t>২৫/০৫/১৯৮২</t>
  </si>
  <si>
    <t>কালু পরামানিক</t>
  </si>
  <si>
    <t>করিমন নেছা</t>
  </si>
  <si>
    <t>২১/০৯/১৯৪৭</t>
  </si>
  <si>
    <t>মোঃ চায়ান আলী</t>
  </si>
  <si>
    <t>০৫/০৮/১৯৮৫</t>
  </si>
  <si>
    <t>মোছাঃ বাছিরন খাতুন</t>
  </si>
  <si>
    <t>মুছাহক</t>
  </si>
  <si>
    <t>মোছাঃ ওজিফা খাতুন</t>
  </si>
  <si>
    <t>২২/০৫/১৯৬৭</t>
  </si>
  <si>
    <t>কমবা</t>
  </si>
  <si>
    <t>মোঃ দবিরুদ্দীন</t>
  </si>
  <si>
    <t>মোছাঃ জয়নব খাতুন</t>
  </si>
  <si>
    <t>মোঃ বরকুল মন্ডল</t>
  </si>
  <si>
    <t>০৬/০৮/১৯৭৩</t>
  </si>
  <si>
    <t>মোছাঃ জাহানুর খাতুন</t>
  </si>
  <si>
    <t>ছােদক বিবি</t>
  </si>
  <si>
    <t>লক্কি বিবি</t>
  </si>
  <si>
    <t>০৫/০৮/১৯৬২</t>
  </si>
  <si>
    <t>২৯/০৫/১৯৮৩</t>
  </si>
  <si>
    <t>জালশুকা বানিয়া পাড়া</t>
  </si>
  <si>
    <t>তেমালী</t>
  </si>
  <si>
    <t>মোছাঃ দেলজান নেছা</t>
  </si>
  <si>
    <t>২২/০৮/১৯৭২</t>
  </si>
  <si>
    <t>মোছাঃ রাজিফা খাতুন</t>
  </si>
  <si>
    <t>মোঃ আঃ রশিদ</t>
  </si>
  <si>
    <t>২১/০৭/১৯৭২</t>
  </si>
  <si>
    <t>শমসের আলী</t>
  </si>
  <si>
    <t>০৯/১১/১৯৪৭</t>
  </si>
  <si>
    <t>মোছাঃ সাগরা খাতুন</t>
  </si>
  <si>
    <t>মোঃ নেবছদ্দিন</t>
  </si>
  <si>
    <t>মোছাঃ হোরজান</t>
  </si>
  <si>
    <t>১৮/১০/১৯৮০</t>
  </si>
  <si>
    <t>১২/১০/১৯৮২</t>
  </si>
  <si>
    <t>মোছাঃ রওশন আরা খাতুন</t>
  </si>
  <si>
    <t>মোঃ গজরালী</t>
  </si>
  <si>
    <t>০৯/১০/১৯৮৩</t>
  </si>
  <si>
    <t>মোছাঃ জেসমিন আরা</t>
  </si>
  <si>
    <t>মোঃ নুর হক (ফকির)</t>
  </si>
  <si>
    <t>মোছাঃ আরিবয়া খাতুন</t>
  </si>
  <si>
    <t>০৮/০৯/১৯৮৮</t>
  </si>
  <si>
    <t>মোছাঃ মেহেরু খাতুন</t>
  </si>
  <si>
    <t>০৫/১০/১৯৭৭</t>
  </si>
  <si>
    <t>১৫/০৮/১৯৪৭</t>
  </si>
  <si>
    <t>মোছাঃ জিরিনা খাতুন</t>
  </si>
  <si>
    <t>মোঃ নাবিছদ্দিন</t>
  </si>
  <si>
    <t>মোছাঃ আমিনা খাতুন</t>
  </si>
  <si>
    <t>০৮/১১/১৯৭৭</t>
  </si>
  <si>
    <t>মোছাঃ আল্লাদী খাতুন</t>
  </si>
  <si>
    <t>মোঃ ফরিদ আলী</t>
  </si>
  <si>
    <t>মোছাঃ হামিদা খাতুন</t>
  </si>
  <si>
    <t>০৪/১০/১৯৮২</t>
  </si>
  <si>
    <t>মোঃ রাইতাল আলী</t>
  </si>
  <si>
    <t>১৮/০৫/১৯৮৭</t>
  </si>
  <si>
    <t>মোঃ জিন্নীন</t>
  </si>
  <si>
    <t>মোছাঃ হাজিরা খাতুন</t>
  </si>
  <si>
    <t>০৮/০৬/১৯৬৪</t>
  </si>
  <si>
    <t>মোঃ আশিদা খাতুন</t>
  </si>
  <si>
    <t>ইসমাইল হোসেন</t>
  </si>
  <si>
    <t>০৫/১০/১৯৮১</t>
  </si>
  <si>
    <t>ওলিমদ্দি</t>
  </si>
  <si>
    <t>০৮/১২/১৯৭২</t>
  </si>
  <si>
    <t>মোছাঃ খুকী বেগম</t>
  </si>
  <si>
    <t>আঈন্দিন</t>
  </si>
  <si>
    <t>ছিরাপান খাতুন</t>
  </si>
  <si>
    <t>০৮/১২/১৯৩৭</t>
  </si>
  <si>
    <t>মোঃ জয়নাল মন্ডল</t>
  </si>
  <si>
    <t>রাইমন খাতুন</t>
  </si>
  <si>
    <t>০৭/১০/১৯৬২</t>
  </si>
  <si>
    <t>মোঃ তারাচাঁদ মন্ডল</t>
  </si>
  <si>
    <t>০৮/০৯/১৯৭১</t>
  </si>
  <si>
    <t>মোছাঃ হাফিজা খাতুন</t>
  </si>
  <si>
    <t>মোঃ আজাহার মন্ডল</t>
  </si>
  <si>
    <t>০৯/১১/১৯৬৭</t>
  </si>
  <si>
    <t>মোঃ আফেজ উদ্দিন</t>
  </si>
  <si>
    <t>মোছাঃ জিরমন নেছা</t>
  </si>
  <si>
    <t>১৮/০৭/১৯৬৭</t>
  </si>
  <si>
    <t>আজিজার মন্ডল</t>
  </si>
  <si>
    <t>ইজারন নেছা</t>
  </si>
  <si>
    <t>০৯/০৮/১৯৭৭</t>
  </si>
  <si>
    <t>মুফাজ্জেল হোসেন</t>
  </si>
  <si>
    <t>রংফুল বিবি</t>
  </si>
  <si>
    <t>খেদালী মন্ডল</t>
  </si>
  <si>
    <t>মোছাঃ মেহের নিগার</t>
  </si>
  <si>
    <t>০৪/০৯/১৯৭৭</t>
  </si>
  <si>
    <t>মোছাঃ মহিলা খাতুন</t>
  </si>
  <si>
    <t>রবেজল মন্ডল</t>
  </si>
  <si>
    <t>জাহেরা খাতুন</t>
  </si>
  <si>
    <t>১০/০৫/১৯৭৭</t>
  </si>
  <si>
    <t>মোঃ ফজলদ্দীন</t>
  </si>
  <si>
    <t>০৭/১১/১৯৭২</t>
  </si>
  <si>
    <t>আঃ ছাত্তার</t>
  </si>
  <si>
    <t>জমির মন্ডল</t>
  </si>
  <si>
    <t>জাহেদা খাতুন</t>
  </si>
  <si>
    <t>১৬/০৫/১৯৬৭</t>
  </si>
  <si>
    <t>মোঃ সামসুর রহমান</t>
  </si>
  <si>
    <t>১৫/০৪/১৯৮৮</t>
  </si>
  <si>
    <t>মোছাঃ ফুলবাসী খাতুন</t>
  </si>
  <si>
    <t>মোঃ নবিছুদ্দীন</t>
  </si>
  <si>
    <t>২৪/০৫/১৯৭৭</t>
  </si>
  <si>
    <t>মোঃ শুনবাসী</t>
  </si>
  <si>
    <t>মোছাঃ সাবুজান বিবি</t>
  </si>
  <si>
    <t>২২/১২/১৯৮২</t>
  </si>
  <si>
    <t>মোছাঃ আনোয়ারা খাতুন</t>
  </si>
  <si>
    <t>অফেজদ্দীন</t>
  </si>
  <si>
    <t>রমেল্লা খাতুন</t>
  </si>
  <si>
    <t>০৮/১১/১৯৫৭</t>
  </si>
  <si>
    <t>মোঃ শহিদ আলী</t>
  </si>
  <si>
    <t>মোছাঃ শহিদা খাতুন</t>
  </si>
  <si>
    <t>১২/০৪/১৯৮২</t>
  </si>
  <si>
    <t>মোছাঃ রহিদা খাতুন</t>
  </si>
  <si>
    <t>তাহাজদ্দীন</t>
  </si>
  <si>
    <t>সফুরা খাতুন</t>
  </si>
  <si>
    <t>২৬/০৮/১৯৬৭</t>
  </si>
  <si>
    <t>মোছাঃ নার্গিস খাতুন</t>
  </si>
  <si>
    <t>মোঃ আঃ রহমান</t>
  </si>
  <si>
    <t>১২/০৭/১৯৮৩</t>
  </si>
  <si>
    <t>মোঃ ডাবলু মিয়া</t>
  </si>
  <si>
    <t>২০/০১/১৯৮৫</t>
  </si>
  <si>
    <t>মোছাঃ ফাতিমা খাতুন</t>
  </si>
  <si>
    <t>রবকুল মন্ডল</t>
  </si>
  <si>
    <t>সুবাসী বিবি</t>
  </si>
  <si>
    <t>০৮/০৬/১৯৮২</t>
  </si>
  <si>
    <t>মোছাঃ বাছিরন নেছা</t>
  </si>
  <si>
    <t>মোজাফ আলী</t>
  </si>
  <si>
    <t>মাহিরন নেছা</t>
  </si>
  <si>
    <t>১১/০৭/১৯৬৭</t>
  </si>
  <si>
    <t>মোছাঃ সাহিদা বেগম</t>
  </si>
  <si>
    <t>রুস্তম আলী</t>
  </si>
  <si>
    <t>হোরজান বিবি</t>
  </si>
  <si>
    <t>০৫/০৯/১৯৬২</t>
  </si>
  <si>
    <t>মোঃ শামসের আলী</t>
  </si>
  <si>
    <t>০৫/০৩/১৯৮৩</t>
  </si>
  <si>
    <t>মোছাঃ সোনাভানু</t>
  </si>
  <si>
    <t>মৃত আপু সর্দার</t>
  </si>
  <si>
    <t>মোছাঃ মুনজুরা বিবি</t>
  </si>
  <si>
    <t>০৮/১০/১৯৬৫</t>
  </si>
  <si>
    <t>মোছাঃ আজুয়ারা</t>
  </si>
  <si>
    <t>মোঃ আরমান আলী</t>
  </si>
  <si>
    <t>মোছাঃ সায়ারা খাতুন</t>
  </si>
  <si>
    <t>০৫/০৭/১৯৮৫</t>
  </si>
  <si>
    <t>মোছাঃ ফেরদৌসি খাতুন</t>
  </si>
  <si>
    <t>মোঃ রমজান আলী</t>
  </si>
  <si>
    <t>০১/০৬/১৯৭৫</t>
  </si>
  <si>
    <t>মোছাঃ আল্লাদি খাতুন</t>
  </si>
  <si>
    <t>সাদেক আলী</t>
  </si>
  <si>
    <t>আমিনা খাতুন</t>
  </si>
  <si>
    <t>২২/০৮/১৯৮২</t>
  </si>
  <si>
    <t>মোছাঃ শিকরন নেছা</t>
  </si>
  <si>
    <t>মোঃ আবুল মন্ডল</t>
  </si>
  <si>
    <t>১১/০৮/১৯৬৮</t>
  </si>
  <si>
    <t>মোছাঃ জাহেদা খাতুন</t>
  </si>
  <si>
    <t>মোঃ মজিদ্দিন</t>
  </si>
  <si>
    <t>২২/০৮/১৯৭৭</t>
  </si>
  <si>
    <t>মুরাদ আলী</t>
  </si>
  <si>
    <t>জাহিরা বেগম</t>
  </si>
  <si>
    <t>২০/০৯/১৯৬২</t>
  </si>
  <si>
    <t>মোঃ আবুল বিশ্বাস</t>
  </si>
  <si>
    <t>০৫/০৬/১৯৬২</t>
  </si>
  <si>
    <t>মোঃ কোরবান আলী</t>
  </si>
  <si>
    <t>১০/০২/১৯৮৪</t>
  </si>
  <si>
    <t>ছিয়ামদ্দিন</t>
  </si>
  <si>
    <t>২৬/০৯/১৯৭২</t>
  </si>
  <si>
    <t>মোঃ হাবিবুর রহমান</t>
  </si>
  <si>
    <t>মোছাঃ আসমা খাতুন</t>
  </si>
  <si>
    <t>১৩/০২/১৯৭৪</t>
  </si>
  <si>
    <t>মোছাঃ শিল্পী খাতুন</t>
  </si>
  <si>
    <t>মোঃ আঃ মালিব</t>
  </si>
  <si>
    <t>মোছাঃ রওশনারা খাতুন</t>
  </si>
  <si>
    <t>২৭/০৫/১৯৮৯</t>
  </si>
  <si>
    <t>মোঃ আসমত আলী</t>
  </si>
  <si>
    <t>মোছাঃ সুখিনা খাতুন</t>
  </si>
  <si>
    <t>০১/০৩/১৯৮০</t>
  </si>
  <si>
    <t>মোঃ জুল হক</t>
  </si>
  <si>
    <t>মোছাঃ ছানুরা</t>
  </si>
  <si>
    <t>২২/০২/১৯৬৯</t>
  </si>
  <si>
    <t>মোঃ মহিদুল</t>
  </si>
  <si>
    <t>মোছাঃ বিলাক বানু</t>
  </si>
  <si>
    <t>০৫/০৮/১৯৮২</t>
  </si>
  <si>
    <t>মোঃ জয়নাল</t>
  </si>
  <si>
    <t>২৭/০৮/১৯৭২</t>
  </si>
  <si>
    <t>মোঃ ওয়াজেদ আলী</t>
  </si>
  <si>
    <t>২০/১০/১৯৬২</t>
  </si>
  <si>
    <t>মোছাঃ রানুয়ারা খাতুন</t>
  </si>
  <si>
    <t>ফাতিমা খাতুন</t>
  </si>
  <si>
    <t>২৪/০৮/১৯৭৭</t>
  </si>
  <si>
    <t>মোঃ রবিউল হক</t>
  </si>
  <si>
    <t>হাজেরা খাতুন</t>
  </si>
  <si>
    <t>১১/০৫/১৯৮০</t>
  </si>
  <si>
    <t>মোঃ রহিম বক্স</t>
  </si>
  <si>
    <t>০৫/০৮/১৯৭১</t>
  </si>
  <si>
    <t>মোঃ আকলিমা খাতুন</t>
  </si>
  <si>
    <t>আঃ করিম বিশ্বাস</t>
  </si>
  <si>
    <t>হামিরন নেছা</t>
  </si>
  <si>
    <t>২২/০৮/১৯৬২</t>
  </si>
  <si>
    <t>মোঃ তেরেল আলী</t>
  </si>
  <si>
    <t>০৫/০৮/১৯৭৯</t>
  </si>
  <si>
    <t>মোছাঃ তরিছন নেছা</t>
  </si>
  <si>
    <t>বক্স মন্ডল</t>
  </si>
  <si>
    <t>২৪/০৬/১৯৪৯</t>
  </si>
  <si>
    <t>মোঃ জান বক্স</t>
  </si>
  <si>
    <t>মোছাঃ রাবিয়া</t>
  </si>
  <si>
    <t>০৮/০৬/১৯৮৪</t>
  </si>
  <si>
    <t>মোছাঃ ফেরদৌসী খাতুন</t>
  </si>
  <si>
    <t>মোঃ তাহাজদ্দীন</t>
  </si>
  <si>
    <t>০৭/০২/১৯৭৮</t>
  </si>
  <si>
    <t>মোছাঃ দোলেহার খাতুন</t>
  </si>
  <si>
    <t>মোঃ খোদের বিশ্বাস</t>
  </si>
  <si>
    <t>২৮/০৯/১৯৭৭</t>
  </si>
  <si>
    <t>মোঃ শাহীনূর খাতুন</t>
  </si>
  <si>
    <t>মোঃ মহসীন আলী</t>
  </si>
  <si>
    <t>০৮/০৭/১৯৭৯</t>
  </si>
  <si>
    <t>মোছাঃ লিমা খাতুন</t>
  </si>
  <si>
    <t>রঈছদ্দীন</t>
  </si>
  <si>
    <t>০৬/০২/১৯৮২</t>
  </si>
  <si>
    <t>মোঃ হামিজদ্দীন</t>
  </si>
  <si>
    <t>মোছাঃ কছিরন</t>
  </si>
  <si>
    <t>০৫/১০/১৯৭২</t>
  </si>
  <si>
    <t>মোছাঃ শিরিনা খাতুন</t>
  </si>
  <si>
    <t>মোছাঃ তাহানারা</t>
  </si>
  <si>
    <t>২১/০৪/১৯৬৭</t>
  </si>
  <si>
    <t>মোঃ ছানজার আলী</t>
  </si>
  <si>
    <t>০২/০৫/১৯৮১</t>
  </si>
  <si>
    <t>মোছাঃ ছিমা খাতুন</t>
  </si>
  <si>
    <t>০৪/০৬/১৯৬৮</t>
  </si>
  <si>
    <t>০৫/০৩/১৯৭৪</t>
  </si>
  <si>
    <t>মাদার শেখ</t>
  </si>
  <si>
    <t>০৭/০৭/১৯৬৭</t>
  </si>
  <si>
    <t>মোছাঃ জামেনা খাতুন</t>
  </si>
  <si>
    <t>মোঃ আনোয়ার বিশ্বাস</t>
  </si>
  <si>
    <t>০৮/০৪/১৯৭৭</t>
  </si>
  <si>
    <t>রাহিলুদ্দীন</t>
  </si>
  <si>
    <t>০৫/০৪/১৯৬০</t>
  </si>
  <si>
    <t>মোছাঃ শাহানাজ পারভিন</t>
  </si>
  <si>
    <t>মোছাঃ কবূব খাতুন</t>
  </si>
  <si>
    <t>মোছাঃ রুমা খাতুন</t>
  </si>
  <si>
    <t>মোঃ নাসিরুদ্দীন</t>
  </si>
  <si>
    <t>১২/০৭/১৯৮৭</t>
  </si>
  <si>
    <t>মোঃ আব্দুল মালিথা</t>
  </si>
  <si>
    <t>১০/০৯/১৯৭১</t>
  </si>
  <si>
    <t>মোঃ সিরাজুল ইসলাম</t>
  </si>
  <si>
    <t>মোছাঃ রওশনারা</t>
  </si>
  <si>
    <t>০৩/০৪/১৯৮৬</t>
  </si>
  <si>
    <t>হাজারী বিশ্বাস</t>
  </si>
  <si>
    <t>রাফেজা খাতুন</t>
  </si>
  <si>
    <t>০৭/০৮/১৯৪২</t>
  </si>
  <si>
    <t>মোঃ আমীরদ্দীন</t>
  </si>
  <si>
    <t>মোছাঃ ইজারন নেছা</t>
  </si>
  <si>
    <t>১৭/০৯/১৯৭৫</t>
  </si>
  <si>
    <t>মুহাদ গানি</t>
  </si>
  <si>
    <t>আহারন</t>
  </si>
  <si>
    <t>২৯/০৪/১৯৫৬</t>
  </si>
  <si>
    <t>মোঃ নিয়াত আলী</t>
  </si>
  <si>
    <t>মোছাঃ আজিনা</t>
  </si>
  <si>
    <t>০৩/০২/১৯৭৯</t>
  </si>
  <si>
    <t>জালমুকা</t>
  </si>
  <si>
    <t>মোঃ মসলেম আলী</t>
  </si>
  <si>
    <t>১১/০৮/১৯৬২</t>
  </si>
  <si>
    <t>মোছাঃ জাহাপুর খাতুন</t>
  </si>
  <si>
    <t>নবীছদ্দিন</t>
  </si>
  <si>
    <t>১৩/০৪/১৯৬২</t>
  </si>
  <si>
    <t>মোছাঃ সহিদা খাতুন</t>
  </si>
  <si>
    <t>মজিবর রহমান</t>
  </si>
  <si>
    <t>সার ভানু</t>
  </si>
  <si>
    <t>০৫/০৩/১৯৬৭</t>
  </si>
  <si>
    <t>মোছাঃ আজিনা বেগম</t>
  </si>
  <si>
    <t>দেলবার আলী</t>
  </si>
  <si>
    <t>১০/০৭/১৯৭৪</t>
  </si>
  <si>
    <t>নামঃ তাসলিমা খাতুন</t>
  </si>
  <si>
    <t>মোঃ কওসার আলী</t>
  </si>
  <si>
    <t>মোছাঃ ছাবেরা খাতুন</t>
  </si>
  <si>
    <t>২১/০৫/১৯৭৫</t>
  </si>
  <si>
    <t>পির বকস</t>
  </si>
  <si>
    <t>মোছাঃ ফুলজান</t>
  </si>
  <si>
    <t>১১/০৮/১৯৬৭</t>
  </si>
  <si>
    <t>মোঃ শফিরদিন</t>
  </si>
  <si>
    <t>মোঃ মাইরুদ্দীন</t>
  </si>
  <si>
    <t>হাসিনা খাতুন</t>
  </si>
  <si>
    <t>২২/০৬/১৯৮০</t>
  </si>
  <si>
    <t>মোছাঃ চামিলি খাতুন</t>
  </si>
  <si>
    <t>রতন আলী</t>
  </si>
  <si>
    <t>০৮/০৫/১৯৮৩</t>
  </si>
  <si>
    <t>০৪/০৮/১৯৫৯</t>
  </si>
  <si>
    <t>১২/০৮/১৯৬৭</t>
  </si>
  <si>
    <t>মোছাঃ তছিলমা খাতুন</t>
  </si>
  <si>
    <t>মোঃ জালাল উদ্দীন</t>
  </si>
  <si>
    <t>মোছাঃ মুন্নি খাতুন</t>
  </si>
  <si>
    <t>মোঃ শফিকুদ্দীন</t>
  </si>
  <si>
    <t>২৫/০৮/১৯৮১</t>
  </si>
  <si>
    <t>মোছাঃ আহাজান</t>
  </si>
  <si>
    <t>জিরনা</t>
  </si>
  <si>
    <t>১৫/০৭/১৯৪৭</t>
  </si>
  <si>
    <t>মোঃ নজরুল হক</t>
  </si>
  <si>
    <t>১৩/০৫/১৯৮১</t>
  </si>
  <si>
    <t>মোছাঃ জান্না খাতুন</t>
  </si>
  <si>
    <t>রহমত আলী</t>
  </si>
  <si>
    <t>মোছাঃ জীবন নেছা</t>
  </si>
  <si>
    <t>১৮/০৭/১৯৬০</t>
  </si>
  <si>
    <t>মোছাঃ ইশারন খাতুন</t>
  </si>
  <si>
    <t>আমিরুদ্দীন</t>
  </si>
  <si>
    <t>০৭/০৪/১৯৬৭</t>
  </si>
  <si>
    <t>মোঃ যাছের আলী</t>
  </si>
  <si>
    <t>মোছাঃ ফেলা খাতুন</t>
  </si>
  <si>
    <t>০২/০৪/১৯৬৭</t>
  </si>
  <si>
    <t>মোঃ আব্দুল মুন্সি</t>
  </si>
  <si>
    <t>সোনোয়ারা</t>
  </si>
  <si>
    <t>১৫/০৯/১৯৬৭</t>
  </si>
  <si>
    <t>মোছাঃ দুয়াতন খাতুন</t>
  </si>
  <si>
    <t>তৈয়ব আলী</t>
  </si>
  <si>
    <t>০৯/০৪/১৯৫৯</t>
  </si>
  <si>
    <t>মোছাঃ আভরা খাতুন</t>
  </si>
  <si>
    <t>মোঃ কালাচাঁদ</t>
  </si>
  <si>
    <t>মোছাঃ খোদেজা খাতুন</t>
  </si>
  <si>
    <t>১৫/০৫/১৯৭৫</t>
  </si>
  <si>
    <t>মামদ আলী</t>
  </si>
  <si>
    <t>মোছাঃ ফুলি খাতুন</t>
  </si>
  <si>
    <t>২৪/১১/১৯৩৭</t>
  </si>
  <si>
    <t>মোছাঃ মিনি খাতুন</t>
  </si>
  <si>
    <t>০৫/০৭/১৯৮০</t>
  </si>
  <si>
    <t>মোঃ আলি হোসেন</t>
  </si>
  <si>
    <t>মোছাঃ সাজেদা খাতুন</t>
  </si>
  <si>
    <t>১২/০৮/১৯৮১</t>
  </si>
  <si>
    <t>মোঃ লুকমান হোসেন</t>
  </si>
  <si>
    <t>মোছাঃ সাবিরন নেছা</t>
  </si>
  <si>
    <t>০৩/০৪/১৯৮১</t>
  </si>
  <si>
    <t>মহত আলী মন্ডল</t>
  </si>
  <si>
    <t>সালেহার বিবি</t>
  </si>
  <si>
    <t>২৭/০৪/১৯৫৭</t>
  </si>
  <si>
    <t>সৈয়রদ্দিন</t>
  </si>
  <si>
    <t>১১/০৮/১৯৫৭</t>
  </si>
  <si>
    <t>মোছাঃ সিকরন নেছা</t>
  </si>
  <si>
    <t>মোঃ দিদার মোল্লাহ</t>
  </si>
  <si>
    <t>মোছাঃ বেজিয়া খাতুন</t>
  </si>
  <si>
    <t>১৩/১০/১৯৬৭</t>
  </si>
  <si>
    <t>ছামিরন নেছা</t>
  </si>
  <si>
    <t>২৩/০৮/১৯৫৭</t>
  </si>
  <si>
    <t>মোছাঃ বিলকিস আরা</t>
  </si>
  <si>
    <t>মোঃ ঈদু মন্ডল</t>
  </si>
  <si>
    <t>মোছাঃ জাহেরা</t>
  </si>
  <si>
    <t>০৮/০৯/১৯৭৯</t>
  </si>
  <si>
    <t>মোঃ গোলাম মল্লিক</t>
  </si>
  <si>
    <t>মোছাঃ ঘিরামন নেছা</t>
  </si>
  <si>
    <t>২৪/০১/১৯৭৬</t>
  </si>
  <si>
    <t>মোহাঃ ধুপু মালিথা</t>
  </si>
  <si>
    <t>মোছাঃ ওহেদান</t>
  </si>
  <si>
    <t>১৩/০৮/১৯৬৩</t>
  </si>
  <si>
    <t>মোছাঃ লিলি খাতুন</t>
  </si>
  <si>
    <t>মোঃ রিফাত আলী</t>
  </si>
  <si>
    <t>২১/০৯/১৯৮৩</t>
  </si>
  <si>
    <t>মোছাঃ কহিনূর বেগম</t>
  </si>
  <si>
    <t>মোছাঃ লুৎফেন্নেছা</t>
  </si>
  <si>
    <t>০২/০৯/১৯৮০</t>
  </si>
  <si>
    <t>মোছাঃ সবজান নেছা</t>
  </si>
  <si>
    <t>সায়াদ আলী</t>
  </si>
  <si>
    <t>মজিরন</t>
  </si>
  <si>
    <t>১৭/১১/১৯৫২</t>
  </si>
  <si>
    <t>মোছাঃ সুবারন</t>
  </si>
  <si>
    <t>মুবারেক মন্ডল</t>
  </si>
  <si>
    <t>মোঃ নিগারন</t>
  </si>
  <si>
    <t>১২/০৩/১৯৬৩</t>
  </si>
  <si>
    <t>মোছাঃ সুমিয়া খাতুন</t>
  </si>
  <si>
    <t>মোছাঃ রাফিয়া খাতুন</t>
  </si>
  <si>
    <t>২২/০৪/১৯৮৪</t>
  </si>
  <si>
    <t>মোছাঃ হাসিনা বানু</t>
  </si>
  <si>
    <t>দাউদ আলী</t>
  </si>
  <si>
    <t>০৭/১২/১৯৫২</t>
  </si>
  <si>
    <t>মোঃ রতন মন্ডল</t>
  </si>
  <si>
    <t>১৯/১০/১৯৭৭</t>
  </si>
  <si>
    <t>মোছাঃ রেখা খাতুন</t>
  </si>
  <si>
    <t>মোছাঃ বাহিমা খাতুন</t>
  </si>
  <si>
    <t>২৭/০৫/১৯৭২</t>
  </si>
  <si>
    <t>মোছাঃ বিলকিস বানু</t>
  </si>
  <si>
    <t>মোঃ মকবুল হোসেন</t>
  </si>
  <si>
    <t>১৫/০৫/১৯৭৯</t>
  </si>
  <si>
    <t>নইমুদ্দীন</t>
  </si>
  <si>
    <t>মোছাঃ মফিরন</t>
  </si>
  <si>
    <t>২৮/০৪/১৯৭২</t>
  </si>
  <si>
    <t>মোছাঃ সামিরন নেছা</t>
  </si>
  <si>
    <t>মোঃ খেদের আলী</t>
  </si>
  <si>
    <t>২৩/০৪/১৯৬৯</t>
  </si>
  <si>
    <t>মোছাঃ আজিনা খাতুন</t>
  </si>
  <si>
    <t>আঃ খালেক</t>
  </si>
  <si>
    <t>০৪/০৩/১৯৮২</t>
  </si>
  <si>
    <t>মোছাঃ জয়নব বিবি</t>
  </si>
  <si>
    <t>সামুদ্দীন</t>
  </si>
  <si>
    <t>১৭/১১/১৯৪৯</t>
  </si>
  <si>
    <t>মোঃ আঃ সালাম</t>
  </si>
  <si>
    <t>১৭/০৮/১৯৭৮</t>
  </si>
  <si>
    <t>মোছাঃ আয়শা খাতুন</t>
  </si>
  <si>
    <t>মোঃ ইউনুস আলী</t>
  </si>
  <si>
    <t>মোছাঃ উজালা খাতুন</t>
  </si>
  <si>
    <t>০৪/০৭/১৯৮০</t>
  </si>
  <si>
    <t>মোঃ লালচাঁদ মন্ডল</t>
  </si>
  <si>
    <t>মুক্তারা খাতুন</t>
  </si>
  <si>
    <t>২২/১১/১৯৬২</t>
  </si>
  <si>
    <t>মোছাঃ পূর্ণি খাতুন</t>
  </si>
  <si>
    <t>চেতন মন্ডল</t>
  </si>
  <si>
    <t>২০/০৫/১৯৭২</t>
  </si>
  <si>
    <t>মোছাঃ সফুরা খাতুন</t>
  </si>
  <si>
    <t>২৯/০৪/১৯৮৩</t>
  </si>
  <si>
    <t>মোছাঃ স্বপ্না খাতুন</t>
  </si>
  <si>
    <t>২৩/০৫/১৯৮৪</t>
  </si>
  <si>
    <t>মোছাঃ তিতুয়ারা খাতুন</t>
  </si>
  <si>
    <t>২০/১১/১৯৬৯</t>
  </si>
  <si>
    <t>মোঃ ছিয়ামদ্দিন</t>
  </si>
  <si>
    <t>মোছাঃ কপুরা খাতুন</t>
  </si>
  <si>
    <t>মোছাঃ ছোরজান নেছা</t>
  </si>
  <si>
    <t>মোঃ হাবিবর রহমান</t>
  </si>
  <si>
    <t>মোছাঃ কুলছুম খাতুন</t>
  </si>
  <si>
    <t>০২/০৩/১৯৫৭</t>
  </si>
  <si>
    <t>মোঃ সিদ্দিক আলী</t>
  </si>
  <si>
    <t>১২/০৫/১৯৮৭</t>
  </si>
  <si>
    <t>আইছদ্দিন মন্ডল</t>
  </si>
  <si>
    <t>রাবিয়া খাতুন</t>
  </si>
  <si>
    <t>০৯/০৬/১৯৬০</t>
  </si>
  <si>
    <t>মোঃ শহিদুল হক</t>
  </si>
  <si>
    <t>১০/০৭/১৯৭৫</t>
  </si>
  <si>
    <t>জমেদ আলী বিশ্বাস</t>
  </si>
  <si>
    <t>জামিরন নেছা</t>
  </si>
  <si>
    <t>১৯/০৭/১৯৫৭</t>
  </si>
  <si>
    <t>বাদল মন্ডল</t>
  </si>
  <si>
    <t>মোছাঃ নিগারন নেছা</t>
  </si>
  <si>
    <t>০৯/১০/১৯৭৫</t>
  </si>
  <si>
    <t>আবুজেল মন্ডল</t>
  </si>
  <si>
    <t>আসমা খাতুন</t>
  </si>
  <si>
    <t>মোছাঃ ছালেহা বেগম</t>
  </si>
  <si>
    <t>কাশেম মন্ডল</t>
  </si>
  <si>
    <t>০২/০৪/১৯৬২</t>
  </si>
  <si>
    <t>মোঃ আহারউদ্দীন</t>
  </si>
  <si>
    <t>০৩/০৮/১৯৮২</t>
  </si>
  <si>
    <t>মোছাঃ জেসমিন খাতুন</t>
  </si>
  <si>
    <t>নওশাদ আলী</t>
  </si>
  <si>
    <t>মোছাঃ রশিদা খাতুন</t>
  </si>
  <si>
    <t>১৪/১০/১৯৮০</t>
  </si>
  <si>
    <t>মোছাঃ জাহিদা খাতুন</t>
  </si>
  <si>
    <t>০১/০১/১৯৪৮</t>
  </si>
  <si>
    <t>মোঃ আফতাব হোসেন</t>
  </si>
  <si>
    <t>মোছাঃ হুরজান</t>
  </si>
  <si>
    <t>০৫/০৬/১৯৬৫</t>
  </si>
  <si>
    <t>মোছাঃ হানিয়াম মারিয়া</t>
  </si>
  <si>
    <t>আশরাফ আলী</t>
  </si>
  <si>
    <t>১৬/০২/১৯৬৯</t>
  </si>
  <si>
    <t>আফজাল মালিথা</t>
  </si>
  <si>
    <t>মোছাঃ ফুলিয়ারা খাতুন</t>
  </si>
  <si>
    <t>হারান বিশ্বাস</t>
  </si>
  <si>
    <t>জয়নব বেগম</t>
  </si>
  <si>
    <t>২২/০৩/১৯৫৭</t>
  </si>
  <si>
    <t>মোঃ তাহের আলী</t>
  </si>
  <si>
    <t>মোছাঃ মরিয়ম খাতুন</t>
  </si>
  <si>
    <t>১৬/০৯/১৯৭৮</t>
  </si>
  <si>
    <t>মোছাঃ সাহেনা খাতুন</t>
  </si>
  <si>
    <t>মোঃ শোকের উদ্দীন</t>
  </si>
  <si>
    <t>০২/০৫/১৯৭০</t>
  </si>
  <si>
    <t>০৮/০১/১৯৭২</t>
  </si>
  <si>
    <t>মান্নান বিশ্বাস</t>
  </si>
  <si>
    <t>১৮/১১/১৯৬৭</t>
  </si>
  <si>
    <t>মোছাঃ মাজিন্দা খাতুন</t>
  </si>
  <si>
    <t>ফকির মহম্মদ</t>
  </si>
  <si>
    <t>গোলাম রসুল</t>
  </si>
  <si>
    <t>মোছাঃ সবুরন নেছা</t>
  </si>
  <si>
    <t>০২/০৩/১৯৬৭</t>
  </si>
  <si>
    <t>মোছাঃ মুকিলছা খাতুন</t>
  </si>
  <si>
    <t>১০/১১/১৯৮৮</t>
  </si>
  <si>
    <t>বেকার</t>
  </si>
  <si>
    <t>মোঃ খোজেমদ্দিন</t>
  </si>
  <si>
    <t>মোছাঃ ছিরফান নেছা</t>
  </si>
  <si>
    <t>১৮/১০/১৯৬৭</t>
  </si>
  <si>
    <t>মোছাঃ রসুলা খাতুন</t>
  </si>
  <si>
    <t>কিয়ামদ্দিন</t>
  </si>
  <si>
    <t>০১/০১/১৯৫৩</t>
  </si>
  <si>
    <t>মোছাঃ আরবিয়া খাতুন</t>
  </si>
  <si>
    <t>মোঃ বাদশা মন্ডল</t>
  </si>
  <si>
    <t>মোঃ ইসলাম</t>
  </si>
  <si>
    <t>রোকেয়া বেগম</t>
  </si>
  <si>
    <t>০১/০১/১৯৮০</t>
  </si>
  <si>
    <t>মোঃ ওহাব আলী</t>
  </si>
  <si>
    <t>মোছাঃ হোরজান খাতুন</t>
  </si>
  <si>
    <t>০১/০১/১৯৭৯</t>
  </si>
  <si>
    <t>আমোদ আলী</t>
  </si>
  <si>
    <t>০৩/০৩/১৯৬০</t>
  </si>
  <si>
    <t>মোছাঃ বেলিয়ারা খাতুন</t>
  </si>
  <si>
    <t>মোঃ বিল্লাল হোসেন</t>
  </si>
  <si>
    <t>মোঃ হবিরর রহমান</t>
  </si>
  <si>
    <t>০৫/০৮/১৯৭২</t>
  </si>
  <si>
    <t>মোছাঃ জোসনে আরা</t>
  </si>
  <si>
    <t>মোঃ রমজান মন্ডল</t>
  </si>
  <si>
    <t>মোছাঃ আজিরন নেছা</t>
  </si>
  <si>
    <t>আলতাফ বিশ্বাস</t>
  </si>
  <si>
    <t>জরিমন্ নেছা</t>
  </si>
  <si>
    <t>১৪/০৩/১৯৬৭</t>
  </si>
  <si>
    <t>মফেজ উদ্দিন</t>
  </si>
  <si>
    <t>০৯/০৬/১৯৬৯</t>
  </si>
  <si>
    <t>মোছাঃ নাছিরন খাতুন</t>
  </si>
  <si>
    <t>মোঃ আব্দুর রশিদ</t>
  </si>
  <si>
    <t>১৭/০৩/১৯৮৮</t>
  </si>
  <si>
    <t>মোছাঃ সাহারন খাতুন</t>
  </si>
  <si>
    <t>কুড়ুন মন্ডল</t>
  </si>
  <si>
    <t>১৫/০২/১৯৫৭</t>
  </si>
  <si>
    <t>তাহাজউদ্দীন বিশ্বাস</t>
  </si>
  <si>
    <t>১১/০৭/১৯৬২</t>
  </si>
  <si>
    <t>মোছাঃ পানছুরা খাতুন</t>
  </si>
  <si>
    <t>১৪/০৬/১৯৭০</t>
  </si>
  <si>
    <t>মোছাঃ মেরিনা খাতুন</t>
  </si>
  <si>
    <t>মোঃ নবিরুদ্দীন</t>
  </si>
  <si>
    <t>মোছাঃ জোসনা খাতুন</t>
  </si>
  <si>
    <t>০৩/০৩/১৯৮৫</t>
  </si>
  <si>
    <t>বয়ান মন্ডল</t>
  </si>
  <si>
    <t>কিরমন নেছা</t>
  </si>
  <si>
    <t>০৬/০৯/১৯৬১</t>
  </si>
  <si>
    <t>মোছাঃ রেফেজা খাতুন</t>
  </si>
  <si>
    <t>মোঃ ছিয়ামত আলী</t>
  </si>
  <si>
    <t>২৫/০৪/১৯৭২</t>
  </si>
  <si>
    <t>জালশুকা, গাংনী, মেহেরপুর</t>
  </si>
  <si>
    <t>মোছাঃ পিনজিরা খাতুন</t>
  </si>
  <si>
    <t>মোঃ ইবাদত মন্ডল</t>
  </si>
  <si>
    <t>০৬/০৮/১৯৬৯</t>
  </si>
  <si>
    <t>মোছাঃ বানিয়ারা</t>
  </si>
  <si>
    <t>মোঃ আলফাজউদ্দীন</t>
  </si>
  <si>
    <t>মোছাঃ হোরলা খাতুন</t>
  </si>
  <si>
    <t>১৬/০৯/১৯৭৫</t>
  </si>
  <si>
    <t>জালশুকা, গাংনী, মেহরপুর</t>
  </si>
  <si>
    <t>মোছাঃ ছবেদ খাতুন</t>
  </si>
  <si>
    <t>তফসের বিশ্বাস</t>
  </si>
  <si>
    <t>মোছাঃ নির্মল বিবি</t>
  </si>
  <si>
    <t>২১/০৫/১৯৭৭</t>
  </si>
  <si>
    <t>আফজাল হোসেন</t>
  </si>
  <si>
    <t>মোছাঃ ছালেহা খাতুন</t>
  </si>
  <si>
    <t>১০/০৩/১৯৬০</t>
  </si>
  <si>
    <t>মোঃ রওশন আলী</t>
  </si>
  <si>
    <t>১৯/১০/১৯৬২</t>
  </si>
  <si>
    <t>মোঃ ইউসুপ আলি</t>
  </si>
  <si>
    <t>মোছাঃ হাসেনয়ারা</t>
  </si>
  <si>
    <t>মোঃ জমিরুদ্দিন</t>
  </si>
  <si>
    <t>মোছাঃ হাসিয়া খাতুন</t>
  </si>
  <si>
    <t>২৬/১০/১৯৭১</t>
  </si>
  <si>
    <t>রহিম বকশ</t>
  </si>
  <si>
    <t>০৩/০৪/১৯৬০</t>
  </si>
  <si>
    <t>মোছাঃ আছিয়া খাতুন</t>
  </si>
  <si>
    <t>আলতাফ হোসেন</t>
  </si>
  <si>
    <t>০২/০৩/১৯৪৭</t>
  </si>
  <si>
    <t>মোছাঃ নিলুফা খাতুন</t>
  </si>
  <si>
    <t>মোঃ দবিরউদ্দীন</t>
  </si>
  <si>
    <t>০৪/০৫/১৯৭৮</t>
  </si>
  <si>
    <t>মোঃ তওকত আলি</t>
  </si>
  <si>
    <t>মোছাঃ সাহানাজ পারভীন</t>
  </si>
  <si>
    <t>মোঃ জেবেদ মন্ডল</t>
  </si>
  <si>
    <t>মোছাঃ সায়েদা বেগম</t>
  </si>
  <si>
    <t>২১/০২/১৯৮২</t>
  </si>
  <si>
    <t>মোঃ বজলুর রহমান</t>
  </si>
  <si>
    <t>০১/০৬/১৯৮০</t>
  </si>
  <si>
    <t>মোঃ আব্দুল আলীম</t>
  </si>
  <si>
    <t>৩০/০১/১৯৯০</t>
  </si>
  <si>
    <t>মোছাঃ রুনা নাসরিন</t>
  </si>
  <si>
    <t>মোঃ মহির উদ্দীন মন্ডল</t>
  </si>
  <si>
    <t>১০/১২/১৯৯০</t>
  </si>
  <si>
    <t>মোছাঃ আংগুরা খাতুন</t>
  </si>
  <si>
    <t>মোঃ আলেক মন্ডল</t>
  </si>
  <si>
    <t>মোছাঃ তানজিরা খাতুন</t>
  </si>
  <si>
    <t>১২/০১/১৯৭৫</t>
  </si>
  <si>
    <t>০১/০৮/১৯৮৫</t>
  </si>
  <si>
    <t>মোছাঃ শ্যামলী খাতুন</t>
  </si>
  <si>
    <t>মোঃ মহিবুল ইসলাম</t>
  </si>
  <si>
    <t>মোছাঃ সোনিয়া খাতুন</t>
  </si>
  <si>
    <t>মোঃ বদর উদ্দীন</t>
  </si>
  <si>
    <t>মোছাঃ সেলিনা বেগম</t>
  </si>
  <si>
    <t>মোছাঃ মিশুকরা খাতুন</t>
  </si>
  <si>
    <t>মোঃ আশাদুল ইসলাম</t>
  </si>
  <si>
    <t>১৭/০২/১৯৯০</t>
  </si>
  <si>
    <t>ছিয়ামুদ্দিন মন্ডল</t>
  </si>
  <si>
    <t>মোছাঃ নিহারন খাতুন</t>
  </si>
  <si>
    <t>২৯/০৮/১৯৬৯</t>
  </si>
  <si>
    <t>মোছাঃ সামসুন্নাহার</t>
  </si>
  <si>
    <t>মোঃ বানারুল ইসলাম</t>
  </si>
  <si>
    <t>০১/০৩/১৯৯০</t>
  </si>
  <si>
    <t>আখিঁ তারা</t>
  </si>
  <si>
    <t>হাবিবুর রহমান</t>
  </si>
  <si>
    <t>জাহানারা খাতুন</t>
  </si>
  <si>
    <t>০৪/০৬/১৯৯০</t>
  </si>
  <si>
    <t>মোছাঃ জোছনা খাতুন</t>
  </si>
  <si>
    <t>মোঃ সালাম</t>
  </si>
  <si>
    <t>সেলিনা</t>
  </si>
  <si>
    <t>১০/০৮/১৯৮৮</t>
  </si>
  <si>
    <t>মোছাঃ নারগীচ</t>
  </si>
  <si>
    <t>আমিরুল ইসলাম</t>
  </si>
  <si>
    <t>জরিনা খাতুন</t>
  </si>
  <si>
    <t>১০/০৬/১৯৯১</t>
  </si>
  <si>
    <t>মুন্নি মালা</t>
  </si>
  <si>
    <t>আঃ মান্নান</t>
  </si>
  <si>
    <t>জমেলা</t>
  </si>
  <si>
    <t>২৫/১১/১৯৯০</t>
  </si>
  <si>
    <t>মোছাঃ ছনিয়া খাতুন</t>
  </si>
  <si>
    <t>০১/০১/১৯৯২</t>
  </si>
  <si>
    <t>খেদেজান</t>
  </si>
  <si>
    <t>আঃ মজিদ</t>
  </si>
  <si>
    <t>রজ্জন</t>
  </si>
  <si>
    <t>১৭/০৫/১৯৪৭</t>
  </si>
  <si>
    <t>মোছাঃ নাজেরা খাতুন</t>
  </si>
  <si>
    <t>সুন্দরী খাতুন</t>
  </si>
  <si>
    <t>২৩/০৫/১৯৯০</t>
  </si>
  <si>
    <t>শানঘাট, গাংনী, মেহরপুর</t>
  </si>
  <si>
    <t>মেঘনা খাতুন</t>
  </si>
  <si>
    <t>নজরুল ইসলাম</t>
  </si>
  <si>
    <t>ফেরদৌস</t>
  </si>
  <si>
    <t>০১/০৩/১৯৮৯</t>
  </si>
  <si>
    <t>রোজিনা খাতুন</t>
  </si>
  <si>
    <t>তয়ুব আলী</t>
  </si>
  <si>
    <t>১০/০৭/১৯৮৭</t>
  </si>
  <si>
    <t>মোছাঃ কুলসুম খাতুন</t>
  </si>
  <si>
    <t>আজিল</t>
  </si>
  <si>
    <t>হাওয়া</t>
  </si>
  <si>
    <t>২৬/০৩/১৯৭৪</t>
  </si>
  <si>
    <t>মুসলিমা</t>
  </si>
  <si>
    <t>মোশাররফ হোসেন</t>
  </si>
  <si>
    <t>রিনা খাতুন</t>
  </si>
  <si>
    <t>মোঃ ইলিয়াছ হোসেন</t>
  </si>
  <si>
    <t>মায়ারানী</t>
  </si>
  <si>
    <t>০১/০৬/১৯৮৭</t>
  </si>
  <si>
    <t>শিল্পীযারা খাতুন</t>
  </si>
  <si>
    <t>তিজার আলী</t>
  </si>
  <si>
    <t>রাহিমা খাতুন</t>
  </si>
  <si>
    <t>০১/০৪/১৯৯১</t>
  </si>
  <si>
    <t>আিছয়া খাতুন</t>
  </si>
  <si>
    <t>০৮/১০/১৯৮০</t>
  </si>
  <si>
    <t>ময়মুনা খাতুন</t>
  </si>
  <si>
    <t>মোঃ ওমর আলী</t>
  </si>
  <si>
    <t>জোহরা বেগম</t>
  </si>
  <si>
    <t>১২/০৬/১৯৯১</t>
  </si>
  <si>
    <t>মৌসুমী খাতুন</t>
  </si>
  <si>
    <t>আলা উদ্দিন</t>
  </si>
  <si>
    <t>হাসিনা বেগম</t>
  </si>
  <si>
    <t>১৩/০৬/১৯৯০</t>
  </si>
  <si>
    <t>মোছাঃ কুলসুম আরা</t>
  </si>
  <si>
    <t>মনিরুল ইসলাম</t>
  </si>
  <si>
    <t>০৪/০৯/১৯৯১</t>
  </si>
  <si>
    <t>জামরুল</t>
  </si>
  <si>
    <t>মনোয়ারা</t>
  </si>
  <si>
    <t>১০/০২/১৯৯০</t>
  </si>
  <si>
    <t>আবু বকর</t>
  </si>
  <si>
    <t>০৫/০৩/১৯৮৭</t>
  </si>
  <si>
    <t>হুসনেয়ারা খাতুন</t>
  </si>
  <si>
    <t>১০/১২/১৯৮৫</t>
  </si>
  <si>
    <t>মজিবর</t>
  </si>
  <si>
    <t>আছমা খাতুন</t>
  </si>
  <si>
    <t>০৫/০২/১৯৮৫</t>
  </si>
  <si>
    <t>এলাহী</t>
  </si>
  <si>
    <t>ছকেনা</t>
  </si>
  <si>
    <t>০১/০৪/১৯৯০</t>
  </si>
  <si>
    <t>মোছাঃ কল্পনা খাতুন</t>
  </si>
  <si>
    <t>এনামুল হক</t>
  </si>
  <si>
    <t>২৮/১০/১৯৯১</t>
  </si>
  <si>
    <t>আল্লাদী খাতুন</t>
  </si>
  <si>
    <t>২২/০৫/১৯৯০</t>
  </si>
  <si>
    <t>আয়ুব আলী</t>
  </si>
  <si>
    <t>সুফিয়া খাতুন</t>
  </si>
  <si>
    <t>০৫/০৬/১৯৯১</t>
  </si>
  <si>
    <t>মোছাঃ রেকছনা</t>
  </si>
  <si>
    <t>জামাল উদ্দিন</t>
  </si>
  <si>
    <t>বাশিরন</t>
  </si>
  <si>
    <t>১৪/০৪/১৯৯১</t>
  </si>
  <si>
    <t>দর্জি</t>
  </si>
  <si>
    <t>মোছাঃ উন্জিলা খাতুন</t>
  </si>
  <si>
    <t>মোঃ সাবান আলী</t>
  </si>
  <si>
    <t>সালমা খাতুন</t>
  </si>
  <si>
    <t>১৩/০১/১৯৯১</t>
  </si>
  <si>
    <t>মোছাঃ উষিয়া খাতুন</t>
  </si>
  <si>
    <t>মোঃ উমিদ আলী</t>
  </si>
  <si>
    <t>বেদনা খাতুন</t>
  </si>
  <si>
    <t>মোছাঃ বানেছা খাতুন</t>
  </si>
  <si>
    <t>মোঃ আজমত আলী</t>
  </si>
  <si>
    <t>মোছাঃ সুজিলা খাতুন</t>
  </si>
  <si>
    <t>১০/০৩/১৯৯০</t>
  </si>
  <si>
    <t>মোছাঃ রিজিয়া খাতুন</t>
  </si>
  <si>
    <t>২০/১২/১৯৬১</t>
  </si>
  <si>
    <t>আঃ ওয়াব</t>
  </si>
  <si>
    <t>মোছাঃ আরিজনা খাতুন</t>
  </si>
  <si>
    <t>০১/১১/১৯৯০</t>
  </si>
  <si>
    <t>মোছাঃ বিপাশা</t>
  </si>
  <si>
    <t>মোঃ আঃ হামিদ</t>
  </si>
  <si>
    <t>০১/০৮/১৯৯০</t>
  </si>
  <si>
    <t>মোছাঃ আছমাতুম নাইম</t>
  </si>
  <si>
    <t>মোঃ মখলেচুর রহমান</t>
  </si>
  <si>
    <t>৩১/১২/১৯৮৯</t>
  </si>
  <si>
    <t>মোছাঃ পারভিনা খাতুন রিনা</t>
  </si>
  <si>
    <t>মোছাঃ এসেমোতারা খাতুন</t>
  </si>
  <si>
    <t>মোঃ আফজেল হোসেন</t>
  </si>
  <si>
    <t>০৮/১০/১৯৯০</t>
  </si>
  <si>
    <t>মোছাঃ রনি খাতুন</t>
  </si>
  <si>
    <t>মোঃ আঃ আলিম</t>
  </si>
  <si>
    <t>০১/১১/১৯৮৯</t>
  </si>
  <si>
    <t>২৮/০৬/১৯৯০</t>
  </si>
  <si>
    <t>মোঃ সহিদুল ইসলাম</t>
  </si>
  <si>
    <t>০১/০২/১৯৯১</t>
  </si>
  <si>
    <t>মোছাঃ সাবানা খাতুন</t>
  </si>
  <si>
    <t>শফিরুদ্দীন</t>
  </si>
  <si>
    <t>০৫/০৩/১৯৮৯</t>
  </si>
  <si>
    <t>মোছাঃ লািখয়া খাতুন</t>
  </si>
  <si>
    <t>মোঃ সেকেন্দার</t>
  </si>
  <si>
    <t>মোছাঃ মুজরা</t>
  </si>
  <si>
    <t>১০/০৫/১৯৮৫</t>
  </si>
  <si>
    <t>মোঃ সাবানা খাতুন</t>
  </si>
  <si>
    <t>২০/০৪/১৯৮৭</t>
  </si>
  <si>
    <t>মোছাঃ রেকসনা খাতুন</t>
  </si>
  <si>
    <t>মোঃ আফজেল</t>
  </si>
  <si>
    <t>১৫/০৪/১৯৯১</t>
  </si>
  <si>
    <t>মোছাঃ শিল্পিয়ারা খাতুন</t>
  </si>
  <si>
    <t>০১/০১/১৯৯১</t>
  </si>
  <si>
    <t>মোছাঃ ফুলপতি খাতুন</t>
  </si>
  <si>
    <t>মোঃ তৈয়ব আলী</t>
  </si>
  <si>
    <t>১৫/০৩/১৯৮৬</t>
  </si>
  <si>
    <t>মোঃ রও আলী</t>
  </si>
  <si>
    <t>২০/০২/১৯৮৪</t>
  </si>
  <si>
    <t>মোছাঃ মুন্নি মালা</t>
  </si>
  <si>
    <t>মোঃ মন্টু আলী</t>
  </si>
  <si>
    <t>২০/০২/১৯৯০</t>
  </si>
  <si>
    <t>মোঃ বেন্দু</t>
  </si>
  <si>
    <t>০৫/০৯/১৯৮৯</t>
  </si>
  <si>
    <t>মোছাঃ ফুলকি খাতুন</t>
  </si>
  <si>
    <t>মোঃ আবুছুদ্দীন</t>
  </si>
  <si>
    <t>২৭/০৩/১৯৯০</t>
  </si>
  <si>
    <t>মোছাঃ সুরাইয়া খাতুন</t>
  </si>
  <si>
    <t>মোঃ মরেজম আলী</t>
  </si>
  <si>
    <t>১০/০৩/১৯৮৯</t>
  </si>
  <si>
    <t>ফাইমা খাতুন</t>
  </si>
  <si>
    <t>খাইবার আলী</t>
  </si>
  <si>
    <t>খুশি খাতুন</t>
  </si>
  <si>
    <t>১২/১০/১৯৯২</t>
  </si>
  <si>
    <t>তানিয়া খাতুন</t>
  </si>
  <si>
    <t>শাজাহান</t>
  </si>
  <si>
    <t>১০/০৫/১৯৯২</t>
  </si>
  <si>
    <t>মহিমা খাতুন</t>
  </si>
  <si>
    <t>০৫/১২/১৯৯২</t>
  </si>
  <si>
    <t>মোছাঃ ফেন্সি খাতুন</t>
  </si>
  <si>
    <t>জাহাতন খাতুন</t>
  </si>
  <si>
    <t>০১/১০/১৯৯২</t>
  </si>
  <si>
    <t>মোছাঃ শিউলি খাতুন</t>
  </si>
  <si>
    <t>শাহিদা</t>
  </si>
  <si>
    <t>০২/০৩/১৯৯২</t>
  </si>
  <si>
    <t>মোঃ ওবিবুল ইসলাম</t>
  </si>
  <si>
    <t>পানছুরা খাতুন</t>
  </si>
  <si>
    <t>০৫/০৮/১৯৯২</t>
  </si>
  <si>
    <t>সাইদুর রহমান</t>
  </si>
  <si>
    <t>রংফুল খাতুন</t>
  </si>
  <si>
    <t>১০/০৬/১৯৯২</t>
  </si>
  <si>
    <t>মোছাঃ লাবিবা</t>
  </si>
  <si>
    <t>মোঃ মজনুর রহমান</t>
  </si>
  <si>
    <t>মোছাঃ মািবয়া খাতুন</t>
  </si>
  <si>
    <t>১২/০৬/১৯৯২</t>
  </si>
  <si>
    <t>মোঃ আজিবার</t>
  </si>
  <si>
    <t>২০/০২/১৯৯২</t>
  </si>
  <si>
    <t>মোঃ এনামুল হক</t>
  </si>
  <si>
    <t>১২/০৪/১৯৯২</t>
  </si>
  <si>
    <t>রানু খাতুন</t>
  </si>
  <si>
    <t>আজমত আলী</t>
  </si>
  <si>
    <t>২৫/০৫/১৯৯৩</t>
  </si>
  <si>
    <t>মরিয়ম</t>
  </si>
  <si>
    <t>আমছার আলী</t>
  </si>
  <si>
    <t>নেকজান</t>
  </si>
  <si>
    <t>১০/০৮/১৯৯৩</t>
  </si>
  <si>
    <t>মোছাঃ রাজিয়া খাতুন</t>
  </si>
  <si>
    <t>মুফাজ্জেল</t>
  </si>
  <si>
    <t>মাসুরা</t>
  </si>
  <si>
    <t>শান্তনা</t>
  </si>
  <si>
    <t>বাহাজ</t>
  </si>
  <si>
    <t>মালেকা</t>
  </si>
  <si>
    <t>১০/০৩/১৯৯৩</t>
  </si>
  <si>
    <t>মোছাঃ মেহেনিকা খাতুন</t>
  </si>
  <si>
    <t>মোজ্জেম মন্ডল</t>
  </si>
  <si>
    <t>১২/০৫/১৯৯৩</t>
  </si>
  <si>
    <t>মোছাঃ কুলছুম</t>
  </si>
  <si>
    <t>নকছার আলী</t>
  </si>
  <si>
    <t>মোছাঃ ফজিলা</t>
  </si>
  <si>
    <t>০১/০২/১৯৯৩</t>
  </si>
  <si>
    <t>মোছাঃ রিমা খাতুন</t>
  </si>
  <si>
    <t>আলাউদ্দিন</t>
  </si>
  <si>
    <t>রিতা খাতুন</t>
  </si>
  <si>
    <t>০৮/১২/১৯৯৩</t>
  </si>
  <si>
    <t>মোছাঃ রবিনা খাতুন</t>
  </si>
  <si>
    <t>মোঃ হযরত আলী</t>
  </si>
  <si>
    <t>হাসেনা খাতুন</t>
  </si>
  <si>
    <t>১২/১২/১৯৯৩</t>
  </si>
  <si>
    <t>মোছাঃ হীরা খাতুন</t>
  </si>
  <si>
    <t>মোঃ নুরুল ইসলাম</t>
  </si>
  <si>
    <t>০৮/০৬/১৯৯৩</t>
  </si>
  <si>
    <t>মোঃ মান্নান</t>
  </si>
  <si>
    <t>মরজিনা</t>
  </si>
  <si>
    <t>০১/০৫/১৯৯৩</t>
  </si>
  <si>
    <t>শাহাজুল ইসলাম</t>
  </si>
  <si>
    <t>শরজান নেছা</t>
  </si>
  <si>
    <t>০১/০১/১৯৯৪</t>
  </si>
  <si>
    <t>মোছাঃ খাদেজা খাতুন</t>
  </si>
  <si>
    <t>মোঃ আঃ খালেক মোল্লা</t>
  </si>
  <si>
    <t>০১/০২/১৯৯৪</t>
  </si>
  <si>
    <t>আজমিরা</t>
  </si>
  <si>
    <t>আলাউদ্দীন</t>
  </si>
  <si>
    <t>কামরুন্নাহার</t>
  </si>
  <si>
    <t>০৫/০৩/১৯৯৪</t>
  </si>
  <si>
    <t>মোছাঃ রূপালী</t>
  </si>
  <si>
    <t>ওজিলা খাতুন</t>
  </si>
  <si>
    <t>২০/০৬/১৯৯৪</t>
  </si>
  <si>
    <t>মোছাঃ সাগরী খাতুন</t>
  </si>
  <si>
    <t>১৩/০৩/১৯৯৪</t>
  </si>
  <si>
    <t>মোছাঃ লাবনী খাতুন</t>
  </si>
  <si>
    <t>বিউটি খাতুন</t>
  </si>
  <si>
    <t>১৫/০৬/১৯৯৪</t>
  </si>
  <si>
    <t>মোঃ ইদ্রিস আলী</t>
  </si>
  <si>
    <t>১৫/০২/১৯৯৪</t>
  </si>
  <si>
    <t>মোছাঃ আজমিরা খাতুন</t>
  </si>
  <si>
    <t>মোঃ জমসেদ আলী</t>
  </si>
  <si>
    <t>ইয়াছিন আলী</t>
  </si>
  <si>
    <t>ফুলজান খাতুন</t>
  </si>
  <si>
    <t>২৯/০৭/১৯৯৪</t>
  </si>
  <si>
    <t>ইদ্রিস প্রামানিক</t>
  </si>
  <si>
    <t>শুকজান</t>
  </si>
  <si>
    <t>০১/০৩/১৯৯৪</t>
  </si>
  <si>
    <t>রমেলা খাতুন</t>
  </si>
  <si>
    <t>১৩/০৮/১৯৯৪</t>
  </si>
  <si>
    <t>মোঃ আলতাব</t>
  </si>
  <si>
    <t>মোছাঃ আংগুরা</t>
  </si>
  <si>
    <t>২৮/০৪/১৯৯৪</t>
  </si>
  <si>
    <t>মোছাঃ রোমানা খাতুন</t>
  </si>
  <si>
    <t>মোঃ ছলিমুদ্দীন</t>
  </si>
  <si>
    <t>১২/০৬/১৯৯৪</t>
  </si>
  <si>
    <t>মেরিনা খাতুন</t>
  </si>
  <si>
    <t>১৬/১২/১৯৯৪</t>
  </si>
  <si>
    <t>মোছাঃ তানজিলা</t>
  </si>
  <si>
    <t>মোঃ আনারুল হক</t>
  </si>
  <si>
    <t>০২/০১/১৯৯৪</t>
  </si>
  <si>
    <t>জালশুকা, কসবা, গাংনী, মেহরপুর</t>
  </si>
  <si>
    <t>রেশমা খাতুন</t>
  </si>
  <si>
    <t>আব্দুর রাজ্জাক</t>
  </si>
  <si>
    <t>২৫/০৯/১৯৯৫</t>
  </si>
  <si>
    <t>রুকছানা খাতুন</t>
  </si>
  <si>
    <t>নিহাল উদ্দীন</t>
  </si>
  <si>
    <t>রাশিদা খাতুন</t>
  </si>
  <si>
    <t>০১/০৬/১৯৯২</t>
  </si>
  <si>
    <t>মোছাঃ মুক্তি খাতুন</t>
  </si>
  <si>
    <t>ইনামুল মোল্লাহ</t>
  </si>
  <si>
    <t>মোছাঃ আশােফান</t>
  </si>
  <si>
    <t>২১/০৪/১৯৯৪</t>
  </si>
  <si>
    <t>রুবিনা খাতুন</t>
  </si>
  <si>
    <t>বিল্লাল বিশ্বাস</t>
  </si>
  <si>
    <t>১৪/০২/১৯৯৫</t>
  </si>
  <si>
    <t>মোছাঃ তাছলিমা খাতুন</t>
  </si>
  <si>
    <t>বাদশা</t>
  </si>
  <si>
    <t>রেহেনা খাতুন</t>
  </si>
  <si>
    <t>০১/০১/১৯৯৩</t>
  </si>
  <si>
    <t>জিনারুল ইসলাম</t>
  </si>
  <si>
    <t>পারুলা খাতুন</t>
  </si>
  <si>
    <t>শফিকুল ইসলাম</t>
  </si>
  <si>
    <t>আনিজরা খাতুন</t>
  </si>
  <si>
    <t>০৪/০২/১৯৯৫</t>
  </si>
  <si>
    <t>শওকত আলী</t>
  </si>
  <si>
    <t>১০/০৮/১৯৯২</t>
  </si>
  <si>
    <t>ফজলুল হক</t>
  </si>
  <si>
    <t>উম্মিময়া খাতুন</t>
  </si>
  <si>
    <t>০২/০৫/১৯৯০</t>
  </si>
  <si>
    <t>মোছাঃ উরমিলা খাতুন</t>
  </si>
  <si>
    <t>আঃ মুমিন</t>
  </si>
  <si>
    <t>মজিরন নেছা</t>
  </si>
  <si>
    <t>২৭/০৩/১৯৯৩</t>
  </si>
  <si>
    <t>শ্রমিক</t>
  </si>
  <si>
    <t>মোছাঃ শিখা মনি</t>
  </si>
  <si>
    <t>মোঃ বজলুল হক</t>
  </si>
  <si>
    <t>০৩/০১/১৯৯৫</t>
  </si>
  <si>
    <t>আরিফা খাতুন</t>
  </si>
  <si>
    <t>বোরহান উদ্দীন</t>
  </si>
  <si>
    <t>রেজীয়া খাতুন</t>
  </si>
  <si>
    <t>২৫/০৭/১৯৯২</t>
  </si>
  <si>
    <t>মোছাঃ জিলয়ারা</t>
  </si>
  <si>
    <t>রাশেদা থাতুন</t>
  </si>
  <si>
    <t>১১/১১/১৯৯১</t>
  </si>
  <si>
    <t>মসজিদপাড়া, জালশুকা, গাংনী, মেহরপুর</t>
  </si>
  <si>
    <t>মোঃ ছাবের আলী</t>
  </si>
  <si>
    <t>মোছাঃ আশানুর</t>
  </si>
  <si>
    <t>১৩/১২/১৯৯৩</t>
  </si>
  <si>
    <t>িভটাপাড়া, জালশুকা, গাংনী, মেহরপুর</t>
  </si>
  <si>
    <t>মোছাঃ তানিজিলা খাতুন</t>
  </si>
  <si>
    <t>মোঃ সিদ্দীক আলী</t>
  </si>
  <si>
    <t>০২/০৯/১৯৯৪</t>
  </si>
  <si>
    <t>মোছাঃ শাহিনা খাতুন</t>
  </si>
  <si>
    <t>আঃ রাজ্জাক</t>
  </si>
  <si>
    <t>আসুরা খাতুন</t>
  </si>
  <si>
    <t>০২/০১/১৯৯০</t>
  </si>
  <si>
    <t>মোঃ নায়েব আলী</t>
  </si>
  <si>
    <t>মোছাঃ খদিজা খাতুন</t>
  </si>
  <si>
    <t>০৫/০৩/১৯৯৩</t>
  </si>
  <si>
    <t>মোছাঃ হিরা খাতুন</t>
  </si>
  <si>
    <t>জেলেহার খাতুন</t>
  </si>
  <si>
    <t>০১/০৪/১৯৯৬</t>
  </si>
  <si>
    <t>মোছাঃ রিজনা খাতুন</t>
  </si>
  <si>
    <t>আনারুল</t>
  </si>
  <si>
    <t>ছােরজান</t>
  </si>
  <si>
    <t>১০/০৮/১৯৯৬</t>
  </si>
  <si>
    <t>মোছাঃ সাবিনা ইয়াছমিন</t>
  </si>
  <si>
    <t>শরিফুউদ্দীন</t>
  </si>
  <si>
    <t>রুপিয়া খাতুন</t>
  </si>
  <si>
    <t>১৫/১২/১৯৯৬</t>
  </si>
  <si>
    <t>মহিবুল হক</t>
  </si>
  <si>
    <t>ময়না খাতুন</t>
  </si>
  <si>
    <t>৩১/১২/১৯৯৬</t>
  </si>
  <si>
    <t>১৫/০৫/১৯৯৬</t>
  </si>
  <si>
    <t>মোছাঃ তানিজলা খাতুন</t>
  </si>
  <si>
    <t>মোঃ ইনামুল ইসলাম</t>
  </si>
  <si>
    <t>মোছাঃ ছেফলা খাতুন</t>
  </si>
  <si>
    <t>০২/০৩/১৯৯৭</t>
  </si>
  <si>
    <t>মোছাঃ মালা খাতুন</t>
  </si>
  <si>
    <t>১৭/০২/১৯৯৭</t>
  </si>
  <si>
    <t>মোছাঃ শাহানাজ আক্তার জলি</t>
  </si>
  <si>
    <t>মোঃ জামাল হোসেন</t>
  </si>
  <si>
    <t>মোছাঃ ছকিনা খাতুন</t>
  </si>
  <si>
    <t>১০/০৭/১৯৯৬</t>
  </si>
  <si>
    <t>মোছাঃ সীমা খাতুন</t>
  </si>
  <si>
    <t>মোঃ রহমান আলী</t>
  </si>
  <si>
    <t>০৭/০৬/১৯৯৬</t>
  </si>
  <si>
    <t>জালশুকা ভিটা পাড়া, জালশুকা, গাংনী, মেহরপুর</t>
  </si>
  <si>
    <t>মোছাঃ কাকলী খাতুন</t>
  </si>
  <si>
    <t>জামাল উদ্দীন</t>
  </si>
  <si>
    <t>মিনারা খাতুন</t>
  </si>
  <si>
    <t>১৭/১২/১৯৯০</t>
  </si>
  <si>
    <t>মিজনা</t>
  </si>
  <si>
    <t>গোলাম মোস্তফা</t>
  </si>
  <si>
    <t>ফুলছুরাতন</t>
  </si>
  <si>
    <t>০২/০২/১৯৯২</t>
  </si>
  <si>
    <t>মোছাঃ িরতা খাতুন</t>
  </si>
  <si>
    <t>মোহাঃ হুমায়ন</t>
  </si>
  <si>
    <t>মোছাঃ কবরী খাতুন</t>
  </si>
  <si>
    <t>২০/০৫/১৯৯৭</t>
  </si>
  <si>
    <t>০৪/০১/১৯৯৪</t>
  </si>
  <si>
    <t>মোছাঃ খুিশয়ারা খাতুন</t>
  </si>
  <si>
    <t>মোঃ জমির উদ্দিন</t>
  </si>
  <si>
    <t>মোছাঃ নােসরা খাতুন</t>
  </si>
  <si>
    <t>০৮/০৪/১৯৯৫</t>
  </si>
  <si>
    <t>জালশুকা স্কুল পাড়া, জালশুকা, গাংনী, মেহরপুর</t>
  </si>
  <si>
    <t>মোছাঃ মিতা খাতুন</t>
  </si>
  <si>
    <t>মোঃ ইলিয়াস হোসেন</t>
  </si>
  <si>
    <t>মোছাঃ আকিলমা খাতুন</t>
  </si>
  <si>
    <t>০৮/০৩/১৯৯৬</t>
  </si>
  <si>
    <t>মোহাঃ আব্দুল জব্বার</t>
  </si>
  <si>
    <t>১০/০৫/১৯৯৫</t>
  </si>
  <si>
    <t>মোঃ নাছির উদ্দীন</t>
  </si>
  <si>
    <t>০৫/১১/১৯৯৫</t>
  </si>
  <si>
    <t>মোছাঃ শুকতারা</t>
  </si>
  <si>
    <t>আলতা</t>
  </si>
  <si>
    <t>মোছাঃ মুক্তা মালা</t>
  </si>
  <si>
    <t>মোঃ সাহাবুল ইসলাম</t>
  </si>
  <si>
    <t>০৯/০৩/১৯৯৭</t>
  </si>
  <si>
    <t>সাগরিকা খাতুন</t>
  </si>
  <si>
    <t>মোঃ আব্দুল কুদ্দুস</t>
  </si>
  <si>
    <t>১৫/০৭/১৯৯৬</t>
  </si>
  <si>
    <t>মোছাঃ মারুফা খাতুন</t>
  </si>
  <si>
    <t>মোছাঃ আংুরা খাতুন</t>
  </si>
  <si>
    <t>০৪/১১/১৯৯৭</t>
  </si>
  <si>
    <t>মোঃ মুনজাত আলী</t>
  </si>
  <si>
    <t>০৫/০১/১৯৯৭</t>
  </si>
  <si>
    <t>মোছাঃ সিমা</t>
  </si>
  <si>
    <t>হানিফ</t>
  </si>
  <si>
    <t>আয়মানা</t>
  </si>
  <si>
    <t>০১/০৯/১৯৯৬</t>
  </si>
  <si>
    <t>জালশুকা মাঝের পাড়া, জালশুকা, গাংনী, মেহরপুর</t>
  </si>
  <si>
    <t>মোছাঃ ছুরাতন খাতুন</t>
  </si>
  <si>
    <t>১০/০৫/১৯৮৩</t>
  </si>
  <si>
    <t>ঝর্না খাতুন</t>
  </si>
  <si>
    <t>সিরাজ আলী</t>
  </si>
  <si>
    <t>০১/০২/১৯৯৫</t>
  </si>
  <si>
    <t>মোঃ বিল্লাল</t>
  </si>
  <si>
    <t>০১/০৫/১৯৯৫</t>
  </si>
  <si>
    <t>মোছাঃ ফাওজিয়া আকতার</t>
  </si>
  <si>
    <t>আেমনা খাতুন</t>
  </si>
  <si>
    <t>০২/০৬/১৯৯১</t>
  </si>
  <si>
    <t>ফনসী খাতুন</t>
  </si>
  <si>
    <t>আজগর আলী</t>
  </si>
  <si>
    <t>২৫/১০/১৯৮৭</t>
  </si>
  <si>
    <t>জালশুকা ঈদগাহ পাড়া, জালশুকা, গাংনী, মেহরপুর</t>
  </si>
  <si>
    <t>কানিজ ফাতেমা</t>
  </si>
  <si>
    <t>হাজেরান নেছা</t>
  </si>
  <si>
    <t>০৫/০৭/১৯৯৬</t>
  </si>
  <si>
    <t>মোছাঃ রজনী খাতুন</t>
  </si>
  <si>
    <t>মোঃ দাউদ হোসেন</t>
  </si>
  <si>
    <t>১৩/১২/১৯৯৫</t>
  </si>
  <si>
    <t>কৃষক</t>
  </si>
  <si>
    <t>মোছাঃ সাথী আরা</t>
  </si>
  <si>
    <t>মোঃ আলী হোসেন</t>
  </si>
  <si>
    <t>মোছাঃ াহার</t>
  </si>
  <si>
    <t>২৭/০৩/১৯৯৪</t>
  </si>
  <si>
    <t>তাজমিনা খাতুন</t>
  </si>
  <si>
    <t>২০/০৫/১৯৯৮</t>
  </si>
  <si>
    <t>মিতালী খাতুন</t>
  </si>
  <si>
    <t>মোঃ ঠান্ডু</t>
  </si>
  <si>
    <t>১৫/০৮/১৯৯৮</t>
  </si>
  <si>
    <t>১৫/০৫/১৯৯৭</t>
  </si>
  <si>
    <t>মোছাঃ হুসনেয়ারা খাতুন</t>
  </si>
  <si>
    <t>মোহাঃ বাবর আলী</t>
  </si>
  <si>
    <t>মোছাঃ ছহিমা খাতুন</t>
  </si>
  <si>
    <t>১৫/০১/১৯৯৮</t>
  </si>
  <si>
    <t>মোছাঃ নাজমুন্নাহার</t>
  </si>
  <si>
    <t>মোঃ জামাল উদ্দীন</t>
  </si>
  <si>
    <t>২২/০৫/১৯৯৭</t>
  </si>
  <si>
    <t>মোঃ সেলিম উদ্দীন</t>
  </si>
  <si>
    <t>০৫/০৩/১৯৯২</t>
  </si>
  <si>
    <t>উত্তরপাড়া, জালশুকা, গাংনী, মেহরপুর</t>
  </si>
  <si>
    <t>শ্যামলী খাতুন</t>
  </si>
  <si>
    <t>মোছাঃ তসলিমা খাতুন</t>
  </si>
  <si>
    <t>০৩/০১/১৯৯৮</t>
  </si>
  <si>
    <t>সালেহা খাতুন</t>
  </si>
  <si>
    <t>আসকার আলী</t>
  </si>
  <si>
    <t>গেনি আরা</t>
  </si>
  <si>
    <t>১০/১০/১৯৯৮</t>
  </si>
  <si>
    <t>দক্ষিণপাড়া, জালশুকা, গাংনী, মেহরপুর</t>
  </si>
  <si>
    <t>মোঃ ছনোয়ার হোসেন</t>
  </si>
  <si>
    <t>মোছাঃ ছাকেদা খাতুন</t>
  </si>
  <si>
    <t>১৪/০৯/১৯৯৫</t>
  </si>
  <si>
    <t>স্কুল পাড়া, জালশুকা, গাংনী, মেহরপুর</t>
  </si>
  <si>
    <t>মোছাঃ আছমা খাতুন</t>
  </si>
  <si>
    <t>মোঃ টকন আলী</t>
  </si>
  <si>
    <t>১০/১০/১৯৯০</t>
  </si>
  <si>
    <t>মোঃ হামিদুল ইসলাম</t>
  </si>
  <si>
    <t>মোছাঃ সারিজনা খাতুন</t>
  </si>
  <si>
    <t>১৬/০২/১৯৯৬</t>
  </si>
  <si>
    <t>মোছাঃ শাবনুর খাতুন</t>
  </si>
  <si>
    <t>মোঃ আশরাফ আলী</t>
  </si>
  <si>
    <t>০৪/০৫/১৯৯৮</t>
  </si>
  <si>
    <t>িশিরনা</t>
  </si>
  <si>
    <t>সেলিম</t>
  </si>
  <si>
    <t>রাশিদা</t>
  </si>
  <si>
    <t>২২/১০/১৯৯৮</t>
  </si>
  <si>
    <t>নিজাম উদ্দীন</t>
  </si>
  <si>
    <t>নাসিমা খাতুন</t>
  </si>
  <si>
    <t>১৭/০১/১৯৯৫</t>
  </si>
  <si>
    <t>আকিলমা খাতুন</t>
  </si>
  <si>
    <t>নাছিমা খাতুন</t>
  </si>
  <si>
    <t>০৫/০৭/১৯৯৭</t>
  </si>
  <si>
    <t>নূর ইসলাম</t>
  </si>
  <si>
    <t>রওশনারা</t>
  </si>
  <si>
    <t>১৫/০৭/১৯৯৪</t>
  </si>
  <si>
    <t>ঈদগা পাড়া, জালশুকা, কসবা, গাংনী, মেহরপুর</t>
  </si>
  <si>
    <t>মোছাঃ শিউলিয়ারা খাতুন</t>
  </si>
  <si>
    <t>মৃত নবীর উদ্দীন</t>
  </si>
  <si>
    <t>মোছাঃ ফাইমা খাতুন</t>
  </si>
  <si>
    <t>০২/০৩/১৯৯৫</t>
  </si>
  <si>
    <t>মোছাঃ রিজা খাতুন</t>
  </si>
  <si>
    <t>আমিনুল হক</t>
  </si>
  <si>
    <t>০৭/১০/১৯৯৮</t>
  </si>
  <si>
    <t>মোঃ তোকেকল আলী</t>
  </si>
  <si>
    <t>০৫/০৩/১৯৯৮</t>
  </si>
  <si>
    <t>মাসজিদপাড়া, জালশুকা, গাংনী, মেহরপুর</t>
  </si>
  <si>
    <t>মোছাঃ রুবিনা আক্তার রুবি</t>
  </si>
  <si>
    <t>মোঃ শোকর আলী</t>
  </si>
  <si>
    <t>০৬/০২/১৯৯৭</t>
  </si>
  <si>
    <t>দাড়িঁপাড়া, জালশুকা, গাংনী, মেহরপুর</t>
  </si>
  <si>
    <t>মোছাঃ সুমাইয়া খাতুন</t>
  </si>
  <si>
    <t>১১/০৯/১৯৯৮</t>
  </si>
  <si>
    <t>কল্পনা খাতুন</t>
  </si>
  <si>
    <t>ইদ্রিস আলী</t>
  </si>
  <si>
    <t>তহমিনা খাতুন</t>
  </si>
  <si>
    <t>০৫/১০/১৯৯৯</t>
  </si>
  <si>
    <t>বালিয়া্পাড়া, কসবা, গাংনী, মেহরপুর</t>
  </si>
  <si>
    <t>লিজা খাতুন</t>
  </si>
  <si>
    <t>মোঃ আবু জাফর</t>
  </si>
  <si>
    <t>১৩/০৩/১৯৯৯</t>
  </si>
  <si>
    <t>মধ্যপাড়া, জালশুকা, গাংনী, মেহরপুর</t>
  </si>
  <si>
    <t>মোঃ সেলিম হোসেন</t>
  </si>
  <si>
    <t>মোছাঃ ময়মুনা খাতুন</t>
  </si>
  <si>
    <t>০৮/০১/১৯৯৯</t>
  </si>
  <si>
    <t>মোঃ মতিয়ার রহমান</t>
  </si>
  <si>
    <t>মোছাঃ বানুয়ারা খাতুন</t>
  </si>
  <si>
    <t>১২/১০/১৯৯৮</t>
  </si>
  <si>
    <t>মোছাঃ কুলছুম আরা মুন্নী</t>
  </si>
  <si>
    <t>মোঃ আঃ কুদ্দুস</t>
  </si>
  <si>
    <t>১২/০৭/২০০১</t>
  </si>
  <si>
    <t>মোছাঃ শারমিন নাহার খাতুন</t>
  </si>
  <si>
    <t>মোঃ মিরাজুল ইসলাম</t>
  </si>
  <si>
    <t>১৯/০১/২০০০</t>
  </si>
  <si>
    <t>মোছাঃ রুবিনা খাতুন</t>
  </si>
  <si>
    <t>মোঃ ইয়াছিন আলী</t>
  </si>
  <si>
    <t>১৫/১০/২০০২</t>
  </si>
  <si>
    <t>মোঃ ঠান্ডু মিয়া</t>
  </si>
  <si>
    <t>০৫/০৩/১৯৯৯</t>
  </si>
  <si>
    <t>মোছাঃ রত্না খাতুন</t>
  </si>
  <si>
    <t>০৫/০৮/২০০০</t>
  </si>
  <si>
    <t>মোছাঃ মুন্নী খাতুন</t>
  </si>
  <si>
    <t>মোঃ রশিদ</t>
  </si>
  <si>
    <t>০১/০১/১৯৯৯</t>
  </si>
  <si>
    <t>মোছাঃ রুমানা খাতুন</t>
  </si>
  <si>
    <t>মোঃ আঃ খলিল</t>
  </si>
  <si>
    <t>মোছাঃ আলিয়া খাতুন</t>
  </si>
  <si>
    <t>২১/০৯/২০০১</t>
  </si>
  <si>
    <t>মোঃ আজগর আলী</t>
  </si>
  <si>
    <t>মোছাঃ শারমিন খাতুন</t>
  </si>
  <si>
    <t>মোঃ শাহাজুল ইসলাম</t>
  </si>
  <si>
    <t>০৮/০২/২০০০</t>
  </si>
  <si>
    <t>মোছাঃ রুনা খাতুন</t>
  </si>
  <si>
    <t>মোঃ নাসির উদ্দীন</t>
  </si>
  <si>
    <t>১২/০৩/১৯৯৭</t>
  </si>
  <si>
    <t>মোছাঃ হালিমাতুস সাদিয়া</t>
  </si>
  <si>
    <t>মোঃ আব্দুল ওহাব</t>
  </si>
  <si>
    <t>মোছাঃ আজিনা বেগুন্</t>
  </si>
  <si>
    <t>৩০/১২/১৯৯৭</t>
  </si>
  <si>
    <t>মোছাঃ রিপ্পা খাতুন</t>
  </si>
  <si>
    <t>মোঃ তরিকুল ইসলাম</t>
  </si>
  <si>
    <t>১৮/১০/২০০১</t>
  </si>
  <si>
    <t>রুনা</t>
  </si>
  <si>
    <t>আলমগীর মল্লিক</t>
  </si>
  <si>
    <t>নাজমা বেগম</t>
  </si>
  <si>
    <t>০১/০৯/১৯৯৪</t>
  </si>
  <si>
    <t>দাউদ মোল্লা</t>
  </si>
  <si>
    <t>মোছাঃ রাহিলা</t>
  </si>
  <si>
    <t>০৭/০২/১৯৯৯</t>
  </si>
  <si>
    <t>০৪/০৮/২০০১</t>
  </si>
  <si>
    <t>মোছাঃ সোহাগী খাতুন</t>
  </si>
  <si>
    <t>মোঃ কামরুল হোসেন</t>
  </si>
  <si>
    <t>২৫/১১/২০০২</t>
  </si>
  <si>
    <t>মোছাঃ সাথীয়া খাতুন</t>
  </si>
  <si>
    <t>মোঃ আজিবার রহমান</t>
  </si>
  <si>
    <t>০৫/০৭/১৯৯৮</t>
  </si>
  <si>
    <t>মোঃ আতিয়ার রহমান</t>
  </si>
  <si>
    <t>২৬/১০/২০০০</t>
  </si>
  <si>
    <t>মিতা খাতুন</t>
  </si>
  <si>
    <t>মোঃ মিনারুল ইসলাম</t>
  </si>
  <si>
    <t>২৩/১০/১৯৯৯</t>
  </si>
  <si>
    <t>মোছাঃ অর্পিতা খাতুন</t>
  </si>
  <si>
    <t>মোঃ হোসেন আলী</t>
  </si>
  <si>
    <t>০৫/০৫/১৯৯৮</t>
  </si>
  <si>
    <t>মোছাঃ মুক্তিয়ারা খাতুন</t>
  </si>
  <si>
    <t>মোঃ আজিজুল ইসলাম</t>
  </si>
  <si>
    <t>১০/১০/২০০১</t>
  </si>
  <si>
    <t>মোছাঃ খাদেজা খাতুন রিকতা</t>
  </si>
  <si>
    <t>মোঃ ইসমাইল হোসেন</t>
  </si>
  <si>
    <t>০৩/০১/২০০০</t>
  </si>
  <si>
    <t>মোছাঃ পুম্পা খাতুন</t>
  </si>
  <si>
    <t>মৃত নেকবার আলী</t>
  </si>
  <si>
    <t>২৫/০১/২০০০</t>
  </si>
  <si>
    <t>মোঃ তারাচান</t>
  </si>
  <si>
    <t>১০/০৬/১৯৯৬</t>
  </si>
  <si>
    <t>মোঃ ইয়াছীন</t>
  </si>
  <si>
    <t>০৮/০৩/১৯৯১</t>
  </si>
  <si>
    <t>মোছাঃ মিমি খাতুন</t>
  </si>
  <si>
    <t>মোঃ আনাছ উদ্দীন</t>
  </si>
  <si>
    <t>২০/১১/১৯৯৯</t>
  </si>
  <si>
    <t>মোছাঃ আিছয়া খাতুন</t>
  </si>
  <si>
    <t>মোঃ আশাবুল হক</t>
  </si>
  <si>
    <t>মোছাঃ বিলয়ারা খাতুন</t>
  </si>
  <si>
    <t>০৯/০৬/২০০২</t>
  </si>
  <si>
    <t>মোছাঃ মহিরন নেছা</t>
  </si>
  <si>
    <t>মৃত মান্নান হক</t>
  </si>
  <si>
    <t>০২/০৬/১৯৮৭</t>
  </si>
  <si>
    <t>মোছাঃ রেকছনা খাতুন</t>
  </si>
  <si>
    <t>২৭/১২/১৯৯৭</t>
  </si>
  <si>
    <t>শাহিরয়া বন্যা</t>
  </si>
  <si>
    <t>মোঃ শামসুল হুদা</t>
  </si>
  <si>
    <t>আরমিলা খাতুন</t>
  </si>
  <si>
    <t>২৩/০১/১৯৯৯</t>
  </si>
  <si>
    <t>০৯/০৪/১৯৯৭</t>
  </si>
  <si>
    <t>মৃত সোনারুল ইসলাম</t>
  </si>
  <si>
    <t>মোছাঃ রুমিয়া খাতুন</t>
  </si>
  <si>
    <t>০২/০১/১৯৯৩</t>
  </si>
  <si>
    <t>মোঃ জহিরুল ইসলাম</t>
  </si>
  <si>
    <t>মোছাঃ সূর্য বিবি</t>
  </si>
  <si>
    <t>০৬/১১/১৯৯২</t>
  </si>
  <si>
    <t>মোছাঃ সুবর্না খাতুন</t>
  </si>
  <si>
    <t>হারুন অর রশিদ</t>
  </si>
  <si>
    <t>মোছাঃ জফেদা খাতুন</t>
  </si>
  <si>
    <t>১৩/০৮/২০০০</t>
  </si>
  <si>
    <t>চম্পা খাতুন</t>
  </si>
  <si>
    <t>চান্দালী</t>
  </si>
  <si>
    <t>১৭/০৪/২০০০</t>
  </si>
  <si>
    <t>মোছাঃ শাবরিনা খাতুন</t>
  </si>
  <si>
    <t>মোঃ শাহাবুদ্দীন</t>
  </si>
  <si>
    <t>০১/০১/২০০৪</t>
  </si>
  <si>
    <t>মোছাঃ বনাপতি খাতুন</t>
  </si>
  <si>
    <t>মান্নান</t>
  </si>
  <si>
    <t>রেজিয়া</t>
  </si>
  <si>
    <t>১৫/১০/২০০০</t>
  </si>
  <si>
    <t>মোছাঃ জেসমিনা খাতুন</t>
  </si>
  <si>
    <t>০১/০৩/২০০১</t>
  </si>
  <si>
    <t>মোছাঃ বৃষ্টি খাতুন</t>
  </si>
  <si>
    <t>মোঃ রশিদুল ইসলাম</t>
  </si>
  <si>
    <t>মোছাঃ শিখা খাতুন</t>
  </si>
  <si>
    <t>১০/০২/২০০০</t>
  </si>
  <si>
    <t>০৮/০২/২০০৩</t>
  </si>
  <si>
    <t>মোঃ সলেমান</t>
  </si>
  <si>
    <t>মোছাঃ আসুরা খাতুন</t>
  </si>
  <si>
    <t>২৪/০১/১৯৯৭</t>
  </si>
  <si>
    <t>মোছাঃ সাদিয়া আফরোজ সুরভী</t>
  </si>
  <si>
    <t>মোঃ শামীম রেজা</t>
  </si>
  <si>
    <t>মোছাঃ সেফালী খাতুন</t>
  </si>
  <si>
    <t>০২/১২/২০০২</t>
  </si>
  <si>
    <t>শিমলা খাতুন</t>
  </si>
  <si>
    <t>সাইফুল ইসলাম</t>
  </si>
  <si>
    <t>মাসতুরা পারভীন</t>
  </si>
  <si>
    <t>১৯/০৮/২০০১</t>
  </si>
  <si>
    <t>মোছাঃ ফাতিমাতুজ রত্না</t>
  </si>
  <si>
    <t>মোঃ শরীফ উদ্দিন</t>
  </si>
  <si>
    <t>১৭/১১/২০০১</t>
  </si>
  <si>
    <t>মোঃ মুক্তার আলী</t>
  </si>
  <si>
    <t>মোছাঃ পারভীনা খাতুন</t>
  </si>
  <si>
    <t>১৮/০৮/১৯৯৯</t>
  </si>
  <si>
    <t>মোছাঃ রুকছানা খাতুন</t>
  </si>
  <si>
    <t>উসমান আলী</t>
  </si>
  <si>
    <t>১৬/০২/২০০২</t>
  </si>
  <si>
    <t>আয়েশা খাতুন</t>
  </si>
  <si>
    <t>টুনটুনি খাতুন</t>
  </si>
  <si>
    <t>০২/০১/২০০৩</t>
  </si>
  <si>
    <t>মোছাঃ মুকতারা খাতুন</t>
  </si>
  <si>
    <t>মোঃ ছানোয়ার</t>
  </si>
  <si>
    <t>০৫/০২/১৯৯২</t>
  </si>
  <si>
    <t>মোছাঃ খাদিজা খাতুন</t>
  </si>
  <si>
    <t>মৃত ইনতাজ আলী</t>
  </si>
  <si>
    <t>মোছাঃ কোহিনুর খাতুন</t>
  </si>
  <si>
    <t>০১/০১/২০০৩</t>
  </si>
  <si>
    <t>মোজাম্মেল হক</t>
  </si>
  <si>
    <t>মোঃ আব্দুল মালেক</t>
  </si>
  <si>
    <t>১৫/০২/২০০০</t>
  </si>
  <si>
    <t>ফেরদৌসী খাতুন</t>
  </si>
  <si>
    <t>১৬/০৮/১৯৯৭</t>
  </si>
  <si>
    <t>মোছাঃ ছালমা খাতুন</t>
  </si>
  <si>
    <t>মোঃ সাজদার হোসেন</t>
  </si>
  <si>
    <t>০৩/০৮/১৯৯৭</t>
  </si>
  <si>
    <t>মোছাঃ জেসমিনা</t>
  </si>
  <si>
    <t>হবিবার</t>
  </si>
  <si>
    <t>শাহার বানু</t>
  </si>
  <si>
    <t>২০/০২/১৯৮৯</t>
  </si>
  <si>
    <t>মোছাঃ জনি খাতুন</t>
  </si>
  <si>
    <t>১১/০৫/১৯৯৪</t>
  </si>
  <si>
    <t>রুকিয়া খাতুন</t>
  </si>
  <si>
    <t>জবেদ আলী</t>
  </si>
  <si>
    <t>মলে খাতুন</t>
  </si>
  <si>
    <t>১২/০৮/১৯৭২</t>
  </si>
  <si>
    <t>রুমানা খাতুন</t>
  </si>
  <si>
    <t>মহাবুল হক</t>
  </si>
  <si>
    <t>আংগুরা খাতুন</t>
  </si>
  <si>
    <t>১৬/০৯/১৯৯৪</t>
  </si>
  <si>
    <t>মোছাঃ নার্গিস আরা</t>
  </si>
  <si>
    <t>মোঃ নাজিমুদ্দীন</t>
  </si>
  <si>
    <t>২৮/০৫/১৯৮৮</t>
  </si>
  <si>
    <t>১০৬৮, জালশুকা, গাংনী, মেহরপুর</t>
  </si>
  <si>
    <t>মোঃ জিল্লুর রহমান</t>
  </si>
  <si>
    <t>., জালশুকা, গাংনী, মেহরপুর</t>
  </si>
  <si>
    <t>মোঃ তারজাল হোসেন</t>
  </si>
  <si>
    <t>মোছাঃ পিলয়ারা খাতুন</t>
  </si>
  <si>
    <t>০২/০৭/২০০০</t>
  </si>
  <si>
    <t>জালশুকা, জালশুকা, গাংনী, মেহরপুর</t>
  </si>
  <si>
    <t>মোছাঃ ফুলবানু খাতুন</t>
  </si>
  <si>
    <t>০৬/০১/১৯৯৯</t>
  </si>
  <si>
    <t>মোঃ জামিরুল ইসলাম</t>
  </si>
  <si>
    <t>০২/০৩/২০০৪</t>
  </si>
  <si>
    <t>১১৯১, জালশুকা, গাংনী, মেহরপুর</t>
  </si>
  <si>
    <t>মোছাঃ ইরানী খাতুন</t>
  </si>
  <si>
    <t>মোছাঃ ফেরজা খাতুন</t>
  </si>
  <si>
    <t>২০/০২/২০০৪</t>
  </si>
  <si>
    <t>মোঃ আক্কাচ আলী</t>
  </si>
  <si>
    <t>২০/০৮/২০০৪</t>
  </si>
  <si>
    <t>মোছাঃ পম্পি খাতুন</t>
  </si>
  <si>
    <t>১৩/০৩/২০০৪</t>
  </si>
  <si>
    <t>মোছাঃ চান মোহনা খাতুন</t>
  </si>
  <si>
    <t>মোঃ কাবরুল হোসেন</t>
  </si>
  <si>
    <t>০১/০১/২০০৫</t>
  </si>
  <si>
    <t>১২৯০, জালশুকা, গাংনী, মেহরপুর</t>
  </si>
  <si>
    <t>মোছাঃ সামিয়া খাতুন</t>
  </si>
  <si>
    <t>মোছাঃ মমতাজ</t>
  </si>
  <si>
    <t>১৬/১২/২০০৪</t>
  </si>
  <si>
    <t>-১২৬৬, জালশুকা, গাংনী, মেহরপুর</t>
  </si>
  <si>
    <t>মোছাঃ ফাউজিয়া তারা্ন্নুম</t>
  </si>
  <si>
    <t>মোছাঃ শামীমা নাছিরন</t>
  </si>
  <si>
    <t>১৭/০৪/২০০৪</t>
  </si>
  <si>
    <t>মোঃ আক্কাছ আলী</t>
  </si>
  <si>
    <t>মোছাঃ রতনা খাতুন</t>
  </si>
  <si>
    <t>মোঃ রহিদুল ইসলাম</t>
  </si>
  <si>
    <t>মোছাঃ মেমজান খাতুন</t>
  </si>
  <si>
    <t>মোছাঃ সানিয়া খাতুন</t>
  </si>
  <si>
    <t>মোঃ মিয়াজান</t>
  </si>
  <si>
    <t>২০/০৩/১৯৯৮</t>
  </si>
  <si>
    <t>মৃত মিনাজুল</t>
  </si>
  <si>
    <t>মোছাঃ মাছুরা খাতুন</t>
  </si>
  <si>
    <t>০৩/০৩/২০০৩</t>
  </si>
  <si>
    <t>মোঃ রকিব হাসান</t>
  </si>
  <si>
    <t>মোছাঃ লিপি বেগম</t>
  </si>
  <si>
    <t>১৫/১০/২০০৩</t>
  </si>
  <si>
    <t>মোঃ আব্দুল্লাহ</t>
  </si>
  <si>
    <t>১৮/০২/১৯৯৮</t>
  </si>
  <si>
    <t>মোছাঃ ইভা খাতুন</t>
  </si>
  <si>
    <t>মোঃ ইবাদত আলী</t>
  </si>
  <si>
    <t>২০/০৯/২০০০</t>
  </si>
  <si>
    <t>মোহাঃ মুছাহক</t>
  </si>
  <si>
    <t>মোছাঃ লাভলি</t>
  </si>
  <si>
    <t>মোছাঃ মনিকা খাতুন</t>
  </si>
  <si>
    <t>মোঃ আবুল বাসার মনা</t>
  </si>
  <si>
    <t>১৭/০৩/২০০১</t>
  </si>
  <si>
    <t>-+, জালশুকা, গাংনী, মেহরপুর</t>
  </si>
  <si>
    <t>মোছাঃ অনিতা খাতুন</t>
  </si>
  <si>
    <t>মোঃ আঃ মোমিন</t>
  </si>
  <si>
    <t>মোছাঃ বিলকিছ খাতুন</t>
  </si>
  <si>
    <t>০১/০৮/২০০২</t>
  </si>
  <si>
    <t>মোঃ শাহাবুল ইসলাম</t>
  </si>
  <si>
    <t>মোঃ বাচ্চু মিয়া</t>
  </si>
  <si>
    <t>মোছাঃ মিতু খাতুন</t>
  </si>
  <si>
    <t>২৩/০৩/২০০১</t>
  </si>
  <si>
    <t>চন্দনা আক্তার মুক্তা</t>
  </si>
  <si>
    <t>আব্দুল মালেক</t>
  </si>
  <si>
    <t>মোক্তারা</t>
  </si>
  <si>
    <t>০৬/০৭/২০০০</t>
  </si>
  <si>
    <t>মোছাঃ কবিতা খাতুন</t>
  </si>
  <si>
    <t>মোঃ রবিউল ইসলাম</t>
  </si>
  <si>
    <t>১২/১২/২০০২</t>
  </si>
  <si>
    <t>মোঃ মিকাইল</t>
  </si>
  <si>
    <t>০৪/০১/২০০০</t>
  </si>
  <si>
    <t>মোঃ মিনরুল ইসলাম</t>
  </si>
  <si>
    <t>মোছাঃ রাশিরা খাতুন</t>
  </si>
  <si>
    <t>১৩/০৮/১৯৯৯</t>
  </si>
  <si>
    <t>মোছাঃ ইরিনা আক্তার বিবি</t>
  </si>
  <si>
    <t>জামাল হোসেন</t>
  </si>
  <si>
    <t>সখিনা খাতুন</t>
  </si>
  <si>
    <t>৩১/০৮/২০০২</t>
  </si>
  <si>
    <t>মোছাঃ হানিফা খাতুন</t>
  </si>
  <si>
    <t>মোঃ বিশারত আলী</t>
  </si>
  <si>
    <t>মোছাঃ ডলি খাতুন</t>
  </si>
  <si>
    <t>০৩/১০/২০০২</t>
  </si>
  <si>
    <t>নাজমা খাতুন</t>
  </si>
  <si>
    <t>০১/০১/২০০২</t>
  </si>
  <si>
    <t>১২৫, জালশুকা, গাংনী, মেহরপুর</t>
  </si>
  <si>
    <t>মোছাঃ পায়রা খাতুন</t>
  </si>
  <si>
    <t>মোঃ ইয়াকুব মন্ডল</t>
  </si>
  <si>
    <t>০১/০১/১৯৯৮</t>
  </si>
  <si>
    <t>৯৪১, জালশুকা, গাংনী, মেহরপুর</t>
  </si>
  <si>
    <t>মোঃ আলফাজ উদ্দীন</t>
  </si>
  <si>
    <t>২৫/১১/২০০১</t>
  </si>
  <si>
    <t>রহিদ</t>
  </si>
  <si>
    <t>রেবেকা</t>
  </si>
  <si>
    <t>০৯/০১/১৯৯৫</t>
  </si>
  <si>
    <t>০১/০৬/২০০৩</t>
  </si>
  <si>
    <t>১৩/০৪/২০০৪</t>
  </si>
  <si>
    <t>মোঃ মোহন আলী</t>
  </si>
  <si>
    <t>১০/১২/১৯৯৯</t>
  </si>
  <si>
    <t>আঃ সালাম</t>
  </si>
  <si>
    <t>জালিমা খাতুন</t>
  </si>
  <si>
    <t>মোছাঃ নুরন্নাহার খাতুন</t>
  </si>
  <si>
    <t>২৫/১২/১৯৯৭</t>
  </si>
  <si>
    <t>৯১১, জালশুকা, গাংনী, মেহরপুর</t>
  </si>
  <si>
    <t>মোছাঃ বিথী</t>
  </si>
  <si>
    <t>মোঃ আনিসুর রহমান</t>
  </si>
  <si>
    <t>মোছাঃ সালেহা</t>
  </si>
  <si>
    <t>০৮/০৪/১৯৯৭</t>
  </si>
  <si>
    <t>অমেলা</t>
  </si>
  <si>
    <t>হাজেরা</t>
  </si>
  <si>
    <t>১৭/০৭/২০০০</t>
  </si>
  <si>
    <t>১১১২, জালশুকা, গাংনী, মেহরপুর</t>
  </si>
  <si>
    <t>হালিমা</t>
  </si>
  <si>
    <t>আবু তাহের</t>
  </si>
  <si>
    <t>শার বানু</t>
  </si>
  <si>
    <t>০১/০২/১৯৮৪</t>
  </si>
  <si>
    <t>মানা</t>
  </si>
  <si>
    <t>নফর আলী</t>
  </si>
  <si>
    <t>কাজল রেখা</t>
  </si>
  <si>
    <t>১২/০৫/১৯৯৪</t>
  </si>
  <si>
    <t>০৪/০১/১৯৮৯</t>
  </si>
  <si>
    <t>আবু বক্কর</t>
  </si>
  <si>
    <t>রাহেলা</t>
  </si>
  <si>
    <t>২১/০৫/১৯৫৮</t>
  </si>
  <si>
    <t>০৩/০৩/২০০৪</t>
  </si>
  <si>
    <t>মনিকা খাতুন</t>
  </si>
  <si>
    <t>মোঃ মনিরুল</t>
  </si>
  <si>
    <t>১৩/০৮/২০০১</t>
  </si>
  <si>
    <t>৯৩৭, জালশুকা, গাংনী, মেহরপুর</t>
  </si>
  <si>
    <t>সুমি আক্তার কেয়া</t>
  </si>
  <si>
    <t>মোঃ বাবুল হোসেন</t>
  </si>
  <si>
    <t>রানু বেগম</t>
  </si>
  <si>
    <t>১০/০২/২০০৪</t>
  </si>
  <si>
    <t>মোছাঃ ইতি খাতুন</t>
  </si>
  <si>
    <t>মোঃ মানিক আলী</t>
  </si>
  <si>
    <t>২১/০১/২০০৪</t>
  </si>
  <si>
    <t>মোছাঃ আছমা</t>
  </si>
  <si>
    <t>মোঃ আজিবর আলী</t>
  </si>
  <si>
    <t>০৬/০১/২০০১</t>
  </si>
  <si>
    <t>১১৭৮, জালশুকা, গাংনী, মেহরপুর</t>
  </si>
  <si>
    <t>মোঃ জুমাত আলী</t>
  </si>
  <si>
    <t>মোছাঃ লতিফা খাতুন</t>
  </si>
  <si>
    <t>০৪/০৭/১৯৯২</t>
  </si>
  <si>
    <t>৮৪৪, জালশুকা, গাংনী, মেহরপুর</t>
  </si>
  <si>
    <t>মোঃ মেপজ উদ্দীন</t>
  </si>
  <si>
    <t>মোছাঃ ওমেলা খাতুন</t>
  </si>
  <si>
    <t>১৭/০৭/১৯৭৪</t>
  </si>
  <si>
    <t>৭৭৯, জালশুকা, গাংনী, মেহরপুর</t>
  </si>
  <si>
    <t>২০/০১/১৯৯০</t>
  </si>
  <si>
    <t>তাসলিমা খাতুন</t>
  </si>
  <si>
    <t>ফজলুর রহমান</t>
  </si>
  <si>
    <t>তাহারন খাতুন</t>
  </si>
  <si>
    <t>মোছাঃ তমা খাতুন</t>
  </si>
  <si>
    <t>মোঃ আশকর আলী</t>
  </si>
  <si>
    <t>মোছাঃ সুইটি বেগম</t>
  </si>
  <si>
    <t>০১/০৫/২০০৬</t>
  </si>
  <si>
    <t>মোছাঃ রীমা খাতুন</t>
  </si>
  <si>
    <t>মোঃ ওয়াজেল হোসেন</t>
  </si>
  <si>
    <t>মোছাঃ খোতেজা খাতুন</t>
  </si>
  <si>
    <t>০৫/০৭/২০০০</t>
  </si>
  <si>
    <t>গৃহকর্মী</t>
  </si>
  <si>
    <t>৮৮২, জালশুকা, গাংনী, মেহরপুর</t>
  </si>
  <si>
    <t>মোছাঃ আসমা উল হুসনা</t>
  </si>
  <si>
    <t>১২/১২/২০০৪</t>
  </si>
  <si>
    <t>মোছাঃ তানিয়া খাতুন</t>
  </si>
  <si>
    <t>লাবলু</t>
  </si>
  <si>
    <t>আরিজনা</t>
  </si>
  <si>
    <t>১০/০৩/২০০৩</t>
  </si>
  <si>
    <t>১০৬৭, জালশুকা, গাংনী, মেহরপুর</t>
  </si>
  <si>
    <t>মাইয়া মিম</t>
  </si>
  <si>
    <t>হযরত আলী</t>
  </si>
  <si>
    <t>১৩/১১/২০০২</t>
  </si>
  <si>
    <t>মোছাঃ মাইফুল খাতুন</t>
  </si>
  <si>
    <t>মোহাঃ শরিফদ্দিন</t>
  </si>
  <si>
    <t>০৮/১০/১৯৯৯</t>
  </si>
  <si>
    <t>বালিয়া্পাড়া, জালশুকা, গাংনী, মেহরপুর</t>
  </si>
  <si>
    <t>মোছাঃ রইদা খাতুন</t>
  </si>
  <si>
    <t>মোঃ জেফর আলী</t>
  </si>
  <si>
    <t>ফেলা খাতুন</t>
  </si>
  <si>
    <t>০৩/০৭/১৯৬৫</t>
  </si>
  <si>
    <t>সারজিনা</t>
  </si>
  <si>
    <t>মোঃ আবুজেল</t>
  </si>
  <si>
    <t>রোকেয়া খাতুন</t>
  </si>
  <si>
    <t>১৯/০৭/১৯৮৪</t>
  </si>
  <si>
    <t>মোছাঃ বিথী খাতুন</t>
  </si>
  <si>
    <t>মোঃ পলান আলী</t>
  </si>
  <si>
    <t>মোছাঃ সামেনা খাতুন</t>
  </si>
  <si>
    <t>১৫/০২/২০০৪</t>
  </si>
  <si>
    <t>মোহাম্মাদ শাহাজান আলী</t>
  </si>
  <si>
    <t>০৩/০৫/২০০৫</t>
  </si>
  <si>
    <t>মোঃ লাবনী খাতুন</t>
  </si>
  <si>
    <t>২১/১২/২০০৩</t>
  </si>
  <si>
    <t>মোছাঃ বিমা খাতুন</t>
  </si>
  <si>
    <t>১৮/১১/২০০২</t>
  </si>
  <si>
    <t>মোছাঃ শিমলা খাতুন</t>
  </si>
  <si>
    <t>মোছাঃ লাবিয়া খাতুন</t>
  </si>
  <si>
    <t>০৩/০২/২০০৫</t>
  </si>
  <si>
    <t>মোছাঃ রিয়া খাতুন</t>
  </si>
  <si>
    <t>মোঃ হামিদুল</t>
  </si>
  <si>
    <t>মোছাঃ রাজিনা খাতুন</t>
  </si>
  <si>
    <t>২৫/১১/২০০৫</t>
  </si>
  <si>
    <t>মোঃ ইমান আলী</t>
  </si>
  <si>
    <t>২৩/০৮/২০০৬</t>
  </si>
  <si>
    <t>মোছাঃ সানালী খাতুন</t>
  </si>
  <si>
    <t>মোঃ আাল</t>
  </si>
  <si>
    <t>মোছাঃ রেহনা খাতুন</t>
  </si>
  <si>
    <t>০৯/০২/২০০৫</t>
  </si>
  <si>
    <t>মোছাঃ রিতা খাতুন</t>
  </si>
  <si>
    <t>মোঃ আুর রহমান</t>
  </si>
  <si>
    <t>মোছাঃ মিছরন নেছা</t>
  </si>
  <si>
    <t>১০/১০/২০০৫</t>
  </si>
  <si>
    <t>মোছাঃ সানিজদা ইসলাম</t>
  </si>
  <si>
    <t>মোঃ ডাবলু হোসেন</t>
  </si>
  <si>
    <t>মোছাঃ শাহানাজ পারভীন</t>
  </si>
  <si>
    <t>৩১/১২/২০০২</t>
  </si>
  <si>
    <t>মোছাঃ জান্নাতুল ফেরদৌস</t>
  </si>
  <si>
    <t>মোছাঃ আিমরন খাতুন</t>
  </si>
  <si>
    <t>১৫/০৪/২০০৪</t>
  </si>
  <si>
    <t>মোঃ মরেজল হক</t>
  </si>
  <si>
    <t>মোছাঃ লিলা খাতুন</t>
  </si>
  <si>
    <t>০৭/০৮/২০০৪</t>
  </si>
  <si>
    <t>মোঃ আয়নদ্দীন মন্ডল</t>
  </si>
  <si>
    <t>মোছাঃ ছিকনা খাতুন</t>
  </si>
  <si>
    <t>১৮/০৪/২০০৪</t>
  </si>
  <si>
    <t>সানিয়া আক্তার</t>
  </si>
  <si>
    <t>কুদ্দুস ফকির</t>
  </si>
  <si>
    <t>মাজেদা খাতুন</t>
  </si>
  <si>
    <t>১০/০৩/২০০৪</t>
  </si>
  <si>
    <t>মোঃ আব্দুল</t>
  </si>
  <si>
    <t>২০/০৫/২০০৬</t>
  </si>
  <si>
    <t>মোছাঃ বৃষ্টি মালা</t>
  </si>
  <si>
    <t>০৮/১২/২০০৫</t>
  </si>
  <si>
    <t>মোঃ সামাদ আলী</t>
  </si>
  <si>
    <t>২৬/১১/২০০৪</t>
  </si>
  <si>
    <t>-</t>
  </si>
  <si>
    <t>মোঃ হাফিজুর</t>
  </si>
  <si>
    <t>মোছাঃ রাশিদা বেগম</t>
  </si>
  <si>
    <t>০৫/০৭/২০০৪</t>
  </si>
  <si>
    <t>মোছাঃ নিপা খাতুন</t>
  </si>
  <si>
    <t>মোঃ মইহক আলী</t>
  </si>
  <si>
    <t>মৃত রশিদা খাতুন</t>
  </si>
  <si>
    <t>০১/০১/২০০৭</t>
  </si>
  <si>
    <t>১৮/০১/২০০৪</t>
  </si>
  <si>
    <t>মোঃ হাছাদ আলী</t>
  </si>
  <si>
    <t>০২/০১/২০০৫</t>
  </si>
  <si>
    <t>মুসলিমা আক্তার মায়া</t>
  </si>
  <si>
    <t>মোঃ মোশারেফ হোসেন</t>
  </si>
  <si>
    <t>মোছাঃ আলিয়া বেগম</t>
  </si>
  <si>
    <t>০১/০২/২০০৪</t>
  </si>
  <si>
    <t>মোছাঃ তাচনিয়া মেহজামিন</t>
  </si>
  <si>
    <t>মোঃ আবু তাহের</t>
  </si>
  <si>
    <t>২৯/০৮/২০০৩</t>
  </si>
  <si>
    <t>+-</t>
  </si>
  <si>
    <t>মোঃ উসমান গনি</t>
  </si>
  <si>
    <t>২৬/১০/২০০৪</t>
  </si>
  <si>
    <t>মোছাঃ তাছিলমা খাতুন</t>
  </si>
  <si>
    <t>মোঃ ইউছুপ আলী</t>
  </si>
  <si>
    <t>১০/০২/২০০৩</t>
  </si>
  <si>
    <t>মোছাঃ মাবিয়া বেগম</t>
  </si>
  <si>
    <t>২০/১০/২০০৩</t>
  </si>
  <si>
    <t>মোছাঃ শাপলা খাতুন</t>
  </si>
  <si>
    <t>মৃত আলতাব হোসেন</t>
  </si>
  <si>
    <t>১৭/০৩/১৯৯৯</t>
  </si>
  <si>
    <t>মৃত আবুল হোসেন</t>
  </si>
  <si>
    <t>০২/০৪/১৯৮৭</t>
  </si>
  <si>
    <t>মোঃ ছােবর আলী</t>
  </si>
  <si>
    <t>মোছাঃ পিরীতি খাতুন</t>
  </si>
  <si>
    <t>০৪/০৬/২০০৫</t>
  </si>
  <si>
    <t>ধানেখালা</t>
  </si>
  <si>
    <t>মোঃ জিয়ারুল</t>
  </si>
  <si>
    <t>০১/০২/২০০৬</t>
  </si>
  <si>
    <t>মোছাঃ জান্নাতুল ফেরদোস</t>
  </si>
  <si>
    <t>মোঃ সাজেদুল ইসলাম</t>
  </si>
  <si>
    <t>০৮/১০/২০০৫</t>
  </si>
  <si>
    <t>মোঃ ছবিবুল ইসলাম</t>
  </si>
  <si>
    <t>০১/০১/২০০১</t>
  </si>
  <si>
    <t>মোছাঃ কুরছিয়া খাতুন</t>
  </si>
  <si>
    <t>০১/০৫/২০০৪</t>
  </si>
  <si>
    <t>খেদজা</t>
  </si>
  <si>
    <t>সিরাজ</t>
  </si>
  <si>
    <t>মাজেদা</t>
  </si>
  <si>
    <t>১১/১০/১৯৮৭</t>
  </si>
  <si>
    <t>মোছাঃ শারমিন আক্তার</t>
  </si>
  <si>
    <t>মোঃ শপিত মিয়া</t>
  </si>
  <si>
    <t>মোছাঃ জামিরান বেগম</t>
  </si>
  <si>
    <t>০৩/০২/২০০২</t>
  </si>
  <si>
    <t>ফুলি খাতুন</t>
  </si>
  <si>
    <t>খলিল</t>
  </si>
  <si>
    <t>সাহানারা</t>
  </si>
  <si>
    <t>০৯/০৭/১৯৮৮</t>
  </si>
  <si>
    <t>মোঃ কাশেম জোয়ার্দার</t>
  </si>
  <si>
    <t>০৮/০২/১৯৭০</t>
  </si>
  <si>
    <t>মোছাঃ বিউটিয়ারা খাতুন</t>
  </si>
  <si>
    <t>০৭/০৩/১৯৯৭</t>
  </si>
  <si>
    <t>পাগলি</t>
  </si>
  <si>
    <t>মোছাঃ আখি খাতুন</t>
  </si>
  <si>
    <t>মোঃ আশরাফুল ইসলাম</t>
  </si>
  <si>
    <t>০৬/০৪/২০০৭</t>
  </si>
  <si>
    <t>মোছাঃ মেরিনা</t>
  </si>
  <si>
    <t>মোঃ জিয়াউর রহমান</t>
  </si>
  <si>
    <t>০৫/০৩/২০০৭</t>
  </si>
  <si>
    <t>মোছাঃ মনিকা</t>
  </si>
  <si>
    <t>মোঃ আব্দুল লতিফ</t>
  </si>
  <si>
    <t>০৫/০৬/২০০৭</t>
  </si>
  <si>
    <t>মোঃ মহিবুল</t>
  </si>
  <si>
    <t>১৭/০১/২০০৭</t>
  </si>
  <si>
    <t>মোঃ সাহাজান আলী</t>
  </si>
  <si>
    <t>মোছাঃ রাফেজা খাতুন</t>
  </si>
  <si>
    <t>১৪/০৮/২০০৭</t>
  </si>
  <si>
    <t>মোছাঃ অনিকা খাতুন</t>
  </si>
  <si>
    <t>০১/০৮/২০০৭</t>
  </si>
  <si>
    <t>মোছাঃ সুরমী আক্তার</t>
  </si>
  <si>
    <t>মোঃ বাবুল আক্তার</t>
  </si>
  <si>
    <t>১১/১২/২০০৪</t>
  </si>
  <si>
    <t>মোছাঃ পিংকি মালা</t>
  </si>
  <si>
    <t>মোঃ মহিবুল হক</t>
  </si>
  <si>
    <t>৩০/১২/২০০৬</t>
  </si>
  <si>
    <t>মিনারা</t>
  </si>
  <si>
    <t>তাহের</t>
  </si>
  <si>
    <t>ছাদিকুন</t>
  </si>
  <si>
    <t>১১/০৯/১৯৮৬</t>
  </si>
  <si>
    <t>মোছাঃ রুকাইয়া খাতুন</t>
  </si>
  <si>
    <t>মোঃ বোল্টু মিয়া</t>
  </si>
  <si>
    <t>০১/০৫/২০০৫</t>
  </si>
  <si>
    <t>উর্মী খাতুন</t>
  </si>
  <si>
    <t>মোঃ সাজিবুল হক</t>
  </si>
  <si>
    <t>১২/০১/২০০৪</t>
  </si>
  <si>
    <t>| ক্রমিক নং | নাম | ভোটার নং | পিতা | মাতা | জন্ম তারিখ | পেশা | ঠিকানা |</t>
  </si>
  <si>
    <t>|---|---|---|---|---|---|---|---|</t>
  </si>
  <si>
    <t>| ০০১ | মোছাঃ সাবিনা ইয়াসমিন | ৫৭০৫৫৬৩৭৬৫৩৫ | মোঃ আলতাফ উদ্দীন | মোছাঃ কহিনুর বেগম | ১৮/০২/১৯৮৭ | গৃহিনী | জালশুকা, গাংনী, মেহেরপুর |</t>
  </si>
  <si>
    <t>| ০০২ | মোছাঃ আমুরা খাতুন | ৫৭০৫৫৬৩৭৬৫৩৯ | মোছাঃ আসাদুল ইসলাম | মোছাঃ কামরুন্নাহার | ১০/০৫/১৯৮৭ | গৃহিনী | জালশুকা, গাংনী, মেহেরপুর |</t>
  </si>
  <si>
    <t>| ০০৩ | মোছাঃ রুপালী খাতুন | ৫৭০৫৫৬৩৭৬৫৪২ | মোঃ কাশেম আলী | মোঃ লাইলী খাতুন | ১২/০৬/১৯৮২ | গৃহিনী | জালশুকা, গাংনী, মেহেরপুর |</t>
  </si>
  <si>
    <t>| ০০৪ | জান্নাতুল ফেরদৌস | ৫৭০৫৫৬৩৭৬৯৭৯ | হাফিজুর রহমান | মোছাঃ আকলিমা খাতুন | ০৮/০৫/১৯৬২ | গৃহিনী | জালশুকা, গাংনী, মেহেরপুর |</t>
  </si>
  <si>
    <t>| ০০৫ | মোছাঃ ছানোয়ারা | ৫৭০৫৫৬৩৭৬৯৮৮ | ইয়াজদ্দিন | রাহাতন | ১২/১০/১৯৬৭ | গৃহিনী | জালশুকা, গাংনী, মেহেরপুর |</t>
  </si>
  <si>
    <t>| ০০৬ | মোছাঃ আবেদা খাতুন | ৫৭০৫৫৬৩৭৭২০১ | মফিজউদ্দিন | বশিরন | ১৬/১২/১৯৩৭ | গৃহিনী | জালশুকা, গাংনী, মেহেরপুর |</t>
  </si>
  <si>
    <t>| ০০৭ | মোছাঃ মুর্শিদা খাতুন | ৫৭০৫৫৬৩৭৭২০২ | তাহাজউদ্দীন | মোছাঃ আবেদা খাতুন | ৩০/১১/১৯৬৭ | গৃহিনী | জালশুকা, গাংনী, মেহেরপুর |</t>
  </si>
  <si>
    <t>| ০০৮ | মোছাঃ আরমিলা খাতুন | ৫৭০৫৫৬৩৭৭২০৪ | আহসান হাবীব | মোছাঃ জহুরা | ৩০/০৬/১৯৭৫ | গৃহিনী | জালশুকা, গাংনী, মেহেরপুর |</t>
  </si>
  <si>
    <t>| ০০৯ | মোছাঃ রুকিয়া খাতুন | ৫৭০৫৫৬৩৭৭২০৯ | মফিজউদ্দীন | রাকাতন নেছা | ০১/০১/১৯৬২ | গৃহিনী | জালশুকা, গাংনী, মেহেরপুর |</t>
  </si>
  <si>
    <t>| ০১০ | মোছাঃ আফরোজা খাতুন | ৫৭০৫৫৬৩৭৭২১৫ | মোঃ হারেজ মন্ডল | মোছাঃ ছুরাতন নেছা | ০৩/০৪/১৯৭৭ | গৃহিনী | জালশুকা, গাংনী, মেহেরপুর |</t>
  </si>
  <si>
    <t>| ০১১ | মোছাঃ শামসুন্নাহার | ৫৭০৫৫৬৩৭৭২১৭ | মোঃ খলিলুর রহমান | মোছাঃ আনজিরা খাতুন | ০১/১০/১৯৮৭ | গৃহিনী | জালশুকা, গাংনী, মেহেরপুর |</t>
  </si>
  <si>
    <t>| ০১২ | মোছাঃ আরজিনা খাতুন | ৫৭০৫৫৬৩৭৭২২৩ | রমছদ্দি মন্ডল | সাহেরা খাতুন | ০৩/০৪/১৯৫৭ | গৃহিনী | জালশুকা, গাংনী, মেহেরপুর |</t>
  </si>
  <si>
    <t>| ০১৩ | মোছাঃ চায়না খাতুন | ৫৭০৫৫৬৩৭৭২২৪ | মানিক মন্ডল | কমেলা খাতুন | ০১/০১/১৯৮২ | গৃহিনী | জালশুকা, গাংনী, মেহেরপুর |</t>
  </si>
  <si>
    <t>| ০১৪ | মোছাঃ আলতা খাতুন | ৫৭০৫৫৬৩৭৭২২৬ | মোবারক মন্ডল | ফুলছুরা খাতুন | ০৩/০৪/১৯৫৮ | গৃহিনী | জালশুকা, গাংনী, মেহেরপুর |</t>
  </si>
  <si>
    <t>| ০১৫ | মোছাঃ রহিমা খাতুন | ৫৭০৫৫৬৩৭৭২২৮ | মোঃ আব্দুর রহমান | মোছাঃ আলতা খাতুন | ০১/০১/১৯৮৭ | গৃহিনী | জালশুকা, গাংনী, মেহেরপুর |</t>
  </si>
  <si>
    <t>| ০১৬ | মোছাঃ তানজিরা খাতুন | ৫৭০৫৫৬৩৭৭২২৯ | মোঃ নূর ইসলাম | মোছাঃ সখের ভানু | ২৫/০৪/১৯৮৯ | গৃহিনী | জালতকা, গাংনী, মেহেরপুর |</t>
  </si>
  <si>
    <t>| ০১৭ | মোছাঃ হোসেনয়ারা | ৫৭০৫৫৬৩৭৭২৩০ | মসলেমউদ্দীন | মোছাঃ ছমিরন নেছা | ০১/০৪/১৯৮৮ | গৃহিনী | জালতকা, গাংনী, মেহেরপুর |</t>
  </si>
  <si>
    <t>| ০১৮ | মোছাঃ মমতাজ খাতুন | ৫৭০৫৫৬৩৭৭২৩৩ | মোঃ আব্দুল মজিদ | মোছাঃ সদিনা খাতুন | ২৫/০৬/১৯৮৩ | গৃহিনী | জালতকা, গাংনী, মেহেরপুর |</t>
  </si>
  <si>
    <t>| ০১৯ | মোছাঃ রশিদা খাতুন | ৫৭০৫৫৬৩৭৭২৩৪ | মোঃ আবুল হোসেন | মোছাঃ সাহিদা খাতুন | ০১/০৩/১৯৭০ | গৃহিনী | জালতকা, গাংনী, মেহেরপুর |</t>
  </si>
  <si>
    <t>| ০২০ | মোছাঃ মমতাজ বেগম | ৫৭০৫৫৬৩৭৭২৩৫ | উছাদ আলি | মোছাঃ সকিনা খাতুন | ০১/০১/১৯৬৭ | গৃহিনী | জালতকা, গাংনী, মেহেরপুর |</t>
  </si>
  <si>
    <t>| ০২১ | মোছাঃ ময়না খাতুন | ৫৭০৫৫৬৩৭৭২৩৬ | মোঃ নাশির আলি | মোছাঃ জাহানারা | ০১/০৫/১৯৭৫ | গৃহিনী | জালতকা, গাংনী, মেহেরপুর |</t>
  </si>
  <si>
    <t>| ০২২ | মোছাঃ এসেমোতারা | ৫৭০৫৫৬৩৭৭২৩৭ | মোঃ শফিরদ্দি | মোছাঃ ফহিমা খাতুন | ২০/০৫/১৯৮৫ | গৃহিনী | জালতকা, গাংনী, মেহেরপুর |</t>
  </si>
  <si>
    <t>| ০২৩ | মোছাঃ শুকিরন নেছা | ৫৭০৫৫৬৩৭৭২৩৮ | মোঃ আকবর আলী | মোছাঃ রাহেলা খাতুন | ১৮/০৫/১৯৮৫ | গৃহিনী | জালতকা, গাংনী, মেহেরপুর |</t>
  </si>
  <si>
    <t>| ০২৪ | মোছাঃ হাসিনা খাতুন | ৫৭০৫৫৬৩৭৭২৩৯ | খিলাফত বিশ্বাস | খাইরন নেছা | ০১/০১/১৯৬৩ | গৃহিনী | জালতকা, গাংনী, মেহেরপুর |</t>
  </si>
  <si>
    <t>| ০২৫ | মোছাঃ রেহেনা খাতুন | ৫৭০৫৫৬৩৭৭২৪১ | মোঃ পলান মন্ডল | মোছাঃ আমেনা খাতুন | ০১/০১/১৯৭৭ | গৃহিনী | জালতকা, গাংনী, মেহেরপুর |</t>
  </si>
  <si>
    <t>| ০২৬ | মোছাঃ মনজুরা খাতুন | ৫৭০৫৫৬৩৭৭২৪৪ | মওলা বকস | মোছাঃ সাহরন নেছা | ০১/০১/১৯৫৬ | গৃহিনী | জালতকা, গাংনী, মেহেরপুর |</t>
  </si>
  <si>
    <t>| ০২৭ | মোছাঃ আকলিমা খাতুন | ৫৭০৫৫৬৩৭৭২৫০ | মোঃ মোজাম্মেল হক | মোছাঃ রহিমা খাতুন | ০৫/০৬/১৯৭৫ | গৃহিনী | জালতকা, গাংনী, মেহেরপুর |</t>
  </si>
  <si>
    <t>| ০২৮ | মোছাঃ হালিমা খাতুন | ৫৭০৫৫৬৩৭৭২৫১ | মোঃ তারাচাদ | মোছাঃ ছপুরা খাতুন | ০১/০১/১৯৬৩ | গৃহিনী | জালতকা, গাংনী, মেহেরপুর |</t>
  </si>
  <si>
    <t>| ০২৯ | মোছাঃ সখেনা খাতুন | ৫৭০৫৫৬৩৭৭২৫৩ | মোঃ ছলেমান হোসেন | মোছাঃ সাহার বানু | ০৪/০৬/১৯৮২ | গৃহিনী | জালতকা, গাংনী, মেহেরপুর |</t>
  </si>
  <si>
    <t>| ০৩০ | মোছাঃ জাহেদা খাতুন | ৫৭০৫৫৬৩৭৭২৫৪ | আকবর বিশ্বাস | রহিমন নেছা | ০৩/০৭/১৯৬৭ | গৃহিনী | জালতকা, গাংনী, মেহেরপুর |</t>
  </si>
  <si>
    <t>| ০৩১ | মোছাঃ সাহানা খাতুন | ৫৭০৫৫৬৩৭৭২৫৮ | মোঃ নূর বকস | মোছাঃ সাহার বানু | ২৪/০৭/১৯৮৪ | গৃহিনী | জালতকা, গাংনী, মেহেরপুর |</t>
  </si>
  <si>
    <t>| ০৩২ | মোছাঃ শিউলী খাতুন | ৫৭০৫৫৬৩৭৭২৬৮ | মোঃ ছাইদুর রহমান | মোছাঃ মোমেনা খাতুন | ১৫/০৬/১৯৭৭ | গৃহিনী | জালতকা, গাংনী, মেহেরপুর |</t>
  </si>
  <si>
    <t>| ০৩৩ | মোছাঃ রুপালী খাতুন | ৫৭০৫৫৬৩৭৭২৭০ | হারেজ উদ্দীন | মোছাঃ মেহেরনিগার | ০৭/০৭/১৯৮৮ | গৃহিনী | জালতকা, গাংনী, মেহেরপুর |</t>
  </si>
  <si>
    <t>| ০৩৪ | মোছাঃ লিলি বেগম | ৫৭০৫৫৬৩৭৭২৭১ | নিয়ামত মন্ডল | মোছাঃ আলেফজান নেছা | ১৬/০৮/১৯৬৮ | গৃহিনী | জালশুকা, গাংনী, মেহেরপুর |</t>
  </si>
  <si>
    <t>| ০৩৫ | মোছাঃ শেফালি খাতুন | ৫৭০৫৫৬৩৭৭২৭২ | মোঃ মোনাহার মোল্লা | মোছাঃ খদেজা খাতুন | ১০/০৬/১৯৮২ | গৃহিনী | জালশুকা, গাংনী, মেহেরপুর |</t>
  </si>
  <si>
    <t>| ০৩৬ | মাইগ্রেট হয়েছে |  |  |  |  |  |  |</t>
  </si>
  <si>
    <t>| ০৩৭ | মোছাঃ নাজিরা খাতুন | ৫৭০৫৫৬৩৭৭২৭৫ | মোবারক বিশ্বাস | মোছাঃ মজিরন নেছা | ০২/০৪/১৯৮১ | গৃহিনী | জালশুকা, গাংনী, মেহেরপুর |</t>
  </si>
  <si>
    <t>| ০৩৮ | মোছাঃ গেনি খাতুন | ৫৭০৫৫৬৩৭৭২৭৬ | মোঃ আবুল হোসেন | মোছাঃ মহিরন নেছা | ০৯/০৬/১৯৭২ | গৃহিনী | জালশুকা, গাংনী, মেহেরপুর |</t>
  </si>
  <si>
    <t>| ০৩৯ | মোছাঃ রাশিদা খাতুন | ৫৭০৫৫৬৩৭৭২৭৭ | করীম মন্ডল | সাজেদা খাতুন | ২২/০৭/১৯৭৭ | গৃহিনী | জালশুকা, গাংনী, মেহেরপুর |</t>
  </si>
  <si>
    <t>| ০৪০ | মোছাঃ রোকসানা খাতুন | ৫৭০৫৫৬৩৭৭২৭৮ | মোঃ আমিনুল ইসলাম | মোছাঃ রেবেকা খাতুন | ২৫/০৪/১৯৮৬ | গৃহিনী | জালশুকা, গাংনী, মেহেরপুর |</t>
  </si>
  <si>
    <t>| ০৪১ | মোছাঃ গুলশানারা | ৫৭০৫৫৬৩৭৭২৭৯ | মোঃ গোলজার হোসেন | মোছাঃ জাহানারা খাতুন | ০৯/০৬/১৯৭৪ | গৃহিনী | জালশুকা, গাংনী, মেহেরপুর |</t>
  </si>
  <si>
    <t>| ০৪২ | মোছাঃ কবুরা খাতুন | ৫৭০৫৫৬৩৭৭২৮০ | মোঃ আবুল কাশেম | মোছাঃ মনজুরা খাতুন | ২৫/০৫/১৯৭৭ | গৃহিনী | জালশুকা, গাংনী, মেহেরপুর |</t>
  </si>
  <si>
    <t>| ০৪৩ | মোছাঃ আকলিমা খাতুন | ৫৭০৫৫৬৩৭৭২৮১ | খোদা বকস | সজিরন নেছা | ১০/০৮/১৯৪৭ | গৃহিনী | জালশুকা, গাংনী, মেহেরপুর |</t>
  </si>
  <si>
    <t>| ০৪৪ | মোছাঃ সুন্দরী খাতুন | ৫৭০৫৫৬৩৭৭২৮২ | সামছুদ্দিন | নিথরি বিবি | ২৬/০৪/১৯৪৭ | গৃহিনী | জালশুকা, গাংনী, মেহেরপুর |</t>
  </si>
  <si>
    <t>| ০৪৫ | মোছাঃ কপিরন নেছা | ৫৭০৫৫৬৩৭৭২৮৩ | মোঃ আব্দুল হালিম | মোছাঃ কদভান খাতুন | ১১/১১/১৯৮৪ | গৃহিনী | জালশুকা, গাংনী, মেহেরপুর |</t>
  </si>
  <si>
    <t>| ০৪৬ | মোছাঃ ফাতেমা খাতুন | ৫৭০৫৫৬৩৭৭২৮৫ | মোঃ আম্বিয়া বিশ্বাস | মোছাঃ রোকেয়া বেগম | ০৫/০৩/১৯৬৪ | গৃহিনী | জালশুকা, গাংনী, মেহেরপুর |</t>
  </si>
  <si>
    <t>| ০৪৭ | মোছাঃ বেনুয়ারা খাতুন | ৫৭০৫৫৬৩৭৭২৯০ | মোঃ হায়দার আলী | মোছ ফাতেমা খাতুন | ০৫/০৬/১৯৮৭ | ছাত্র/ছাত্রী | জালশুকা, গাংনী, মেহেরপুর |</t>
  </si>
  <si>
    <t>| ০৪৮ | মোছাঃ ফরিদা খাতুন | ৫৭০৫৫৬৩৭৭২৯৩ | তাহাজদ্দিন | মোছাঃ রাহেদা খাতুন | ০২/০৯/১৯৮২ | গৃহিনী | জালশুকা, গাংনী, মেহেরপুর |</t>
  </si>
  <si>
    <t>| ০৪৯ | মোছাঃ ফিরোজা খাতুন | ৫৭০৫৫৬৩৭৭২৯৪ | মোঃ রেজাউল হক | মোছাঃ সুন্দরী খাতুন | ০৫/০১/১৯৭১ | গৃহিনী | জালশুকা, গাংনী, মেহেরপুর |</t>
  </si>
  <si>
    <t>| ০৫০ | মোছাঃ ফাহিমা খাতুন | ৫৭০৫৫৬৩৭৭২৯৫ | মোঃ শফিরদ্দিন | মোছাঃ তহমিনা খাতুন | ০৭/০৮/১৯৭৫ | গৃহিনী | জালশুকা, গাংনী, মেহেরপুর |</t>
  </si>
  <si>
    <t>| ০৫১ | মোছাঃ জুলিথা খাতুন | ৫৭০৫৫৬৩৭৭৩০৪ | মোঃ জমির উদ্দীন | মোছাঃ হাজেরা বেগম | ২২/০৩/১৯৮২ | গৃহিনী | জালশুকা, গাংনী, মেহেরপুর |</t>
  </si>
  <si>
    <t>| ০৫২ | মোছাঃ রোকেয়া খাতুন | ৫৭০৫৫৬৩৭৭৩০৯ | মোঃ শের আলী | মোছাঃ হাজেরা খাতুন | ০৫/০৬/১৯৭৬ | গৃহিনী | জালতকা, গাংনী, মেহেরপুর |</t>
  </si>
  <si>
    <t>| ০৫৩ | মোছাঃ আমবিয়া খাতুন | ৫৭০৫৫৬৩৭৭৩১৫ | মোঃ আঃ হামান | মোছাঃ ছুরাতন নেছা | ২০/০৮/১৯৭১ | গৃহিনী | জালতকা, গাংনী, মেহেরপুর |</t>
  </si>
  <si>
    <t>| ০৫৪ | মোছাঃ বেলী আরা | ৫৭০৫৫৬৩৭৭৩১৮ | মোঃ আঃ আজিজ | মোছাঃ হাজেরা বেগম | ১৫/০৩/১৯৭৫ | গৃহিনী | জালতকা, গাংনী, মেহেরপুর |</t>
  </si>
  <si>
    <t>| ০৫৫ | মোছাঃ রোকেয়া খাতুন | ৫৭০৫৫৬৩৭৭৩১৯ | মোঃ আজিজ মালিথা | আছিয়া বেগম | ২২/০৩/১৯৭৬ | গৃহিনী | জালতকা, গাংনী, মেহেরপুর |</t>
  </si>
  <si>
    <t>| ০৫৬ | মোছাঃ ফাতেমা খাতুন | ৫৭০৫৫৬৩৭৭৩২২ | মোঃ দবির উদ্দীন | মোছাঃ জরিনা খাতুন | ০২/০২/১৯৮২ | গৃহিনী | জালতকা, গাংনী, মেহেরপুর |</t>
  </si>
  <si>
    <t>| ০৫৭ | মোছাঃ গুলশান আরা | ৫৭০৫৫৬৩৭৭৩২৫ | মোঃ জাহা বকস মন্ডল | মোছাঃ আকলিমা খাতুন | ১০/১০/১৯৮৪ | গৃহিনী | জালতকা, গাংনী, মেহেরপুর |</t>
  </si>
  <si>
    <t>| ০৫৮ | মোছাঃ রিজিয়া খাতুন | ৫৭০৫৫৬৩৭৭৩২৬ | তৈজদ্দিন মন্ডল | মোছাঃ ছালেহা খাতুন | ১৫/০৫/১৯৪৭ | গৃহিনী | জালতকা, গাংনী, মেহেরপুর |</t>
  </si>
  <si>
    <t>| ০৫৯ | মোছাঃ জাহানারা | ৫৭০৫৫৬৩৭৭৩২৭ | মোঃ আঃ জলিল | মোছাঃ সুফিয়া খাতুন | ০৬/০৬/১৯৭০ | গৃহিনী | জালতকা, গাংনী, মেহেরপুর |</t>
  </si>
  <si>
    <t>| ০৬০ | মোছাঃ হোসনী আরা | ৫৭০৫৫৬৩৭৭৩৩৩০ | মোছাঃ রাজা বকস | মোছাঃ ছামিরন নেছা | ০৯/০৯/১৯৮৮ | গৃহিনী | জালতকা, গাংনী, মেহেরপুর |</t>
  </si>
  <si>
    <t>| ০৬১ | মোছাঃ ললিয়া খাতুন | ৫৭০৫৫৬৩৭৭৩৩৩১ | মোঃ ইয়াকুব আলী | মোছাঃ নিহারন নেছা | ২৪/০৪/১৯৬৭ | গৃহিনী | জালতকা, গাংনী, মেহেরপুর |</t>
  </si>
  <si>
    <t>| ০৬২ | মোছাঃ সেলিনা খাতুন | ৫৭০৫৫৬৩৭৭৩৩২ | মোঃ সুলতান উদ্দীন | মোছাঃ মুন্নী বেগম | ০১/০১/১৯৮৭ | গৃহিনী | জালতকা, গাংনী, মেহেরপুর |</t>
  </si>
  <si>
    <t>| ০৬৩ | মোছাঃ তাহারন নেছা | ৫৭০৫৫৬৩৭৭৩৩৪ | মোঃ আবুল হোসেন | মোছাঃ ইশারন নেছা | ০৪/০৪/১৯৬০ | গৃহিনী | জালতকা, গাংনী, মেহেরপুর |</t>
  </si>
  <si>
    <t>| ০৬৪ | মোছাঃ ইশারন নেছা | ৫৭০৫৫৬৩৭৭৩৩৫ | আদালত বিশ্বাস | ঝুকিরন নেছা | ১০/০৫/১৯৩৭ | গৃহিনী | জালতকা, গাংনী, মেহেরপুর |</t>
  </si>
  <si>
    <t>| ০৬৫ | মোছাঃ ছায়রন নেছা | ৫৭০৫৫৬৩৭৭৩০৬ | মোঃ আবুল হোসেন | মোছাঃ ইশারন নেছা | ০৬/০৮/১৯৮৭ | গৃহিনী | জালতকা, গাংনী, মেহেরপুর |</t>
  </si>
  <si>
    <t>| ০৬৬ | মোছাঃ কামরুন্নাহার | ৫৭০৫৫৬৩৭৭৩৩৯ | মোঃ আঃ আজিজ | মোছাঃ মনোয়ারা খাতুন | ১৫/০২/১৯৫৩ | গৃহিনী | জালতকা, গাংনী, মেহেরপুর |</t>
  </si>
  <si>
    <t>| ০৬৭ | মোছাঃ সালমা খাতুন | ৫৭০৫৫৬৩৭৭৩৪১ | মোঃ আজগার আলী | মোছাঃ মাজেদা খাতুন | ০৯/০৬/১৯৮৫ | গৃহিনী | জালতকা, গাংনী, মেহেরপুর |</t>
  </si>
  <si>
    <t>| ০৬৮ | মোছাঃ সেলিনা খাতুন | ৫৭০৫৫৬৩৭৭৩৪৪ | মোঃ কুদ্দুস মালিথা | মোছাঃ মোমেনা খাতুন | ১৫/০৩/১৯৮৩ | গৃহিনী | জালতকা, গাংনী, মেহেরপুর |</t>
  </si>
  <si>
    <t>| ০৬৯ | মোছাঃ রেবেকা খাতুন | ৫৭০৫৫৬৩৭৭৩৪৫ | ময়নদ্দীন | মোছাঃ জহুরা খাতুন | ০১/০১/১৯৪৫ | গৃহিনী | জালতকা, গাংনী, মেহেরপুর |</t>
  </si>
  <si>
    <t>| ০৭০ | মোছাঃ চন্দনা খাতুন | ৫৭০৫৫৬৩৭৭৩৫২ | মোঃ মামল উদ্দীন | মোছাঃ বেলিয়ারা | ১৩/১০/১৯৮৭ | গৃহিনী | জালতকা, গাংনী, মেহেরপুর |</t>
  </si>
  <si>
    <t>| ০৭১ | মোছাঃ ছলেহর খাতুন | ৫৭০৫৫৬৩৭৭৩৫৩ | মোঃ আনছার আলী | মোছাঃ ফুলজান নেছা | ১৯/০৯/১৯৭৭ | গৃহিনী | জালতকা, গাংনী, মেহেরপুর |</t>
  </si>
  <si>
    <t>| ০৭২ | মোছাঃ আসমারা | ৫৭০৫৫৬৩৭৭৩৫৮ | মোঃ আনছার আলী | মোছাঃ ভানুয়ারা | ১৪/০৭/১৯৬৯ | গৃহিনী | জালতকা, গাংনী, মেহেরপুর |</t>
  </si>
  <si>
    <t>| ০৭৩ | মোছাঃ ঝর্না খাতুন | ৫৭০৫৫৬৩৭৭৩৫৯ | মোঃ হায়াত আলী | মোছাঃ আসমারা | ২৭/০৫/১৯৮৩ | গৃহিনী | জালতকা, গাংনী, মেহেরপুর |</t>
  </si>
  <si>
    <t>| ০৭৪ | মোছাঃ আমেনা খাতুন | ৫৭০৫৫৬৩৭৭৩৬২ | মোঃ আবু তালেব | মোছাঃ ছবিরন নেছা | ১২/০৬/১৯৬৭ | গৃহিনী | জালতকা, গাংনী, মেহেরপুর |</t>
  </si>
  <si>
    <t>| ০৭৫ | মোছাঃ ফিরোজা খাতুন | ৫৭০৫৫৬৩৭৭৩৬৩ | আজিজুল হক | মোছাঃ খাইরন নেছা | ২২/০৩/১৯৮২ | গৃহিনী | জালতকা, গাংনী, মেহেরপুর |</t>
  </si>
  <si>
    <t>| ০৭৬ | মোছাঃ শাহানারা খাতুন | ৫৭০৫৫৬৩৭৭৩৬৫ | মোঃ জামাত আলী | মোছাঃ রইমন নেছা | ০৯/০৭/১৯৮৮ | গৃহিনী | জালতকা, গাংনী, মেহেরপুর |</t>
  </si>
  <si>
    <t>| ০৭৭ | মোছাঃ সেলিনা আক্তার | ৫৭০৫৫৬৩৭৭৩৬৭ | মোঃ রমছদ্দীন মন্ডল | মোছাঃ আকলিমা বেগম | ০৬/০১/১৯৮৩ | ছাত্র/ছাত্রী | জালতকা বালিয়া পাড়া, গাংনী, মেহেরপুর |</t>
  </si>
  <si>
    <t>| ০৭৮ | মোছাঃ সাহেদা খাতুন | ৫৭০৫৫৬৩৭৭৩৬৯ | সাবদাল মন্ডল | নূরজাহান | ০৯/১০/১৯৮২ | গৃহিনী | জালতকা, গাংনী, মেহেরপুর |</t>
  </si>
  <si>
    <t>| ০৭৯ | মোছাঃ জবেদা খাতুন | ৫৭০৫৫৬৩৭৭৩৭০ | আইনউদ্দীন | মোছাঃ ছারা খাতুন | ১২/০২/১৯৪৭ | গৃহিনী | জালতকা, গাংনী, মেহেরপুর |</t>
  </si>
  <si>
    <t>| ০৮০ | নামঃ সেলিনা খাতুন | ৫৭০৫৫৬৩৭৭৩৭১ | মোঃ নজরুল ইসলাম | মোছাঃ আরবী খাতুন | ১১/০৪/১৯৭৬ | গৃহিনী | জালতকা, গাংনী, মেহেরপুর |</t>
  </si>
  <si>
    <t>| ০৮১ | মোছাঃ কাঞ্চন মালা | ৫৭০৫৫৬৩৭৭৩৭২ | মোঃ আমিকুল ইসলাম | মোছাঃ মর্জিনা খাতুন | ১৮/০৫/১৯৮২ | গৃহিনী | জালতকা, গাংনী, মেহেরপুর |</t>
  </si>
  <si>
    <t>| ০৮২ | মোছাঃ শেফালী খাতুন | ৫৭০৫৫৬৩৭৭৩৭৩ | মোঃ আমজাদ হোসেন | মোছাঃ সাহেদা খাতুন | ২২/০৫/১৯৮৬ | গৃহিনী | জালতকা, গাংনী, মেহেরপুর |</t>
  </si>
  <si>
    <t>| ০৮৩ | মোছাঃ রেহেনা খাতুন | ৫৭০৫৫৬৩৭৭৩৭৬ | মোঃ লোকমান হোসেন | মোছাঃ ছবিরন নেছা | ১৭/০১/১৯৮১ | গৃহিনী | জালতকা, গাংনী, মেহেরপুর |</t>
  </si>
  <si>
    <t>| ০৮৪ | মোছাঃ বিউটি খাতুন | ৫৭০৫৫৬৩৭৭৩৭৯ | মোঃ শফিরদ্দিন | মোছাঃ নুরজাহান | ১৭/১০/১৯৮২ | গৃহিনী | জালতকা, গাংনী, মেহেরপুর |</t>
  </si>
  <si>
    <t>| ০৮৫ | মোছাঃ আদুরি খাতুন | ৫৭০৫৫৬৩৭৭৩৮০ | কাষ্ঠি মালিথা | মোছাঃ ফেলি খাতুন | ২৬/০৩/১৯৬৭ | গৃহিনী | জালতকা, গাংনী, মেহেরপুর |</t>
  </si>
  <si>
    <t>| ০৮৬ | মোছাঃ আজমিয়ারা খাতুন | ৫৭০৫৫৬৩৭৭৩৮২ | দিদার বিশ্বাস | মোছাঃ নহিমা নেছা | ১৪/০৫/১৯৭৭ | গৃহিনী | জালতকা, গাংনী, মেহেরপুর |</t>
  </si>
  <si>
    <t>| ০৮৭ | মোছাঃ কুলছুম নাহার | ৫৭০৫৫৬৩৭৭৩৮৫ | মোঃ বসির উদ্দীন | মোছাঃ জাহানারা | ১৪/১০/১৯৭৭ | গৃহিনী | জালতকা, গাংনী, মেহেরপুর |</t>
  </si>
  <si>
    <t>| ০৮৮ | মোছাঃ রংফুল খাতুন | ৫৭০৫৫৬৩৭৭৩৬৯ | মোঃ রফিকুল ইসলাম | মোছাঃ হাসেনা খাতুন | ০১/০১/১৯৮২ | গৃহিনী | জালতকা, গাংনী, মেহেরপুর |</t>
  </si>
  <si>
    <t>| ০৮৯ | মোছাঃ মেহেরনিগার | ৫৭০৫৫৬৩৭৭৩৯০ | মোঃ ফজলুল হক | মোছাঃ কবেদ খাতুন | ০৬/১০/১৯৭২ | গৃহিনী | জালতকা, গাংনী, মেহেরপুর |</t>
  </si>
  <si>
    <t>| ০৯০ | মোছাঃ হোসনেয়ারা বেগম | ৫৭০৫৫৬৩৭৭৩৯১ | মোঃ ফজলুল হক | মোছাঃ জবেদা খাতুন | ১৬/১১/১৯৭৭ | গৃহিনী | জালতকা, গাংনী, মেহেরপুর |</t>
  </si>
  <si>
    <t>| ০৯১ | মোছাঃ রেহেনা খাতুন | ৫৭০৫৫৬৩৭৭৩৯২ | মোঃ মুনসুর আলী | মোছাঃ নুরজাহান | ০৬/১২/১৯৮০ | গৃহিনী | জালতকা, গাংনী, মেহেরপুর |</t>
  </si>
  <si>
    <t>| ০৯২ | মোছাঃ ছাবিনা খাতুন | ৫৭০৫৫৬৩৭৭৩৯৩ | মোঃ ছাদের আলী | মোছাঃ শাহানারা | ০৮/১০/১৯৮৫ | গৃহিনী | জালতকা, গাংনী, মেহেরপুর |</t>
  </si>
  <si>
    <t>| ০৯৩ | মোছাঃ আবেদা খাতুন | ৫৭০৫৫৬৩৭৭৩৯৪ | মোঃ আবুল হোসেন | মোছাঃ ফরিদা খাতুন | ১২/০৪/১৯৮১ | গৃহিনী | জালতকা, গাংনী, মেহেরপুর |</t>
  </si>
  <si>
    <t>| ০৯৪ | মোছাঃ পারিছা খাতুন | ৫৭০৫৫৬৩৭৭৩৯৭ | মোঃ আবুল কাশেম | মোছাঃ মনোয়ারা খাতুন | ০১/১০/১৯৮৩ | গৃহিনী | জালতকা, গাংনী, মেহেরপুর |</t>
  </si>
  <si>
    <t>| ০৯৫ | মোছাঃ মোমেনা খাতুন | ৫৭০৫৫৬৩৭৭৪০৮ | মোঃ মিরাজ আলী | মোছাঃ সালেহার বেগম | ১০/০৯/১৯৮৩ | গৃহিনী | জালতকা উত্তর পাড়া, জালতকা, গাংনী, মেহেরপুর |</t>
  </si>
  <si>
    <t>| ০৯৬ | মোছাঃ জুলেখা খাতুন | ৫৭০৫৫৬৩৭৭৪১১ | মোঃ আঃ জব্বার | মোছাঃ সুরাতন | ১০/১০/১৯৮৪ | গৃহিনী | জালতকা, গাংনী, মেহেরপুর |</t>
  </si>
  <si>
    <t>| ০৯৭ | মোছাঃ সাবিনা ইয়াসমিন | ৫৭০৫৫৬৩৭৭৪১৫ | মোঃ শাহাদৎ মন্ডল | মোছাঃ পানছুরাতন | ০১/০১/১৯৮৭ | ছাত্র/ছাত্রী | জালতকা উত্তর পাড়া, গাংনী, মেহেরপুর |</t>
  </si>
  <si>
    <t>| ০৯৮ | মোছাঃ রোকসোনা খাতুন | ৫৭০৫৫৬৩৭৭৪১৭ | আশরাফ আলী | মোছাঃ জাহানারা | ০১/০৫/১৯৮৫ | গৃহিনী | জালতকা, গাংনী, মেহেরপুর |</t>
  </si>
  <si>
    <t>| ০৯৯ | মোছাঃ খদেজা খাতুন | ৫৭০৫৫৬৩৭৭৪২০ | মোঃ আঃ করিম | মোছাঃ হামিরন নেছা | ০৮/০৭/১৯৪৭ | গৃহিনী | জালতকা উত্তরপাড়া, জালতকা, গাংনী, মেহেরপুর |</t>
  </si>
  <si>
    <t>| ১০০ | মোছাঃ নুরুন্নাহার | ৫৭০৫৫৬৩৭৭৪২৪ | মোছাঃ আবু বক্কর | মোছাঃ হাচেনা বেগম | ০৮/০৬/১৯৮৩ | গৃহিনী | জালতকা উত্তরপাড়া, গাংনী, মেহেরপুর |</t>
  </si>
  <si>
    <t>| ১০১ | মোছাঃ হালিমা খাতুন | ৫৭০৫৫৬৩৭৭৪২৯ | মোছাঃ আত্তাব আলি | মোছাঃ লুৎফন নেছা | ০৮/১১/১৯৮৮ | গৃহিনী | জালতকা উত্তরপাড়া, জালতকা, গাংনী, মেহেরপুর |</t>
  </si>
  <si>
    <t>| ১০২ | মোছাঃ আরিফা খাতুন | ৫৭০৫৫৬৩৭৭৪৩১ | মোছাঃ আনারুল ইসলাম | মোছাঃ আয়েজা খাতুন | ২৬/০৭/১৯৮৮ | গৃহিনী | জালতকা, গাংনী, মেহেরপুর |</t>
  </si>
  <si>
    <t>| ১০৩ | মোছাঃ রহিমা খাতুন | ৫৭০৫৫৬৩৭৭৪৩২ | মোছাঃ আছেনদ্দিন | মোছাঃ আমেনা | ১৯/০৮/১৯৮২ | গৃহিনী | জালতকা উত্তরপাড়া, জালতকা, গাংনী, মেহেরপুর |</t>
  </si>
  <si>
    <t>| ১০৪ | মোছাঃ লিপিয়ার | ৫৭০৫৫৬৩৭৭৪৩৩ | মোছাঃ অনাউদ্দীন | মোছাঃ আমেনা খাতুন | ২৫/০৪/১৯৮৮ | গৃহিনী | জালতকা উত্তর পাড়া, জালতকা, গাংনী, মেহেরপুর |</t>
  </si>
  <si>
    <t>| ১০৫ | মোছাঃ বানুয়ারা | ৫৭০৫৫৬৩৭৭৪৩৪ | মোয়াজ্জেম | মোছাঃ নেকজান | ০৮/১০/১৯৮৭ | গৃহিনী | জালতকা, গাংনী, মেহেরপুর |</t>
  </si>
  <si>
    <t>| ১০৬ | মোছাঃ নিহারন নেছা | ৫৭০০৫৬৩৭৭৮৪৩ | আজিমুদ্দীন মোল্লা | ছারা খাতুন | ০৩/০৪/১৯৪৭ | গৃহিনী | জালতকা, গাংনী, মেহেরপুর |</t>
  </si>
  <si>
    <t>| ১০৭ | মোছাঃ হাওয়া খাতুন | ৫৭০০৫৬৩৭৭৮৪৪ | সামছুদ্দীন | মোছাঃ রাবিয়া খাতুন | ০৩/০২/১৯৬৯ | গৃহিনী | জালতকা, গাংনী, মেহেরপুর |</t>
  </si>
  <si>
    <t>| ১০৮ | মোছাঃ হালিমা খাতুন | ৫৭০০৫৬৩৭৭৮৪৭ | মোঃ আনসার আলী | মো: ভানুয়ারা | ০২/০৩/১৯৮২ | গৃহিনী | জালতকা, গাংনী, মেহেরপুর |</t>
  </si>
  <si>
    <t>| ১০৯ | মোছাঃ সুরাতন নেছা | ৫৭০০৫৬৩৭৭৮৫৫ | ছালেহার | মোছাঃ উলফাতন | ১১/০৪/১৯৬২ | গৃহিনী | জালতকা, গাংনী, মেহেরপুর |</t>
  </si>
  <si>
    <t>| ১১০ | মোছাঃ বিউটি খাতুন | ৫৭০০৫৬৩৭৭৮৫৬ | মোঃ বাবুর আলি | মোছাঃ ছহিরা খাতুন | ১৪/১০/১৯৮২ | গৃহিনী | জালতকা, গাংনী, মেহেরপুর |</t>
  </si>
  <si>
    <t>| ১১১ | মোছাঃ রুবিয়া খাতুন | ৫৭০০৫৬৩৭৭৮৫৭ | মোঃ ইউসুফ আলী | মোছাঃ হামিদা বেগম | ১৬/০৪/১৯৭৩ | গৃহিনী | জালতকা, গাংনী, মেহেরপুর |</t>
  </si>
  <si>
    <t>| ১১২ | মোছাঃ আরজিনা খাতুন | ৫৭০০৫৬৩৭৭৮৫৯ | মোঃ আফসার আলি | আনোয়ারা | ০৬/০৬/১৯৬৫ | গৃহিনী | জালতকা, গাংনী, মেহেরপুর |</t>
  </si>
  <si>
    <t>| ১১৩ | মোছাঃ নাজমুননাহার খাতুন | ৫৭০০৫৬৩৭৭৮৭২ | মোঃ জাফর আলী | মোছাঃ সহিদা বেগম | ১৭/০৫/১৯৮৬ | গৃহিনী | আড়পাড়া, গাংনী, মেহেরপুর |</t>
  </si>
  <si>
    <t>| ১১৪ | মোছাঃ বেদেনা খাতুন | ৫৭০০৫৬৩৭৭৮০২ | মোঃ আঃ কাদের শেখ | মোছাঃ জমেলা খাতুন | ২৫/০৯/১৯৭৯ | গৃহিনী | জালতকা, কসবা, গাংনী, মেহেরপুর |</t>
  </si>
  <si>
    <t>| ১১৫ | মোছাঃ মোন্তারা খাতুন | ৫৭০০৫৬৩৭৮০০৫ | মোঃ আঃ রাজ্জাক | মোছাঃ মর্জিনা খাতুন | ০১/০১/১৯৮৬ | গৃহিনী | জালতকা, কসবা, গাংনী, মেহেরপুর |</t>
  </si>
  <si>
    <t>| ১১৬ | মোছাঃ হালিমা খাতুন | ৫৭০০৫৬৩৭৮০১০ | ছলেমান বিশ্বাস | আমেনা খাতুন | ৩০/০৪/১৯৫৭ | গৃহিনী | জালতকা, কসবা, গাংনী, মেহেরপুর |</t>
  </si>
  <si>
    <t>| ১১৭ | মোছাঃ সোনা ভানু খাতুন | ৫৭০০৫৬৩৭৮০১১ | মোঃ শুকুর আলী | মোছাঃ হালিমা খাতুন | ২১/১০/১৯৮১ | গৃহিনী | জালতকা, কসবা, গাংনী, মেহেরপুর |</t>
  </si>
  <si>
    <t>| ১১৮ | মোছাঃ রেহেনা খাতুন | ৫৭০০৫৬৩৭৮০১২ | মোঃ মঈনদ্দীন | মোছাঃ মালেকা | ০১/০১/১৯৮৭ | গৃহিনী | জালতকা, কসবা, গাংনী, মেহেরপুর |</t>
  </si>
  <si>
    <t>| ১১৯ | মোছাঃ সারা খাতুন | ৫৭০০৫৬৩৭৮০১৪ | ছলেমান বিশ্বাস | আমেনা খাতুন | ২৪/০৫/১৯৫২ | গৃহিনী | জালতকা, কসবা, গাংনী, মেহেরপুর |</t>
  </si>
  <si>
    <t>| ১২০ | মোছাঃ রহিলা খাতুন | ৫৭০০৫৬৩৭৮০১৭ | শওকত মালিথা | আবরা খাতুন | ১০/১০/১৯৬৭ | গৃহিনী | জালতকা, গাংনী, মেহেরপুর |</t>
  </si>
  <si>
    <t>| ১২১ | মোছাঃ বাশিরন নেছা | ৫৭০০৫৬৩৭৮০১৯ | তমেজনদ্দীন | নীহারন নেছা | ১১/১০/১৯৬৭ | গৃহিনী | জালতকা, কসবা, গাংনী, মেহেরপুর |</t>
  </si>
  <si>
    <t>| ১২২ | মোছাঃ ছানয়ারা খাতুন | ৫৭০০৫৬৩৭৮০২০ | তাহাজ উদ্দীন মন্ডল | ছপুরা খাতুন | ১১/১১/১৯৬৭ | গৃহিনী | জালতকা, কসবা, গাংনী, মেহেরপুর |</t>
  </si>
  <si>
    <t>| ১২৩ | মোছাঃ রুশিয়া খাতুন | ৫৭০০৫৬৩৭৮০২২ | মোঃ ইয়ার আলী | মোছাঃ মমতাজ খাতুন | ০১/০১/১৯৪৫ | গৃহিনী | জালতকা, কসবা, গাংনী, মেহেরপুর |</t>
  </si>
  <si>
    <t>| ১২৪ | মোছাঃ রুপালী খাতুন | ৫৭০০৫৬৩৭৮০২৩ | আজিজুল হক | মোছাঃ মাবিয়া খাতুন | ০১/০১/১৯৮৭ | গৃহিনী | জালতকা, কসবা, গাংনী, মেহেরপুর |</t>
  </si>
  <si>
    <t>| ১২৫ | মোছাঃ নুপুর খাতুন | ৫৭০০৫৬৩৭৮০২৫ | মোঃ নফর আলী | মোছাঃ কাজল রেখা | ১০/০২/১৯৬৬ | গৃহিনী | জালতকা, কসবা, গাংনী, মেহেরপুর |</t>
  </si>
  <si>
    <t>| ১২৬ | মোছাঃ নূরজাহান খাতুন | ৫৭০০৫৬৩৭৮০২৮ | নিয়ামত মন্ডল | মোছাঃ আলেপন | ১৮/০৮/১৯৪২ | গৃহিনী | জালতকা, কসবা, গাংনী, মেহেরপুর |</t>
  </si>
  <si>
    <t>| ১২৭ | মোছাঃ মদিনা খাতুন | ৫৭০০৫৬৩৭৮০৩২ | মোঃ গমের আলী | আমেনা খাতুন | ১১/০৯/১৯৮১ | গৃহিনী | জালতকা, কসবা, গাংনী, মেহেরপুর |</t>
  </si>
  <si>
    <t>| ১২৮ | মোছাঃ রেহেনা খাতুন | ৫৭০০৫৬৩৭৮০৩৩ | মোঃ নবীছুদ্দীন | জামিরন | ০১/০৬/১৯৭৯ | গৃহিনী | জালতকা, কসবা, গাংনী, মেহেরপুর |</t>
  </si>
  <si>
    <t>| ১২৯ | মোছাঃ চায়না খাতুন | ৫৭০০৫৬৩৭৮০৩৭ | মোঃ আজির বসক | মোছাঃ সারেজান খাতুন | ১০/০২/১৯৮৭ | গৃহিনী | জালতকা, গাংনী, মেহেরপুর |</t>
  </si>
  <si>
    <t>| ১৩০ | মোছাঃ নাজমা খাতুন | ৫৭০০৫৬৩৭৮০৪০ | মোঃ আলিম উদ্দীন | মোছাঃ জরিনা খাতুন | ১০/১০/১৯৮২ | গৃহিনী | জালতকা, কসবা, গাংনী, মেহেরপুর |</t>
  </si>
  <si>
    <t>| ১৩১ | মাইগ্রেট হয়েছে |  |  |  |  |  |  |</t>
  </si>
  <si>
    <t>| ১৩২ | মোছাঃ ফরিদা খাতুন | ৫৭০০৫৬৩৭৮০৪৫ | মোঃ শাহান আলী | রুশিয়া খাতুন | ০১/০১/১৯৮৪ | গৃহিনী | জালতকা, কসবা, গাংনী, মেহেরপুর |</t>
  </si>
  <si>
    <t>| ১৩৩ | মোছাঃ মুক্তা খাতুন | ৫৭০০৫৬৩৭৮০৪৭ | মোঃ নূর আলী | মোছাঃ সকিনা খাতুন | ০১/০১/১৯৮৬ | গৃহিনী | জালতকা, কসবা, গাংনী, মেহেরপুর |</t>
  </si>
  <si>
    <t>| ১৩৪ | মোছাঃ সজিনা খাতুন | ৫৭০০৫৬৩৭৮০৫০ | মোঃ হুজুর আলী | মোছাঃ মেহেরনীগার | ০১/০১/১৯৪৫ | গৃহিনী | জালতকা, কসবা, গাংনী, মেহেরপুর |</t>
  </si>
  <si>
    <t>| ১৩৫ | মোছাঃ কুলছন খাতুন | ৫৭০০৫৬৩৭৮০৫১ | মকছেদ মোল্লা | মোছাঃ ছাহারন নেছা | ২১/০৩/১৯৬৯ | গৃহিনী | জালতকা, কসবা, গাংনী, মেহেরপুর |</t>
  </si>
  <si>
    <t>| ১৩৬ | মোছাঃ সাহার বানু | ৫৭০০৫৬৩৭৮০৫২ | শফির উদ্দীন | সবজান বেগম | ০৯/০৬/১৯৬৯ | গৃহিনী | জালতকা, কসবা, গাংনী, মেহেরপুর |</t>
  </si>
  <si>
    <t>| ১৩৭ | মোছাঃ মমতাজ খাতুন | ৫৭০০৫৬৩৭৮০৫৩ | মোঃ আকবর আলী | মোছাঃ জাহানারা খাতুন | ৩০/০১/১৯৭৭ | গৃহিনী | জালতকা, কসবা, গাংনী, মেহেরপুর |</t>
  </si>
  <si>
    <t>| ১৩৮ | মোছাঃ কুলছন নেছা | ৫৭০০৫৬৩৭৮০৫৪ | আকবর আলী | মোছাঃ আকিরন নেছা | ০১/০১/১৯৬০ | গৃহিনী | জালতকা, কসবা, গাংনী, মেহেরপুর |</t>
  </si>
  <si>
    <t>| ১৩৯ | মোছাঃ রাবিয়া খাতুন | ৫৭০০৫৬৩৭৮০৫৫ | নবিছুদ্দীন | মোছাঃ সাহার বানু | ১০/০৬/১৯৭৪ | গৃহিনী | জালতকা, কসবা, গাংনী, মেহেরপুর |</t>
  </si>
  <si>
    <t>| ১৪০ | মোছাঃ সাথী খাতুন | ৫৭০০৫৬৩৭৮০৫৭ | মোঃ নিজাম উদ্দীন | মোছাঃ আজরা খাতুন | ০৬/০৪/১৯৮৪ | গৃহিনী | জালতকা, গাংনী, মেহেরপুর |</t>
  </si>
  <si>
    <t>| ১৪১ | মোছাঃ মুর্শিদা খাতুন | ৫৭০০৫৬৩৭৮০৫৯ | মোঃ ওয়াজেদ | মোছাঃ খসনুনাহার খাতুন | ০৯/০৬/১৯৮৫ | গৃহিনী | জালতকা, কসবা, গাংনী, মেহেরপুর |</t>
  </si>
  <si>
    <t>| ১৪২ | মোছাঃ জমেলা খাতুন | ৫৭০০৫৬৩৭৮০৬৩ | খোদাবকস মন্ডল | ঝুকি নেছা | ১২/১১/১৯৬২ | গৃহিনী | জালতকা, কসবা, গাংনী, মেহেরপুর |</t>
  </si>
  <si>
    <t>| ১৪৩ | মোছাঃ রাশিদা খাতুন | ৫৭০০৫৬৩৭৮০৬৮ | মোঃ আশকার আলী | মোছাঃ গনি আরা | ২৬/০৪/১৯৪২ | গৃহিনী | জালতকা মসজিদপাড়া, জালতকা, গাংনী, মেহেরপুর |</t>
  </si>
  <si>
    <t>| ১৪৪ | মোছাঃ পপিয়ারা বেগম | ৫৭০০৫৬৩৭৮০৭০ | মোঃ আব্দুল খায়ের | মোঃ সোনাভানু | ২৪/০৭/১৯৮২ | গৃহিনী | জালতকা মসজিদ পাড়া, গাংনী, মেহেরপুর |</t>
  </si>
  <si>
    <t>| ১৪৫ | মোছাঃ শাহানাজ খাতুন | ৫৭০০৫৬৩৭৮০৭৩ | মোঃ মসলেম আলী | মোছাঃ সাবেরা খাতুন | ০৭/০৮/১৯৮১ | গৃহিনী | জালতকা মসজিদ পাড়া, জালতকা, গাংনী, মেহেরপুর |</t>
  </si>
  <si>
    <t>| ১৪৬ | মোছাঃ মুর্শিদা খাতুন | ৫৭০০৫৬৩৭৮০৮১ | মোঃ নূরইসলাম | মোছাঃ নিহারন | ০৭/০৬/১৯৮২ | গৃহিনী | জালতকা, গাংনী, মেহেরপুর |</t>
  </si>
  <si>
    <t>| ১৪৭ | মোছাঃ ছামসুন্নাহার | ৫৭০০৫৬৩৭৮০৮২ | মোঃ মহির উদ্দীন | মোছাঃ নুরজাহান | ২৯/০৯/১৯৮৭ | গৃহিনী | জালতকা, গাংনী, মেহেরপুর |</t>
  </si>
  <si>
    <t>| ১৪৮ | মোছাঃ জহুরা খাতুন | ৫৭০০৫৬৩৭৮০৮৯ | আবুল হোসেন | মোছাঃ ছিয়ারন নেছা | ০১/০১/১৯৫৮ | গৃহিনী | জালতকা, গাংনী, মেহেরপুর |</t>
  </si>
  <si>
    <t>| ১৪৯ | মোছাঃ সাহার বানু | ৫৭০০৫৬৩৭৮০৯০ | কাসেম আলী | মোছাঃ নাজমা খাতুন | ১০/০৩/১৯৫২ | গৃহিনী | জালতকা, কসবা, গাংনী, মেহেরপুর |</t>
  </si>
  <si>
    <t>| ১৫০ | মোছাঃ রমেছা খাতুন | ৫৭০০৫৬৩৭৮০৯১ | মোঃ মশলেম মন্ডল | মোছাঃ মনোয়ারা | ১৭/০১/১৯৭৩ | গৃহিনী | জালতকা, কসবা, গাংনী, মেহেরপুর |</t>
  </si>
  <si>
    <t>| ১৫১ | মোছাঃ নুরজাহান বেগম | ৫৭০০৫৬৩৭৮০৯৩ | মুনছার মন্ডল | সবুরন নেছা | ১৩/১২/১৯৪২ | গৃহিনী | জালতকা মসজিদ পাড়া, জালতকা, গাংনী, মেহেরপুর |</t>
  </si>
  <si>
    <t>| ১৫২ | মোছাঃ হাসিনা খাতুন | ৫৭০০৫৬৩৭৮০৯৪ | মুবারেক আলী | জনুরা বিবি | ১৭/১১/১৯৬২ | গৃহিনী | জালতকা উত্তরপাড়া, জালতকা, গাংনী, মেহেরপুর |</t>
  </si>
  <si>
    <t>| ১৫৩ | মোছাঃ পাপিয়া খাতুন | ৫৭০০৫৬৩৭৮০৯৭ | মোঃ খায়রুল ইসলাম | মোছাঃ কলবানু খাতুন | ০১/০১/১৯৮৮ | গৃহিনী | জালতকা, গাংনী, মেহেরপুর |</t>
  </si>
  <si>
    <t>| ১৫৪ | মোছাঃ পারভিনা খাতুন | ৫৭০০৫৬৩৭৮১০০ | মোঃ হাফিজ উদ্দীন | মোছাঃ রাবিয়া খাতুন | ০৩/০২/১৯৭৪ | গৃহিনী | জালতকা উত্তরপাড়া, কসবা, গাংনী, মেহেরপুর |</t>
  </si>
  <si>
    <t>| ১৫৫ | মোছাঃ হাজেরা খাতুন | ৫৭০০৫৬৩৭৮১০১ | ইয়াকুব মন্ডল | ছপুরা খাতুন | ১/১০/১৯৬৯ | গৃহিনী | জালতকা, গাংনী, মেহেরপুর |</t>
  </si>
  <si>
    <t>| ১৫৬ | মোছাঃ রিজিয়া খাতুন | ৫৭০০৫৬৩৭৮১০২ | মহব্বত আলী | মোছাঃ আলতাফন নেছা | ১৭/০২/১৯৬৪ | গৃহিনী | জালতকা, কসবা, গাংনী, মেহেরপুর |</t>
  </si>
  <si>
    <t>| ১৫৭ | মোছাঃ শান্তিআরা খাতুন | ৫৭০০৫৬৩৭৮১০৬ | মোঃ আয়েল সর্দ্দার | মোছাঃ জরিনা খাতুন | ২৩/০৫/১৯৭৬ | গৃহিনী | জালতকা, কসবা, গাংনী, মেহেরপুর |</t>
  </si>
  <si>
    <t>| ১৫৮ | মোছাঃ সাবিনা ইয়াসমিন | ৫৭০০৫৬৩৭৮১০৮ | মোঃ মোজাম্মেল হক | মোছাঃ রোকেনা খাতুন | ০৫/০৩/১৯৮৪ | গৃহিনী | জালতকা, কসবা, গাংনী, মেহেরপুর |</t>
  </si>
  <si>
    <t>| ১৫৯ | মোছাঃ কহিনুর নেছা | ৫৭০০৫৬৩৭৮১০৯ | শাহাবুদ্দীন পরামানিক | মোছাঃ নিহারন নেছা | ১৭/০১/১৯৫২ | গৃহিনী | জালতকা, কসবা, গাংনী, মেহেরপুর |</t>
  </si>
  <si>
    <t>| ১৬০ | মোছাঃ বিউটি খাতুন | ৫৭০০৫৬৩৭৮১১১ | রইছুদ্দীন মন্ডল | রাবেয়া খাতুন | ০১/০১/১৯৭৩ | গৃহিনী | জালতকা, গাংনী, মেহেরপুর |</t>
  </si>
  <si>
    <t>| ১৬১ | মোছাঃ সাহেরা খাতুন | ৫৭০০৫৬৩৭৮১১৩ | মোঃ তাহাজ উদ্দীন | মোছাঃ কাবা খাতুন | ৩১/১২/১৯৮৩ | গৃহিনী | জালতকা, কসবা, গাংনী, মেহেরপুর |</t>
  </si>
  <si>
    <t>| ১৬২ | মোছাঃ মাবিয়া খাতুন | ৫৭০০৫৬৩৭৮১১৬ | মোঃ ছলেমান মন্ডল | মোছাঃ রাহেলা খাতুন | ০১/০৩/১৯৭১ | গৃহিনী | জালতকা, কসবা, গাংনী, মেহেরপুর |</t>
  </si>
  <si>
    <t>| ১৬৩ | মোছাঃ হাজেরা খাতুন | ৫৭০০৫৬৩৭৮১২১ | ছাদের আলি | নিহারন | ১৩/০২/১৯৬৭ | গৃহিনী | জালতকা, কসবা, গাংনী, মেহেরপুর |</t>
  </si>
  <si>
    <t>| ১৬৪ | মোছাঃ পারুলা খাতুন | ৫৭০০৫৬৩৭৮১২২ | সিরাজুল ইসলাম | মোছাঃ বুলবুলি খাতুন | ১০/০২/১৯৮৭ | গৃহিনী | জালতকা, কসবা, গাংনী, মেহেরপুর |</t>
  </si>
  <si>
    <t>| ১৬৫ | মোছাঃ বছিরন নেছা | ৫৭০০৫৬৩৭৮১২৪ | হয়রান মন্ডল | মোছাঃ হামেদা খাতুন | ০১/০১/১৯৮৩ | গৃহিনী | জালতকা, কসবা, গাংনী, মেহেরপুর |</t>
  </si>
  <si>
    <t>| ১৬৬ | মোছাঃ আলেয়া খাতুন | ৫৭০০৫৬৩৭৮১২৫ | এলাহী মন্ডল | মোছাঃ এলেপান নেছা | ০১/০১/১৯৬০ | গৃহিনী | জালতকা, কসবা, গাংনী, মেহেরপুর |</t>
  </si>
  <si>
    <t>| ১৬৭ | মোছাঃ সুবারন নেছা | ৫৭০০৫৬৩৭৮১২৬ | এলাহী মন্ডল | মোছাঃ এলেপান | ০৫/০৫/১৯৭৯ | গৃহিনী | জালতকা, কসবা, গাংনী, মেহেরপুর |</t>
  </si>
  <si>
    <t>| ১৬৮ | মোছাঃ জাহানারা খাতুন | ৫৭০০৫৬৩৭৮১৩২ | মকছেদ আলী | জুলেখা খাতুন | ১০/১০/১৯৫৭ | গৃহিনী | জালতকা, কসবা, গাংনী, মেহেরপুর |</t>
  </si>
  <si>
    <t>| ১৬৯ | মোছাঃ আইমানা খাতুন | ৫৭০০৫৬৩৭৮১৩৪ | আছির উদ্দীন | মোছাঃ রাবিয়া খাতুন | ০১/০১/১৯৮৮ | গৃহিনী | জালতকা, কসবা, গাংনী, মেহেরপুর |</t>
  </si>
  <si>
    <t>| ১৭০ | মোছাঃ ফিরোজা খাতুন | ৫৭০০৫৬৩৭৮১৩৫ | মোঃ জোস্কার মন্ডল | মোছাঃ ফাতেমা খাতুন | ০৫/০৫/১৯৭৯ | গৃহিনী | জালতকা, কসবা, গাংনী, মেহেরপুর |</t>
  </si>
  <si>
    <t>| ১৭১ | মোছাঃ রেহছনা খাতুন | ৫৭০০৫৬৩৭৮১৩৭ | মোঃ মোছার উদ্দীন মন্ডল | মোছাঃ খদেজা খাতুন | ২৮/১০/১৯৮৭ | গৃহিনী | জালতকা, কসবা, গাংনী, মেহেরপুর |</t>
  </si>
  <si>
    <t>| ১৭২ | মাইগ্রেট হয়েছে |  |  |  |  |  |  |</t>
  </si>
  <si>
    <t>| ১৭৩ | মোছাঃ সুফিয়া খাতুন | ৫৭০০৫৬৩৭৮১৩৯ | রহমান মন্ডল | আমেনা খাতুন | ০৭/০৬/১৯৫৯ | গৃহিনী | জালতকা, কসবা, গাংনী, মেহেরপুর |</t>
  </si>
  <si>
    <t>| ১৭৪ | মোছাঃ নিছারন নেছা | ৫৭০০৫৬৩৭৮১৪১ | নবিছুদ্দীন বিশ্বাস | ফিরোজা খাতুন | ১২/১১/১৯৬২ | গৃহিনী | জালতকা, কসবা, গাংনী, মেহেরপুর |</t>
  </si>
  <si>
    <t>| ১৭৫ | মোছাঃ আজিফা খাতুন | ৫৭০০৫৬৩৭৮১৪২ | মোঃ ওয়াজেল মন্ডল | মোছাঃ জমেলা খাতুন | ২৩/০৮/১৯৬৯ | গৃহিনী | জালতকা, গাংনী, মেহেরপুর |</t>
  </si>
  <si>
    <t>| ১৭৬ | মোছাঃ শাহামারা খাতুন | ৫৭০০৫৬৩৭৮১৪৪ | আব্দুল্লাহ মন্ডল | মোছাঃ ফয়জান নেছা | ১১/১০/১৯৭২ | গৃহিনী | জালতকা, কসবা, গাংনী, মেহেরপুর |</t>
  </si>
  <si>
    <t>| ১৭৭ | মোছাঃ মজিরন নেছা | ৫৭০০৫৬৩৭৮১৫১ | মোঃ তোফাজ্জেল হক | মোছাঃ জলে খাতুন | ২৩/০৭/১৯৭৫ | গৃহিনী | জালতকা, কসবা, গাংনী, মেহেরপুর |</t>
  </si>
  <si>
    <t>| ১৭৮ | মোছাঃ বিলকিচ খাতুন | ৫৭০০৫৬৩৭৮১৫৫ | মো: আ: লতিফ | মোছাঃ সারেজান | ০১/০১/১৯৮৫ | গৃহিনী | জালতকা, কসবা, গাংনী, মেহেরপুর |</t>
  </si>
  <si>
    <t>| ১৭৯ | মোছাঃ মনোয়ারা খাতুন | ৫৭০০৫৬৩৭৮১৫৬ | মো: দেলবার হোসেন | রইমন নেছা | ১২/১১/১৯৮২ | গৃহিনী | জালতকা, কসবা, গাংনী, মেহেরপুর |</t>
  </si>
  <si>
    <t>| ১৮০ | মোছাঃ হালিমা খাতুন | ৫৭০০৫৬৩৭৮১৫৮ | মো: বজলু হক | মোছাঃ আরজিনা খাতুন | ০৭/০৬/১৯৮২ | গৃহিনী | জালতকা, কসবা, গাংনী, মেহেরপুর |</t>
  </si>
  <si>
    <t>| ১৮১ | মাইগ্রেট হয়েছে |  |  |  |  |  |  |</t>
  </si>
  <si>
    <t>| ১৮২ | মোছাঃ ফজিলা খাতুন | ৫৭০০৫৬৩৭৮১৬৫ | মো: আসান উদ্দীন | মোছাঃ মর্জিনা খাতুন | ০৮/০৯/১৯৮২ | গৃহিনী | জালতকা, কসবা, গাংনী, মেহেরপুর |</t>
  </si>
  <si>
    <t>| ১৮৩ | মাইগ্রেট হয়েছে |  |  |  |  |  |  |</t>
  </si>
  <si>
    <t>| ১৮৪ | মোছাঃ মর্জিনা খাতুন | ৫৭০০৫৬৩৭৮১৬৭ | নবীছুদ্দীন মন্ডল | মোছাঃ ছাকেনা খাতুন | ১১/১১/১৯৬৫ | গৃহিনী | জালতকা, কসবা, গাংনী, মেহেরপুর |</t>
  </si>
  <si>
    <t>| ১৮৫ | মোছাঃ নুরজাহান খাতুন | ৫৭০০৫৬৩৭৮১৬৯ | কেরামত মন্ডল | মোছাঃ ছাহেরা খাতুন | ০২/০৩/১৯৭২ | গৃহিনী | জালতকা, কসবা, গাংনী, মেহেরপুর |</t>
  </si>
  <si>
    <t>| ১৮৬ | মোছাঃ পারুলা খাতুন | ৫৭০০৫৬৩৭৮১৭১ | মো: ইউনুচ আলী | মোছাঃ আয়েশা খাতুন | ৩০/০৪/১৯৭৭ | গৃহিনী | জালতকা, কসবা, গাংনী, মেহেরপুর |</t>
  </si>
  <si>
    <t>| ১৮৭ | মোছাঃ আইমনা খাতুন | ৫৭০০৫৬৩৭৮১৭৫ | মভল মন্ডল | মোছাঃ রাকেলা খাতুন | ০৭/০৬/১৯৮২ | গৃহিনী | জালতকা, কসবা, গাংনী, মেহেরপুর |</t>
  </si>
  <si>
    <t>| ১৮৮ | মাইগ্রেট হয়েছে |  |  |  |  |  |  |</t>
  </si>
  <si>
    <t>| ১৮৯ | মোছাঃ জরিমন নেছা | ৫৭০০৫৬৩৭৮১৭৮ | মনছুর মালিথা | মোছাঃ জহিরন নেছা | ০১/০৪/১৯৫৭ | গৃহিনী | জালতকা, গাংনী, মেহেরপুর |</t>
  </si>
  <si>
    <t>| ১৯০ | মোছাঃ নাসিমা খাতুন | ৫৭০০৫৬৩৭৮১৮১ | মো: নাসির আলী | মোছাঃ সেলিনা খাতুন | ০১/০৪/১৯৭০ | গৃহিনী | জালতকা, কসবা, গাংনী, মেহেরপুর |</t>
  </si>
  <si>
    <t>| ১৯১ | মোছাঃ কহিনুর খাতুন | ৫৭০০৫৬৩৭৮১৮২ | মো: দুল্লপ হোসেন | মোছাঃ ওয়েদান নেছা | ০১/০১/১৯৬৪ | গৃহিনী | জালতকা, গাংনী, মেহেরপুর |</t>
  </si>
  <si>
    <t>| ১৯২ | মোছাঃ সাবিনা খাতুন | ৫৭০০৫৬৩৭৮১৮৩ | মো: সমশের আলী | মোছাঃ রহিমা খাতুন | ০১/০১/১৯৮৪ | গৃহিনী | জালতকা, কসবা, গাংনী, মেহেরপুর |</t>
  </si>
  <si>
    <t>| ১৯৩ | মোছাঃ বেলী খাতুন | ৫৭০০৫৬৩৭৮১৮৪ | ইদ্রীস আলী | মোছাঃ মর্জিনা খাতুন | ০১/০৬/১৯৭৯ | গৃহিনী | জালতকা, কসবা, গাংনী, মেহেরপুর |</t>
  </si>
  <si>
    <t>| ১৯৪ | মোছাঃ আসমিনা খাতুন | ৫৭০০৫৬৩৭৮১৮৬ | হারান মালিথা | মোছাঃ খুকীমালা | ২৫/০৮/১৯৬৯ | গৃহিনী | জালতকা, কসবা, গাংনী, মেহেরপুর |</t>
  </si>
  <si>
    <t>| ১৯৫ | মোছাঃ নুরুন্নাহার খাতুন | ৫৭০০৫৬৩৭৮১৮৮ | মো: রুহুল আমিন | মোছাঃ আছিয়া খাতুন | ০৯/০৩/১৯৮৪ | গৃহিনী | জালতকা, কসবা, গাংনী, মেহেরপুর |</t>
  </si>
  <si>
    <t>| ১৯৬ | মোছাঃ তাসলিমা খাতুন | ৫৭০০৫৬৩৭৮১৮৯ | মো: ফজল উদ্দীন | মোছাঃ আনোয়ারা খাতুন | ০৫/১০/১৯৮৭ | গৃহিনী | জালতকা, কসবা, গাংনী, মেহেরপুর |</t>
  </si>
  <si>
    <t>| ১৯৭ | মোছাঃ নাছিমা খাতুন | ৫৭০০৫৬৩৭৮১৯১ | মো: শাহাব উদ্দীন | মোছাঃ বেগম | ০২/০২/১৯৭৯ | গৃহিনী | জালতকা, কসবা, গাংনী, মেহেরপুর |</t>
  </si>
  <si>
    <t>| ১৯৮ | মোছাঃ আসমিনা খাতুন | ৫৭০০৫৬৩৭৮১৯৪ | ইব্রাহিম মন্ডল | মোছাঃ ছানুরা খাতুন | ০২/০৩/১৯৭২ | গৃহিনী | জালতকা, কসবা, গাংনী, মেহেরপুর |</t>
  </si>
  <si>
    <t>| ১৯৯ | মোছাঃ ববিতা খাতুন | ৫৭০০৫৬৩৭৮১৯৬ | মো: আব্দুল কাদের শেখ | মোছাঃ জমেলা খাতুন | ১০/১০/১৯৮৭ | গৃহিনী | জালতকা, কসবা, গাংনী, মেহেরপুর |</t>
  </si>
  <si>
    <t>| ২০০ | মোছাঃ মাকছুরা খাতুন | ৫৭০০৫৬৩৭৮১৯৯ | মো: মহিন উদ্দীন | মোছাঃ মালেকা খাতুন | ১০/০৩/১৯৮৪ | গৃহিনী | জালতকা, কসবা, গাংনী, মেহেরপুর |</t>
  </si>
  <si>
    <t>| ২০১ | মোছাঃ মুসলিমা খাতুন | ৫৭০০৫৬৩৭৮২০২ | মো: বাবুল আলী | মোছাঃ আলিয়া খাতুন | ১১/০৮/১৯৮৩ | গৃহিনী | জালতকা উত্তরপাড়া, জালতকা, গাংনী, মেহেরপুর |</t>
  </si>
  <si>
    <t>| ২০২ | মোছাঃ মাস্তুরা পারভীন | ৫৭০০৫৬৩৭৮২০৪ | মো: আ: মান্নান | মোছাঃ সাহেরা বেগম | ২১/০৩/১৯৮২ | গৃহিনী | জালতকা, গাংনী, মেহেরপুর |</t>
  </si>
  <si>
    <t>| ২০৩ | মোছাঃ রূপালী খাতুন | ৫৭০০৫৬৩৭৮২০৫ | মো: খাইরুল ইসলাম | মোছাঃ ফিরোজা বেগম | ০৭/০৫/১৯৮৭ | গৃহিনী | জালতকা উত্তর পাড়া, জালতকা, গাংনী, মেহেরপুর |</t>
  </si>
  <si>
    <t>| ২০৪ | মোছাঃ মৌসুমী আক্তার | ৫৭০০৫৬৩৭৮২০৬ | মো: মুকুল হোসেন | মোছাঃ চায়না বেগম | ০৪/০৯/১৯৮৫ | গৃহিনী | জালতকা মসজিদ পাড়া, জালতকা, গাংনী, মেহেরপুর |</t>
  </si>
  <si>
    <t>| ২০৫ | মোছাঃ রোকিয়া খাতুন | ৫৭০০৫৬৩৭৮২০৭ | মো: খেদালী শেখ | মোছাঃ খদেজান | ০৪/১০/১৯৫৯ | গৃহিনী | জালতকা মসজিদ পাড়া, জালতকা, গাংনী, মেহেরপুর |</t>
  </si>
  <si>
    <t>| ২০৬ | মোছাঃ ইসমতারা | ৫৭০০৫৬৩৭৮২১০ | মো: ইলা মালিথা | মোছাঃ হাজেরা খাতুন | ০৭/০৯/১৯৮০ | গৃহিনী | জালতকা মসজিদ পাড়া, জালতকা, গাংনী, মেহেরপুর |</t>
  </si>
  <si>
    <t>| ২০৭ | মোছাঃ মরিয়ম নেছা | ৫৭০০৫৬৩৭৮২১৩ | মো: সুলতান মন্ডল | মোছাঃ আছিয়া খাতুন | ০৯/০৭/১৯৭০ | গৃহিনী | জালতকা মসজিদপাড়া, জালতকা, গাংনী, মেহেরপুর |</t>
  </si>
  <si>
    <t>| ২০৮ | মোছাঃ আশানুর বেগম | ৫৭০০৫৬৩৭৮২১৪ | কিফাতুল্লাহ | জহিরন নেছা | ১৫/০১/১৯৬৭ | গৃহিনী | জালতকা মসজিদ পাড়া, গাংনী, মেহেরপুর |</t>
  </si>
  <si>
    <t>| ২০৯ | মোছাঃ শাহনাজ খাতুন | ৫৭০০৫৬৩৭৮২১৬ | মো: খেদালী | মোছাঃ হাওয়া খাতুন | ২৩/০৭/১৯৮২ | গৃহিনী | জালতকা মসজিদ পাড়া, গাংনী, মেহেরপুর |</t>
  </si>
  <si>
    <t>| ২১০ | মোছাঃ রেবেকা খাতুন | ৫৭০০৫৬৩৭৮২১৭ | মো: সালেকদ্দীন | মোছাঃ খবিরন নেছা | ২৫/০৪/১৯৭৭ | গৃহিনী | জালতকা মসজিদ পাড়া, জালতকা, গাংনী, মেহেরপুর |</t>
  </si>
  <si>
    <t>| ২১১ | মোছাঃ আছারন | ৫৭০০৫৬৩৭৮২৩৫ | মো: আ: জলিল | মোছাঃ রেজিয়া | ২২/০৪/১৯৫৭ | গৃহিনী | জালতকা, কসবা, গাংনী, মেহেরপুর |</t>
  </si>
  <si>
    <t>| ২১২ | মোছাঃ মনোয়ারা বেগম | ৫৭০০৫৬৩৭৮২৪১ | মো: নজিমদ্দিন বিশ্বাস | মোছাঃ ছফুরা খাতুন | ০৯/০৫/১৯৫২ | গৃহিনী | জালতকা, গাংনী, মেহেরপুর |</t>
  </si>
  <si>
    <t>| ২১৩ | মোছাঃ সালমা | ৫৭০০৫৬৩৭৮২৪৩ | মো: শুকুর আলী | মোছাঃ লাইলি খাতুন | ০১/০১/১৯৭৮ | গৃহিনী | জালতকা, গাংনী, মেহেরপুর |</t>
  </si>
  <si>
    <t>| ২১৪ | মোছাঃ ফেরদৌসী | ৫৭০০৫৬৩৭৮২৪৮ | আজিমুদ্দীন | মোছাঃ মেহেরন নেছা | ৩০/১০/১৯৬৭ | গৃহিনী | জালতকা, গাংনী, মেহেরপুর |</t>
  </si>
  <si>
    <t>| ২১৫ | মোছাঃ শহেলা খাতুন | ৫৭০০৫৬৩৭৮২৫৩ | মো: রমজান মন্ডল | মালেকা খাতুন | ১৮/০৭/১৯৮২ | গৃহিনী | জালতকা, গাংনী, মেহেরপুর |</t>
  </si>
  <si>
    <t>| ২১৬ | মোছাঃ বেদেনা খাতুন | ৫৭০০৫৬৩৭৮২৫৪ | মো: রুহুল আমিন | মোছাঃ আছিয়া খাতুন | ২৭/১১/১৯৭০ | গৃহিনী | জালতকা মসজিদ পাড়া, গাংনী, মেহেরপুর |</t>
  </si>
  <si>
    <t>| ২১৭ | মোছাঃ মর্জিনা খাতুন | ৫৭০০৫৬৩৭৮২৫৬ | আ: আজিজ | মোছাঃ সাহার বানু | ০৮/০১/১৯৬৭ | গৃহিনী | জালতকা, গাংনী, মেহেরপুর |</t>
  </si>
  <si>
    <t>| ২১৮ | মোছাঃ রমেলা খাতুন | ৫৭০০৫৬৩৭৮২৬০ | শামসুল হক | মোছাঃ সারা খাতুন | ১৯/০৮/১৯৮২ | গৃহিনী | জালতকা মসজিদ পাড়া, জালতকা, গাংনী, মেহেরপুর |</t>
  </si>
  <si>
    <t>| ২১৯ | মোছাঃ জরিনা খাতুন | ৫৭০০৫৬৩৭৮২৬৬ | রমজান মন্ডল | লতিফন্নেছা | ০৭/০২/১৯৭৪ | গৃহিনী | জালতকা মসজিদপাড়া, জালতকা, গাংনী, মেহেরপুর |</t>
  </si>
  <si>
    <t>| ২২০ | মোছাঃ রাহেলা খাতুন | ৫৭০০৫৬৩৭৮২৬৮ | রহিম বক্স | মোছাঃ ফতেজান | ১৫/০৮/১৯৩২ | গৃহিনী | জালতকা মসজিদ পাড়া, জালতকা, গাংনী, মেহেরপুর |</t>
  </si>
  <si>
    <t>| ২২১ | ফরিদা খাতুন | ৫৭০০৫৬৩৭৮২৭১ | মো: করিম মন্ডল | মোছাঃ আমেনা খাতুন | ০২/০১/১৯৭৬ | গৃহিনী | জালতকা মসজিদ পাড়া, জালতকা, গাংনী, মেহেরপুর |</t>
  </si>
  <si>
    <t>| ২২২ | মোছাঃ বেদানা খাতুন | ৫৭০০৫৬৩৭৮২৭২ | আ: গনি | আনোয়ারা খাতুন | ০৮/০১/১৯৭০ | গৃহিনী | জালতকা মসজিদ পাড়া, গাংনী, মেহেরপুর |</t>
  </si>
  <si>
    <t>| ২২৩ | মোছাঃ মাহিরন নেছা | ৫৭০০৫৬৩৭৮২৭৬ | আত্তর মালিথা | মোছাঃ মইরন নেছা | ১২/০৫/১৯৪২ | গৃহিনী | জালতকা মসজিদ পাড়া, জালতকা, গাংনী, মেহেরপুর |</t>
  </si>
  <si>
    <t>| ২২৪ | মোছাঃ আরজিনা খাতুন | ৫৭০০৫৬৩৭৮২৮০ | মো: আবুল হোসেন | মোছাঃ রেনু আরা | ২০/১০/১৯৮৭ | গৃহিনী | জালতকা মসজিদ পাড়া, গাংনী, মেহেরপুর |</t>
  </si>
  <si>
    <t>| ২২৫ | মোছাঃ মালিয়া খাতুন | ৫৭০০৫৬৩৭৮২৮৩ | মো: ঈমান আলী | মোছাঃ রুশিয়া খাতুন | ০৪/০৭/১৯৭৫ | গৃহিনী | জালতকা মসজিদ পাড়া, জালতকা, গাংনী, মেহেরপুর |</t>
  </si>
  <si>
    <t>| ২২৬ | মোছাঃ সাজেদা বেগম | ৫৭০০৫৬৩৭৮২৮৮ | বছিরুদ্দীন | মোছাঃ আয়শা বেগম | ২২/০৯/১৯৭২ | গৃহিনী | জালতকা মসজিদ পাড়া, জালতকা, গাংনী, মেহেরপুর |</t>
  </si>
  <si>
    <t>| ২২৭ | মোছাঃ আলিয়া খাতুন | ৫৭০০৫৬৩৭৮২৮৯ | মো: গোলাম রসুল | মোছাঃ মজেদা খাতুন | ০৫/০৭/১৯৮২ | গৃহিনী | জালতকা, গাংনী, মেহেরপুর |</t>
  </si>
  <si>
    <t>| ২২৮ | মোছাঃ ডলিয়া খাতুন | ৫৭০০৫৬৩৭৮২৯০ | মো: আইয়ুব আলী | মোছাঃ জবেদা খাতুন | ০২/০৫/১৯৭৫ | গৃহিনী | জালতকা মসজিদ পাড়া, জালতকা, গাংনী, মেহেরপুর |</t>
  </si>
  <si>
    <t>| ২২৯ | মোছাঃ বেবী খাতুন | ৫৭০০৫৬৩৭৮২৯৭ | মো: ঠান্ডু মিয়া | মোছাঃ কহিনুর খাতুন | ২০/১০/১৯৮৭ | গৃহিনী | জালতকা মসজিদপাড়া, জালতকা, গাংনী, মেহেরপুর |</t>
  </si>
  <si>
    <t>| ২৩০ | মোছাঃ বেবীয়ারা | ৫৭০০৫৬৩৭৮২৯৯ | মো: জামির হোসেন | মোছাঃ নাসের খাতুন | ১৮/১০/১৯৮৩ | গৃহিনী | জালতকা উত্তরপাড়া, জালতকা, গাংনী, মেহেরপুর |</t>
  </si>
  <si>
    <t>| ২৩১ | নাসের খাতুন | ৫৭০০৫৬৩৭৮৩০০ | রেজাউল হক | মোছাঃ নিরাতন নেছা | ২০/১১/১৯৮৭ | গৃহিনী | জালতকা উত্তরপাড়া, জালতকা, গাংনী, মেহেরপুর |</t>
  </si>
  <si>
    <t>| ২৩২ | মোছাঃ রেহেনা খাতুন | ৫৭০০৫৬৩৭৮৩০২ | ইছামুদ্দীন | মোছাঃ রমেলা খাতুন | ১২/০৯/১৯৫৬ | গৃহিনী | জালতকা, গাংনী, মেহেরপুর |</t>
  </si>
  <si>
    <t>| ২৩৩ | মোছাঃ মুর্শিদা | ৫৭০০৫৬৩৭৮৩০৪ | মোছাঃ ছাদেক আলি | মোছাঃ মদিনা খাতুন | ১১/১০/১৯৭৬ | গৃহিনী | জালতকা, গাংনী, মেহেরপুর |</t>
  </si>
  <si>
    <t>| ২৩৪ | মোছাঃ আহারোন | ৫৭০০৫৬৩৭৮৩০৬ | মোছাঃ আবুল মন্ডল | মোছাঃ ইশারন | ১০/১১/১৯৬৮ | গৃহিনী | জালতকা, গাংনী, মেহেরপুর |</t>
  </si>
  <si>
    <t>| ২৩৫ | মোছাঃ পিকিলা (আসমা) | ৫৭০০৫৬৩৭৮৩১১ | মোছাঃ মহিক | মোছাঃ টুনটুনি | ১০/০৬/১৯৮৪ | গৃহিনী | জালতকা, গাংনী, মেহেরপুর |</t>
  </si>
  <si>
    <t>| ২৩৬ | মোছাঃ আনোয়ারা | ৫৭০০৫৬৩৭৮৩১৩ | নায়েব আলি | জেলেহার | ১০/০২/১৯৭৭ | গৃহিনী | জালতকা, গাংনী, মেহেরপুর |</t>
  </si>
  <si>
    <t>| ২৩৭ | মোছাঃ শ্যামলী খাতুন | ৫৭০০৫৬৩৭৮৩১৫ | মোছাঃ উছমান আলি | মোছাঃ হালিমা খাতুন | ১২/১০/১৯৮৬ | গৃহিনী | জালতকা, গাংনী, মেহেরপুর |</t>
  </si>
  <si>
    <t>| ২৩৮ | মোছাঃ রমেছা খাতুন | ৫৭০০৫৬৩৭৮৩১৮ | মোছাঃ পাতান মন্ডল | মোছাঃ রওশন আরা | ১০/১০/১৯৮৮ | গৃহিনী | জালতকা, গাংনী, মেহেরপুর |</t>
  </si>
  <si>
    <t>| ২৩৯ | মোছাঃ সাহার বানু | ৫৭০০৫৬৩৭৮৩২০ | রবজেল | মোছাঃ হামেদা | ০৪/০৩/১৯৬১ | গৃহিনী | জালতকা, গাংনী, মেহেরপুর |</t>
  </si>
  <si>
    <t>| ২৪০ | মোছাঃ নাছিমা খাতুন | ৫৭০০৫৬৩৭৮৩২২ | আবুল হাসেম | মোছাঃ সুফিয়া | ১১/১০/১৯৮০ | গৃহিনী | জালতকা, গাংনী, মেহেরপুর |</t>
  </si>
  <si>
    <t>| ২৪১ | মোছাঃ মর্জিনা খাতুন | ৫৭০০৫৬৩৭৮৩২৫ | মরজেম | মোছাঃ সফুরা | ০১/০৫/১৯৬২ | গৃহিনী | জালতকা, গাংনী, মেহেরপুর |</t>
  </si>
  <si>
    <t>| ২৪২ | মোছাঃ মিনা খাতুন | ৫৭০০৫৬৩৭৮৩৩০ | মোছাঃ হাবিবুর বিশ্বাস | মোছাঃ ছামেনা খাতুন | ০১/০৪/১৯৮২ | গৃহিনী | জালতকা, গাংনী, মেহেরপুর |</t>
  </si>
  <si>
    <t>| ২৪৩ | মোছাঃ কমেলা খাতুন | ৫৭০০৫৬৩৭৮৩৩২ | আব্দুল জব্বার | ঠান্টা বুড়ি | ১২/১০/১৯৫৬ | গৃহিনী | জালতকা, গাংনী, মেহেরপুর |</t>
  </si>
  <si>
    <t>| ২৪৪ | মোছাঃ রেবেকা | ৫৭০০৫৬৩৭৮৩৩৩ | মোছাঃ ইয়াছিন | মোছাঃ আয়েশা | ০১/০৪/১৯৭২ | গৃহিনী | জালতকা, গাংনী, মেহেরপুর |</t>
  </si>
  <si>
    <t>| ২৪৫ | মোছাঃ মহিমা খাতুন | ৫৭০০৫৬৩৭৮৩৩৭ | আবুল মন্ডল | আবেদা | ১০/১১/১৯৭০ | গৃহিনী | জালতকা, গাংনী, মেহেরপুর |</t>
  </si>
  <si>
    <t>| ২৪৬ | মোছাঃ নাসিমা খাতুন | ৫৭০০৫৬৩৭৮৩৩৮ | মকছেদ আলি | মোছাঃ রশিদা | ০৫/০৬/১৯৭১ | গৃহিনী | জালতকা, গাংনী, মেহেরপুর |</t>
  </si>
  <si>
    <t>| ২৪৭ | মোছাঃ রেশমা | ৫৭০০৫৬৩৭৮৩৪১ | মোছাঃ মজিদ | মোছাঃ ফজিয়া | ০৪/০২/১৯৮০ | গৃহিনী | জালতকা, গাংনী, মেহেরপুর |</t>
  </si>
  <si>
    <t>| ২৪৮ | মোছাঃ লাভলি খাতুন | ৫৭০০৫৬৩৭৮৩৪২ | নুরুল ইসলাম | মোছাঃ শামসুন্নাহার | ০৪/০৫/১৯৭৫ | গৃহিনী | জালতকা, গাংনী, মেহেরপুর |</t>
  </si>
  <si>
    <t>| ২৪৯ | মোছাঃ জুলেখা খাতুন | ৫৭০০৫৬৩৭৮৩৪৫ | মোছাঃ শহিদ মালিথা | মোছাঃ ছালেহা | ১১/১০/১৯৮৪ | গৃহিনী | জালতকা, গাংনী, মেহেরপুর |</t>
  </si>
  <si>
    <t>| ২৫০ | মোছাঃ হাছেনা | ৫৭০০৫৬৩৭৮৩৪৬ | আহাম্মদ | মোছাঃ আজিরন | ১১/১১/১৯৫৬ | গৃহিনী | জালশুকা, গাংনী, মেহেরপুর |</t>
  </si>
  <si>
    <t>| ২৫১ | মোছাঃ সইরন | ৫৭০০৫৬৩৭৮৩৪৭ | মোহাঃ কফিলদ্দ | মোছাঃ আছিয়া খাতুন | ০৫/০৫/১৯৬৫ | গৃহিনী | জালশুকা, গাংনী, মেহেরপুর |</t>
  </si>
  <si>
    <t>| ২৫২ | মোছাঃ সেলিনা খাতুন | ৫৭০০৫৬৩৭৮৩৪৮ | মোহাঃ বশিরউদ্দিন | মোছাঃ আকলিমা | ১১/০৯/১৯৭৪ | গৃহিনী | জালশুকা, গাংনী, মেহেরপুর |</t>
  </si>
  <si>
    <t>| ২৫৩ | মোছাঃ চাইনা খাতুন | ৫৭০০৫৬৩৭৮৩৫১ | মোহাঃ নুরুল ইসলাম | মোছাঃ সুন্দরী খাতুন | ১২/১০/১৯৭৮ | গৃহিনী | জালশুকা, গাংনী, মেহেরপুর |</t>
  </si>
  <si>
    <t>| ২৫৪ | মোছাঃ কফিরন | ৫৭০০৫৬৩৭৮৩৫১ | হাতেম আলী | মোছাঃ রহিমা | ১০/১০/১৯৮০ | গৃহিনী | জালশুকা, গাংনী, মেহেরপুর |</t>
  </si>
  <si>
    <t>| ২৫৫ | মোছাঃ আকলিমা | ৫৭০০৫৬৩৭৮৩৫২ | ওহাব | মোছাঃ জহিরন | ১০/১১/১৯৮৪ | গৃহিনী | জালশুকা, গাংনী, মেহেরপুর |</t>
  </si>
  <si>
    <t>| ২৫৬ | মোছাঃ জহুরা খাতুন | ৫৭০০৫৬৩৭৮৩৫৩ | তইজদ্দিন | ছালেহা | ১১/১০/১৯৪৬ | গৃহিনী | জালশুকা, গাংনী, মেহেরপুর |</t>
  </si>
  <si>
    <t>| ২৫৭ | মাইগ্রেট হয়েছে |  |  |  |  |  |  |</t>
  </si>
  <si>
    <t>| ২৫৮ | মোছাঃ ময়না | ৫৭০০৫৬৩৭৮৩৫৫ | মোহাঃ আব্দুল মান্নান | মোছাঃ আছিয়া | ১২/০৯/১৯৭৮ | গৃহিনী | জালশুকা, গাংনী, মেহেরপুর |</t>
  </si>
  <si>
    <t>| ২৫৯ | মোছাঃ মুক্তি | ৫৭০০৫৬৩৭৮৩৫৭ | মোহাঃ মহসিন মোল্লা | মোছাঃ জাহানারা | ১১/০৯/১৯৬৮ | গৃহিনী | জালশুকা, গাংনী, মেহেরপুর |</t>
  </si>
  <si>
    <t>| ২৬০ | মোছাঃ নাজিরা খাতুন | ৫৭০০৫৬৩৭৮৩৫৮ | মোহাঃ আকমান | মোছাঃ আরেজা | ১০/১১/১৯৮২ | গৃহিনী | জালশুকা, গাংনী, মেহেরপুর |</t>
  </si>
  <si>
    <t>| ২৬১ | মোছাঃ হালিমা খাতুন | ৫৭০০৫৬৩৭৮৩৫৯ | নঈমদ্দিন | ফয়জান | ১১/১০/১৯৪৬ | গৃহিনী | জালশুকা, গাংনী, মেহেরপুর |</t>
  </si>
  <si>
    <t>| ২৬২ | মোছাঃ ফারজিনা | ৫৭০০৫৬৩৭৮৩৬০ | মোহাঃ দাউদ হোসেন | মোছাঃ আকলিমা | ১০/০৯/১৯৮৪ | গৃহিনী | জালশুকা, গাংনী, মেহেরপুর |</t>
  </si>
  <si>
    <t>| ২৬৩ | মোছাঃ রহিমা খাতুন | ৫৭০০৫৬৩৭৮৩৬১ | মোহাঃ ইয়াকুব | রম্মেছা | ০১/১১/১৯৭৬ | গৃহিনী | জালশুকা, গাংনী, মেহেরপুর |</t>
  </si>
  <si>
    <t>| ২৬৪ | মোছাঃ মনোয়ারা | ৫৭০০৫৬৩৭৮৩৬২ | মোহাঃ আলফাজ | মোছাঃ আশামারা | ১০/০৮/১৯৭২ | গৃহিনী | জালশুকা, গাংনী, মেহেরপুর |</t>
  </si>
  <si>
    <t>| ২৬৫ | মোছাঃ কবিনুর | ৫৭০০৫৬৩৭৮৩৬৬ | মোহাঃ মোশারফ | মোছাঃ লুৎফন নেছা | ০১/০৩/১৯৭৫ | গৃহিনী | জালশুকা, গাংনী, মেহেরপুর |</t>
  </si>
  <si>
    <t>| ২৬৬ | মোছাঃ মুসলিমা | ৫৭০০৫৬৩৭৮৩৬৭ | মোহাঃ ইউনুছ | মোছাঃ জোহরা | ১০/১০/১৯৭৮ | গৃহিনী | জালশুকা, গাংনী, মেহেরপুর |</t>
  </si>
  <si>
    <t>| ২৬৭ | মোছাঃ জেসমিন | ৫৭০০৫৬৩৭৮৩৬৮ | মোহাঃ আবুল কাশেম | মোছাঃ হাওয়া বিবি | ০৩/০১/১৯৮২ | গৃহিনী | জালশুকা, গাংনী, মেহেরপুর |</t>
  </si>
  <si>
    <t>| ২৬৮ | মোছাঃ উম্মিয়া খাতুন (রেখা) | ৫৭০০৫৬৩৭৮৩৬৯ | মোহাঃ খলিলুর | মোছাঃ আনেছা | ০৩/০৫/১৯৮৪ | গৃহিনী | জালশুকা, গাংনী, মেহেরপুর |</t>
  </si>
  <si>
    <t>| ২৬৯ | মোছাঃ আম্বুরা খাতুন | ৫৭০০৫৬৩৭৮৩৭২ | মোহাঃ আব্দুল বারী | মোছাঃ আম্বিয়া | ১০/১১/১৯৭৬ | গৃহিনী | জালশুকা, গাংনী, মেহেরপুর |</t>
  </si>
  <si>
    <t>| ২৭০ | মোছাঃ নাজিরা খাতুন | ৫৭০০৫৬৩৭৮৩৭৩ | মোহাঃ আশান | মোছাঃ ওজিফা | ১০/১০/১৯৮৩ | গৃহিনী | জালশুকা, গাংনী, মেহেরপুর |</t>
  </si>
  <si>
    <t>| ২৭১ | মোছাঃ জোহরা খাতুন | ৫৭০০৫৬৩৭৮৩৭৫ | আজিবার মন্ডল | মোছাঃ রহিমা | ০৩/০১/১৯৭৫ | গৃহিনী | জালশুকা, গাংনী, মেহেরপুর |</t>
  </si>
  <si>
    <t>| ২৭২ | মোছাঃ পারভীন আক্তার | ৫৭০০৫৬৩৭৮৩৭৬ | মোহাঃ আবু সিদ্দিক | মোছাঃ রহিমা | ০৩/০৫/১৯৮৯ | গৃহিনী | জালশুকা, গাংনী, মেহেরপুর |</t>
  </si>
  <si>
    <t>| ২৭৩ | মোছাঃ হপুরা খাতুন | ৫৭০০৫৬৩৭৮৩৭৭ | মোহাঃ জমিরদ্দিন | মোছাঃ হাচেনা | ১১/১০/১৯৭৩ | গৃহিনী | জালশুকা, গাংনী, মেহেরপুর |</t>
  </si>
  <si>
    <t>| ২৭৪ | মাইগ্রেট হয়েছে |  |  |  |  |  |  |</t>
  </si>
  <si>
    <t>| ২৭৫ | মোছাঃ মলিদা | ৫৭০০৫৬৩৭৮৩৮২ | মোহাঃ আবুল কাশেম | মোছাঃ সাগরি | ১১/১০/১৯৭১ | গৃহিনী | জালশুকা, গাংনী, মেহেরপুর |</t>
  </si>
  <si>
    <t>| ২৭৬ | মোছাঃ রেহেনা খাতুন | ৫৭০০৫৬৩৭৮৩৮৪ | হাবিল | সাহুর বানু | ১৫/০৬/১৯৭৫ | গৃহিনী | জালশুকা, গাংনী, মেহেরপুর |</t>
  </si>
  <si>
    <t>| ২৭৭ | মোছাঃ সাহামারা | ৫৭০০৫৬৩৭৮৩৮৫ | রবজেল | মোছাঃ হামিদা | ০৪/০৬/১৯৮২ | গৃহিনী | জালশুকা, গাংনী, মেহেরপুর |</t>
  </si>
  <si>
    <t>| ২৭৮ | মোছাঃ রোজিনা খাতুন | ৫৭০০৫৬৩৭৮৩৮৬ | মোহাঃ সলিমউদ্দীন | মোছাঃ জরিনা | ০১/০১/১৯৯০ | ছাত্র/ছাত্রী | জালশুকা, গাংনী, মেহেরপুর |</t>
  </si>
  <si>
    <t>| ২৭৯ | মোছাঃ জরিনা খাতুন | ৫৭০০৫৬৩৭৮৩৮৭ | এলাহি বকস | মোছাঃ জবেদা খাতুন | ১৫/০৫/১৯৬২ | গৃহিনী | জালশুকা, গাংনী, মেহেরপুর |</t>
  </si>
  <si>
    <t>| ২৮০ | মোছাঃ মরজিনা | ৫৭০০৫৬৩৭৮৩৮৯ | মোহাঃ নিজামদ্দিন | মোছাঃ জলিমন | ১০/১০/১৯৮৩ | গৃহিনী | জালশুকা, গাংনী, মেহেরপুর |</t>
  </si>
  <si>
    <t>| ২৮১ | উম্মে সালমা মোছাঃ মনোয়ারা নাসিম খানম | ৫৭০০৫৬৩৭৮৩৯১ | আহসান আলী | মোছাঃ ফাজিয়া নাসিম খানম | ১৫/০৪/১৯৬৩ | গৃহিনী | জালশুকা, গাংনী, মেহেরপুর |</t>
  </si>
  <si>
    <t>| ২৮২ | মোছাঃ আনজিরা খাতুন | ৫৭০০৫৬৩৭৮৩৯৫ | ছছিরদ্দিন | ভানু | ৩০/১১/১৯৬২ | গৃহিনী | জালশুকা, গাংনী, মেহেরপুর |</t>
  </si>
  <si>
    <t>| ২৮৩ | মোছাঃ মঞ্জুরা | ৫৭০০৫৬৩৭৮৩৯৬ | মোহাঃ আজিল মালঞ্চি | মোছাঃ হাওয়া খাতুন | ১৫/১০/১৯৮৪ | গৃহিনী | জালশুকা, গাংনী, মেহেরপুর |</t>
  </si>
  <si>
    <t>| ২৮৪ | মোছাঃ আছিয়া খাতুন | ৫৭০০৫৬৩৭৮৩৯৭ | মোজাক মন্ডল | মোছাঃ মাহিরন | ১০/১০/১৯৮২ | গৃহিনী | জালশুকা, গাংনী, মেহেরপুর |</t>
  </si>
  <si>
    <t>| ২৮৫ | মোছাঃ জহুরা খাতুন | ৫৭০০৫৬৩৭৮৩৯৮ | আব্দুল | জবেদা | ১২/১০/১৯৫১ | গৃহিনী | জালশুকা, গাংনী, মেহেরপুর |</t>
  </si>
  <si>
    <t>| ২৮৬ | মোছাঃ নাছরিন | ৫৭০০৫৬৩৭৮৩৯৯ | ইসমাইল | মোছাঃ জবেদা | ১০/১১/১৯৮০ | গৃহিনী | জালশুকা, গাংনী, মেহেরপুর |</t>
  </si>
  <si>
    <t>| ২৮৭ | মোছাঃ তহমিন | ৫৭০০৫৬৩৭৮৪০০ | মোহাঃ আহদ তরী | লেহুর | ১১/০৫/১৯৮৬ | গৃহিনী | জালশুকা, গাংনী, মেহেরপুর |</t>
  </si>
  <si>
    <t>| ২৮৮ | মোছাঃ পিঞ্জিরা খাতুন | ৫৭০০৫৬৩৭৮৪০৭ | ছহিরদ্দিন | সোনাভানু | ১৫/১০/১৯৭০ | গৃহিনী | জালশুকা, গাংনী, মেহেরপুর |</t>
  </si>
  <si>
    <t>| ২৮৯ | মোছাঃ জরিনা খাতুন | ৫৭০০৫৬৩৭৮৪১২ | মোহাঃ আহাদ | শাহানুর | ১০/১০/১৯৮২ | গৃহিনী | জালশুকা, গাংনী, মেহেরপুর |</t>
  </si>
  <si>
    <t>| ২৯০ | মোছাঃ হাজেরা খাতুন | ৫৭০০৫৬৩৭৮৪২০ | মোহাঃ আলম শেখ | মোছাঃ সোহাগী খাতুন | ১০/১০/১৯৬৬ | গৃহিনী | জালশুকা, গাংনী, মেহেরপুর |</t>
  </si>
  <si>
    <t>| ২৯১ | মোছাঃ হালিমা খাতুন | ৫৭০০৫৬৩৭৮৪২২ | আইজদ্দিন | মোছাঃ করিমন নেছা | ১৫/১০/১৯৭৬ | গৃহিনী | জালশুকা, গাংনী, মেহেরপুর |</t>
  </si>
  <si>
    <t>| ২৯২ | মোছাঃ আনজিরা বেগম | ৫৭০০৫৬৩৭৮৪২৩ | মোহাঃ পিজিরদ্দিন | মোছাঃ নুরজাহান | ১৫/১০/১৯৫৬ | গৃহিনী | জালশুকা, গাংনী, মেহেরপুর |</t>
  </si>
  <si>
    <t>| ২৯৩ | মোছাঃ সারজিনা খাতুন | ৫৭০০৫৬৩৭৮৪২৪ | মোহাঃ শরীফউদ্দিন | মোছাঃ তহমিনা | ১০/১০/১৯৮২ | গৃহিনী | জালশুকা, গাংনী, মেহেরপুর |</t>
  </si>
  <si>
    <t>| ২৯৪ | মোছাঃ রজিলা | ৫৭০০৫৬৩৭৮৪২৮ | মোহাঃ একরামুল | মোছাঃ জাহারারা | ১২/১০/১৯৭৪ | গৃহিনী | জালশুকা, গাংনী, মেহেরপুর |</t>
  </si>
  <si>
    <t>| ২৯৫ | মোছাঃ চন্দনা খাতুন | ৫৭০০৫৬৩৭৮৪২৯ | মোহাঃ জালালউদ্দিন | মোছাঃ আমেনা | ১০/১০/১৯৮৬ | গৃহিনী | জালশুকা, গাংনী, মেহেরপুর |</t>
  </si>
  <si>
    <t>| ২৯৬ | মোছাঃ আকলিমা | ৫৭০০৫৬৩৭৮৪৩০ | ছলেমান | মোছাঃ কাছিরন | ১০/০৬/১৯৫২ | গৃহিনী | জালশুকা, গাংনী, মেহেরপুর |</t>
  </si>
  <si>
    <t>| ২৯৭ | মোছাঃ সুরভী খাতুন | ৫৭০০৫৬৩৭৮৪৩১ | মোহাঃ মহশিন আলি | মোছাঃ তহমিনা | ১০/১০/১৯৮৫ | গৃহিনী | জালশুকা, গাংনী, মেহেরপুর |</t>
  </si>
  <si>
    <t>| ২৯৮ | মোছাঃ রেহেনা বেগম | ৫৭০০৫৬৩৭৮৪৩৪ | সোনাহার | খাদিজা বেগম | ১০/১১/১৯৮৭ | গৃহিনী | জালশুকা, গাংনী, মেহেরপুর |</t>
  </si>
  <si>
    <t>| ২৯৯ | মোছাঃ সুলতানা খাতুন | ৫৭০০৫৬৩৭৮৪৩৫ | মোহাঃ পাঁচু | মোছাঃ আয়েশা | ১০/১০/১৯৭৪ | গৃহিনী | জালশুকা, গাংনী, মেহেরপুর |</t>
  </si>
  <si>
    <t>| ৩০০ | মোছাঃ মহিরন | ৫৭০০৫৬৩৭৮৪৩৭ | আব্দুল মুনসি | ছানোয়ারা | ১০/১০/১৯৭২ | গৃহিনী | জালশুকা, গাংনী, মেহেরপুর |</t>
  </si>
  <si>
    <t>| ৩০১ | মোছাঃ রেবেকা খাতুন | ৫৭০০৫৬৩৭৮৪৩৮ | আহাদ | মোছাঃ খোদেজা | ১৫/১১/১৯৮৪ | গৃহিনী | জালশুকা, গাংনী, মেহেরপুর |</t>
  </si>
  <si>
    <t>| ৩০২ | মোছাঃ তছুরা খাতুন | ৫৭০০৫৬৩৭৮৪৩৯ | মোজাহার | ছাহারন | ১০/১০/১৯৫৭ | গৃহিনী | জালশুকা, গাংনী, মেহেরপুর |</t>
  </si>
  <si>
    <t>| ৩০৩ | মোছাঃ মেহেরনিগার | ৫৭০০৫৬৩৭৮৪৪০ | কেসমত | মোছাঃ কহিনুর | ১৫/০৭/১৯৭৮ | গৃহিনী | জালশুকা, গাংনী, মেহেরপুর |</t>
  </si>
  <si>
    <t>| ৩০৪ | মোছাঃ কহিনুর | ৫৭০০৫৬৩৭৮৪৪১ | রুস্তম | মোছাঃ তিতু | ১০/১০/১৯৩৬ | গৃহিনী | জালশুকা, গাংনী, মেহেরপুর |</t>
  </si>
  <si>
    <t>| ৩০৫ | মোছাঃ আসামুর | ৫৭০০৫৬৩৭৮৪৪২ | রুস্তম | তিতু বিবি | ১২/০৬/১৯৫৬ | গৃহিনী | জালশুকা, গাংনী, মেহেরপুর |</t>
  </si>
  <si>
    <t>| ৩০৬ | মোছাঃ মিনারা খাতুন | ৫৭০০৫৬৩৭৮৪৪৩ | মোহাঃ রইছদ্দিন | অজিফা | ১০/০৫/১৯৬১ | গৃহিনী | জালশুকা, গাংনী, মেহেরপুর |</t>
  </si>
  <si>
    <t>| ৩০৭ | মোছাঃ শাহিদা খাতুন | ৫৭০০৫৬৩৭৮৪৪৫ | আকবর | রইমন | ১০/০৬/১৯৭২ | গৃহিনী | জালশুকা, গাংনী, মেহেরপুর |</t>
  </si>
  <si>
    <t>| ৩০৮ | মোছাঃ সোনা ভানু | ৫৭০০৫৬৩৭৮৪৪৬ | মোহাঃ জাহা বকস | মোছাঃ ছবেদা | ১১/১১/১৯৭৪ | গৃহিনী | জালশুকা, গাংনী, মেহেরপুর |</t>
  </si>
  <si>
    <t>| ৩০৯ | মোছাঃ আদরী খাতুন | ৫৭০০৫৬৩৭৮৪৪৭ | মোহাঃ জাহা বকস | পরিছন | ০৪/০৮/১৯৭৮ | গৃহিনী | জালশুকা, গাংনী, মেহেরপুর |</t>
  </si>
  <si>
    <t>| ৩১০ | মোছাঃ ছামিরন | ৫৭০০৫৬৩৭৮৪৪৮ | মোহাঃ উমাদ মন্ডল | মোছাঃ নূর জাহান | ১০/০৯/১৯৮২ | গৃহিনী | জালশুকা, গাংনী, মেহেরপুর |</t>
  </si>
  <si>
    <t>| ৩১১ | মোছাঃ ছপুরা খাতুন | ৫৭০০৫৬৩৭৮৪৫০ | মজুহার | ছাহারন | ০১/১০/১৯৫৬ | গৃহিনী | জালশুকা, গাংনী, মেহেরপুর |</t>
  </si>
  <si>
    <t>| ৩১২ | মোছাঃ ছাবিনা খাতুন | ৫৭০০৫৬৩৭৮৪৬০ | মোহাঃ কুদরত আলি | মোহাঃ হাওয়া খাতুন | ০১/০১/১৯৮৯ | গৃহিনী | জালশুকা, গাংনী, মেহেরপুর |</t>
  </si>
  <si>
    <t>| ৩১৩ | মোছাঃ আনজিরা বেগম | ৫৭০০৫৬৩৭৮৪৬৪ | মোহাঃ নুরুল ইসলাম | মোছাঃ শখের বানু | ১০/০৭/১৯৭৮ | গৃহিনী | জালশুকা, গাংনী, মেহেরপুর |</t>
  </si>
  <si>
    <t>| ৩১৪ | মোছাঃ ফিরোজা খাতুন | ৫৭০০৫৬৩৭৮৪৬৫ | মোজাহার মুনশি | সাহারন | ০৪/১০/১৯৪৭ | গৃহিনী | জালশুকা, গাংনী, মেহেরপুর |</t>
  </si>
  <si>
    <t>| ৩১৫ | মোছাঃ ফাতেমা খাতুন | ৫৭০০৫৬৩৭৮৪৬৬ | মোহাঃ নজরুল | মোহাঃ ফিরোজা | ০১/০১/১৯৯০ | গৃহিনী | জালশুকা, গাংনী, মেহেরপুর |</t>
  </si>
  <si>
    <t>| ৩১৬ | মোছাঃ নূরজাহান বেগম | ৫৭০০৫৬৩৭৮৪৬৭ | নিয়ামত | মোছাঃ মফিজান খাতুন | ০১/০১/১৯৪৯ | গৃহিনী | জালশুকা, গাংনী, মেহেরপুর |</t>
  </si>
  <si>
    <t>| ৩১৭ | মোছাঃ রাবিয়া খাতুন | ৫৭০০৫৬৩৭৮৪৭৫ | মোহাঃ কাবাতুল্লা | মোছাঃ জোহরা | ১০/১১/১৯৭৭ | গৃহিনী | জালশুকা, গাংনী, মেহেরপুর |</t>
  </si>
  <si>
    <t>| ৩১৮ | মোছাঃ আমেনা খাতুন | ৫৭০০৫৬৩৭৮৪৭৬ | আব্দুল জলিল | নিগারন নেছা | ১৫/১০/১৯৪৭ | গৃহিনী | জালশুকা, গাংনী, মেহেরপুর |</t>
  </si>
  <si>
    <t>| ৩১৯ | মোছাঃ আসানুর | ৫৭০০৫৬৩৭৮৪৭৯ | সাবান | ফাতেমা | ১০/১০/১৯৫৭ | গৃহিনী | জালশুকা, গাংনী, মেহেরপুর |</t>
  </si>
  <si>
    <t>| ৩২০ | মোছাঃ ফেদি | ৫৭০০৫৬৩৭৮৪৮৪ | মোহাঃ তারাচাদ | মোছাঃ সাজেদা | ০৮/০২/১৯৭৭ | গৃহিনী | জালশুকা, গাংনী, মেহেরপুর |</t>
  </si>
  <si>
    <t>| ৩২১ | মোছাঃ তাছিরন | ৫৭০০৫৬৩৭৮৪৮৫ | মোহাঃ আব্দুল মুন্সি | খানুরা | ১১/১০/১৯৬২ | গৃহিনী | জালশুকা, গাংনী, মেহেরপুর |</t>
  </si>
  <si>
    <t>| ৩২২ | মোছাঃ সাবিনা খাতুন | ৫৭০০৫৬৩৭৮৪৯১ | মোহাঃ মিরাজ | মোছাঃ ছালেহা | ১২/১০/১৯৮৮ | গৃহিনী | জালশুকা, গাংনী, মেহেরপুর |</t>
  </si>
  <si>
    <t>| ৩২৩ | মোছাঃ নুরাতন | ৫৭০০৫৬৩৭৮৪৯২ | মোহাঃ আনিস | মোছাঃ ছামিরন | ১০/০৫/১৯৬৭ | গৃহিনী | জালশুকা, গাংনী, মেহেরপুর |</t>
  </si>
  <si>
    <t>| ৩২৪ | মোছাঃ গুলশান আরা | ৫৭০০৫৬৩৭৮৪৯৩ | মোহাঃ আজিজার | মোছাঃ জছিরন | ১২/১১/১৯৬২ | গৃহিনী | জালশুকা, গাংনী, মেহেরপুর |</t>
  </si>
  <si>
    <t>| ৩২৫ | মোছাঃ রমেছা | ৫৭০০৫৬৩৭৮৪৯৫ | মোহাঃ মকবুল | মাতাঃ ভিতুমন | ০১/০৩/১৯৬৭ | গৃহিনী | জালশুকা, গাংনী, মেহেরপুর |</t>
  </si>
  <si>
    <t>| ৩২৬ | মোছাঃ সুরাইয়া | ৫৭০০৫৬৩৭৮৪৯৭ | মোহাঃ সফিরদ্দিন | মোছাঃ ফেরদোসি | ১০/১০/১৯৮৮ | গৃহিনী | জালশুকা, গাংনী, মেহেরপুর |</t>
  </si>
  <si>
    <t>| ৩২৭ | মোছাঃ সাহারবানু | ৫৭০০৫৬৩৭৮৪৯৮ | পিতাঃ মোহাঃ আজিজার | মোছাঃ জছিরন | ০৩/০৫/১৯৬৭ | গৃহিনী | জালশুকা, গাংনী, মেহেরপুর |</t>
  </si>
  <si>
    <t>| ৩২৮ | মোছাঃ রাশিদা খাতুন | ৫৭০০৫৬৩৭৮৫০১ | মোহাঃ আজিমদ্দিন | মোছাঃ ছপুরা খাতুন | ০৫/০৬/১৯৮০ | শিক্ষক | জালশুকা, গাংনী, মেহেরপুর |</t>
  </si>
  <si>
    <t>| ৩২৯ | মোছাঃ পানছুরাতন | ৫৭০০৫৬৩৭৮৫১২ | বাহুর আলী | জবেদা | ১০/০৫/১৯৪৭ | গৃহিনী | জালশুকা, গাংনী, মেহেরপুর |</t>
  </si>
  <si>
    <t>| ৩৩০ | মোছাঃ শ্রাবনী আক্তার | ৫৭০০৫৬৩৭৮৫১৩ | মোহাঃ হাবিবুর রহমান | মোছাঃ ফরিদা আক্তার | ১০/১২/১৯৮৯ | গৃহিনী | জালশুকা, গাংনী, মেহেরপুর |</t>
  </si>
  <si>
    <t>| ৩৩১ | মোছাঃ আনুরা খাতুন | ৫৭০০৫৬৩৭৮৫১৮ | ছইমদ্দিন | হাচাতন | ০৩/০৪/১৯৭২ | গৃহিনী | জালশুকা, গাংনী, মেহেরপুর |</t>
  </si>
  <si>
    <t>| ৩৩২ | মোছাঃ ফিরোজা খাতুন | ৫৭০০৫৬৩৭৮৫১৯ | মোহাঃ রবকুল | মোছাঃ রশিদা | ০৫/০৬/১৯৫৭ | গৃহিনী | জালশুকা, গাংনী, মেহেরপুর |</t>
  </si>
  <si>
    <t>| ৩৩৩ | মোছাঃ সুবারোন | ৫৭০০৫৬৩৭৮৫২০ | মোহাঃ অজিত | মোছাঃ চান্তরা | ১০/০৪/১৯৭৫ | গৃহিনী | জালশুকা, গাংনী, মেহেরপুর |</t>
  </si>
  <si>
    <t>| ৩৩৪ | মোছাঃ জামিরন | ৫৭০০৫৬৩৭৮৫২১ | মোহাঃ গেদের আলি | মোছাঃ সোহাগী | ১০/১০/১৯৭৫ | গৃহিনী | জালশুকা, গাংনী, মেহেরপুর |</t>
  </si>
  <si>
    <t>| ৩৩৫ | মোছাঃ বেদানা | ৫৭০০৫৬৩৭৮৫২৩ | মোহাঃ রমজান | মোছাঃ আনজিরা | ১০/০৫/১৯৫৭ | গৃহিনী | জালশুকা, গাংনী, মেহেরপুর |</t>
  </si>
  <si>
    <t>| ৩৩৬ | মোছাঃ তছলিমা | ৫৭০০৫৬৩৭৮৫২৪ | মোহাঃ ফয়জদ্দিন | গায়রুন | ১২/১০/১৯৬৯ | গৃহিনী | জালশুকা, গাংনী, মেহেরপুর |</t>
  </si>
  <si>
    <t>| ৩৩৭ | মোছাঃ আছিয়া খাতুন | ৫৭০০৫৬৩৭৮৫২৫ | হারান মন্ডল | মাখন | ০১/১০/১৯৫২ | গৃহিনী | জালশুকা, গাংনী, মেহেরপুর |</t>
  </si>
  <si>
    <t>| ৩৩৮ | মোছাঃ সাহেরা খাতুন | ৫৭০০৫৬৩৭৮৫২৬ | জয়নাল উদ্দীন | মোছাঃ তহরা | ১২/১০/১৯৫৭ | গৃহিনী | জালশুকা, গাংনী, মেহেরপুর |</t>
  </si>
  <si>
    <t>| ৩৩৯ | মোছাঃ তরিছন | ৫৭০০৫৬৩৭৮৫৩০ | রুস্তম | আবেদা | ১২/১০/১৯৬২ | গৃহিনী | জালশুকা, গাংনী, মেহেরপুর |</t>
  </si>
  <si>
    <t>| ৩৪০ | মোছাঃ হাজেরা | ৫৭০০৫৬৩৭৮৫৩১ | আব্দুল খালেক | মোছাঃ ছিয়াতন | ১০/১১/১৯৬৭ | গৃহিনী | জালশুকা, গাংনী, মেহেরপুর |</t>
  </si>
  <si>
    <t>| ৩৪১ | মোছাঃ তানিয়া | ৫৭০০৫৬৩৭৮৫৩৩ | মোহাঃ কোরমান | মোছাঃ ফুটরি | ১০/১০/১৯৮৯ | গৃহিনী | জালশুকা, গাংনী, মেহেরপুর |</t>
  </si>
  <si>
    <t>| ৩৪২ | মোছাঃ রিনা খাতুন | ৫৭০০৫৬৩৭৮৫৩৪ | আব্দুল শেখ | সবুরা | ১০/১০/১৯৭২ | গৃহিনী | জালশুকা, গাংনী, মেহেরপুর |</t>
  </si>
  <si>
    <t>| ৩৪৩ | মোছাঃ সুফিয়া খাতুন | ৫৭০০৫৬৩৭৮৫৩৫ | মোহাঃ রফিকুল | ফুলজান | ১২/১০/১৯৬৯ | গৃহিনী | জালশুকা, গাংনী, মেহেরপুর |</t>
  </si>
  <si>
    <t>| ৩৪৪ | মোছাঃ আনজিরা | ৫৭০০৫৬৩৭৮৫৩৬ | মোহাঃ দিদার বক্স | মোছাঃ রাজিয়া | ১০/০৭/১৯৬২ | গৃহিনী | জালশুকা, গাংনী, মেহেরপুর |</t>
  </si>
  <si>
    <t>| ৩৪৫ | মোছাঃ নাজিরা | ৫৭০০৫৬৩৭৮৫৩৭ | মোহাঃ রইছদ্দিন | ওজিফা | ১০/১১/১৯৭৭ | গৃহিনী | জালশুকা, গাংনী, মেহেরপুর |</t>
  </si>
  <si>
    <t>| ৩৪৬ | মোছাঃ ছামছুন্নাহার | ৫৭০০৫৬৩৭৮৫৪০ | পিজিরদ্দিন | মোছাঃ তুলাবজান | ০৮/০৩/১৯৬০ | গৃহিনী | জালশুকা, গাংনী, মেহেরপুর |</t>
  </si>
  <si>
    <t>| ৩৪৭ | মোছাঃ হাজেরা খাতুন | ৫৭০০৫৬৩৭৮৫৩৯ | আব্দুল খালেক | মোছাঃ কুরছিয়া | ০১/১০/১৯৮৮ | গৃহিনী | জালশুকা, গাংনী, মেহেরপুর |</t>
  </si>
  <si>
    <t>| ৩৪৮ | মোছাঃ রোজিনা খাতুন | ৫৭০০৫৬৩৭৮৫৪ ১ | রবজেল | মোছাঃ মনোয়ারা | ১০/০৩/১৯৮৫ | গৃহিনী | জালশুকা, গাংনী, মেহেরপুর |</t>
  </si>
  <si>
    <t>| ৩৪৯ | মোছাঃ হাবেলা খাতুন | ৫৭০০৫৬৩৭৮৫৪২ | দিদার মন্ডল | ফয়জান নেছা | ১৪/১০/১৯৩৭ | গৃহিনী | জালশুকা, গাংনী, মেহেরপুর |</t>
  </si>
  <si>
    <t>| ৩৫০ | মোছাঃ অনুরা | ৫৭০০৫৬৩৭৮৫৪৬ | ইয়াজদ্দিন | রাহতন | ০১/০১/১৯৫২ | গৃহিনী | জালশুকা, গাংনী, মেহেরপুর |</t>
  </si>
  <si>
    <t>| ৩৫১ | মোছাঃ ছিয়াতন | ৫৭০০৫৬৩৭৮৫৪৭ | রুস্তম | আবেদা | ১৮/১০/১৯৪৭ | গৃহিনী | জালশুকা, গাংনী, মেহেরপুর |</t>
  </si>
  <si>
    <t>| ৩৫২ | মোছাঃ তহরা | ৫৭০০৫৬৩৭৮৫৪৮ | রুস্তম | আবেদা | ১২/১০/১৯৫২ | গৃহিনী | জালশুকা, গাংনী, মেহেরপুর |</t>
  </si>
  <si>
    <t>| ৩৫৩ | মোছাঃ সোহাগী | ৫৭০০৫৬৩৭৮৫৫০ | মোতালেব | আনার জান | ১০/০৮/১৯৪৭ | গৃহিনী | জালশুকা, গাংনী, মেহেরপুর |</t>
  </si>
  <si>
    <t>| ৩৫৪ | মোছাঃ তহমিনা | ৫৭০০৫৬৩৭৮৫৫২ | মোহাঃ আজিজার | মোছাঃ জছিরন | ১৮/১০/১৯৫২ | গৃহিনী | জালশুকা, গাংনী, মেহেরপুর |</t>
  </si>
  <si>
    <t>| ৩৫৫ | মোছাঃ মাছুরা | ৫৭০০৫৬৩৭৮৫৫৩ | মোহাঃ আব্দুল মুনসি | ছানুরা | ১০/০৪/১৯৮২ | গৃহিনী | জালশুকা, গাংনী, মেহেরপুর |</t>
  </si>
  <si>
    <t>| ৩৫৬ | মোছাঃ ছানোয়ারা | ৫৭০০৫৬৩৭৮৫৫৪ | মোহাঃ গেদ আলী | মৃত জাহানারা | ১২/১০/১৯৭২ | গৃহিনী | জালশুকা, গাংনী, মেহেরপুর |</t>
  </si>
  <si>
    <t>| ৩৫৭ | মোছাঃ মোস্তারা | ৫৭০০৫৬৩৭৮৫৫৬ | মোহাঃ ছাত্তার | মোছাঃ আরিমর | ১০/১২/১৯৮৭ | গৃহিনী | জালশুকা, গাংনী, মেহেরপুর |</t>
  </si>
  <si>
    <t>| ৩৫৮ | মোছাঃ হালিমা খাতুন | ৫৭০০৫৬৩৭৮৫৭১ | জহিরদ্দিন | জায়রন | ১২/১০/১৯৫২ | গৃহিনী | জালশুকা, গাংনী, মেহেরপুর |</t>
  </si>
  <si>
    <t>| ৩৫৯ | মোছাঃ জফিরন | ৫৭০০৫৬৩৭৮৫৭৫ | কছিমদ্দিন | ইজারন | ১০/০৪/১৯৪২ | গৃহিনী | জালশুকা, গাংনী, মেহেরপুর |</t>
  </si>
  <si>
    <t>| ৩৬০ | মোছাঃ ছাহারন খাতুন | ৫৭০০৫৬৩৭৮৫৮০ | জব্বার | মাহিরন | ১২/১০/১৯৩২ | গৃহিনী | জালশুকা, , গাংনী, মেহেরপুর |</t>
  </si>
  <si>
    <t>| ৩৬১ | মোছাঃ জাহানারা খাতুন | ৫৭০০৫৬৩৭৮৬০২ | মোহাঃ শুকুর আলী | মোছাঃ মনোয়ারা খাতুন | ০৭/০৬/১৯৮৩ | গৃহিনী | জালশুকা বালিয়া পাড়া, কসবা, গাংনী, মেহেরপুর |</t>
  </si>
  <si>
    <t>| ৩৬২ | মোছাঃ পারভিনা খাতুন | ৫৭০০৫৬৩৭৮৬০৩ | মোহাঃ আইছদ্দিন | মোছাঃ পারুলা খাতুন | ০৮/০৫/১৯৮২ | গৃহিনী | জালশুকা বালিয়া পাড়া, কসবা, গাংনী, মেহেরপুর |</t>
  </si>
  <si>
    <t>| ৩৬৩ | মোছাঃ ছবেদা খাতুন | ৫৭০০৫৬৩৭৮৬০৮ | ইয়াছিন বিশ্বাস | ইমিন নেছা | ২৩/০৮/১৯৫৯ | গৃহিনী | জালশুকা বালিয়া পাড়া, কসবা, গাংনী, মেহেরপুর |</t>
  </si>
  <si>
    <t>| ৩৬৪ | মোছাঃ রেনু খাতুন | ৫৭০০৫৬৩৭৮৬০৯ | মোহাঃ মুবারেক আলী | মোছাঃ পিনজিরা খাতুন | ০৭/০৫/১৯৬৭ | গৃহিনী | জালশুকা বালিয়া পাড়া, কসবা, গাংনী, মেহেরপুর |</t>
  </si>
  <si>
    <t>| ৩৬৫ | মোছাঃ রুপালী খাতুন | ৫৭০০৫৬৩৭৮৬১৪ | মোহাঃ ইলাহি বকস | মোছাঃ সুফিয়া খাতুন | ২৫/০৫/১৯৮২ | গৃহিনী | জালশুকা বালিয়া পাড়া, কসবা, গাংনী, মেহেরপুর |</t>
  </si>
  <si>
    <t>| ৩৬৬ | মোছাঃ হাজেরা খাতুন | ৫৭০০৫৬৩৭৮৬১৫ | কালু পরামানিক | করিমন নেছা | ২১/০৯/১৯৪৭ | গৃহিনী | জালশুকা বালিয়া পাড়া, কসবা, গাংনী, মেহেরপুর |</t>
  </si>
  <si>
    <t>| ৩৬৭ | মোছাঃ তহমিনা খাতুন | ৫৭০০৫৬৩৭৮৬১৬ | মোহাঃ ছায়ন আলী | মোছাঃ হাসিনা খাতুন | ০৫/০৮/১৯৮৫ | গৃহিনী | জালশুকা বালিয়া পাড়া, কসবা, গাংনী, মেহেরপুর |</t>
  </si>
  <si>
    <t>| ৩৬৮ | মোছাঃ বাছিরন খাতুন | ৫৭০০৫৬৩৭৮৬১৭ | মুছাহক | মোছাঃ ওজিফা খাতুন | ২২/০৫/১৯৬৭ | গৃহিনী | জালশুকা বালিয়া পাড়া, কসবা, গাংনী, মেহেরপুর |</t>
  </si>
  <si>
    <t>| ৩৬৯ | মোছাঃ বেদেনা খাতুন | ৫৭০০৫৬৩৭৮৬১৮ | মোহাঃ দবিরুদ্দিন | মোছাঃ জয়নব খাতুন | ০৮/১০/১৯৪৫ | গৃহিনী | জালশুকা বালিয়া পাড়া, কসবা, গাংনী, মেহেরপুর |</t>
  </si>
  <si>
    <t>| ৩৭০ | মোছাঃ নাছিমা খাতুন | ৫৭০০৫৬৩৭৮৬১৯ | মোহাঃ বরকুল মন্ডল | মোছাঃ হাজেরা খাতুন | ০৬/০৮/১৯৭৩ | গৃহিনী | জালশুকা বালিয়া পাড়া, কসবা, গাংনী, মেহেরপুর |</t>
  </si>
  <si>
    <t>| ৩৭১ | মোছাঃ জাহানুর খাতুন | ৫৭০০৫৬৩৭৮৬২২ | ছাদেক বিবি | লক্ষি বিবি | ০৫/০৮/১৯৬২ | গৃহিনী | জালশুকা বালিয়া পাড়া, কসবা, গাংনী, মেহেরপুর |</t>
  </si>
  <si>
    <t>| ৩৭২ | মোছাঃ শেফালী খাতুন | ৫৭০০৫৬৩৭৮৬২৭ | মোহাঃ কাশেম আলী | মোছাঃ তাসলিমা খাতুন | ২৯/০৫/১৯৮৩ | গৃহিনী | জালশুকা বালিয়া পাড়া, কসবা, গাংনী, মেহেরপুর |</t>
  </si>
  <si>
    <t>| ৩৭৩ | মোছাঃ সাহেরা খাতুন | ৫৭০০৫৬৩৭৮৬২৮ | তমোলী | মোছাঃ দেলজান নেছা | ২২/০৮/১৯৭২ | গৃহিনী | জালশুকা বালিয়া পাড়া, কসবা, গাংনী, মেহেরপুর |</t>
  </si>
  <si>
    <t>| ৩৭৪ | মোছাঃ রোজিফা খাতুন | ৫৭০০৫৬৩৭৮৬২৯ | মোহাঃ আঃ রশিদ | মোছাঃ আছিয়া খাতুন | ২১/০৭/১৯৭২ | গৃহিনী | জালশুকা বালিয়া পাড়া, কসবা, গাংনী, মেহেরপুর |</t>
  </si>
  <si>
    <t>| ৩৭৫ | মোছাঃ জুলেখা খাতুন | ৫৭০০৫৬৩৭৮৬৩০ | শমসের আলী | মোছাঃ মাহিরন নেছা | ০৯/১১/১৯৪৭ | গৃহিনী | জালশুকা বালিয়া পাড়া, গাংনী, মেহেরপুর |</t>
  </si>
  <si>
    <t>| ৩৭৬ | মোছাঃ সাগরা খাতুন | ৫৭০0৫৬৩৭৮৬৩৬ | মো: নবেজদ্দিন | মোছা হারেজান | ১৮/১০/১৯৮০ | গৃহিণী | জালশুকা বালিয়া পাড়া, গাংনী, মেহেরপুর |</t>
  </si>
  <si>
    <t>| ৩৭৭ | মোছাঃ রেহেনা খাতুন | ৫৭০0৫৬৩৭৮৬৩৭ | মো: আব্দুর রহমান | মোছা: মর্জিনা খাতুন | ১২/১০/১৯৮২ | গৃহিণী | জালশুকা বালিয়া পাড়া, কসবা, গাংনী, মেহেরপুর |</t>
  </si>
  <si>
    <t>| ৩৭৮ | মোছাঃ রওশন আরা খাতুন | ৫৭০0৫৬৩৭৮৬৩৮ | মো: গাজরালী | মোছা: জুলেখা খাতুন | ০৯/১০/১৯৮৩ | গৃহিণী | জালশুকা বালিয়া পাড়া, কসবা, গাংনী, মেহেরপুর |</t>
  </si>
  <si>
    <t>| ৩৭৯ | নাম: মোছা: জেসমিন আরা | ৫৭০0৫৬৩৭৮৬৪০ | মো: নূর হক (ফকির) | মোছা: আরবিয়া খাতুন | ০৮/০৯/১৯৮৮ | গৃহিণী | জালশুকা বালিয়া পাড়া, কসবা, গাংনী, মেহেরপুর |</t>
  </si>
  <si>
    <t>| ৩৮০ | নাম: মোছা: জেসমিন আরা | ৫৭০0৫৬৩৭৮৬৪৩ | হাফিজুর রহমান | মোছা: মেনু খাতুন | ০৫/১০/১৯৭৭ | গৃহিণী | জালশুকা বালিয়া পাড়া, কসবা, গাংনী, মেহেরপুর |</t>
  </si>
  <si>
    <t>| ৩৮১ | নাম: মোছা: রোকিয়া খাতুন | ৫৭০0৫৬৩৭৮৬৪৪ | হারান মন্ডল | মোছা: সাহেরা খাতুন | ১৫/০৮/১৯৪৭ | গৃহিণী | জালশুকা, গাংনী, মেহেরপুর |</t>
  </si>
  <si>
    <t>| ৩৮২ | নাম: মোছা: জরিনা খাতুন | ৫৭০0৫৬৩৭৮৬৪৬ | মো: সাবিছদ্দিন | মোছা: আমিনা খাতুন | ০৮/১১/১৯৭৭ | গৃহিণী | জালশুকা বালিয়া পাড়া, কসবা, গাংনী, মেহেরপুর |</t>
  </si>
  <si>
    <t>| ৩৮৩ | নাম: মোছা: আল্লাদী খাতুন | ৫৭০0৫৬৩৭৮৬৪৮ | মো: ফরিদ আলী | মোছা: হামিদা খাতুন | ০৪/১০/১৯৮২ | গৃহিণী | জালশুকা বালিয়া পাড়া, কসবা, গাংনী, মেহেরপুর |</t>
  </si>
  <si>
    <t>| ৩৮৪ | নাম: মোছা: আলিয়া খাতুন | ৫৭০0৫৬৩৭৮৬৫০ | মো: রইতাল আলী | মোছা: আতরা খাতুন | ১৮/০৫/১৯৮৭ | গৃহিণী | জালশুকা বালিয়া পাড়া, কসবা, গাংনী, মেহেরপুর |</t>
  </si>
  <si>
    <t>| ৩৮৫ | নাম: মোছা: নাজিরা খাতুন | ৫৭০0৫৬৩৭৮৬৫১ | মো: জলিরুদ্দিন | মোছা: হাজিরা খাতুন | ০৮/০৬/১৯৬৪ | গৃহিণী | জালশুকা বালিয়া পাড়া, কসবা, গাংনী, মেহেরপুর |</t>
  </si>
  <si>
    <t>| ৩৮৬ | নাম: মো: আশিদা খাতুন | ৫৭০0৫৬৩৭৮৬৫২ | ইসমাইল হোসেন | মোছা: হামেদা খাতুন | ০৫/১০/১৯৮১ | গৃহিণী | জালশুকা বালিয়া পাড়া, গাংনী, মেহেরপুর |</t>
  </si>
  <si>
    <t>| ৩৮৭ | নাম: মোছা: পারুলা খাতুন | ৫৭০0৫৬৩৭৮৬৫৩ | এলিমদ্দি | মোছা: আমিনা খাতুন | ০৮/১২/১৯৭২ | গৃহিণী | জালশুকা বানিয়াপাড়া, জালশুকা, গাংনী, মেহেরপুর |</t>
  </si>
  <si>
    <t>| ৩৮৮ | নাম: মোছা: খুকী বেগম | ৫৭০0৫৬৩৭৮৬৫৪ | আঈনুদ্দিন | মোছা: চিরাপান খাতুন | ০৮/১২/১৯৩৭ | গৃহিণী | জালশুকা বালিয়া পাড়া, কসবা, গাংনী, মেহেরপুর |</t>
  </si>
  <si>
    <t>| ৩৮৯ | নাম: মোছা: আনজিরা খাতুন | ৫৭০0৫৬৩৭৮৬৫৫ | মো: জয়নাল মন্ডল | মোছা: রইমন খাতুন | ০৭/১০/১৯৮২ | গৃহিণী | জালশুকা বালিয়া পাড়া, কসবা, গাংনী, মেহেরপুর |</t>
  </si>
  <si>
    <t>| ৩৯০ | নাম: মোছা: কমেলা খাতুন | ৫৭০0৫৬৩৭৮৬৫৬ | মো: চাঁদ মন্ডল | মোছা: সখিনা খাতুন | ০৮/০৯/১৯৭১ | গৃহিণী | জালশুকা বালিয়া পাড়া, কসবা, গাংনী, মেহেরপুর |</t>
  </si>
  <si>
    <t>| ৩৯১ | নাম: মোছা: হাফিজা খাতুন | ৫৭০0৫৬৩৭৮৬৫৭ | মো: আজাহার মন্ডল | মোছা: সাহেরা খাতুন | ০৯/১১/১৯৮৭ | গৃহিণী | জালশুকা বালিয়া পাড়া, কসবা, গাংনী, মেহেরপুর |</t>
  </si>
  <si>
    <t>| ৩৯২ | নাম: মোছা: আতরা খাতুন | ৫৭০0৫৬৩৭৮৬৫৮ | মো: আফেজ উদ্দিন | মোছা: জরিম‌ন নেছা | ১৮/০৭/১৯৬৭ | গৃহিণী | জালশুকা বালিয়া পাড়া, গাংনী, মেহেরপুর |</t>
  </si>
  <si>
    <t>| ৩৯৩ | নাম: মোছা: হামিদা খাতুন | ৫৭০0৫৬৩৭৮৬৫৯ | আজিজার মন্ডল | মোছা: ইজারন নেছা | ০৯/০৮/১৯৭৭ | গৃহিণী | জালশুকা বালিয়া পাড়া, কসবা, গাংনী, মেহেরপুর |</t>
  </si>
  <si>
    <t>| ৩৯৪ | নাম: মোছা: শাহিদা খাতুন | ৫৭০0৫৬৩৭৮৬৬১ | মুফাজ্জল হোসেন | মোছা: রংফুল বিবি | ০৪/১০/১৯৮২ | গৃহিণী | জালশুকা বালিয়া পাড়া, কসবা, গাংনী, মেহেরপুর |</t>
  </si>
  <si>
    <t>| ৩৯৫ | নাম: মোছা: রবেকা খাতুন | ৫৭০0৫৬৩৭৮৬৬৩ | খেদালী মন্ডল | মোছা: মেহের নিগার | ০৪/০৯/১৯৭৭ | গৃহিণী | জালশুকা, গাংনী, মেহেরপুর |</t>
  </si>
  <si>
    <t>| ৩৯৬ | নাম: মোছা: মহিলা খাতুন | ৫৭০0৫৬৩৭৮৬৬৪ | রবজেল মন্ডল | মোছা: জহেরা খাতুন | ১০/০৫/১৯৭৭ | গৃহিণী | জালশুকা বালিয়া পাড়া, কসবা, গাংনী, মেহেরপুর |</t>
  </si>
  <si>
    <t>| ৩৯৭ | নাম: মোছা: শাহিদা খাতুন | ৫৭০0৫৬৩৭৮৬৬৬ | মো: ফজলদ্দিন | মোছা: আনোয়ারা খাতুন | ০৭/১১/১৯৭২ | গৃহিণী | জালশুকা বালিয়া পাড়া, কসবা, গাংনী, মেহেরপুর |</t>
  </si>
  <si>
    <t>| ৩৯৮ | নাম: মোছা: ছবিনা খাতুন | ৫৭০0৫৬৩৭৮৬৬৭ | আ: ছাত্তার | মোছা: আকলিমা | ০৭/০৬/১৯৮২ | গৃহিণী | জালশুকা বালিয়া পাড়া, কসবা, গাংনী, মেহেরপুর |</t>
  </si>
  <si>
    <t>| ৩৯৯ | নাম: মোছা: আমিনা খাতুন | ৫৭০0৫৬৩৭৮৬৬৯ | জমির মন্ডল | মোছা: জাহেদা খাতুন | ১৬/০৫/১৯৮৭ | গৃহিণী | জালশুকা বালিয়া পাড়া, কসবা, গাংনী, মেহেরপুর |</t>
  </si>
  <si>
    <t>| ৪০০ | নাম: মোছা: রিনা খাতুন | ৫৭০0৫৬৩৭৮৬৭০ | মো: সামসুর রহমান | মোছা: মোছা: ফজিলা খাতুন | ১৫/০৪/১৯৮৮ | গৃহিণী | জালশুকা বালিয়া পাড়া, কসবা, গাংনী, মেহেরপুর |</t>
  </si>
  <si>
    <t>| ৪০১ | নাম: মোছা: ফুলবাসী খাতুন | ৫৭০0৫৬৩৭৮৬৭১ | মো: নবিছুদ্দীন | মোছা: মোছা: হালিমা খাতুন | ২৪/০৫/১৯৭৭ | গৃহিণী | জালশুকা বালিয়া পাড়া, কসবা, গাংনী, মেহেরপুর |</t>
  </si>
  <si>
    <t>| ৪০২ | নাম: মোছা: ববিতা খাতুন | ৫৭০0৫৬৩৭৮৬৭২ | মো: শুকুবাসী | মোছা: মোছা: সাবুজান বিবি | ২২/১২/১৯৮২ | গৃহিণী | জালশুকা বালিয়া পাড়া, কসবা, গাংনী, মেহেরপুর |</t>
  </si>
  <si>
    <t>| ৪০৩ | নাম: মোছা: আনোয়ারা খাতুন | ৫৭০0৫৬৩৭৮৬৭৪ | অফেজদ্দিন | মোছা: রমেলা খাতুন | ০৮/১১/১৯৫৭ | গৃহিণী | জালশুকা বালিয়া পাড়া, কসবা, গাংনী, মেহেরপুর |</t>
  </si>
  <si>
    <t>| ৪০৪ | নাম: মোছা: বিউটি খাতুন | ৫৭০0৫৬৩৭৮৬৭৫ | মো: শহিদ আলী | মোছা: শহিদা খাতুন | ১২/০৪/১৯৮২ | গৃহিণী | জালশুকা বালিয়া পাড়া, কসবা, গাংনী, মেহেরপুর |</t>
  </si>
  <si>
    <t>| ৪০৫ | নাম: মোছা: রহিদা খাতুন | ৫৭০0৫৬৩৭৮৬৭৬ | তাহাজদ্দীন | মোছা: সখুরা খাতুন | ২৬/০৪/১৯৬৭ | গৃহিণী | জালশুকা বালিয়া পাড়া, কসবা, গাংনী, মেহেরপুর |</t>
  </si>
  <si>
    <t>| ৪০৬ | নাম: মোছাঃ নার্গিস খাতুন | ৫৭০0৫৬৩৭৮৬৭৭ | মো: আ: রহমান | মোছা: সুফিয়া খাতুন | ১২/০৭/১৯৮৩ | গৃহিণী | জালশুকা বালিয়া পাড়া, কসবা, গাংনী, মেহেরপুর |</t>
  </si>
  <si>
    <t>| ৪০৭ | নাম: মোছা: সাথী খাতুন | ৫৭০0৫৬৩৭৮৬৭৯ | মো: ডাবলু মিয়া | মোছা: শহিদা খাতুন | ২০/০১/১৯৮৫ | গৃহিণী | জালশুকা বালিয়া পাড়া, কসবা, গাংনী, মেহেরপুর |</t>
  </si>
  <si>
    <t>| ৪০৮ | নাম: মোছা: ফাতিমা খাতুন | ৫৭০0৫৬৩৭৮৬৮০ | রকিবুল মন্ডল | মোছা: সুবাসী বিবি | ০৮/০৬/১৯৮২ | গৃহিণী | জালশুকা বালিয়া পাড়া, কসবা, গাংনী, মেহেরপুর |</t>
  </si>
  <si>
    <t>| ৪০৯ | নাম: মোছা: বাছিরন নেছা | ৫৭০0৫৬৩৭৮৬৮১ | মোজাফ আলী | মোছা: মাহিরন নেছা | ১১/০৭/১৯৬৭ | গৃহিণী | জালশুকা বালিয়া পাড়া, কসবা, গাংনী, মেহেরপুর |</t>
  </si>
  <si>
    <t>| ৪১০ | নাম: মোছা: সাহিদা বেগম | ৫৭০0৫৬৩৭৮৭০৫ | রুস্তম আলী | মোছা: হারেজান বিবি | ০৫/০৯/১৯৬২ | গৃহিণী | জালশুকা বালিয়া পাড়া, কসবা, গাংনী, মেহেরপুর |</t>
  </si>
  <si>
    <t>| ৪১১ | নাম: মোছা: শিউলী খাতুন | ৫৭০0৫৬৩৭৮৭১০ | মো: শামসের আলী | মোছা: বুলবুলি খাতুন | ০৫/০৩/১৯৮৩ | গৃহিণী | জালশুকা বালিয়া পাড়া, কসবা, গাংনী, মেহেরপুর |</t>
  </si>
  <si>
    <t>| ৪১২ | নাম: মোছা: সোনাভানু | ৫৭০0৫৬৩৭৮৭১১ | মৃত আপু সর্দার | মোছা: মুনজুরা বিবি | ০৮/১০/১৯৬৫ | গৃহিণী | জালশুকা বালিয়া পাড়া, গাংনী, মেহেরপুর |</t>
  </si>
  <si>
    <t>| ৪১৩ | নাম: মোছা: আঞ্জুয়ারা | ৫৭০0৫৬৩৭৮৭১৩ | মো: আরমান আলী | মোছা: সায়রা খাতুন | ০৫/০৭/১৯৮৫ | গৃহিণী | জালশুকা বালিয়া পাড়া, কসবা, গাংনী, মেহেরপুর |</t>
  </si>
  <si>
    <t>| ৪১৪ | নাম: মোছা: ফেরদৌসী খাতুন | ৫৭০0৫৬৩৭৮৭১৪ | মো: রমজান আলী | মোছা: সুফিয়া খাতুন | ০১/০৬/১৯৭৫ | গৃহিণী | জালশুকা বালিয়া পাড়া, কসবা, গাংনী, মেহেরপুর |</t>
  </si>
  <si>
    <t>| ৪১৫ | নাম: মোছা: আল্লাদি খাতুন | ৫৭০0৫৬৩৭৮৭১৫ | সাদেক আলী | মোছা: আমিনা খাতুন | ২২/০৮/১৯৮২ | গৃহিণী | জালশুকা, কসবা, গাংনী, মেহেরপুর |</t>
  </si>
  <si>
    <t>| ৪১৬ | মাইগ্রেট হয়েছে |  |  |  |  |  |  |</t>
  </si>
  <si>
    <t>| ৪১৭ | নাম: মোছা: শকিরন নেছা | ৫৭০0৫৬৩৭৮৭১৮ | মো: আবুল মন্ডল | মোছা: মাহিরন নেছা | ১১/০৮/১৯৬৮ | গৃহিণী | জালশুকা বালিয়া পাড়া, কসবা, গাংনী, মেহেরপুর |</t>
  </si>
  <si>
    <t>| ৪১৮ | নাম: মোছা: জাহেদা খাতুন | ৫৭০0৫৬৩৭৮৭২০ | মো: মজিবরুদ্দিন | মোছা: জাহানারা খাতুন | ২২/০৪/১৯৭৭ | গৃহিণী | জালশুকা, গাংনী, মেহেরপুর |</t>
  </si>
  <si>
    <t>| ৪১৯ | নাম: মোছা: শহিদা বেগম | ৫৭০0৫৬৩৭৮৭২৩ | মুরাদ আলী | মোছা: জহিলা বেগম | ২০/০৯/১৯৬২ | গৃহিণী | জালশুকা বালিয়া পাড়া, কসবা, গাংনী, মেহেরপুর |</t>
  </si>
  <si>
    <t>| ৪২০ | নাম: মোছা: জাহানারা খাতুন | ৫৭০0৫৬৩৭৮৭২৪ | মো: আবুল বিশ্বাস | মোছা: জহুরা খাতুন | ০৫/০৬/১৯৬২ | গৃহিণী | জালশুকা বালিয়া পাড়া, জালশুকা, গাংনী, মেহেরপুর |</t>
  </si>
  <si>
    <t>| ৪২১ | নাম: মোছা: ছামেনা খাতুন | ৫৭০0৫৬৩৭৮৭২৬ | মো: কোরবান আলী | মোছা: জাহানারা খাতুন | ১০/০২/১৯৮৪ | গৃহিণী | জালশুকা বালিয়া পাড়া, কসবা, গাংনী, মেহেরপুর |</t>
  </si>
  <si>
    <t>| ৪২২ | নাম: মোছা: রহিমা খাতুন | ৫৭০0৫৬৩৭৮৭২৭ | ছিয়ামদ্দিন | মোছা: নিহারন নেছা | ২৬/০৯/১৯৭২ | গৃহিণী | জালশুকা বালিয়া পাড়া, কসবা, গাংনী, মেহেরপুর |</t>
  </si>
  <si>
    <t>| ৪২৩ | নাম: মোছা: ফরিদা খাতুন | ৫৭০0৫৬৩৭৮৭২৮ | মো: হাবিবুর রহমান | মোছা: আসমা খাতুন | ১৩/০২/১৯৭৪ | গৃহিণী | জালশুকা বালিয়া পাড়া, কসবা, গাংনী, মেহেরপুর |</t>
  </si>
  <si>
    <t>| ৪২৪ | নাম: মোছা: শিল্পী খাতুন | ৫৭০0৫৬৩৭৮৭৩০ | মো: আ: মতালিব | মোছা: রওশনারা খাতুন | ২৭/০৫/১৯৮৯ | গৃহিণী | জালশুকা বালিয়া পাড়া, কসবা, গাংনী, মেহেরপুর |</t>
  </si>
  <si>
    <t>| ৪২৫ | নাম: মোছা: জুলেখা খাতুন | ৫৭০0৫৬৩৭৮৭৩১ | মো: আসমত আলী | মোছা: সুখিনা খাতুন | ০১/০৩/১৯৮০ | গৃহিণী | জালশুকা বালিয়া পাড়া, কসবা, গাংনী, মেহেরপুর |</t>
  </si>
  <si>
    <t>| ৪২৬ | নাম: মোছা: শাহানারা | ৫৭০0৫৬৩৭৮৭৩৩ | মো: জুল হক | মোছা: ভানুরা | ২২/০২/১৯৬৯ | গৃহিণী | জালশুকা বালিয়া পাড়া, কসবা, গাংনী, মেহেরপুর |</t>
  </si>
  <si>
    <t>| ৪২৭ | নাম: মোছা: মদিনা খাতুন | ৫৭০0৫৬৩৭৮৭৩৬ | মো: মহিদুল | মোছা: বিলাক বানু | ০২/০৮/১৯৮২ | গৃহিণী | জালশুকা বালিয়া পাড়া, কসবা, গাংনী, মেহেরপুর |</t>
  </si>
  <si>
    <t>| ৪২৮ | নাম: মোছা: শাহানারা | ৫৭০0৫৬৩৭৮৭৪১ | মো: জয়নাল | মোছা: রইমন | ২৭/০৮/১৯৭২ | গৃহিণী | জালশুকা, গাংনী, মেহেরপুর |</t>
  </si>
  <si>
    <t>| ৪২৯ | নাম: মোছা: রোকিয়া খাতুন | ৫৭০0৫৬৩৭৮৭৪২ | মো: ওয়াজে আলী | মোছা: জবেদা খাতুন | ২০/১০/১৯৮২ | গৃহিণী | জালশুকা বালিয়া পাড়া, কসবা, গাংনী, মেহেরপুর |</t>
  </si>
  <si>
    <t>| ৪৩০ | নাম: মোছা: রানুয়ারা খাতুন | ৫৭০0৫৬৩৭৮৭৪৫ | মো: হায়দার আলী | মোছা: ফাতিমা খাতুন | ২৪/০৪/১৯৭৭ | গৃহিণী | জালশুকা বালিয়া পাড়া, কসবা, গাংনী, মেহেরপুর |</t>
  </si>
  <si>
    <t>| ৪৩১ | নাম: মোছা: হবিন খাতুন | ৫৭০0৫৬৩৭৮৭৪৬ | মো: রবিউল হক | মোছা: হাজেরা খাতুন | ১১/০৫/১৯৮০ | গৃহিণী | জালশুকা বালিয়া পাড়া, কসবা, গাংনী, মেহেরপুর |</t>
  </si>
  <si>
    <t>| ৪৩২ | নাম: মোছা: ইসমতারা | ৫৭০0৫৬৩৭৮৭৪৯ | মো: রহিম বক্স | মোছা: মনোয়ারা খাতুন | ০৫/০৪/১৯৭১ | গৃহিণী | জালশুকা বালিয়া পাড়া, কসবা, গাংনী, মেহেরপুর |</t>
  </si>
  <si>
    <t>| ৪৩৩ | নাম: মো: আকলিমা খাতুন | ৫৭০0৫৬৩৭৮৭৫২ | মো: আ: করিম বিশ্বাস | মোছা: হামিরন নেছা | ২২/০৮/১৯৮২ | গৃহিণী | জালশুকা বালিয়া পাড়া, গাংনী, মেহেরপুর |</t>
  </si>
  <si>
    <t>| ৪৩৪ | নাম: মোছা: বিউটি খাতুন | ৫৭০0৫৬৩৭৮৭৫৩ | মো: তক্কেল আলী | মোছা: কাইনুর খাতুন | ০২/০৪/১৯৭৯ | গৃহিণী | জালশুকা বালিয়া পাড়া, কসবা, গাংনী, মেহেরপুর |</t>
  </si>
  <si>
    <t>| ৪৩৫ | নাম: মোছা: তরিছন নেছা | ৫৭০0৫৬৩৭৮৭৫৪ | বক্স মন্ডল | মোছা: হজারন | ২৪/০৬/১৯৪৯ | গৃহিণী | জালশুকা বালিয়া পাড়া, গাংনী, মেহেরপুর |</t>
  </si>
  <si>
    <t>| ৪৩৬ | নাম: মোছা: মনোয়ারা | ৫৭০0৫৬৩৭৮৭৫৬ | মো: জান বক্স | মোছা: রাবিয়া | ০৮/০৬/১৯৮৪ | গৃহিণী | জালশুকা বালিয়া পাড়া, কসবা, গাংনী, মেহেরপুর |</t>
  </si>
  <si>
    <t>| ৪৩৭ | নাম: মোছা: ফেরদৌসী খাতুন | ৫৭০0৫৬৩৭৮৭৫৮ | মো: তাহাজদ্দীন | মোছা: সাহার বানু | ০৭/০২/১৯৭৮ | গৃহিণী | জালশুকা বালিয়া পাড়া, কসবা, গাংনী, মেহেরপুর |</t>
  </si>
  <si>
    <t>| ৪৩৮ | নাম: মোছা: দোলেহার খাতুন | ৫৭০0৫৬৩৭৮৭৬২ | মো: খোদের বিশ্বাস | মোছা: সোহাগী | ২৮/০৯/১৯৭৭ | গৃহিণী | জালশুকা বালিয়া পাড়া, কসবা, গাংনী, মেহেরপুর |</t>
  </si>
  <si>
    <t>| ৪৩৯ | নাম: মো: শাহিনুর খাতুন | ৫৭০0৫৬৩৭৮৭৬৩ | মো: মহসীন আলী | মোছা: রুশিয়া খাতুন | ০৮/০৭/১৯৭৯ | গৃহিণী | জালশুকা বালিয়া পাড়া, গাংনী, মেহেরপুর |</t>
  </si>
  <si>
    <t>| ৪৪০ | নাম: মোছা: লিমা খাতুন | ৫৭০0৫৬৩৭৮৭৬৫ | মো: রইছদ্দীন | মোছা: রেবেকা | ০৬/০২/১৯৮২ | গৃহিণী | জালশুকা বালিয়া পাড়া, কসবা, গাংনী, মেহেরপুর |</t>
  </si>
  <si>
    <t>| ৪৪১ | নাম: মোছা: ফিরোজা খাতুন | ৫৭০0৫৬৩৭৮৭৬৬ | মো: হামিজদ্দীন | মোছা: কছিরন | ০৫/১০/১৯৭২ | গৃহিণী | জালশুকা বালিয়া পাড়া, গাংনী, মেহেরপুর |</t>
  </si>
  <si>
    <t>| ৪৪২ | নাম: মোছা: শিরিনা খাতুন | ৫৭০0৫৬৩৭৮৭৬৭ | মো: হাবিবুর রহমান | মোছা: তাহান্নারা | ২১/০৪/১৯৬৭ | গৃহিণী | জালশুকা বালিয়া পাড়া, কসবা, গাংনী, মেহেরপুর |</t>
  </si>
  <si>
    <t>| ৪৪৩ | নাম: মোছা: পারুলা খাতুন | ৫৭০0৫৬৩৭৮৭৬৮ | মো: ছানজার আলী | মোছা: সাহিদা বেগম | ০২/০৫/১৯৮১ | গৃহিণী | জালশুকা উত্তর পাড়া, গাংনী, মেহেরপুর |</t>
  </si>
  <si>
    <t>| ৪৪৪ | নাম: মোছা: ছহিমা খাতুন | ৫৭০0৫৬৩৭৮৭৬৯ | শওকত মালিখা | মোছা: আতরা খাতুন | ০৪/০৬/১৯৮৮ | গৃহিণী | জালশুকা উত্তরপাড়া, জালশুকা, গাংনী, মেহেরপুর |</t>
  </si>
  <si>
    <t>| ৪৪৫ | নাম: মোছা: রেহেনা খাতুন | ৫৭০0৫৬৩৭৮৭৭০ | ছিয়ামদ্দিন | মোছা: নিহারন নেছা | ০৫/০৩/১৯৭৪ | গৃহিণী | জালশুকা উত্তর পাড়া, জালশুকা, গাংনী, মেহেরপুর |</t>
  </si>
  <si>
    <t>| ৪৪৬ | নাম: মোছা: তহমিনা | ৫৭০0৫৬৩৭৮৭৭১ | মাদার সেখ | মোছা: জহুরা খাতুন | ০৭/০৭/১৯৬৭ | গৃহিণী | জালশুকা উত্তর পাড়া, জালশুকা, গাংনী, মেহেরপুর |</t>
  </si>
  <si>
    <t>| ৪৪৭ | নাম: মোছা: জামেনা খাতুন | ৫৭০0৫৬৩৭৮৭৭২ | মো: আনোয়ার বিশ্বাস | মোছা: রমেছা খাতুন | ০৮/০৪/১৯৭৭ | গৃহিণী | জালশুকা উত্তর পাড়া, জালশুকা, গাংনী, মেহেরপুর |</t>
  </si>
  <si>
    <t>| ৪৪৮ | নাম: মোছাঃ কহিনূর বেগম | ৫৭০0৫৬৩৭৮৭৭৩ | রাহিলুদ্দীন | মোছা: আমিনা খাতুন | ০২/০৪/১৯৬০ | গৃহিণী | জালশুকা উত্তর পাড়া, জালশুকা, গাংনী, মেহেরপুর |</t>
  </si>
  <si>
    <t>| ৪৪৯ | নাম: মোছাঃ শাহনাজ পারভিন | ৫৭০0৫৬৩৭৮৭৭৪ | মো: আনসার আলী | মোছা: কহনুব খাতুন | ০৮/০৯/১৯৮২ | গৃহিণী | জালশুকা উত্তরপাড়া, জালশুকা, গাংনী, মেহেরপুর |</t>
  </si>
  <si>
    <t>| ৪৫০ | নাম: মোছাঃ রুমা খাতুন | ৫৭০0৫৬৩৭৮৭৭৫ | মো: নাসিরুদ্দীন | মোছা: মরিয়ম নেছা | ১২/০৭/১৯৮৭ | গৃহিণী | জালশুকা উত্তর পাড়া, জালশুকা, গাংনী, মেহেরপুর |</t>
  </si>
  <si>
    <t>| ৪৫১ | নাম: মোছাঃ শিল্পী খাতুন | ৫৭০0৫৬৩৭৮৭৭৭ | মো: আব্দুল মালিখা | মোছা: হালিমা খাতুন | ১০/০৯/১৯৭১ | গৃহিণী | জালশুকা উত্তরপাড়া, জালশুকা, গাংনী, মেহেরপুর |</t>
  </si>
  <si>
    <t>| ৪৫২ | নাম: মোছা: শিরিনা খাতুন | ৫৭০0৫৬৩৭৮৭৭৮ | মো: সিরাজুল ইসলাম | মোছা: রওশনারা | ০৩/০৪/১৯৮৬ | গৃহিণী | জালশুকা উত্তর পাড়া, জালশুকা, গাংনী, মেহেরপুর |</t>
  </si>
  <si>
    <t>| ৪৫৩ | নাম: মোছাঃ রহিমা খাতুন | ৫৭০0৫৬৩৭৮৭৭৯ | হাজারী বিশ্বাস | মোছা: রাফেজা খাতুন | ০৭/০৮/১৯৪২ | গৃহিণী | জালশুকা উত্তর পাড়া, গাংনী, মেহেরপুর |</t>
  </si>
  <si>
    <t>| ৪৫৪ | নাম: মোছা: রওশনারা | ৫৭০0৫৬৩৭৮৭৮০ | মো: আমিরুদ্দীন | মোছা: ইজারন নেছা | ১৭/০৯/১৯৭৫ | গৃহিণী | জালশুকা উত্তরপাড়া, জালশুকা, গাংনী, মেহেরপুর |</t>
  </si>
  <si>
    <t>| ৪৫৫ | নাম: মোছা: ছাবিরন নেছা | ৫৭০0৫৬৩৭৮৭৮২ | মুহাম্মদ গানি | মোছা: আহারন | ২৯/০৪/১৯৫৬ | গৃহিণী | জালশুকা উত্তর পাড়া, গাংনী, মেহেরপুর |</t>
  </si>
  <si>
    <t>| ৪৫৬ | নাম: মোছাঃ সুফিয়া খাতুন | ৫৭০0৫৬৩৭৮৭৮৩ | মো: নিয়াত আলী | মোছা: আর্জিনা | ০৩/০২/১৯৭৯ | গৃহিণী | জালশুকা উত্তর পাড়া, জালমুকা, গাংনী, মেহেরপুর |</t>
  </si>
  <si>
    <t>| ৪৫৭ | নাম: মোছা: কহিনুর বেগম | ৫৭০0৫৬৩৭৮৭৮৭ | মো: মসলেম আলী | মোছা: খবিরন নেছা | ১১/০৬/১৯৬২ | গৃহিণী | জালশুকা উত্তর পাড়া, জালশুকা, গাংনী, মেহেরপুর |</t>
  </si>
  <si>
    <t>| ৪৫৮ | নাম: মোছাঃ জাহানুর খাতুন | ৫৭০0৫৬৩৭৮৭৯৬ | নবীছদ্দিন | মোছা: খোদেজা | ১৩/০৪/১৯৬২ | গৃহিণী | জালশুকা উত্তর পাড়া, জালশুকা, গাংনী, মেহেরপুর |</t>
  </si>
  <si>
    <t>| ৪৫৯ | নাম: মোছাঃ সহিদা খাতুন | ৫৭০0৫৬৩৭৮৭৯৯ | মজিবর রহমান | মোছা: সার ভানু | ০৫/০৩/১৯৬৭ | গৃহিণী | জালশুকা বালিয়া পাড়া, কসবা, গাংনী, মেহেরপুর |</t>
  </si>
  <si>
    <t>| ৪৬০ | নাম: মোছাঃ আর্জিনা বেগম | ৫৭০0৫৬৩৭৮৮০১ | দেলবার আলী | মোছা: জরিম‌ন নেছা | ১০/০৭/১৯৭৪ | গৃহিণী | জালশুকা মসজিদ পাড়া, জালশুকা, গাংনী, মেহেরপুর |</t>
  </si>
  <si>
    <t>| ৪৬১ | তাসলিমা খাতুন | ৫৭০0৫৬৩৭৮৮০৩ | মো: কওসার আলী | মোছা: ছাবেরা খাতুন | ২১/০৫/১৯৭৫ | গৃহিণী | জালশুকা বালিয়া পাড়া, জালশুকা, গাংনী, মেহেরপুর |</t>
  </si>
  <si>
    <t>| ৪৬২ | নাম: মোছাঃ রওশনারা | ৫৭০0৫৬৩৭৮৮০৪ | পির বক্স | মোছাঃ ফুলজান | ১১/০৮/১৯৬৭ | গৃহিণী | জালশুকা মসজিদ পাড়া, গাংনী, মেহেরপুর |</t>
  </si>
  <si>
    <t>| ৪৬৩ | নাম: মোছাঃ বিউটি খাতুন | ৫৭০0৫৬৩৭৮৮০৫ | মো: শফিরদ্দিন | মোছা: তহমিনা | ০৮/০৫/১৯৭৭ | গৃহিণী | জালশুকা মসজিদপাড়া, জালশুকা, গাংনী, মেহেরপুর |</t>
  </si>
  <si>
    <t>| ৪৬৪ | নাম: মোছাঃ ইসমতারা | ৫৭০0৫৬৩৭৮৮০৬ | মো: মাহরুদ্দীন | মোছা: হাসিনা খাতুন | ২২/০৬/১৯৮০ | গৃহিণী | জালশুকা মসজিদ পাড়া, গাংনী, মেহেরপুর |</t>
  </si>
  <si>
    <t>| ৪৬৫ | নাম: মোছাঃ চামিলি খাতুন | ৫৭০0৫৬৩৭৮৮০৯ | রতন আলী | মোছা: ফুলজান | ০৮/০৫/১৯৮৩ | গৃহিণী | জালশুকা মসজিদ পাড়া, জালশুকা, গাংনী, মেহেরপুর |</t>
  </si>
  <si>
    <t>| ৪৬৬ | নাম: মোছাঃ রমেছা খাতুন | ৫৭০0৫৬৩৭৮৮১১ | মো: আ: জলিল | মোছা: রেজিয়া খাতুন | ০৪/০৮/১৯৫৯ | গৃহিণী | জালশুকা মসজিদ পাড়া, গাংনী, মেহেরপুর |</t>
  </si>
  <si>
    <t>| ৪৬৭ | নাম: মোছাঃ আলেয়া খাতুন | ৫৭০0৫৬৩৭৮৮১২ | মো: দবিরুদ্দীন | মোছা: আমিনা খাতুন | ১২/০৮/১৯৬৭ | গৃহিণী | জালশুকা মসজিদপাড়া, জালশুকা, গাংনী, মেহেরপুর |</t>
  </si>
  <si>
    <t>| ৪৬৮ | নাম: মোছাঃ তহলিমা খাতুন | ৫৭০0৫৬৩৭৮৮১৭ | মো: জালাল উদ্দীন | মোছা: আনোয়ারা | ২৫/০৫/১৯৭৭ | গৃহিণী | জালশুকা মসজিদপাড়া, জালশুকা, গাংনী, মেহেরপুর |</t>
  </si>
  <si>
    <t>| ৪৬৯ | নাম: মোছাঃ মুন্নি খাতুন | ৫৭০0৫৬৩৭৮৮১৮ | মো: শফিকুদ্দীন | মোছা: নুরজাহান | ২৫/০৪/১৯৮১ | গৃহিণী | জালশুকা মসজিদ পাড়া, জালশুকা, গাংনী, মেহেরপুর |</t>
  </si>
  <si>
    <t>| ৪৭০ | নাম: মোছাঃ আহজান | ৫৭০0৫৬৩৭৮৮২০ | ইসমাইল | জারিনা | ১৫/০৭/১৯৪৭ | গৃহিণী | জালশুকা মসজিদ পাড়া, জালশুকা, গাংনী, মেহেরপুর |</t>
  </si>
  <si>
    <t>| ৪৭১ | নাম: মোছাঃ রেহেনা খাতুন | ৫৭০0৫৬৩৭৮৮২১ | মো: নজরুল হক | মোছা: কমেলা খাতুন | ১৩/০৫/১৯৮১ | গৃহিণী | জালশুকা মসজিদ পাড়া, জালশুকা, গাংনী, মেহেরপুর |</t>
  </si>
  <si>
    <t>| ৪৭২ | নাম: মোছাঃ জোসনা খাতুন | ৫৭০0৫৬৩৭৮৮২৫ | রহমত আলী | মোছাঃ জীবন নেছা | ১৮/০৭/১৯৬০ | গৃহিণী | জালশুকা মসজিদ পাড়া, গাংনী, মেহেরপুর |</t>
  </si>
  <si>
    <t>| ৪৭৩ | নাম: মোছাঃ ইশারন খাতুন | ৫৭০0৫৬৩৭৮৮৩৯ | আমিরুদ্দীন | মোছা: আহারন | ০৭/০৪/১৯৬৭ | গৃহিণী | জালশুকা মসজিদ পাড়া, জালশুকা, গাংনী, মেহেরপুর |</t>
  </si>
  <si>
    <t>| ৪৭৪ | নাম: মোছাঃ সাহেদা খাতুন | ৫৭০0৫৬৩৭৮৮৪১ | মো: যাছের আলী | মোছা: ফেলা খাতুন | ০২/০৪/১৯৬৭ | গৃহিণী | জালশুকা মসজিদ পাড়া, গাংনী, মেহেরপুর |</t>
  </si>
  <si>
    <t>| ৪৭৫ | নাম: মোছাঃ জাহানারা খাতুন | ৫৭০0৫৬৩৭৮৮৪৩ | মো: আব্দুল মুন্সি | সানোয়ারা | ১৫/০৯/১৯৬৭ | গৃহিণী | জালশুকা মসজিদ পাড়া, জালশুকা, গাংনী, মেহেরপুর |</t>
  </si>
  <si>
    <t>| ৪৭৬ | নাম: মোছাঃ দুয়াতন খাতুন | ৫৭০0৫৬৩৭৮৮৪৪ | তৈয়ব আলী | ফুলজান | ০৯/০৪/১৯৫৯ | গৃহিণী | জালশুকা, গাংনী, মেহেরপুর |</t>
  </si>
  <si>
    <t>| ৪৭৭ | নাম: মোছাঃ আতরা খাতুন | ৫৭০0৫৬৩৭৮৮৪৬ | মো: কালাচাদ | মোছা: খাদেজা খাতুন | ১৫/০৫/১৯৭৫ | গৃহিণী | জালশুকা মসজিদ পাড়া, জালশুকা, গাংনী, মেহেরপুর |</t>
  </si>
  <si>
    <t>| ৪৭৮ | নাম: মোছাঃ ফেলা খাতুন | ৫৭০0৫৬৩৭৮৮৪৮ | মামদ আলী | মোছা: ফুলি খাতুন | ২৪/১১/১৯৩৭ | গৃহিণী | জালশুকা মসজিদ পাড়া, জালশুকা, গাংনী, মেহেরপুর |</t>
  </si>
  <si>
    <t>| ৪৭৯ | নাম: মোছাঃ মিনি খাতুন | ৫৭০0৫৬৩৭৮৮৪৯ | মো: নবিছুদ্দীন | মোছা: আনোয়ারা | ০৫/০৭/১৯৮০ | গৃহিণী | জালশুকা মসজিদ পাড়া, গাংনী, মেহেরপুর |</t>
  </si>
  <si>
    <t>| ৪৮০ | নাম: মোছাঃ রোজিনা খাতুন | ৫৭০0৫৬৩৭৮৮৫০ | মো: আলি হোসেন | মোছা: শাহেদা খাতুন | ১২/০৮/১৯৮১ | গৃহিণী | জালশুকা মসজিদপাড়া, জালশুকা, গাংনী, মেহেরপুর |</t>
  </si>
  <si>
    <t>| ৪৮১ | নাম: মোছাঃ সাহার বানু | ৫৭০0৫৬৩৭৮৮৫১ | মো: লুকমান হোসেন | মোছা: সাবিরন নেছা | ০৩/০৪/১৯৮১ | গৃহিণী | জালশুকা মসজিদ পাড়া, জালশুকা, গাংনী, মেহেরপুর |</t>
  </si>
  <si>
    <t>| ৪৮২ | নাম: মোছাঃ সাবিরন নেছা | ৫৭০0৫৬৩৭৮৮৫৩ | মহত আলী মন্ডল | সালেহার বিবি | ২৭/০৪/১৯৫৭ | গৃহিণী | জালশুকা মসজিদ পাড়া, জালশুকা, গাংনী, মেহেরপুর |</t>
  </si>
  <si>
    <t>| ৪৮৩ | নাম: মোছাঃ সুফিয়া খাতুন | ৫৭০0৫৬৩৭৮৮৫৪ | সৈয়দদ্দিন | জহিরন নেছা | ১১/০৮/১৯৫৭ | গৃহিণী | জালশুকা মসজিদ পাড়া, গাংনী, মেহেরপুর |</t>
  </si>
  <si>
    <t>| ৪৮৪ | নাম: মোছাঃ সকিরন নেছা | ৫৭০0৫৬৩৭৮৮৫৫ | মো: দিদার মোল্লাহ | মোছা: বেজিয়া খাতুন | ১৩/১০/১৯৬৭ | গৃহিণী | জালশুকা মসজিদপাড়া, জালশুকা, গাংনী, মেহেরপুর |</t>
  </si>
  <si>
    <t>| ৪৮৫ | নাম: মোছাঃ হাসিনা খাতুন | ৫৭০0৫৬৩৭৮৮৫৭ | মকছেদ আলী | মোছা: ছমিরন নেছা | ২৩/০৮/১৯৫৭ | গৃহিণী | জালশুকা মসজিদপাড়া, জালশুকা, গাংনী, মেহেরপুর |</t>
  </si>
  <si>
    <t>| ৪৮৬ | নাম: মোছাঃ বিলকিস আরা | ৫৭০0৫৬৩৭৮৮৫৯ | মো: ইনু মন্ডল | মোছা: জাহেরা | ০৮/০৯/১৯৭৯ | গৃহিণী | জালশুকা মসজিদ পাড়া, গাংনী, মেহেরপুর |</t>
  </si>
  <si>
    <t>| ৪৮৭ | নাম: মোছাঃ আনুয়ারা খাতুন | ৫৭০0৫৬৩৭৮৮৬০ | মো: গোলাম মল্লিক | মোছা: ছিরামন নেছা | ২৪/০১/১৯৭৬ | গৃহিণী | জালশুকা মসজিদ পাড়া, গাংনী, মেহেরপুর |</t>
  </si>
  <si>
    <t>| ৪৮৮ | নাম: মোছাঃ জাহানারা | ৫৭০0৫৬৩৭৮৮৬২ | মো: দুলুপ মালিখা | মোছা: ওহেদান | ১৩/০৮/১৯৬৩ | গৃহিণী | জালশুকা মসজিদ পাড়া, জালশুকা, গাংনী, মেহেরপুর |</t>
  </si>
  <si>
    <t>| ৪৮৯ | নাম: মোছাঃ লিলি খাতুন | ৫৭০0৫৬৩৭৮৮৬৩ | মো: রিফাত আলী | মোছা: রাশিদা খাতুন | ২১/০৯/১৯৮৩ | গৃহিণী | জালশুকা, গাংনী, মেহেরপুর |</t>
  </si>
  <si>
    <t>| ৪৯০ | নাম: মোছাঃ কহিনুর বেগম | ৫৭০0৫৬৩৭৮৮৬৪ | আবুল হোসেন | মোছা: লুৎফন্নেছা | ০২/০৯/১৯৮০ | গৃহিণী | জালশুকা মসজিদ পাড়া, জালশুকা, গাংনী, মেহেরপুর |</t>
  </si>
  <si>
    <t>| ৪৯১ | নাম: মোছাঃ সবজান নেছা | ৫৭০0৫৬৩৭৮৮৬৫ | সোয়াদ আলী | মোছা: মজিরন | ১৭/১১/১৯৫২ | গৃহিণী | জালশুকা মসজিদ পাড়া, জালশুকা, গাংনী, মেহেরপুর |</t>
  </si>
  <si>
    <t>| ৪৯২ | নাম: মোছাঃ সুবারন | ৫৭০0৫৬৩৭৮৮৬৮ | মুবারেক মন্ডল | মোছা: নিগারন | ১২/০৩/১৯৬৩ | গৃহিণী | জালশুকা মসজিদ পাড়া, গাংনী, মেহেরপুর |</t>
  </si>
  <si>
    <t>| ৪৯৩ | নাম: মোছাঃ সুমিয়া খাতুন | ৫৭০0৫৬৩৭৮৮৬৯ | মো: সিরাজুল ইসলাম | মোছা: রাফিয়া খাতুন | ২২/০৪/১৯৮৪ | গৃহিণী | জালশুকা মসজিদপাড়া, জালশুকা, গাংনী, মেহেরপুর |</t>
  </si>
  <si>
    <t>| ৪৯৪ | নাম: মোছাঃ হাসিনা বানু | ৫৭০0৫৬৩৭৮৮৭০ | দাউদ আলী | মোছা: জামিরন | ০৭/১২/১৯৫২ | গৃহিণী | জালশুকা মসজিদ পাড়া, গাংনী, মেহেরপুর |</t>
  </si>
  <si>
    <t>| ৪৯৫ | নাম: মোছাঃ ফিরোজা খাতুন | ৫৭০0৫৬৩৭৮৮৭১ | মো: রতন মন্ডল | মোছা: তরিছন | ১৯/১০/১৯৭৭ | গৃহিণী | জালশুকা মসজিদ পাড়া, জালশুকা, গাংনী, মেহেরপুর |</t>
  </si>
  <si>
    <t>| ৪৯৬ | নাম: মোছাঃ রেখা খাতুন | ৫৭০0৫৬৩৭৮৮৭৩ | আবুল হোসেন | মোছা: রাহিমা খাতুন | ২৭/০৫/১৯৭২ | গৃহিণী | জালশুকা মসজিদ পাড়া, গাংনী, মেহেরপুর |</t>
  </si>
  <si>
    <t>| ৪৯৭ | নাম: মোছাঃ বিলকিস বানু | ৫৭০0৫৬৩৭৮৮৭৪ | মো: মকবুল হোসেন | মোছা: মরিয়ম নেছা | ১৫/০৫/১৯৭৯ | গৃহিণী | জালশুকা মসজিদ পাড়া, জালশুকা, গাংনী, মেহেরপুর |</t>
  </si>
  <si>
    <t>| ৪৯৮ | নাম: মোছাঃ রাহেলা খাতুন | ৫৭০0৫৬৩৭৮৮৭৬ | নঈমুদ্দীন | মোছা: মফিরন | ২৮/০৪/১৯৭২ | গৃহিণী | জালশুকা মসজিদ পাড়া, গাংনী, মেহেরপুর |</t>
  </si>
  <si>
    <t>| ৪৯৯ | নাম: মোছাঃ সামিরন নেছা | ৫৭০0৫৬৩৭৮৮৭৭ | মো: খেদের আলী | মোছা: সোহাগী | ২৩/০৪/১৯৬৯ | গৃহিণী | জালশুকা মসজিদ পাড়া, গাংনী, মেহেরপুর |</t>
  </si>
  <si>
    <t>| ৫০০ | নাম: মোছাঃ মর্জিনা খাতুন | ৫৭০0৫৬৩৭৮৮৭৮ | আ: খালেক | মোছা: আনুরা খাতুন | ০৫/০১/১৯৮২ | গৃহিণী | জালশুকা মসজিল পাড়া, জালশুকা, গাংনী, মেহেরপুর |</t>
  </si>
  <si>
    <t>| ৫০১ | নাম: মোছাঃ জয়নব বিবি | ৫৭০0৫৬৩৭৮৮৮০ | সামসুদ্দীন | মোছা: সাহারন নেছা | ১৭/১১/১৯৪৯ | গৃহিণী | জালশুকা, গাংনী, মেহেরপুর |</t>
  </si>
  <si>
    <t>| ৫০২ | মোছা: নাজমা খাতুন | ৫৭০০৫৬৩৭৮৪৮১ | মোঃ আঃ সালাম | মোছা: ফজিলা খাতুন | ১৭/০৪/১৯৭৮ | গৃহিনী | জালশুকা মসজিদ পাড়া, জালশুকা, গাংনী, মেহেরপুর |</t>
  </si>
  <si>
    <t>| ৫০৩ | মোছা: আছমা খাতুন | ৫৭০০৫৬৩৭৮৪৮৩ | মোঃ ইউনুস আলী | মোছা: উজালা খাতুন | ০৪/০৭/১৯৮০ | গৃহিনী | জালশুকা মসজিদ পাড়া, গাংনী, মেহেরপুর |</t>
  </si>
  <si>
    <t>| ৫০৪ | মোছা: ফাতিমা খাতুন | ৫৭০০৫৬৩৭৮৪৮৯ | মোঃ লালচাঁদ মন্ডল | মুক্তরা খাতুন | ২২/১১/১৯৬২ | গৃহিনী | জালশুকা, গাংনী, মেহেরপুর |</t>
  </si>
  <si>
    <t>| ৫০৫ | মোছা: পূর্ণি খাতুন | ৫৭০০৫৬৩৭৮৪৯৩ | চেতন মন্ডল | মোছা: আছিয়া খাতুন | ২০/০৫/১৯৭২ | গৃহিনী | জালশুকা মসজিদপাড়া, জালশুকা, গাংনী, মেহেরপুর |</t>
  </si>
  <si>
    <t>| ৫০৬ | মোছা: তহুরা খাতুন | ৫৭০০৫৬৩৭৮৪৯৪ | মোঃ রমজান আলী | মোছা: সফুরা খাতুন | ২৯/০৪/১৯৮৩ | গৃহিনী | জালশুকা মসজিদ পাড়া, জালশুকা, গাংনী, মেহেরপুর |</t>
  </si>
  <si>
    <t>| ৫০৭ | মোছা: স্বপ্না খাতুন | ৫৭০০৫৬৩৭৮৪৯৫ | মোঃ হাবিবুর রহমান | মোছা: আসমা খাতুন | ২৩/০৫/১৯৮৪ | গৃহিনী | জালশুকা মসজিদ পাড়া, জালশুকা, গাংনী, মেহেরপুর |</t>
  </si>
  <si>
    <t>| ৫০৮ | মোছা: ফজিলা খাতুন | ৫৭০০৫৬৩৭৮৪৯৬ | মোঃ মকবুল হোসেন | মোছা: তিতুয়ারা খাতুন | ২০/১১/১৯৬৯ | গৃহিনী | জালশুকা, গাংনী, মেহেরপুর |</t>
  </si>
  <si>
    <t>| ৫০৯ | মোছা: আমেনা খাতুন | ৫৭০০৫৬৩৭৮৯০১ | মোঃ ছিয়ামদ্দিন | মোছা: কপুরা খাতুন | ১০/১১/১৯৮৭ | গৃহিনী | জালশুকা, গাংনী, মেহেরপুর |</t>
  </si>
  <si>
    <t>| ৫১০ | মোছা: ছারেজান নেছা | ৫৭০০৫৬৩৭৮৯০৩ | মোঃ হাবিবর রহমান | মোছা: কুলছুম খাতুন | ০২/০৩/১৯৫৭ | গৃহিনী | জালশুকা, গাংনী, মেহেরপুর |</t>
  </si>
  <si>
    <t>| ৫১১ | মোছা: শিউলী খাতুন | ৫৭০০৫৬৩৭৮৯০৬ | মোঃ সিদ্দিক আলী | মোছা: হাফিজা খাতুন | ১২/০৫/১৯৮৭ | গৃহিনী | জালশুকা, গাংনী, মেহেরপুর |</t>
  </si>
  <si>
    <t>| ৫১২ | মোছা: আকলিমা খাতুন | ৫৭০০৫৬৩৭৮৯০৭ | আইছদ্দিন মন্ডল | রাবিয়া খাতুন | ০৯/০৬/১৯৬০ | গৃহিনী | জালশুকা, গাংনী, মেহেরপুর |</t>
  </si>
  <si>
    <t>| ৫১৩ | মোছা: শেফালী খাতুন | ৫৭০০৫৬৩৭৮৯১০ | মোঃ শহিদুল হক | মোছা: সুরাতন নেছা | ১০/০৭/১৯৭৫ | গৃহিনী | জালশুকা, গাংনী, মেহেরপুর |</t>
  </si>
  <si>
    <t>| ৫১৪ | মোছা: জাহানারা | ৫৭০০৫৬৩৭৮৯১১ | জমেদ আলী বিশ্বাস | জমিরন নেছা | ১৯/০৭/১৯৫৭ | গৃহিনী | জালশুকা, গাংনী, মেহেরপুর |</t>
  </si>
  <si>
    <t>| ৫১৫ | মোছা: হাজেরা খাতুন | ৫৭০০৫৬৩৭৮৯১২ | বাদল মন্ডল | মোছা: নিগারন নেছা | ০৯/১০/১৯৭৫ | গৃহিনী | জালশুকা, গাংনী, মেহেরপুর |</t>
  </si>
  <si>
    <t>| ৫১৬ | মোছা: হাজেরা খাতুন | ৫৭০০৫৬৩৭৮৯১৪ | আবুজেল মন্ডল | মোছা: আসমা খাতুন | ১০/০৬/১৯৭২ | গৃহিনী | জালশুকা, গাংনী, মেহেরপুর |</t>
  </si>
  <si>
    <t>| ৫১৭ | মোছা: ছালেহা বেগম | ৫৭০০৫৬৩৭৮৯১৫ | কাশেম মন্ডল | মোছা: নিহারন নেছা | ০২/০৪/১৯৮২ | গৃহিনী | জালশুকা, গাংনী, মেহেরপুর |</t>
  </si>
  <si>
    <t>| ৫১৮ | মোছা: শিরিনা খাতুন | ৫৭০০৫৬৩৭৮৯১৬ | মোঃ আহারউদ্দীন | মোছা: জাহানারা | ০৩/০৮/১৯৮২ | গৃহিনী | জালশুকা, গাংনী, মেহেরপুর |</t>
  </si>
  <si>
    <t>| ৫১৯ | মোছা: জেসমিন খাতুন | ৫৭০০৫৬৩৭৮৯১৯ | নওশাদ আলী | মোছা: রশিদা খাতুন | ১৪/১০/১৯৮০ | গৃহিনী | জালশুকা, গাংনী, মেহেরপুর |</t>
  </si>
  <si>
    <t>| ৫২০ | মোছাঃ জাহিদা খাতুন | ৫৭০০৫৬৩৭৮৯২০ | কছিমদ্দিন | করিমন নেছা | ০১/০১/১৯৪৮ | গৃহিণী | জালশুকা, গাংনী, মেহেরপুর |</t>
  </si>
  <si>
    <t>| ৫২১ | মোছাঃ সুফিয়া খাতুন | ৫৭০০৫৬৩৭৮৯২১ | মোঃ আফতাব হোসেন | মোছাঃ ছরজান | ০৫/০৬/১৯৬৫ | গৃহিণী | জালশুকা, গাংনী, মেহেরপুর |</t>
  </si>
  <si>
    <t>| ৫২২ | মোছাঃ হানিয়াম মারিয়া | ৫৭০০৫৬৩৭৮৯২২ | আশরাফ আলী | রমেলা খাতুন | ১৬/০২/১৯৬৯ | গৃহিণী | জালশুকা, গাংনী, মেহেরপুর |</t>
  </si>
  <si>
    <t>| ৫২৩ | মোছাঃ ছালেহার খাতুন | ৫৭০০৫৬৩৭৮৯২৩ | আফজাল মালিথা | মোছাঃ মমতাজ খাতুন | ০৩/০৫/১৯৬৭ | গৃহিণী | জালশুকা, গাংনী, মেহেরপুর |</t>
  </si>
  <si>
    <t>| ৫২৪ | মোছাঃ ফুলিয়ারা খাতুন | ৫৭০০৫৬৩৭৮৯২৪ | মো: আবুল কাশেম | মোছাঃ শাহিদা খাতুন | ১৫/০৪/১৯৮৮ | গৃহিণী | জালশুকা, গাংনী, মেহেরপুর |</t>
  </si>
  <si>
    <t>| ৫২৫ | মোছাঃ কহিনুর বেগম | ৫৭০০৫৬৩৭৮৯২৫ | হারান বিশ্বাস | জয়নব বেগম | ২২/০৩/১৯৫৭ | গৃহিণী | জালশুকা, গাংনী, মেহেরপুর |</t>
  </si>
  <si>
    <t>| ৫২৬ | মোছাঃ মমতাজ খাতুন | ৫৭০০৫৬৩৭৮৯২৬ | মো: তাহের আলী | মোছাঃ মরিয়ম খাতুন | ১৬/০৯/১৯৭৮ | গৃহিণী | জালশুকা, গাংনী, মেহেরপুর |</t>
  </si>
  <si>
    <t>| ৫২৭ | মোছাঃ সাহেনা খাতুন | ৫৭০০৫৬৩৭৮৯২৭ | মো: শাকের উদ্দীন | সাহার বানু | ০২/০৫/১৯৭০ | গৃহিণী | জালশুকা, গাংনী, মেহেরপুর |</t>
  </si>
  <si>
    <t>| ৫২৮ | মোছাঃ সাহার বানু | ৫৭০০৫৬৩৭৮৯২৮ | মোঃ গোলাম রসুল | মোছাঃ হাজেরা খাতুন | ০৮/০১/১৯৭২ | গৃহিণী | জালশুকা, গাংনী, মেহেরপুর |</t>
  </si>
  <si>
    <t>| ৫২৯ | মোছাঃ ফিরোজা খাতুন | ৫৭০০৫৬৩৭৮৯৩০ | মামান বিশ্বাস | মোছাঃ জরিমন নেছা | ১৮/১১/১৯৬৭ | গৃহিণী | জালশুকা, গাংনী, মেহেরপুর |</t>
  </si>
  <si>
    <t>| ৫৩০ | মোছাঃ মাজিদা খাতুন | ৫৭০০৫৬৩৭৮৯৩১ | ফকির মহাম্মদ | মোছাঃ রহিমা খাতুন | ১০/০২/১৯৭৭ | গৃহিণী | জালশুকা, গাংনী, মেহেরপুর |</t>
  </si>
  <si>
    <t>| ৫৩১ | মোছাঃ সারজিনা খাতুন | ৫৭০০৫৬৩৭৮৯৩৩ | গোলাম রসুল | মোছাঃ সুরতন নেছা | ০২/০৩/১৯৬৭ | গৃহিণী | জালশুকা, গাংনী, মেহেরপুর |</t>
  </si>
  <si>
    <t>| ৫৩২ | মোছাঃ মুকলিছা খাতুন | ৫৭০০৫৬৩৭৮৯৩৪ | মো: আব্দুল মজিদ | মোছাঃ সারজিনা খাতুন | ১০/১১/১৯৮৮ | বেকার | জালশুকা, গাংনী, মেহেরপুর |</t>
  </si>
  <si>
    <t>| ৫৩৩ | মোছাঃ মালেকা খাতুন | ৫৭০০৫৬৩৭৮৯৩৭ | মো: খাজেুদ্দিন | মোছাঃ ছিরফান নেছা | ১৮/১০/১৯৬৭ | গৃহিণী | জালশুকা, গাংনী, মেহেরপুর |</t>
  </si>
  <si>
    <t>| ৫৩৪ | মোছাঃ রসুলা খাতুন | ৫৭০০৫৬৩৭৮৯৩৯ | কিয়ামদ্দিন | খাইরন নেছা | ০১/০১/১৯৫৩ | গৃহিণী | জালশুকা, গাংনী, মেহেরপুর |</t>
  </si>
  <si>
    <t>| ৫৩৫ | মোছাঃ আরাবিয়া খাতুন | ৫৭০০৫৬৩৭৮৯৪০ | মো: বাদশা মন্ডল | মোছাঃ ফাতেমা খাতুন | ০১/০১/১৯৮৩ | গৃহিণী | জালশুকা, গাংনী, মেহেরপুর |</t>
  </si>
  <si>
    <t>| ৫৩৬ | মোছাঃ তাসলিমা খাতুন | ৫৭০০৫৬৩৭৮৯৪১ | মো: ইসলাম | রোকেয়া বেগম | ০১/০১/১৯৮০ | গৃহিণী | জালশুকা, গাংনী, মেহেরপুর |</t>
  </si>
  <si>
    <t>| ৫৩৭ | মোছাঃ রেখা খাতুন | ৫৭০০৫৬৩৭৮৯৪৩ | মো: ওহাব আলী | মোছাঃ নুরেজান খাতুন | ০১/০১/১৯৭৯ | গৃহিণী | জালশুকা, গাংনী, মেহেরপুর |</t>
  </si>
  <si>
    <t>| ৫৩৮ | মোছা: আনজিরা খাতুন | ৫৭০০৫৬৩৭৮৯৪৪ | আমোদ আলী | মোছা: সারেজান | ০৩/০৩/১৯৬০ | গৃহিনী | জালশুকা, গাংনী, মেহেরপুর |</t>
  </si>
  <si>
    <t>| ৫৩৯ | মোছা: কহুর খাতুন | ৫৭০০৫৬৩৭৮৯৪৬ | এলাহী মন্ডল | মোছা: জাবেদা খাতুন | ১০/০৫/১৯৪৭ | গৃহিনী | জালশুকা, গাংনী, মেহেরপুর |</t>
  </si>
  <si>
    <t>| ৫৪০ | মোছা: বেলিয়ারা খাতুন | ৫৭০০৫৬৩৭৮৯৪৭ | মোঃ বিল্লাল হোসেন | মোছা: শাহেদা খাতুন | ০১/০৯/১৯৮০ | গৃহিনী | জালশুকা, গাংনী, মেহেরপুর |</t>
  </si>
  <si>
    <t>| ৫৪১ | মোছাঃ ময়না খাতুন | ৫৭০০৫৬৩৭৮৯৪৮ | মোঃ হাবিবুর রহমান | মোছা: মোমেনা খাতুন | ০১/০১/১৯৮৬ | গৃহিনী | জালশুকা, গাংনী, মেহেরপুর |</t>
  </si>
  <si>
    <t>| ৫৪২ | মোছাঃ মিশরা খাতুন | ৫৭০০৫৬৩৭৮৯৪৯ | মোঃ হাবিবর রহমান | মোছা: রমেশ্বা | ০৫/০৮/১৯৭২ | গৃহিনী | জালশুকা, গাংনী, মেহেরপুর |</t>
  </si>
  <si>
    <t>| ৫৪৩ | মোছাঃ জোসনে আরা | ৫৭০০৫৬৩৭৮৯৫৩ | মোঃ রমজান মন্ডল | মোছা: আজিরন নেছা | ০১/০১/১৯৭৩ | গৃহিনী | জালশুকা, গাংনী, মেহেরপুর |</t>
  </si>
  <si>
    <t>| ৫৪৪ | মোছা: ফাহিমা খাতুন | ৫৭০০৫৬৩৭৮৯৬২ | আলতাফ বিশ্বাস | জারিমন নেছা | ১৪/০৩/১৯৮৭ | গৃহিনী | জালশুকা, গাংনী, মেহেরপুর |</t>
  </si>
  <si>
    <t>| ৫৪৫ | মোছা: হাজেরা খাতুন | ৫৭০০৫৬৩৭৮৯৬৭ | মফেজ উদ্দিন | রাকাতন নেছা | ০৯/০৬/১৯৬৯ | গৃহিনী | জালশুকা, গাংনী, মেহেরপুর |</t>
  </si>
  <si>
    <t>| ৫৪৬ | মোছা: নাছরিন খাতুন | ৫৭০০৫৬৩৭৮৯৬৮ | মোঃ আব্দুর রশিদ | মোছা: রেখা খাতুন | ১৭/০৩/১৯৮৮ | গৃহিনী | জালশুকা, গাংনী, মেহেরপুর |</t>
  </si>
  <si>
    <t>| ৫৪৭ | মোছা: সাহরন খাতুন | ৫৭০০৫৬৩৭৮৯৬৯ | কুড়ুন মন্ডল | মোছা: রওশনারা | ১৫/০২/১৯৫৭ | গৃহিনী | জালশুকা, গাংনী, মেহেরপুর |</t>
  </si>
  <si>
    <t>| ৫৪৮ | মোছা: সুরাতন নেছা | ৫৭০০৫৬৩৭৮৯৭১ | তাহাজউদ্দীন বিশ্বাস | মোছা: করিমন নেছা | ১১/০৭/১৯৬২ | গৃহিনী | জালশুকা, গাংনী, মেহেরপুর |</t>
  </si>
  <si>
    <t>| ৫৪৯ | মোছা: আনজিরা খাতুন | ৫৭০০৫৬৩৭৮৯৭৩ | মোঃ শাহাম্মদ মন্ডল | মোছা: পানছুরা খাতুন | ১৪/০৬/১৯৭০ | গৃহিনী | জালশুকা, গাংনী, মেহেরপুর |</t>
  </si>
  <si>
    <t>| ৫৫০ | মোছা: মেরিনা খাতুন | ৫৭০০৫৬৩৭৮৯৭৪ | মোঃ নবিরুদ্দীন | মোছা: জোসনা খাতুন | ০৩/০৩/১৯৮৫ | গৃহিনী | জালশুকা, গাংনী, মেহেরপুর |</t>
  </si>
  <si>
    <t>| ৫৫১ | মোছা: রোকেয়া খাতুন | ৫৭০০৫৬৩৭৮৯৭৫ | বয়ান মন্ডল | মোছা: করিমন নেছা | ০৬/০৯/১৯৬১ | গৃহিনী | জালশুকা, গাংনী, মেহেরপুর |</t>
  </si>
  <si>
    <t>| ৫৫২ | মোছা: রেফেজা খাতুন | ৫৭০০৫৬৩৭৮৯৭৬ | মোঃ ছিয়ামত আলী | মোছা: ছুরাতন নেছা | ২৫/০৪/১৯৭২ | গৃহিনী | জালশুকা, গাংনী, মেহেরপুর |</t>
  </si>
  <si>
    <t>| ৫৫৩ | মোছা: পিনজিরা খাতুন | ৫৭০০৫৬৩৭৮৯৭৮ | মোঃ ইবাদত মন্ডল | মোছা: রসুলা খাতুন | ০৬/০৮/১৯৬৯ | গৃহিনী | জালশুকা, গাংনী, মেহেরপুর |</t>
  </si>
  <si>
    <t>| ৫৫৪ | মোছা: বানিয়ারা | ৫৭০০৫৬৩৭৮৯৮২ | মোঃ আলফাজউদ্দীন | মোছা: হারেলা খাতুন | ১৬/০৯/১৯৭৫ | গৃহিনী | জালশুকা, গাংনী, মেহেরপুর |</t>
  </si>
  <si>
    <t>| ৫৫৫ | মাইগ্রেট হয়েছে |  |  |  |  |  |  |</t>
  </si>
  <si>
    <t>| ৫৫৬ | মোছাঃ ছবেদা খাতুন | ৫৭০০৫৬৩৭৮৯৮৪ | তফসের বিশ্বাস | মোছাঃ নির্মল বিবি | ২১/০৫/১৯৭৭ | গৃহিণী | জালশুকা, গাংনী, মেহেরপুর |</t>
  </si>
  <si>
    <t>| ৫৫৭ | মোছাঃ হোসনেয়ারা বেগম | ৫৭০০৫৬৩৭৮৯৮৫ | আফজাল হোসেন | মোছাঃ ছালেহা খাতুন | ১০/০৩/১৯৬০ | গৃহিণী | জালশুকা, গাংনী, মেহেরপুর |</t>
  </si>
  <si>
    <t>| ৫৫৮ | মোছাঃ রাশিদা খাতুন | ৫৭০০৫৬৩৭৮৯৮৬ | শুকুর আলী | মোছাঃ ছপুরা খাতুন | ১৯/১০/১৯৮২ | গৃহিণী | জালশুকা, গাংনী, মেহেরপুর |</t>
  </si>
  <si>
    <t>| ৫৫৯ | মোছাঃ কামরুন্নাহার | ৫৭০০৫৬৩৭৮৯৮৮ | মোঃ ইউনুস আলি | মোছাঃ হোসনেয়ারা | ০১/০১/১৯৮৮ | গৃহিণী | জালশুকা, গাংনী, মেহেরপুর |</t>
  </si>
  <si>
    <t>| ৫৬০ | মোছাঃ কপুরা খাতুন | ৫৭০০৫৬৩৭৮৯৯২ | মো: জমিরদ্দিন | মোছাঃ হাসিয়া খাতুন | ২৬/১০/১৯৭১ | গৃহিণী | জালশুকা, গাংনী, মেহেরপুর |</t>
  </si>
  <si>
    <t>| ৫৬১ | মোছাঃ মরিয়ম খাতুন | ৫৭০০৫৬৩৭৮৯৯৪ | রহিম বকশ | কমেলা খাতুন | ০৩/০৪/১৯৬০ | গৃহিণী | জালশুকা, গাংনী, মেহেরপুর |</t>
  </si>
  <si>
    <t>| ৫৬২ | মোছাঃ আছিয়া খাতুন | ৫৭০০৫৬৩৭৮৯৯৬ | আলতাফ হোসেন | মোছাঃ আমিনা খাতুন | ০২/০৩/১৯৪৭ | গৃহিণী | জালশুকা, গাংনী, মেহেরপুর |</t>
  </si>
  <si>
    <t>| ৫৬৩ | মোছাঃ নিলুফা খাতুন | ৫৭০০৫৬৩৭৮৯৯৭ | মো: দবিরউদ্দীন | মোছাঃ বানুয়ারা | ০৪/০৫/১৯৭৮ | গৃহিণী | জালশুকা, গাংনী, মেহেরপুর |</t>
  </si>
  <si>
    <t>| ৫৬৪ | মোছাঃ মাজেদা খাতুন | ৫৭০০৫৬৩৭৮৯৯৮ | মো: সুয়ত আলি | মোছাঃ বানুয়ারা | ০২/০৫/১৯৭৫ | গৃহিণী | জালশুকা, গাংনী, মেহেরপুর |</t>
  </si>
  <si>
    <t>| ৫৬৫ | মোছাঃ শাহনাজ পারভীন | ৫৭০০৫৬২৪৪৬৩৩ | মো: জাবেদ মন্ডল | মোছাঃ সায়েদা বেগম | ২১/০২/১৯৮২ | গৃহিণী | জালশুকা, গাংনী, মেহেরপুর |</t>
  </si>
  <si>
    <t>| ৫৬৬ | মোছাঃ পারভীনা খাতুন | ৫৭০০৫৬০০০০০২ | মো: বজলুর রহমান | মোছাঃ অফরোজা খাতুন | ০১/০৬/১৯৮০ | গৃহিণী | জালশুকা, গাংনী, মেহেরপুর |</t>
  </si>
  <si>
    <t>| ৫৬৭ | মোছাঃ হালিমা খাতুন | ৫৭০০৫৬০০০০০৩ | মো: আব্দুল আলিম | মোছাঃ ফিরোজা বেগম | ৩০/০১/১৯৯০ | গৃহিণী | জালশুকা, গাংনী, মেহেরপুর |</t>
  </si>
  <si>
    <t>| ৫৬৮ | মোছাঃ রুনা নাসরিন | ৫৭০০৫৬০০০০০৪ | মো: আনছার আলী | মোছাঃ জরিনা খাতুন | ০১/০১/১৯৮৯ | গৃহিণী | জালশুকা, গাংনী, মেহেরপুর |</t>
  </si>
  <si>
    <t>| ৫৬৯ | মোছাঃ কামরুন্নাহার | ৫৭০০৫৬০০০০০৫ | মো: মহির উদ্দীন মন্ডল | মোছাঃ নুরজাহান বেগম | ১০/১২/১৯৯০ | ছাত্র/ছাত্রী | জালশুকা, গাংনী, মেহেরপুর |</t>
  </si>
  <si>
    <t>| ৫৭০ | মোছাঃ আংগুরা খাতুন | ৫৭০০৫৬০০০০০৬ | মো: অলেক মন্ডল | মোছাঃ তানজিরা খাতুন | ১২/০১/১৯৭৫ | গৃহিণী | জালশুকা, গাংনী, মেহেরপুর |</t>
  </si>
  <si>
    <t>| ৫৭১ | মাইগ্রেট হয়েছে |  |  |  |  |  |  |</t>
  </si>
  <si>
    <t>| ৫৭২ | মোছাঃ ফজিলা খাতুন | ৫৭০০৫৬০০০০০৮ | মো: আবুল কাশেম | মোছাঃ শহিদা খাতুন | ০১/০১/১৯৯০ | গৃহিণী | জালশুকা, গাংনী, মেহেরপুর |</t>
  </si>
  <si>
    <t>| ৫৭৩ | মোছাঃ নাজমা খাতুন | ৫৭০০৫৬০০০০১১ | মো: আনছার আলী | মোছাঃ অফরোজা খাতুন | ০১/০৮/১৯৮৫ | গৃহিণী | জালশুকা, গাংনী, মেহেরপুর |</t>
  </si>
  <si>
    <t>| ৫৭৪ | মোছাঃ শ্যামলী খাতুন | ৫৭০০৫৬০০০০১৫ | মো: মহিবুল ইসলাম | মোছাঃ শিউলি খাতুন | ০৫/০৩/১৯৮৪ | গৃহিণী | জালশুকা, গাংনী, মেহেরপুর |</t>
  </si>
  <si>
    <t>| ৫৭৫ | মোছাঃ সোনিয়া খাতুন | ৫৭০০৫৬০০০০১৬ | মো: বদর উদ্দিন | মোছাঃ সেলিনা বেগম | ০১/০১/১৯৮৯ | গৃহিণী | জালশুকা, গাংনী, মেহেরপুর |</t>
  </si>
  <si>
    <t>| ৫৭৬ | মোছাঃ মিশকুরা খাতুন | ৫৭০০৫৬০০০০২২ | মো: আশাদুল ইসলাম | মোছাঃ কামরুন্নাহার | ১৭/০২/১৯৯০ | গৃহিণী | জালশুকা, গাংনী, মেহেরপুর |</t>
  </si>
  <si>
    <t>| ৫৭৭ | মোছাঃ জাহানারা খাতুন | ৫৭০০৫৬০০০০২৯ | ছিয়ামুদ্দিন মন্ডল | মোছাঃ নিহারন খাতুন | ২৯/০৪/১৯৬৯ | গৃহিণী | জালশুকা, গাংনী, মেহেরপুর |</t>
  </si>
  <si>
    <t>| ৫৭৮ | মোছাঃ সামসুন্নাহার | ৫৭০০৫৬০০০০৩৩ | মো: বানারুল ইসলাম | মোছাঃ রমেছা খাতুন | ০১/০৩/১৯৯০ | গৃহিণী | জালশুকা, গাংনী, মেহেরপুর |</t>
  </si>
  <si>
    <t>| ৫৭৯ | আখি তারা | ৫৭০০৫৬০০০০৩৭ | হাবিবুর রহমান | জাহানারা খাতুন | ০৪/০৬/১৯৯০ | গৃহিণী | জালশুকা, গাংনী, মেহেরপুর |</t>
  </si>
  <si>
    <t>| ৫৮০ | মোছাঃ জোছনা খাতুন | ৫৭০০৫৬০০০০৩৯ | মো: সালাম | সেলিনা | ১০/০৮/১৯৮৮ | গৃহিণী | জালশুকা, গাংনী, মেহেরপুর |</t>
  </si>
  <si>
    <t>| ৫৮১ | মোছাঃ নারগীচ | ৫৭০০৫৬০০০০৪০ | আমিরুল ইসলাম | জরিনা খাতুন | ১০/০৬/১৯৯১ | গৃহিণী | জালশুকা, গাংনী, মেহেরপুর |</t>
  </si>
  <si>
    <t>| ৫৮২ | মুন্নি মালা | ৫৭০০৫৬০০০০৪৮ | আ: মান্নান | জামেলা | ২৫/১১/১৯৯০ | গৃহিণী | জালশুকা, গাংনী, মেহেরপুর |</t>
  </si>
  <si>
    <t>| ৫৮৩ | মোছাঃ ছনিয়া খাতুন | ৫৭০০৫৬০০০০৫৫ | মো: অসমত আলী | মোছাঃ জাহানারা খাতুন | ০১/০১/১৯৯২ | গৃহিণী | জালশুকা, গাংনী, মেহেরপুর |</t>
  </si>
  <si>
    <t>| ৫৮৪ | খদেজান | ৫৭০০৫৬০০০০৬২ | আ: মজিদ | ছরজান | ১৭/০৫/১৯৪৭ | গৃহিণী | জালশুকা, গাংনী, মেহেরপুর |</t>
  </si>
  <si>
    <t>| ৫৮৫ | মোছাঃ নজেরা খাতুন | ৫৭০০৫৬০০০০৬৫ | মো: রেজাউল হক | সুন্দরী খাতুন | ২৩/০৫/১৯৯০ | গৃহিণী | শানঘাট, গাংনী, মেহেরপুর |</t>
  </si>
  <si>
    <t>| ৫৮৬ | মেঘনা খাতুন | ৫৭০০৫৬০০০০৬৭ | নজরুল ইসলাম | ফেরদৌস | ০১/০৩/১৯৮৯ | গৃহিণী | জালশুকা, গাংনী, মেহেরপুর |</t>
  </si>
  <si>
    <t>| ৫৮৭ | রোজিনা খাতুন | ৫৭০০৫৬০০০০৭৩ | তৈয়ব আলী | সাহার বানু | ১০/০৭/১৯৮৭ | গৃহিণী | জালশুকা, গাংনী, মেহেরপুর |</t>
  </si>
  <si>
    <t>| ৫৮৮ | মোছাঃ কুলসুম খাতুন | ৫৭০০৫৬০০০০৭৪ | আজিল | হাওয়া | ২৬/০৩/১৯৭৪ | গৃহিণী | জালশুকা, গাংনী, মেহেরপুর |</t>
  </si>
  <si>
    <t>| ৫৮৯ | মুসলিমা | ৫৭০০৫৬০০০০৭৫ | মোশাররফ হোসেন | রিনা খাতুন | ১০/১০/১৯৮৯ | গৃহিণী | জালশুকা, গাংনী, মেহেরপুর |</t>
  </si>
  <si>
    <t>| ৫৯০ | মোছাঃ রূপালী খাতুন | ৫৭০০৫৬০০০০৭৬ | মো: ইলিয়াছ হোসেন | মায়ারাণী | ০১/০৬/১৯৮৭ | গৃহিণী | জালশুকা, গাংনী, মেহেরপুর |</t>
  </si>
  <si>
    <t>| ৫৯১ | শিল্পীয়ারা খাতুন | ৫৭০০৫৬০০০০৮১ | তিজার আলী | রাহিমা খাতুন | ০১/০৪/১৯৯১ | গৃহিণী | জালশুকা, গাংনী, মেহেরপুর |</t>
  </si>
  <si>
    <t>| ৫৯২ | মোছাঃ রাবিয়া খাতুন | ৫৭০০৫৬০০০০৮২ | দাউদ আলী | অছিয়া খাতুন | ০৮/১০/১৯৮০ | গৃহিণী | জালশুকা, গাংনী, মেহেরপুর |</t>
  </si>
  <si>
    <t>| ৫৯৩ | ময়মুনা খাতুন | ৫৭০০৫৬০০০০৮৫ | মোঃ ওমর আলী | জোহরা বেগম | ১২/০৬/১৯৯১ | গৃহিণী | জালশুকা, গাংনী, মেহেরপুর |</t>
  </si>
  <si>
    <t>| ৫৯৪ | মৌসুমি খাতুন | ৫৭০০৫৬০০০০৮৯ | আলা উদ্দিন | হাসিনা খাতুন | ১৩/০৬/১৯৯০ | গৃহিণী | জালশুকা, গাংনী, মেহেরপুর |</t>
  </si>
  <si>
    <t>| ৫৯৫ | মোছাঃ কুলসুম আরা | ৫৭০০৫৬০০০১১০৪ | মনিরুল ইসলাম | মোছাঃ সফুরা খাতুন | ০৪/০৯/১৯৯১ | গৃহিণী | জালশুকা, গাংনী, মেহেরপুর |</t>
  </si>
  <si>
    <t>| ৫৯৬ | মোছাঃ ময়না খাতুন | ৫৭০০৫৬০০০১১০৫ | জামরুল | মনোয়ারা | ১০/০২/১৯৯০ | গৃহিণী | জালশুকা, গাংনী, মেহেরপুর |</t>
  </si>
  <si>
    <t>| ৫৯৭ | মোছাঃ আছিয়া খাতুন | ৫৭০০৫৬০০০১১০৬ | আবু বকর | হাসিনা খাতুন | ০৫/০৩/১৯৮৭ | গৃহিণী | জালশুকা, গাংনী, মেহেরপুর |</t>
  </si>
  <si>
    <t>| ৫৯৮ | হুসনেয়ারা খাতুন | ৫৭০০৫৬০০০১১০ | আবু বকর | হাসিনা খাতুন | ১০/১১/১৯৮৫ | গৃহিণী | জালশুকা, গাংনী, মেহেরপুর |</t>
  </si>
  <si>
    <t>| ৫৯৯ | হুসনেয়ারা খাতুন | ৫৭০০৫৬০০০১১৫ | মজিবর | আছমা খাতুন | ০৫/০২/১৯৬৫ | গৃহিণী | জালশুকা, গাংনী, মেহেরপুর |</t>
  </si>
  <si>
    <t>| ৬০০ | মোছাঃ রোজিনা খাতুন | ৫৭০০৫৬০০০১১৮ | এলাহী | ছকেনা | ০১/০৪/১৯৯০ | গৃহিণী | জালশুকা, গাংনী, মেহেরপুর |</t>
  </si>
  <si>
    <t>| ৬০১ | মোছাঃ কল্পনা খাতুন | ৫৭০০৫৬০০০১২০ | এনামুল হক | নজেরা খাতুন | ২৮/১০/১৯৯১ | ছাত্র/ছাত্রী | জালশুকা, গাংনী, মেহেরপুর |</t>
  </si>
  <si>
    <t>| ৬০২ | মোছাঃ রিনা খাতুন | ৫৭০০৫৬০০০১২২ | আ: মজিদ | আল্লাদী খাতুন | ২২/০৫/১৯৯০ | গৃহিণী | জালশুকা, গাংনী, মেহেরপুর |</t>
  </si>
  <si>
    <t>| ৬০৩ | মোছাঃ রোজিনা খাতুন | ৫৭০০৫৬০০০১২৩ | আইয়ুব আলী | সুফিয়া খাতুন | ০৫/০৬/১৯৯১ | গৃহিণী | জালশুকা, গাংনী, মেহেরপুর |</t>
  </si>
  <si>
    <t>| ৬০৪ | মোছাঃ রেক্সনা | ৫৭০০৫৬০০০১২৪ | জামাল উদ্দীন | বাশিরা | ১৪/০৪/১৯৯১ | দর্জি | জালশুকা, গাংনী, মেহেরপুর |</t>
  </si>
  <si>
    <t>| ৬০৫ | মোছাঃ উনজিলা খাতুন | ৫৭০০৫৬০০০১৩৩ | মো: সাবান আলী | সালমা খাতুন | ১৩/০১/১৯৯১ | গৃহিণী | জালশুকা, গাংনী, মেহেরপুর |</t>
  </si>
  <si>
    <t>| ৬০৬ | মোছাঃ উম্মিয়া খাতুন | ৫৭০০৫৬০০০১৩৭ | মো: উমিদ আলী | বেদনা খাতুন | ০১/০১/১৯৯০ | গৃহিণী | জালশুকা, গাংনী, মেহেরপুর |</t>
  </si>
  <si>
    <t>| ৬০৭ | মোছাঃ বানেছা খাতুন | ৫৭০০৫৬০০০১৪১ | মো: আজমত আলী | মোছাঃ সুজিলা খাতুন | ১০/০৩/১৯৯০ | গৃহিণী | জালশুকা, গাংনী, মেহেরপুর |</t>
  </si>
  <si>
    <t>| ৬০৮ | মোছাঃ রিজিয়া খাতুন | ৫৭০০৫৬০০০১৪৫ | রহিম বক্স | মোছাঃ সাহার বানু | ২০/১২/১৯৬১ | গৃহিণী | জালশুকা, গাংনী, মেহেরপুর |</t>
  </si>
  <si>
    <t>| ৬০৯ | মোছাঃ আছিয়া খাতুন | ৫৭০০৫৬০০০১৪৭ | আ: ওহাব | মোছাঃ আরজিনা খাতুন | ০১/১১/১৯৯০ | গৃহিণী | জালশুকা, গাংনী, মেহেরপুর |</t>
  </si>
  <si>
    <t>| ৬১০ | মোছাঃ বিপাশা | ৫৭০০৫৬০০০১৪৮ | মোঃ আঃ হামিদ | মোছাঃ ফরিদা খাতুন | ০১/০৮/১৯৯০ | ছাত্র/ছাত্রী | জালশুকা, গাংনী, মেহেরপুর |</t>
  </si>
  <si>
    <t>| ৬১১ | মোছাঃ আহম্মাতুন্ন নঈম | ৫৭০০৫৬০০০১৫১ | মোঃ মখলেছুর রহমান | মোছাঃ ময়না খাতুন | ০১/১২/১৯৮৯ | গৃহিনী | জালশুকা, গাংনী, মেহেরপুর |</t>
  </si>
  <si>
    <t>| ৬১২ | মোছাঃ পারভিনা খাতুন রিনা | ৫৭০০৫৬০০০১৫৬ | মোঃ বজলুর রহমান | মোছাঃ আফরোজা খাতুন | ০১/০৬/১৯৮০ | গৃহিনী | জালশুকা, গাংনী, মেহেরপুর |</t>
  </si>
  <si>
    <t>| ৬১৩ | মোছাঃ এসেমোতারা খাতুন | ৫৭০০৫৬০০০১৫৭ | মোঃ আফজেল হোসেন | মোছাঃ ফজিলা খাতুন | ০৮/১০/১৯৯০ | গৃহিনী | জালশুকা, গাংনী, মেহেরপুর |</t>
  </si>
  <si>
    <t>| ৬১৪ | মোছাঃ রনি খাতুন | ৫৭০০৫৬০০০১৬৩ | মোঃ আঃ আলিম | মোছাঃ মমতাজ খাতুন | ০১/১১/১৯৮৯ | গৃহিনী | জালশুকা, গাংনী, মেহেরপুর |</t>
  </si>
  <si>
    <t>| ৬১৫ | মোছাঃ মেহেরন নেছা | ৫৭০০৫৬০০০১৬৮ | মোঃ খলিলুর রহমান | মোছাঃ আনজিরা খাতুন | ২৮/০৬/১৯৯০ | ছাত্র/ছাত্রী | জালশুকা, গাংনী, মেহেরপুর |</t>
  </si>
  <si>
    <t>| ৬১৬ | মোছাঃ সালমা খাতুন | ৫৭০০৫৬০০০১৭১ | মোঃ সহিদুল ইসলাম | মোছাঃ রশিদা খাতুন | ০১/০২/১৯৯১ | বেকার | জালশুকা, গাংনী, মেহেরপুর |</t>
  </si>
  <si>
    <t>| ৬১৭ | মোছাঃ সাবানা খাতুন | ৫৭০০৫৬০০০১৭৭ | শফিরদ্দীন | মোছাঃ ফেরদৌসী | ০৫/০৩/১৯৮৯ | গৃহিনী | জালশুকা, গাংনী, মেহেরপুর |</t>
  </si>
  <si>
    <t>| ৬১৮ | মোছাঃ লামিয়া খাতুন | ৫৭০০৫৬০০০১৭৮ | মোঃ সেকেন্দার | মোছাঃ মুক্তরা | ১০/০৫/১৯৮৫ | গৃহিনী | জালশুকা, গাংনী, মেহেরপুর |</t>
  </si>
  <si>
    <t>| ৬১৯ | মোছাঃ সাবানা খাতুন | ৫৭০০৫৬০০০১৮০ | মোঃ মকবুল হোসেন | মোছাঃ শাহানারা | ২০/০৪/১৯৮৭ | গৃহিনী | জালশুকা, গাংনী, মেহেরপুর |</t>
  </si>
  <si>
    <t>| ৬২০ | মোছাঃ রোকসনা খাতুন | ৫৭০০৫৬০০০১৮৩ | মোঃ আফজেল | মোছাঃ রোকেয়া খাতুন | ১৫/০৪/১৯৯১ | গৃহিনী | জালশুকা, গাংনী, মেহেরপুর |</t>
  </si>
  <si>
    <t>| ৬২১ | মোছাঃ শিল্পিয়ারা খাতুন | ৫৭০০৫৬০০০১৮৪ | মোঃ সাবান আলী | মোছাঃ শিরিনা খাতুন | ০১/০১/১৯৯১ | গৃহিনী | জালশুকা, গাংনী, মেহেরপুর |</t>
  </si>
  <si>
    <t>| ৬২২ | মোছাঃ ফুলপতি খাতুন | ৫৭০০৫৬০০০১৮৫ | মোঃ তৈয়ব আলী | মোছাঃ শাহানারা খাতুন | ১৫/০৩/১৯৮৬ | গৃহিনী | জালশুকা, গাংনী, মেহেরপুর |</t>
  </si>
  <si>
    <t>| ৬২৩ | মোছাঃ জাহানারা খাতুন | ৫৭০০৫৬০০০১৮৬ | মোঃ শুকুর আলী | মোছাঃ মনোয়ারা খাতুন | ২০/০২/১৯৮৪ | গৃহিনী | জালশুকা, গাংনী, মেহেরপুর |</t>
  </si>
  <si>
    <t>| ৬২৪ | মোছাঃ মুন্নি মালা | ৫৭০০৫৬০০০১৮৭ | মোঃ মন্টু আলী | মোছাঃ জাহানারা খাতুন | ২০/০২/১৯৯০ | গৃহিনী | জালশুকা, গাংনী, মেহেরপুর |</t>
  </si>
  <si>
    <t>| ৬২৫ | মোছাঃ বিলকিস আরা | ৫৭০০৫৬০০০১৯১ | মোঃ বেল্টু | মোছাঃ ফিরোজা খাতুন | ০৫/০৯/১৯৮৯ | গৃহিনী | জালশুকা, গাংনী, মেহেরপুর |</t>
  </si>
  <si>
    <t>| ৬২৬ | মোছাঃ ফুলকি খাতুন | ৫৭০০৫৬০০০১৯২ | মোঃ আবুছদ্দীন | মোছাঃ দোলনা খাতুন | ২৭/০৩/১৯৯০ | গৃহিনী | জালশুকা, গাংনী, মেহেরপুর |</t>
  </si>
  <si>
    <t>| ৬২৭ | মোছাঃ সুরাইয়া খাতুন | ৫৭০০৫৬০০০১৯৫ | মোঃ মরজেম আলী | মোছাঃ হানিয়াম মারিয়া | ১০/০৩/১৯৮৯ | ছাত্র/ছাত্রী | জালশুকা, গাংনী, মেহেরপুর |</t>
  </si>
  <si>
    <t>| ৬২৮ | মোছা: ফাহিমা খাতুন | ৫৭০০৫৬০০০০৩৮ | খইবার আলী | খুশি খাতুন | ১২/১০/১৯৯২ | গৃহিনী | জালশুকা, গাংনী, মেহেরপুর |</t>
  </si>
  <si>
    <t>| ৬২৯ | তানিয়া খাতুন | ৫৭০০৫৬০০০০৪৩ | শাহজাহান | রহিমা খাতুন | ১০/০৫/১৯৯২ | গৃহিনী | জালশুকা, গাংনী, মেহেরপুর |</t>
  </si>
  <si>
    <t>| ৬৩০ | মোছা: পারুলা খাতুন | ৫৭০০৫৬০০০০৬৬ | তৈয়ব আলী | মহিমা খাতুন | ০৫/১২/১৯৯২ | দর্জি | জালশুকা, গাংনী, মেহেরপুর |</t>
  </si>
  <si>
    <t>| ৬৩১ | মোছা: ফেন্সি খাতুন | ৫৭০০৫৬০০০০৮৩ | মোঃ তৈয়ব আলী | জাহাতন খাতুন | ০১/১০/১৯৯২ | গৃহিনী | জালশুকা, গাংনী, মেহেরপুর |</t>
  </si>
  <si>
    <t>| ৬৩২ | মোছা: শিউলি খাতুন | ৫৭০০৫৬০০০০৮৪ | মোঃ আবুল কাশেম | শাহিদা | ০২/০৩/১৯৯২ | ছাত্র/ছাত্রী | জালশুকা, গাংনী, মেহেরপুর |</t>
  </si>
  <si>
    <t>| ৬৩৩ | মোছা: ছনিয়া খাতুন | ৫৭০০৫৬০০০০৯৫ | মোঃ তরিকুল ইসলাম | পানছুরা খাতুন | ০৫/০৮/১৯৯২ | গৃহিনী | জালশুকা, গাংনী, মেহেরপুর |</t>
  </si>
  <si>
    <t>| ৬৩৪ | মোছা: শাহিদা খাতুন | ৫৭০০৫৬০০০১১৯ | সাইদুর রহমান | রফুল খাতুন | ১০/০৬/১৯৯২ | গৃহিনী | জালশুকা, গাংনী, মেহেরপুর |</t>
  </si>
  <si>
    <t>| ৬৩৫ | মোছা: লাবিবা | ৫৭০০৫৬০০০১৪০ | মোঃ মজনুর রহমান | মোছা: মারিয়া খাতুন | ১২/০৬/১৯৯২ | গৃহিনী | জালশুকা, গাংনী, মেহেরপুর |</t>
  </si>
  <si>
    <t>| ৬৩৬ | মোছা: আয়েশা খাতুন | ৫৭০০৫৬০০০১৬৭ | মোঃ আজিবার | মোছাঃ হালিমা খাতুন | ২০/০২/১৯৯২ | গৃহিনী | জালশুকা, গাংনী, মেহেরপুর |</t>
  </si>
  <si>
    <t>| ৬৩৭ | মোছা: কামরুন্নাহার | ৫৭০০৫৬০০০১৭০ | মোঃ এনামুল হক | মোছা: জাহানারা খাতুন | ১২/০৪/১৯৯২ | ছাত্র/ছাত্রী | জালশুকা, গাংনী, মেহেরপুর |</t>
  </si>
  <si>
    <t>| ৬৩৮ | রানু খাতুন | ৫৭০০৫৬০০০০৩৫ | আজমত আলী | মোছাঃ জাহানারা খাতুন | ২৫/০২/১৯৯৩ | গৃহিনী | জালশুকা, গাংনী, মেহেরপুর |</t>
  </si>
  <si>
    <t>| ৬৩৯ | মরিয়ম | ৫৭০০৫৬০০০০৪২ | আমছার আলী | নেকজান | ১০/০৬/১৯৯৩ | গৃহিনী | জালশুকা, গাংনী, মেহেরপুর |</t>
  </si>
  <si>
    <t>| ৬৪০ | মোছা: রাজিয়া খাতুন | ৫৭০০৫৬০০০০৪৬ | মুফাজ্জেল | মাসুরা | ১০/০৮/১৯৯৩ | গৃহিনী | জালশুকা, গাংনী, মেহেরপুর |</t>
  </si>
  <si>
    <t>| ৬৪১ | শান্তনা | ৫৭০০৫৬০০০০৫১ | বাহাজ | মালেকা | ১০/০৩/১৯৯৩ | গৃহিনী | জালশুকা, গাংনী, মেহেরপুর |</t>
  </si>
  <si>
    <t>| ৬৪২ | মোছা: মেহেনিকা খাতুন | ৫৭০০৫৬০০০০৫৬ | মোজ্জেম মন্ডল | মোছা: রহিমা খাতুন | ১২/০৫/১৯৯৩ | গৃহিনী | জালশুকা, গাংনী, মেহেরপুর |</t>
  </si>
  <si>
    <t>| ৬৪৩ | মোছা: কুলছুম | ৫৭০০৫৬০০০০৬৩ | নেকছার আলী | মোছা: ফজিলা | ০১/০২/১৯৯৩ | গৃহিনী | জালশুকা, গাংনী, মেহেরপুর |</t>
  </si>
  <si>
    <t>| ৬৪৪ | মোছা: রিমা খাতুন | ৫৭০০৫৬০০০০৮৮ | আলাউদ্দীন | রিতা খাতুন | ০৮/১২/১৯৯৩ | গৃহিনী | জালশুকা, গাংনী, মেহেরপুর |</t>
  </si>
  <si>
    <t>| ৬৪৫ | মোছা: রাবিনা খাতুন | ৫৭০০৫৬০০০১১৪ | মোঃ হযরত আলী | হাসেনা খাতুন | ১২/১২/১৯৯৩ | ছাত্র/ছাত্রী | জালশুকা, গাংনী, মেহেরপুর |</t>
  </si>
  <si>
    <t>| ৬৪৬ | মোছাঃ হীরা খাতুন | ৫৭০০৫৬০০০১১৭ | মোঃ নুরুল ইসলাম | মোছাঃ রওশন আরা | ০৮/০৬/১৯৯৩ | ছাত্র/ছাত্রী | জালশুকা, গাংনী, মেহেরপুর |</t>
  </si>
  <si>
    <t>| ৬৪৭ | মোছাঃ নাজমা খাতুন | ৫৭০০৫৬০০০১৩১ | মোঃ মান্নান | মাতা: মর্জিনা | ০১/০৫/১৯৯৩ | গৃহিনী | জালশুকা, গাংনী, মেহেরপুর |</t>
  </si>
  <si>
    <t>| ৬৪৮ | মোছাঃ শাহানারা খাতুন | ৫৭০০৫৬০০০১৩৪ | পিতা: শাহাজুল ইসলাম | মাতা: শরজান নেছা | ০১/০১/১৯৯৪ | গৃহিনী | জালশুকা, গাংনী, মেহেরপুর |</t>
  </si>
  <si>
    <t>| ৬৪৯ | মোছাঃ খাদেজা খাতুন | ৫৭০০৫৬০০০১৩৬ | মোঃ আঃ খালেক মোল্লা | মোছাঃ হাজেরা খাতুন | ০১/০২/১৯৯৪ | গৃহিনী | জালশুকা, গাংনী, মেহেরপুর |</t>
  </si>
  <si>
    <t>| ৬৫০ | নাম: আজমিরা | ৫৭০০৫৬০০০০৪৪ | পিতা: আলাউদ্দীন | মাতা: কামরুন্নাহার | ০৫/০৩/১৯৯৪ | গৃহিনী | জালশুকা, গাংনী, মেহেরপুর |</t>
  </si>
  <si>
    <t>| ৬৫১ | নাম: মোছাঃ রুপালী | ৫৭০০৫৬০০০০৫২ | পিতা: ইসমাইল হোসেন | মাতা: ওজিলা খাতুন | ২০/০৬/১৯৯৪ | গৃহিনী | জালশুকা, গাংনী, মেহেরপুর |</t>
  </si>
  <si>
    <t>| ৬৫২ | নাম: মোছাঃ সাগরী খাতুন | ৫৭০০৫৬০০০০৫৮ | মোঃ বজলুর রহমান | মোছাঃ রেহেনা খাতুন | ১৩/০৩/১৯৯৪ | ছাত্র/ছাত্রী | জালশুকা, গাংনী, মেহেরপুর |</t>
  </si>
  <si>
    <t>| ৬৫৩ | নাম: মোছাঃ লাবনী খাতুন | ৫৭০০৫৬০০০০৬০ | পিতা: সিরাজুল ইসলাম | মাতা: বিউটি খাতুন | ১৫/০৬/১৯৯৪ | গৃহিনী | জালশুকা, গাংনী, মেহেরপুর |</t>
  </si>
  <si>
    <t>| ৬৫৪ | নাম: মোছাঃ সালমা খাতুন | ৫৭০০৫৬০০০০৬৯ | পিতা: মোঃ ইদ্রিস আলী | মাতা: মোছাঃ তহমিনা | ১৫/০২/১৯৯৪ | ছাত্র/ছাত্রী | জালশুকা, গাংনী, মেহেরপুর |</t>
  </si>
  <si>
    <t>| ৬৫৫ | নাম: মোছাঃ আজমিরা খাতুন | ৫৭০০৫৬০০০০৭১ | পিতা: মোঃ জমসেদ আলী | মাতা: মোছাঃ হালিমা খাতুন | ১৫/০৬/১৯৯৪ | ছাত্র/ছাত্রী | জালশুকা, গাংনী, মেহেরপুর |</t>
  </si>
  <si>
    <t>| ৬৫৬ | নাম: মোছাঃ ফাতেমা খাতুন | ৫৭০০৫৬০০০০৯২ | পিতা: ইয়াছিন আলী | মাতা: ফুলজান খাতুন | ২৯/০৭/১৯৯৪ | গৃহিনী | জালশুকা, গাংনী, মেহেরপুর |</t>
  </si>
  <si>
    <t>| ৬৫৭ | নাম: মোছাঃ রুশিয়া খাতুন | ৫৭০০৫৬০০০০৯৪ | পিতা: ইদ্রিস প্রামানিক | মাতা: তুরুজান | ০১/০৩/১৯৯৪ | গৃহিনী | জালশুকা, গাংনী, মেহেরপুর |</t>
  </si>
  <si>
    <t>| ৬৫৮ | নাম: মোছাঃ ববিতা খাতুন | ৫৭০০৫৬০০০১৩৮ | পিতা: তৈয়ব আলী | মাতা: রমেলা খাতুন | ১৩/০৮/১৯৯৪ | গৃহিনী | জালশুকা, গাংনী, মেহেরপুর |</t>
  </si>
  <si>
    <t>| ৬৫৯ | নাম: মোছাঃ জুলেখা খাতুন | ৫৭০০৫৬০০০১৫৮ | পিতা: মোঃ আলতাব | মাতা: মোছাঃ আংগুরা | ২৮/০৪/১৯৯৪ | গৃহিনী | জালশুকা, গাংনী, মেহেরপুর |</t>
  </si>
  <si>
    <t>| ৬৬০ | নাম: মোছাঃ রোমানা খাতুন | ৫৭০০৫৬০০০১৬৯ | পিতা: মোঃ ছলিমদ্দীন | মাতা: মোছাঃ জরিনা খাতুন | ১২/০৬/১৯৯৪ | ছাত্র/ছাত্রী | জালশুকা, গাংনী, মেহেরপুর |</t>
  </si>
  <si>
    <t>| ৬৬১ | নাম: মেরিনা খাতুন | ৫৭০০৫৬০০২০১ | পিতা: মোঃ ইদ্রিস আলী | মাতা: মোছাঃ রোজিনা খাতুন | ১৬/১২/১৯৯৪ | গৃহিনী | জালশুকা, গাংনী, মেহেরপুর |</t>
  </si>
  <si>
    <t>| ৬৬২ | নাম: মোছাঃ তানজিলা | ৫৭০০৫৬০০০২০৬ | পিতা: মোঃ আনারুল হক | মাতা: মোছাঃ সাহারা খাতুন | ০২/০১/১৯৯৪ | গৃহিনী | জালশুকা, কসবা, গাংনী, মেহেরপুর |</t>
  </si>
  <si>
    <t>| ৬৬৩ | নাম: রেশমা খাতুন | ৫৭০০৫৬০০০২০৮ | পিতা: আব্দুর রাজ্জাক | মাতা: ফিরোজা খাতুন | ২৫/০১/১৯৯৫ | গৃহিনী | জালশুকা, গাংনী, মেহেরপুর |</t>
  </si>
  <si>
    <t>| ৬৬৪ | নাম: রুকছানা খাতুন | ৫৭০০৫৬০০০২১০ | পিতা: নিহাল উদ্দীন | মাতা: রাশিদা খাতুন | ০১/০৬/১৯৯২ | গৃহিনী | জালশুকা, গাংনী, মেহেরপুর |</t>
  </si>
  <si>
    <t>| ৬৬৫ | নাম: মোছাঃ মুক্তি খাতুন | ৫৭০০৫৬০০০২১২ | পিতা: ইনামুল মালিথা | মাতা: মোছাঃ আশাফোন | ২১/০৪/১৯৯৪ | গৃহিনী | জালশুকা, গাংনী, মেহেরপুর |</t>
  </si>
  <si>
    <t>| ৬৬৬ | নাম: রুবিনা খাতুন | ৫৭০০৫৬০০০২১৯ | পিতা: বিল্লাল বিশ্বাস | মাতা: মোছাঃ মিনারা খাতুন | ১৪/০২/১৯৯৫ | গৃহিনী | জালশুকা, গাংনী, মেহেরপুর |</t>
  </si>
  <si>
    <t>| ৬৬৭ | নাম: মোছাঃ তাছলিমা খাতুন | ৫৭০০৫৬০০০২২০ | পিতা: বাদশা | মাতা: রেহেনা খাতুন | ০১/০১/১৯৯৩ | গৃহিনী | জালশুকা, গাংনী, মেহেরপুর |</t>
  </si>
  <si>
    <t>| ৬৬৮ | নাম: মোছাঃ শিরিনা খাতুন | ৫৭০০৫৬০০০২২২ | পিতা: জিনারুল ইসলাম | মাতা: পারুলা খাতুন | ০১/০১/১৯৯৪ | গৃহিনী | জালশুকা, কসবা, গাংনী, মেহেরপুর |</t>
  </si>
  <si>
    <t>| ৬৬৯ | নাম: মোছাঃ পিনজিরা খাতুন | ৫৭০০৫৬০০০২২৩ | পিতা: শফিকুল ইসলাম | মাতা: আনজিরা খাতুন | ০৪/০২/১৯৯৫ | ছাত্র/ছাত্রী | জালশুকা, কসবা, গাংনী, মেহেরপুর |</t>
  </si>
  <si>
    <t>| ৬৭০ | নাম: মোছাঃ সাবিনা খাতুন | ৫৭০০৫৬০০০২২৪ | পিতা: শওকত আলী | মাতা: কারিমন নেছা | ১০/০৮/১৯৯২ | গৃহিনী | জালশুকা, কসবা, গাংনী, মেহেরপুর |</t>
  </si>
  <si>
    <t>| ৬৭১ | নাম: মোছাঃ লাবনী খাতুন | ৫৭০০৫৬০০০২২৫ | পিতা: ফজলুল হক | মাতা: উম্মিয়া খাতুন | ০২/০৫/১৯৯০ | গৃহিনী | জালশুকা, কসবা, গাংনী, মেহেরপুর |</t>
  </si>
  <si>
    <t>| ৬৭২ | নাম: মোছাঃ উরমিলা খাতুন | ৫৭০০৫৬০০০২২৬ | পিতা: আঃ মমিন | মাতা: মজিফন নেছা | ২৭/০৩/১৯৯৩ | শ্রমিক | জালশুকা, গাংনী, মেহেরপুর |</t>
  </si>
  <si>
    <t>| ৬৭৩ | নাম: মোছাঃ শিখা মনি | ৫৭০০৫৬০০০২২৭ | পিতা: মোঃ বজলুল হক | মাতা: মোছাঃ জাহানারা খাতুন | ০৩/০১/১৯৯৫ | ছাত্র/ছাত্রী | জালশুকা, গাংনী, মেহেরপুর |</t>
  </si>
  <si>
    <t>| ৬৭৪ | নাম: আরিফা খাতুন | ৫৭০০৫৬০০০২৩১ | পিতা: বোরহান উদ্দীন | মাতা: রেজীয়া খাতুন | ২৫/০৭/১৯৯২ | গৃহিনী | জালশুকা, গাংনী, মেহেরপুর |</t>
  </si>
  <si>
    <t>| ৬৭৫ | নাম: মোছাঃ জলিযারা | ৫৭০০৫৬০০০২৩৫ | পিতা: মোঃ খলিলুর রহমান | মাতা: রাশেদা খাতুন | ১১/১১/১৯৯১ | গৃহিনী | মসজিদপাড়া, জালশুকা, গাংনী, মেহেরপুর |</t>
  </si>
  <si>
    <t>| ৬৭৬ | নাম: মোছাঃ উনজিলা খাতুন | ৫৭০০৫৬০০০২৩৯ | পিতা: মোঃ ছাবের আলী | মাতা: মোছাঃ আশানুর | ১৩/১২/১৯৯৩ | গৃহিনী | ভিটাপাড়া, জালশুকা, গাংনী, মেহেরপুর |</t>
  </si>
  <si>
    <t>| ৬৭৭ | নাম: মোছাঃ তানজিলা খাতুন | ৫৭০০৫৬০০০২৪০ | পিতা: মোঃ সিদ্দিক আলী | মাতা: সুফিয়া খাতুন | ০২/০৯/১৯৯৪ | গৃহিনী | জালশুকা, গাংনী, মেহেরপুর |</t>
  </si>
  <si>
    <t>| ৬৭৮ | নাম: মোছাঃ শাহিনা খাতুন | ৫৭০০৫৬০০০২৪৩ | পিতা: আঃ রাজ্জাক | মাতা: আসুরা খাতুন | ০২/০১/১৯৯০ | গৃহিনী | জালশুকা, গাংনী, মেহেরপুর |</t>
  </si>
  <si>
    <t>| ৬৭৯ | নাম: মোছাঃ ছাবিনা খাতুন | ৫৭০০৫৬০০০২৪৪ | পিতা: মোঃ নায়েব আলী | মাতা: মোছাঃ খদিজা খাতুন | ০৫/০৩/১৯৯৩ | গৃহিনী | জালশুকা, গাংনী, মেহেরপুর |</t>
  </si>
  <si>
    <t>| ৬৮০ | নাম: মোছাঃ হিরা খাতুন | ৫৭০০৫৬০০০২৪৫ | পিতা: মোঃ আঃ লতিফ | মাতা: জেলেহার খাতুন | ০১/০৪/১৯৯৬ | গৃহিনী | জালশুকা, কসবা, গাংনী, মেহেরপুর |</t>
  </si>
  <si>
    <t>| ৬৮১ | নাম: মোছাঃ রজিনা খাতুন | ৫৭০০৫৬০০০২৪৬ | পিতা: আনারুল | মাতা: ছারেজান | ১০/০৮/১৯৯৬ | গৃহিনী | জালশুকা, গাংনী, মেহেরপুর |</t>
  </si>
  <si>
    <t>| ৬৮২ | নাম: মোছাঃ সাবিনা ইয়াছমিন | ৫৭০০৫৬০০০২৪৭ | পিতা: শরিফউদ্দীন | মাতা: রুপিয়া খাতুন | ১৫/১২/১৯৯৬ | গৃহিনী | জালশুকা, কসবা, গাংনী, মেহেরপুর |</t>
  </si>
  <si>
    <t>| ৬৮৩ | নাম: মোছাঃ আঙ্গুরী খাতুন | ৫৭০০৫৬০০০২৪৯ | পিতা: মহিবুল হক | মাতা: ময়না খাতুন | ০১/১২/১৯৯৬ | ছাত্র/ছাত্রী | জালশুকা, গাংনী, মেহেরপুর |</t>
  </si>
  <si>
    <t>| ৬৮৪ | নাম: মোছাঃ সাজেদা খাতুন | ৫৭০০৫৬০০০২৫০ | পিতা: মোঃ ফজলুল হক | মাতা: মোছাঃ ফেরদৌসী খাতুন | ১৫/০৫/১৯৯৬ | গৃহিনী | জালশুকা, গাংনী, মেহেরপুর |</t>
  </si>
  <si>
    <t>| ৬৮৫ | নাম: মোছাঃ তানজিলা খাতুন | ৫৭০০৫৬০০০২৫২ | পিতা: মোঃ ইনামুল ইসলাম | মাতা: মোছাঃ হফেলা খাতুন | ০২/০৩/১৯৯৭ | গৃহিনী | জালশুকা, গাংনী, মেহেরপুর |</t>
  </si>
  <si>
    <t>| ৬৮৬ | নাম: মোছাঃ মালা খাতুন | ৫৭০০৫৬০০০২৫৫ | পিতা: মোঃ শহিদুল ইসলাম | মাতা: মোছাঃ মেহের নিগার | ১৭/০২/১৯৯৭ | ছাত্র/ছাত্রী | জালশুকা, গাংনী, মেহেরপুর |</t>
  </si>
  <si>
    <t>| ৬৮৭ | নাম: মোছাঃ শাহনাজ আক্তার জলি | ৫৭০০৫৬০০০২৫৭ | পিতা: মোঃ জামাল হোসেন | মাতা: মোছাঃ হুরিনা খাতুন | ১০/০৭/১৯৯৬ | গৃহিনী | জালশুকা, গাংনী, মেহেরপুর |</t>
  </si>
  <si>
    <t>| ৬৮৮ | নাম: মোছাঃ সীমা খাতুন | ৫৭০০৫৬০০০২৫৮ | পিতা: মোঃ রহমান আলী | মাতা: মোছাঃ জাহানারা খাতুন | ০৭/০৬/১৯৯৬ | গৃহিনী | জালশুকা ভিটা পাড়া, জালশুকা, গাংনী, মেহেরপুর |</t>
  </si>
  <si>
    <t>| ৬৮৯ | নাম: মোছাঃ কাকলী খাতুন | ৫৭০০৫৬০০০২৫৯ | পিতা: জামাল উদ্দীন | মাতা: মিনারা খাতুন | ১৭/১২/১৯৯০ | গৃহিনী | জালশুকা, গাংনী, মেহেরপুর |</t>
  </si>
  <si>
    <t>| ৬৯০ | নাম: মর্জিনা | ৫৭০০৫৬০০০২৬৪ | পিতা: গোলাম মোস্তফা | মাতা: ফুলছুরাতন | ০২/০২/১৯৯২ | গৃহিনী | জালশুকা ভিটা পাড়া, জালশুকা, গাংনী, মেহেরপুর |</t>
  </si>
  <si>
    <t>| ৬৯১ | নাম: মোছাঃ রিতা খাতুন | ৫৭০০৫৬০০০২৬৯ | পিতা: মোছাঃ হমায়ন | মাতা: মোছাঃ কবরী খাতুন | ২০/০৫/১৯৯৭ | ছাত্র/ছাত্রী | জালশুকা, গাংনী, মেহেরপুর |</t>
  </si>
  <si>
    <t>| ৬৯২ | নাম: মোছাঃ হালিমা খাতুন | ৫৭০০৫৬০০০২৭১ | পিতা: মোঃ মহিবুল ইসলাম | মাতা: মোছাঃ বেদনা খাতুন | ০৪/০১/১৯৯৪ | ছাত্র/ছাত্রী | জালশুকা, গাংনী, মেহেরপুর |</t>
  </si>
  <si>
    <t>| ৬৯৩ | নাম: মোছাঃ খুশিয়ারা খাতুন | ৫৭০০৫৬০০০২৭৪ | পিতা: মোঃ জমির উদ্দিন | মাতা: মোছাঃ নাসের খাতুন | ০৮/০৪/১৯৯৫ | ছাত্র/ছাত্রী | জালশুকা স্কুল পাড়া, জালশুকা, গাংনী, মেহেরপুর |</t>
  </si>
  <si>
    <t>| ৬৯৪ | নাম: মোছাঃ মিতা খাতুন | ৫৭০০৫৬০০০২৭৫ | পিতা: মোঃ ইলিয়াস হোসেন | মাতা: মোছাঃ আকলিমা খাতুন | ০৮/০৩/১৯৯৬ | ছাত্র/ছাত্রী | জালশুকা, গাংনী, মেহেরপুর |</t>
  </si>
  <si>
    <t>| ৬৯৫ | নাম: মোছাঃ রোকেয়া খাতুন | ৫৭০০৫৬০০০২৭৬ | পিতা: মোছাঃ আব্দুল জব্বার | মাতা: মোছাঃ ফুরাতন | ১০/০৫/১৯৯৫ | গৃহিনী | জালশুকা, গাংনী, মেহেরপুর |</t>
  </si>
  <si>
    <t>| ৬৯৬ | নাম: মোছাঃ রাফিয়া খাতুন | ৫৭০০৫৬০০০২৭৮ | পিতা: মোঃ নাসির উদ্দীন | মাতা: মোছাঃ অনুরা খাতুন | ০৫/১১/১৯৯৫ | গৃহিনী | জালশুকা, গাংনী, মেহেরপুর |</t>
  </si>
  <si>
    <t>| ৬৯৭ | নাম: মোছাঃ শুকতারা | ৫৭০০৫৬০০০২৮১ | পিতা: মনোয়ারা | মাতা: আলতা | ১০/০৮/১৯৯৬ | গৃহিনী | জালশুকা, গাংনী, মেহেরপুর |</t>
  </si>
  <si>
    <t>| ৬৯৮ | নাম: মোছাঃ মুক্তা মালা | ৫৭০০৫৬০০০২৮৪ | পিতা: মোঃ সাহাবুল ইসলাম | মাতা: মোছাঃ নাহরিন খাতুন | ০৯/০৩/১৯৯৭ | ছাত্র/ছাত্রী | জালশুকা, গাংনী, মেহেরপুর |</t>
  </si>
  <si>
    <t>| ৬৯৯ | নাম: সাগরিকা খাতুন | ৫৭০০৫৬০০০২৮৮ | পিতা: মোঃ আব্দুল কুদ্দুস | মাতা: মোছাঃ রেহেনা খাতুন | ১৫/০৭/১৯৯৬ | ছাত্র/ছাত্রী | জালশুকা, গাংনী, মেহেরপুর |</t>
  </si>
  <si>
    <t>| ৭০০ | নাম: মোছাঃ মারুফা খাতুন | ৫৭০০৫৬০০০২৯০ | পিতা: মোঃ আঃ রাজ্জাক | মাতা: মোছাঃ আতরা খাতুন | ০৪/১১/১৯৯৭ | ছাত্র/ছাত্রী | জালশুকা, গাংনী, মেহেরপুর |</t>
  </si>
  <si>
    <t>| ৭০১ | নাম: মোছাঃ মমতাজ খাতুন | ৫৭০০৫৬০০০২৯১ | পিতা: মোঃ মুনজাত আলী | মাতা: মোছাঃ ইশারন খাতুন | ০৫/০১/১৯৯৭ | ছাত্র/ছাত্রী | জালশুকা, গাংনী, মেহেরপুর |</t>
  </si>
  <si>
    <t>| ৭০২ | নাম: মোছাঃ সিমা | ৫৭০০৫৬০০০২৯২ | পিতা: হানিফ | মাতা: আয়মানা | ০১/০৯/১৯৯৬ | ছাত্র/ছাত্রী | জালশুকা মাঝের পাড়া, জালশুকা, গাংনী, মেহেরপুর |</t>
  </si>
  <si>
    <t>| ৭০৩ | নাম: মোছাঃ ছুরাতন খাতুন | ৫৭০০৫৬০০০২৯৬ | পিতা: আকবর আলী | মাতা: মোছাঃ মনোয়ারা খাতুন | ১০/০৫/১৯৮৩ | গৃহিনী | জালশুকা, গাংনী, মেহেরপুর |</t>
  </si>
  <si>
    <t>| ৭০৪ | নাম: ঝর্না খাতুন | ৫৭০০৫৬০০০২৯৭ | পিতা: সিরাজ আলী | মাতা: সুফিয়া খাতুন | ০১/০২/১৯৯৫ | গৃহিনী | জালশুকা, গাংনী, মেহেরপুর |</t>
  </si>
  <si>
    <t>| ৭০৫ | নাম: মোছাঃ মমতাজ খাতুন | ৫৭০০৫৬০০০০৩০৩ | পিতা: মোঃ বিল্লাল | মাতা: মোছাঃ তহমিনা | ০১/০৫/১৯৯৫ | গৃহিনী | জালশুকা ভিটা পাড়া, জালশুকা, গাংনী, মেহেরপুর |</t>
  </si>
  <si>
    <t>| ৭০৬ | নাম: মোছাঃ ফাওজিয়া আকতার | ৫৭০০৫৬০০০০৩০৫ | পিতা: মোঃ ফজলুল হক | মাতা: আমেনা খাতুন | ০২/০৬/১৯৯১ | গৃহিনী | জালশুকা, গাংনী, মেহেরপুর |</t>
  </si>
  <si>
    <t>| ৭০৭ | নাম: ফেনসী খাতুন | ৫৭০০৫৬০০০০০৭ | পিতা: আজগর আলী | মাতা: ছালেহা খাতুন | ২৫/১০/১৯৮৭ | গৃহিনী | জালশুকা ঈদগাহ পাড়া, জালশুকা, গাংনী, মেহেরপুর |</t>
  </si>
  <si>
    <t>| ৭০৮ | নাম: কানিজ ফাতেমা | ৫৭০০৫৬০০০০০৯ | পিতা: সিরাজুল ইসলাম | মাতা: হারেজান নেছা | ০৫/০৭/১৯৯৬ | গৃহিনী | জালশুকা, গাংনী, মেহেরপুর |</t>
  </si>
  <si>
    <t>| ৭০৯ | নাম: মোছাঃ রজনী খাতুন | ৫৭০০৫৬০০০০৩১০ | পিতা: মোঃ দাউদ হোসেন | মাতা: মোছাঃ আফরোজা খাতুন | ১৩/১২/১৯৯৫ | কৃষক | জালশুকা, গাংনী, মেহেরপুর |</t>
  </si>
  <si>
    <t>| ৭১০ | নাম: মোছাঃ সাথী আরা | ৫৭০০৫৬০০০০৩১৫ | পিতা: মোঃ আলী হোসেন | মাতা: মোছাঃ নুরুন্নাহার | ২৭/০৩/১৯৯৪ | ছাত্র/ছাত্রী | জালশুকা, গাংনী, মেহেরপুর |</t>
  </si>
  <si>
    <t>| ৭১১ | নাম: তাজমিনা খাতুন | ৫৭০০৫৬০০০০৩১৮ | পিতা: আমিরুল ইসলাম | মাতা: সোনাভানু | ২০/০৫/১৯৯৮ | ছাত্র/ছাত্রী | জালশুকা, গাংনী, মেহেরপুর |</t>
  </si>
  <si>
    <t>| ৭১২ | নাম: মিতালী খাতুন | ৫৭০০৫৬০০০০৩১৯ | পিতা: মোঃ ঠান্ডু | মাতা: নুরজাহান | ১৫/০৮/১৯৯৮ | ছাত্র/ছাত্রী | জালশুকা, গাংনী, মেহেরপুর |</t>
  </si>
  <si>
    <t>| ৭১৩ | নাম: মোছাঃ সোনিয়া খাতুন | ৫৭০০৫৬০০০০৩২০ | পিতা: মোঃ আবু তালেব | মাতা: মোছাঃ সাজেদা খাতুন | ১৫/০৫/১৯৯৭ | গৃহিনী | জালশুকা, গাংনী, মেহেরপুর |</t>
  </si>
  <si>
    <t>| ৭১৪ | নাম: মোছাঃ হুসনেয়ারা খাতুন | ৫৭০০৫৬০০০০৩২২ | পিতা: মোছাঃ বাবর আলী | মাতা: মোছাঃ ছহিমা খাতুন | ১৫/০১/১৯৯৮ | ছাত্র/ছাত্রী | জালশুকা, গাংনী, মেহেরপুর |</t>
  </si>
  <si>
    <t>| ৭১৫ | নাম: মোছাঃ নাজমুন্নাহার | ৫৭০০৫৬০০০০৩২৭ | পিতা: মোঃ জামাল উদ্দীন | মাতা: মোছাঃ মালেকা খাতুন | ২২/০৫/১৯৯৭ | ছাত্র/ছাত্রী | জালশুকা, গাংনী, মেহেরপুর |</t>
  </si>
  <si>
    <t>| ৭১৬ | নাম: মোছাঃ শেফালী খাতুন | ৫৭০০৫৬০০০০৩৩৩ | পিতা: মোঃ সেলিম উদ্দীন | মাতা: মোছাঃ সুন্দরী খাতুন | ০৫/০৯/১৯৯২ | গৃহিনী | উত্তরপাড়া, জালশুকা, গাংনী, মেহেরপুর |</t>
  </si>
  <si>
    <t>| ৭১৭ | নাম: শ্যামলী খাতুন | ৫৭০০৫৬০০০০৩৩৪ | পিতা: মোঃ হাবিবুর রহমান | মাতা: মোছাঃ তসলিমা খাতুন | ০৩/০১/১৯৯৮ | ছাত্র/ছাত্রী | মসজিদপাড়া, জালশুকা, গাংনী, মেহেরপুর |</t>
  </si>
  <si>
    <t>| ৭১৮ | মোছা: সালেহা খাতুন | ৫৭০৩৫৬০০০০৩৩৬ | আসকার আলী | গনি আরা | ১০/১০/১৯৯৮ | ছাত্র/ছাত্রী | দক্ষিণপাড়া, জালশুকা, গাংনী, মেহেরপুর |</t>
  </si>
  <si>
    <t>| ৭১৯ | মোছা: রুবেল খাতুন | ৫৭০৩৫৬০০০০৩৫৮ | মো: হাসেম হোসেন | মোছা: হাকেন খাতুন | ১৪/০৯/১৯৯৫ | গৃহিণী | স্কুল পাড়া, জালশুকা, গাংনী, মেহেরপুর |</t>
  </si>
  <si>
    <t>| ৭২০ | মোছা: আছমা খাতুন | ৫৭০৩৫৬০০০০৩৯৯ | মো: টকন আলী | মোছা: আকলিমা খাতুন | ১০/১০/১৯৯০ | গৃহিণী | স্কুল পাড়া, জালশুকা, গাংনী, মেহেরপুর |</t>
  </si>
  <si>
    <t>| ৭২১ | মোছা: সাবিনা খাতুন | ৫৭০৩৫৬০০০০৩৪৪ | মো: হামিদুল ইসলাম | মোছা: সারজিনা খাতুন | ১৬/০২/১৯৯৬ | গৃহিণী | ভিটাপাড়া, ভিটাপাড়া, জালশুকা, গাংনী, মেহেরপুর |</t>
  </si>
  <si>
    <t>| ৭২২ | মোছা: শাবনুর খাতুন | ৫৭০৩৫৬০০০০৪২৬ | মো: আশরাফ আলী | মোছা: ছালেহার খাতুন | ০৪/০৫/১৯৯৮ | গৃহিণী | মসজিদপাড়া, জালশুকা, গাংনী, মেহেরপুর |</t>
  </si>
  <si>
    <t>| ৭২৩ | শিরিনা | ৫৭০৩৫৬০০০০৪৪৭ | সেলিম | রাশিদা | ২২/১০/১৯৯৮ | গৃহিণী | ভিটাপাড়া, জালশুকা, গাংনী, মেহেরপুর |</t>
  </si>
  <si>
    <t>| ৭২৪ | মোছা: সোনিয়া খাতুন | ৫৭০৩৫৬০০০০৩৪৮ | নিজাম উদ্দীন | নাসিমা খাতুন | ১৭/০১/১৯৯৫ | গৃহিণী | ভিটাপাড়া, জালশুকা, গাংনী, মেহেরপুর |</t>
  </si>
  <si>
    <t>| ৭২৫ | আকলিমা খাতুন | ৫৭০৩৫৬০০০০৩৪১ | নজরুল ইসলাম | নাছিমা খাতুন | ০৫/০৭/১৯৯৭ | ছাত্র/ছাত্রী | জালশুকা, কসবা, গাংনী, মেহেরপুর |</t>
  </si>
  <si>
    <t>| ৭২৬ | সাজেদা খাতুন | ৫৭০৩৫৬০০০০৩৫১ | নুর ইসলাম | রওশনারা | ১৫/০৭/১৯৯৪ | ছাত্র/ছাত্রী | ঈদগা পাড়া, জালশুকা, কসবা, গাংনী, মেহেরপুর |</t>
  </si>
  <si>
    <t>| ৭২৭ | মোছা: শিউলিয়া খাতুন | ৫৭০৩৫৬০০০০৩৫৪ | মৃত নবীর উদ্দীন | মোছা: ফাইমা খাতুন | ০২/০৩/১৯৯৫ | গৃহিণী | ভিটাপাড়া, জালশুকা, গাংনী, মেহেরপুর |</t>
  </si>
  <si>
    <t>| ৭২৮ | মোছা: রিজিয়া খাতুন | ৫৭০৩৫৬০০০০৩৫৫ | আমিনুল হক | মোছা: ছালেহা | ০৭/১০/১৯৯৮ | গৃহিণী | জালশুকা, গাংনী, মেহেরপুর |</t>
  </si>
  <si>
    <t>| ৭২৯ | মোছা: সাথী আরা | ৫৭০৩৫৬০০০০৩৫৬ | মো: তক্কেল আলী | মোছা: কহিনুর বেগম | ০৫/০৩/১৯৯৮ | ছাত্র/ছাত্রী | মাসজিদপাড়া, জালশুকা, গাংনী, মেহেরপুর |</t>
  </si>
  <si>
    <t>| ৭৩০ | মোছা: রুবিনা আক্তার রুবি | ৫৭০৩৫৬০০০০৩৫৮ | মো: শাকের আলী | মোছা: মাহিরন নেছা | ০৬/০২/১৯৯৭ | গৃহিণী | দাড়িপাড়া, জালশুকা, গাংনী, মেহেরপুর |</t>
  </si>
  <si>
    <t>| ৭৩১ | মোছা: সুমাইয়া খাতুন | ৫৭০৩৫৬০০০০৩৫৯ | মো: ফজলুল হক | মোছা: মমতাজ খাতুন | ১১/০৯/১৯৯৮ | ছাত্র/ছাত্রী | দাড়িপাড়া, জালশুকা, গাংনী, মেহেরপুর |</t>
  </si>
  <si>
    <t>| ৭৩২ | কল্পনা খাতুন | ৫৭০৩৫৬০০০০৩৬২ | ইদ্রিস আলী | তহমিনা খাতুন | ০৫/১০/১৯৯৯ | গৃহিণী | বালিয়া পাড়া, কসবা, গাংনী, মেহেরপুর |</t>
  </si>
  <si>
    <t>| ৭৩৩ | লিজা খাতুন | ৫৭০৩৫৬০০০০৩৬৩ | মো: আবু জাফর | রেহেনা খাতুন | ১৩/০৩/১৯৯৯ | ছাত্র/ছাত্রী | মধ্যপাড়া, জালশুকা, গাংনী, মেহেরপুর |</t>
  </si>
  <si>
    <t>| ৭৩৪ | মোছা: রিমা খাতুন | ৫৭০৩৫৬০০০০৩৬৫ | মো: সেলিম হোসেন | মোছা: ময়মুনা খাতুন | ০৮/০১/১৯৯৯ | গৃহিণী | উত্তরপাড়া, জালশুকা, গাংনী, মেহেরপুর |</t>
  </si>
  <si>
    <t>| ৭৩৫ | মোছা: মুক্তা খাতুন | ৫৭০৩৫৬০০০০৩৭০ | মো: মতিয়ার রহমান | মোছা: বানুয়ারা খাতুন | ১২/১০/১৯৯৮ | গৃহিণী | জালশুকা, গাংনী, মেহেরপুর |</t>
  </si>
  <si>
    <t>| ৭৩৬ | মাইগ্রেট হয়েছে |  |  |  |  |  |  |</t>
  </si>
  <si>
    <t>| ৭৩৭ | মোছা: কুলছুম আরা মুন্নী | ৫৭০৩৫৬০০০০৩৭৯ | মো: আ: কুদ্দুস | মোছা: চায়না খাতুন | ১২/০৭/২০০১ | গৃহিণী | জালশুকা, গাংনী, মেহেরপুর |</t>
  </si>
  <si>
    <t>| ৭৩৮ | মোছা: শারমিন নাহার খাতুন | ৫৭০৩৫৬০০০০৩৮০ | মো: মিরাজুল ইসলাম | মোছা: শিল্পী খাতুন | ১৯/০১/২০০০ | ছাত্র/ছাত্রী | জালশুকা, গাংনী, মেহেরপুর |</t>
  </si>
  <si>
    <t>| ৭৩৯ | মোছা: রুবিনা খাতুন | ৫৭০৩৫৬০০০০৩৮৩ | মো: ইয়ামিন আলী | মোছা: রুশিয়া খাতুন | ১৫/১০/২০০২ | গৃহিণী | জালশুকা, গাংনী, মেহেরপুর |</t>
  </si>
  <si>
    <t>| ৭৪০ | মোছা: শ্যামলী খাতুন | ৫৭০৩৫৬০০০০৩৯০ | মো: ঠান্ডু মিয়া | মোছা: আকলিমা খাতুন | ০৫/০৩/১৯৯৯ | গৃহিণী | জালশুকা, গাংনী, মেহেরপুর |</t>
  </si>
  <si>
    <t>| ৭৪১ | মোছা: রত্না খাতুন | ৫৭০৩৫৬০০০০৩৯১ | মো: মোজাম্মেল হক | মোছা: মুক্তি খাতুন | ০৫/০৬/২০০০ | ছাত্র/ছাত্রী | জালশুকা, গাংনী, মেহেরপুর |</t>
  </si>
  <si>
    <t>| ৭৪২ | মোছা: মুন্নী খাতুন | ৫৭০৩৫৬০০০০৩৯৪ | মো: রশিদ | মোছা: পারুলা খাতুন | ০১/০১/১৯৯৯ | গৃহিণী | জালশুকা, গাংনী, মেহেরপুর |</t>
  </si>
  <si>
    <t>| ৭৪৩ | মোছা: রুমানা খাতুন | ৫৭০৩৫৬০০০০৩৯৫ | মো: আ: খলিল | মোছা: অলিয়া খাতুন | ২১/০৯/২০০১ | গৃহিণী | জালশুকা, গাংনী, মেহেরপুর |</t>
  </si>
  <si>
    <t>| ৭৪৪ | মোছা: শিউলি খাতুন | ৫৭০৩৫৬০০০০৩৯৯ | মো: আজগর আলী | মোছা: লিলি খাতুন | ০৫/০৩/১৯৮৩ | গৃহিণী | জালশুকা, গাংনী, মেহেরপুর |</t>
  </si>
  <si>
    <t>| ৭৪৫ | মোছা: শারমিন খাতুন | ৫৭০৩৫৬০০০০৪০০ | মো: শাহাজুল ইসলাম | মোছা: হুসনেয়ারা খাতুন | ০৮/০২/২০০০ | গৃহিণী | জালশুকা, গাংনী, মেহেরপুর |</t>
  </si>
  <si>
    <t>| ৭৪৬ | মোছা: রুনা খাতুন | ৫৭০৩৫৬০০০০৪০১ | মো: নাসির উদ্দীন | মোছা: মরিয়ম নেছা | ১২/০৩/১৯৯৭ | গৃহিণী | জালশুকা, গাংনী, মেহেরপুর |</t>
  </si>
  <si>
    <t>| ৭৪৭ | মোছা: হালিমাতুস সাদিয়া | ৫৭০৩৫৬০০০০৪০২ | মো: আব্দুল ওহাব | মোছা: আজিনা বেগম | ৩০/১২/১৯৯৭ | ছাত্র/ছাত্রী | জালশুকা, গাংনী, মেহেরপুর |</t>
  </si>
  <si>
    <t>| ৭৪৮ | মোছা: রিম্পা খাতুন | ৫৭০৩৫৬০০০০৪০৯ | মো: তরিকুল ইসলাম | মোছা: হোসনেয়ারা | ১৮/১০/২০০১ | ছাত্র/ছাত্রী | জালশুকা, গাংনী, মেহেরপুর |</t>
  </si>
  <si>
    <t>| ৭৪৯ | রুনা | ৫৭০৩৫৬০০০০৪১১ | আলমগীর মল্লিক | নাজমা বেগম | ০১/০৯/১৯৯৪ | গৃহিণী | জালশুকা, গাংনী, মেহেরপুর |</t>
  </si>
  <si>
    <t>| ৭৫০ | মোছা: মাকছুরা খাতুন | ৫৭০৩৫৬০০০০৪১২ | দাউদ মোল্লা | মোছা: রাহিলা | ০৭/০২/১৯৯৯ | গৃহিণী | জালশুকা, গাংনী, মেহেরপুর |</t>
  </si>
  <si>
    <t>| ৭৫১ | মোছা: মুক্তি খাতুন | ৫৭০৩৫৬০০০০৪১৫ | মো: এনামুল হক | মোছা: রেজিনা খাতুন | ০৪/০৮/২০০১ | ছাত্র/ছাত্রী | জালশুকা, গাংনী, মেহেরপুর |</t>
  </si>
  <si>
    <t>| ৭৫২ | মোছা: সোহাগী খাতুন | ৫৭০৩৫৬০০০০৪১৬ | মো: কামরুল হোসেন | মোছা: ছামেনা খাতুন | ২৫/১১/২০০২ | গৃহিণী | জালশুকা, গাংনী, মেহেরপুর |</t>
  </si>
  <si>
    <t>| ৭৫৩ | মোছা: সাথীয়া খাতুন | ৫৭০৩৫৬০০০০৪১৭ | মো: আজিবার রহমান | মোছা: রহিমা খাতুন | ০৫/০৭/১৯৯৮ | গৃহিণী | জালশুকা, গাংনী, মেহেরপুর |</t>
  </si>
  <si>
    <t>| ৭৭২ | মোছা: বিনা খাতুন | ৫৭০৩৫৬০০০০৪৫৭ | মৃত সনারুল ইসলাম | মোছা: রুমিয়া খাতুন | ০২/০১/১৯৯৩ | গৃহিণী | জালশুকা, গাংনী, মেহেরপুর |</t>
  </si>
  <si>
    <t>| ৭৭৩ | মোছা: ঝর্না খাতুন | ৫৭০৩৫৬০০০০৪৫৯ | মো: জহিরুল ইসলাম | মোছা: সুর্য বিবি | ০৬/১১/১৯৯২ | গৃহিণী | জালশুকা, গাংনী, মেহেরপুর |</t>
  </si>
  <si>
    <t>| ৭৭৪ | মোছা: সুবর্না খাতুন | ৫৭০৩৫৬০০০০৪৬০ | হারুন অর রশিদ | মোছা: ছফেদা খাতুন | ১৩/০৮/২০০০ | কৃষক | জালশুকা, গাংনী, মেহেরপুর |</t>
  </si>
  <si>
    <t>| ৭৭৫ | চম্পা খাতুন | ৫৭০৩৫৬০০০০৪৬১ | চান্দালী | মোছা: রুশিয়া খাতুন | ১৭/০৪/২০০০ | ছাত্র/ছাত্রী | জালশুকা, গাংনী, মেহেরপুর |</t>
  </si>
  <si>
    <t>| ৭৭৬ | মোছা: শাবরিনা খাতুন | ৫৭০৩৫৬০০০০৪৬৪ | মো: শাহাবুদ্দীন | মোছা: সাথী খাতুন | ০১/০১/২০০৪ | গৃহিণী | জালশুকা, গাংনী, মেহেরপুর |</t>
  </si>
  <si>
    <t>| ৭৭৭ | মোছা: বেনাপতি খাতুন | ৫৭০৩৫৬০০০০৪৬৫ | মান্নান | রিজিয়া | ১৫/১০/২০০০ | গৃহিণী | জালশুকা, গাংনী, মেহেরপুর |</t>
  </si>
  <si>
    <t>| ৭৭৮ | মোছা: হাফিজা খাতুন | ৫৭০৩৫৬০০০০৪৬৬ | মো: হামিদুল ইসলাম | মোছা: জেসমিনা খাতুন | ০১/০৩/২০০১ | ছাত্র/ছাত্রী | জালশুকা, গাংনী, মেহেরপুর |</t>
  </si>
  <si>
    <t>| ৭৭৯ | মোছা: বৃষ্টি খাতুন | ৫৭০৩৫৬০০০০৪৬৮ | মো: রাশিদুল ইসলাম | মোছা: শিখা খাতুন | ১০/০২/২০০০ | গৃহিণী | জালশুকা, গাংনী, মেহেরপুর |</t>
  </si>
  <si>
    <t>| ৭৮০ | মোছাঃ হাফিজা খাতুন | ৫৭০৩৫৬০০০০৪৭০ | মো: সহিদুল ইসলাম | মোছা: শিরিনা খাতুন | ০৮/০২/২০০৩ | ছাত্র/ছাত্রী | জালশুকা, গাংনী, মেহেরপুর |</t>
  </si>
  <si>
    <t>| ৭৮১ | মোছা: আরিফা খাতুন | ৫৭০৩৫৬০০০০৪৭১ | মো: সলেমান | মোছা: আসুরা খাতুন | ২৪/০১/১৯৯৭ | গৃহিণী | জালশুকা, গাংনী, মেহেরপুর |</t>
  </si>
  <si>
    <t>| ৭৮২ | মোছা: সাদিয়া আফরোজ সুবর্না | ৫৭০৩৫৬০০০০৪৭৪ | মো: শামীম রেজা | মো: শেফালী খাতুন | ০২/১২/২০০২ | ছাত্র/ছাত্রী | জালশুকা, গাংনী, মেহেরপুর |</t>
  </si>
  <si>
    <t>| ৭৮৩ | মাইগ্রেট হয়েছে |  |  |  |  |  |  |</t>
  </si>
  <si>
    <t>| ৭৮৪ | নাম: শিমলা খাতুন | ৫৭০৩৫৬০০০০৪৭৭ | পিতা: সাইফুল ইসলাম | মাতা: মাসুরা পারভীন | ১৯/০৮/২০০১ | ছাত্র/ছাত্রী | জালশুকা, গাংনী, মেহেরপুর |</t>
  </si>
  <si>
    <t>| ৭৮৫ | নাম: মোছা: ফাতিমাতুজ রত্না | ৫৭০৩৫৬০০০০৪৭৮ | পিতা: মো: শরীফ উদ্দিন | মাতা: মোছা: পারভীনা খাতুন | ১৭/১১/২০০১ | ছাত্র/ছাত্রী | জালশুকা, গাংনী, মেহেরপুর |</t>
  </si>
  <si>
    <t>| ৭৮৬ | নাম: মোছা: স্বপ্না খাতুন | ৫৭০৩৫৬০০০০৪৭৯ | পিতা: মো: মুক্তার আলী | মাতা: মোছা: পারভীনা খাতুন | ১৮/০৮/১৯৯৯ | গৃহিণী | জালশুকা, গাংনী, মেহেরপুর |</t>
  </si>
  <si>
    <t>| ৭৮৭ | নাম: মোছা: রুকছানা খাতুন | ৫৭০৩৫৬০০০০৪৮০ | পিতা: উসমান আলী | মাতা: মোছা: বিলকিস আরা | ১৬/০২/২০০২ | গৃহিণী | জালশুকা, গাংনী, মেহেরপুর |</t>
  </si>
  <si>
    <t>| ৭৮৮ | নাম: আয়েশা খাতুন | ৫৭০৩৫৬০০০০৪৮২ | পিতা: এনামুল হক | মাতা: টুনটুনি খাতুন | ০২/০১/২০০৩ | ছাত্র/ছাত্রী | জালশুকা, গাংনী, মেহেরপুর |</t>
  </si>
  <si>
    <t>| ৭৮৯ | নাম: মোছা: মুক্তারা খাতুন | ৫৭০৩৫৬০০০০৪৮৪ | পিতা: মো: ছানোয়ার | মাতা: মোছা: আলতা খাতুন | ০৫/০২/১৯৯২ | গৃহিণী | জালশুকা, গাংনী, মেহেরপুর |</t>
  </si>
  <si>
    <t>| ৭৯০ | মোছাঃ খাদিজা খাতুন | ৫৭০0৫৬000৪৮৭ | মৃত ইনতাজ আলী | মোছাঃ কোহিনুর খাতুন | ০১/০১/২০০৩ | ছাত্র/ছাত্রী | জালতকা, গাংনী, মেহেরপুর |</t>
  </si>
  <si>
    <t>| ৭৯১ | মোছাঃ স্বপ্না খাতুন | ৫৭০0৫৬000৪৮৮ | মোজাম্মেল হক | মোছাঃ মুক্তি খাতুন | ০৫/০৮/২০০০ | ছাত্র/ছাত্রী | জালতকা, গাংনী, মেহেরপুর |</t>
  </si>
  <si>
    <t>| ৭৯২ | মোছাঃ সুমাইয়া খাতুন | ৫৭০0৫৬000৪৯৪ | মো: আব্দুল মালেক | মোছা: নাসিমা খাতুন | ১৫/০২/২০০০ | গৃহিনী | জালতকা, গাংনী, মেহেরপুর |</t>
  </si>
  <si>
    <t>| ৭৯৩ | মোছাঃ পারভীনা খাতুন | ৫৭০0৫৬000৪৯৬ | মো: রেজাউল হক | মোছা: ফেরদৌসী খাতুন | ১৬/০৮/১৯৯৭ | গৃহিনী | জালতকা, গাংনী, মেহেরপুর |</t>
  </si>
  <si>
    <t>| ৭৯৪ | মোছাঃ হালিমা খাতুন | ৫৭০0৫৬000৫০১ | মো: স্জ্জাদ হোসেন | মোছা: ফজিলা খাতুন | ০১/০১/২০০৪ | ছাত্র/ছাত্রী | জালতকা, গাংনী, মেহেরপুর |</t>
  </si>
  <si>
    <t>| ৭৯৫ | মোছাঃ রুমা খাতুন | ৫৭০0৫৬000৫০২ | মো: ইদ্রিস আলী | মোছা: রুবিয়া খাতুন | ০৩/০৬/১৯৯৭ | ছাত্র/ছাত্রী | জালতকা, গাংনী, মেহেরপুর |</t>
  </si>
  <si>
    <t>| ৭৯৬ | মোছাঃ জেসমিনা | ৫৭০0৫৬000৫০৪ | হকিবার | মোছা: শাহান বানু | ২০/০২/১৯৮৯ | গৃহিনী | জালতকা, গাংনী, মেহেরপুর |</t>
  </si>
  <si>
    <t>| ৭৯৭ | মোছাঃ জনি খাতুন | ৫৭০0৫৬000৫০৫ | মো: রবিউল হক | মোছা: মাজেদা খাতুন | ১১/০৫/১৯৯৪ | গৃহিনী | জালতকা, গাংনী, মেহেরপুর |</t>
  </si>
  <si>
    <t>| ৭৯৮ | নাম: রুকিয়া খাতুন | ৫৭০0৫৬000৩৯৮ | জবেদ আলী | মালে খাতুন | ১২/০৮/১৯৭২ | গৃহিনী | জালতকা, গাংনী, মেহেরপুর |</t>
  </si>
  <si>
    <t>| ৭৯৯ | নাম: রুমানা খাতুন | ৫৭০0৫৬৫৮৪৬৩২ | মহাবুল হক | আংগুরা খাতুন | ১৬/০৯/১৯৯৪ | ছাত্র/ছাত্রী | জালতকা, কসবা, গাংনী, মেহেরপুর |</t>
  </si>
  <si>
    <t>| ৮০০ | নাম: মোছাঃ নার্গিস আরা | ৫৭০0৫৬৫৮৪৬৩৫ | মো: নাজিমুদ্দীন | মোছা: আফরোজা খাতুন | ২৮/০৫/১৯৮৮ | গৃহিনী | ১০৬৮, জালতকা, গাংনী, মেহেরপুর |</t>
  </si>
  <si>
    <t>| ৮০১ | নাম: মোছাঃ রূনা খাতুন | ৫৭০0৫৬৫৮৪৬৩৭ | মো: জিল্লুর রহমান | মোছা: মনোয়ারা খাতুন | ০৮/০২/২০০০ | গৃহিনী | ., জালতকা, গাংনী, মেহেরপুর |</t>
  </si>
  <si>
    <t>| ৮০২ | নাম: মোছাঃ শিউলি খাতুন | ৫৭০0৫৬৫৮৪৬৩৯ | মো: তারাজাল হোসেন | মোছা: পলিয়ার খাতুন | ০২/০৭/২০০০ | গৃহিনী | জালতকা, জালতকা, গাংনী, মেহেরপুর |</t>
  </si>
  <si>
    <t>| ৮০৩ | নাম: মোছাঃ ফুলবানু খাতুন | ৫৭০0৫৬৫৮৪৬৪৩ | মো: আব্দুর রশিদ | মোছা: সাজেদা বেগম | ০৬/০১/১৯৯৯ | গৃহিনী | জালতকা, জালতকা, গাংনী, মেহেরপুর |</t>
  </si>
  <si>
    <t>| ৮০৪ | নাম: মোছাঃ হাফিজা খাতুন | ৫৭০0৫৬000৫১১ | পিতা: মো: জামিরুল ইসলাম | মোছা: তাসলিমা খাতুন | ০২/০৩/২০০৪ | ছাত্র/ছাত্রী | ১১৯১, জালতকা, গাংনী, মেহেরপুর |</t>
  </si>
  <si>
    <t>| ৮০৫ | নাম: মোছাঃ ইরানী খাতুন | ৫৭০0৫৬000৫১৫ | মো: আব্দুল মজিদ | মোছা: ফেরজা খাতুন | ২০/০২/২০০৪ | গৃহিনী | জালতকা, গাংনী, মেহেরপুর |</t>
  </si>
  <si>
    <t>| ৮০৬ | নাম: মোছাঃ মরিয়ম খাতুন | ৫৭০0৫৬000৫১৭ | মো: আক্কাচ আলী | মোছা: আনোয়ারা | ২০/০৮/২০০৪ | ছাত্র/ছাত্রী | জালতকা, গাংনী, মেহেরপুর |</t>
  </si>
  <si>
    <t>| ৮০৭ | নাম: মোছাঃ পমি খাতুন | ৫৭০0৫৬000৫১৯ | মো: আমিনুল ইসলাম | মোছা: তহুরা খাতুন | ১৩/০৩/২০০৪ | গৃহিনী | জালতকা, গাংনী, মেহেরপুর |</t>
  </si>
  <si>
    <t>| ৮০৮ | মোছাঃ চান মোহনা খাতুন | ৫৭০0৫৬000৫২০ | মো: কবরুল হোসেন | মোছা: রেখা খাতুন | ০১/০১/২০০৫ | ছাত্র/ছাত্রী | ১২৯০, জালতকা, গাংনী, মেহেরপুর |</t>
  </si>
  <si>
    <t>| ৮০৯ | মোছাঃ সামিয়া খাতুন | ৫৭০0৫৬000৫২২ | মো: ফজলুল হক | মোছা: মমতাজ | ১৬/১২/২০০৪ | ছাত্র/ছাত্রী | ১২৬৬, জালতকা, গাংনী, মেহেরপুর |</t>
  </si>
  <si>
    <t>| ৮১০ | মোছাঃ ফাউজিয়া তাবাচ্ছুম | ৫৭০0৫৬000৫২৪ | মো: মকলেছুর রহমান | মোছা: শামীমা নাছরিন | ১৭/০৪/২০০৪ | গৃহিনী | জালতকা, গাংনী, মেহেরপুর |</t>
  </si>
  <si>
    <t>| ৮১১ | মোছাঃ সুবর্না খাতুন | ৫৭০0৫৬000৫২৫ | মো: আক্বাছ আলী | মোছা: ময়না খাতুন | ০১/০১/২০০৫ | গৃহিনী | জালতকা, গাংনী, মেহেরপুর |</t>
  </si>
  <si>
    <t>| ৮১২ | মোছাঃ রত্না খাতুন | ৫৭০0৫৬000৫২৬ | মো: রহিদুল ইসলাম | মোছা: মেমেজান খাতুন | ০১/০১/২০০৫ | গৃহিনী | জালতকা, গাংনী, মেহেরপুর |</t>
  </si>
  <si>
    <t>| ৮১৩ | মোছাঃ সোনিয়া খাতুন | ৫৭০0৫৬৫৮৪৬৪৪ | মো: মিয়াজান | মোছা: নাজমা খাতুন | ২০/০৩/১৯৯৮ | গৃহিনী | জালতকা, গাংনী, মেহেরপুর |</t>
  </si>
  <si>
    <t>| ৮১৪ | মোছাঃ মিতা খাতুন | ৫৭০0৫৬৫৮৪৬৪৬ | মৃত মিনাজুল | মোছাঃ মাছুরা খাতুন | ০৩/০৩/২০০৩ | গৃহিনী | জালতকা, গাংনী, মেহেরপুর |</t>
  </si>
  <si>
    <t>| ৮১৫ | মোছাঃ পাপিয়া খাতুন | ৫৭০0৫৬৫৮৪৬৬৬ | মো: রকিব হাসান | মোছা: লিপি বেগম | ১৫/১০/২০০৩ | গৃহিনী | জালতকা, গাংনী, মেহেরপুর |</t>
  </si>
  <si>
    <t>| ৮১৬ | মোছাঃ রাজিয়া খাতুন | ৫৭০0৫৬৫৮৪৬৬৬ | মো: আব্দুল্লাহ | মোছা: হালিমা খাতুন | ১৮/০২/১৯৯৮ | গৃহিনী | জালতকা, গাংনী, মেহেরপুর |</t>
  </si>
  <si>
    <t>| ৮১৭ | মোছাঃ ইভা খাতুন | ৫৭০0৫৬৫৮৪৬৬৮ | মো: ইবাদত আলী | মোছাঃ কুলসুম খাতুন | ২০/০৯/২০০০ | গৃহিনী | জালতকা, গাংনী, মেহেরপুর |</t>
  </si>
  <si>
    <t>| ৮১৮ | মোছাঃ রুবিনা খাতুন | ৫৭০0৫৬৫৮৪৬৬৯ | মোছাঃ মুছাঃক | মোছা: লাভলি | ০১/০১/২০০৪ | ছাত্র/ছাত্রী | ১১৯১, জালতকা, গাংনী, মেহেরপুর |</t>
  </si>
  <si>
    <t>| ৮১৯ | মোছাঃ মনিকা খাতুন | ৫৭০0৫৬৫৮৪৬৭১ | মো: আবুল বাসার মনা | মোছাঃ ছাবিনা খাতুন | ১৭/০৩/২০০১ | গৃহিনী | +, জালতকা, গাংনী, মেহেরপুর |</t>
  </si>
  <si>
    <t>| ৮২০ | মোছাঃ অনিতা খাতুন | ৫৭০0৫৬৫৮৪৬৭২ | মো: আঃ মোমিন | মোছা: বিলকিছ খাতুন | ০১/০৮/২০০২ | গৃহিনী | জালতকা, গাংনী, মেহেরপুর |</t>
  </si>
  <si>
    <t>| ৮২১ | মোছাঃ ইরানী খাতুন | ৫৭০0৫৬৫৮৪৬৭৩ | মো: শাহাবুল ইসলাম | মোছা: আয়শা খাতুন | ০১/০১/২০০৩ | ছাত্র/ছাত্রী | জালতকা, গাংনী, মেহেরপুর |</t>
  </si>
  <si>
    <t>| ৮২২ | নাম: মোছাঃ বিউটি খাতুন | ৫৭০0৫৬৫৮৪৬৭৫ | মো: বোল্টু মিয়া | মোছা: সাবিনা খাতুন | ০১/০১/২০০৩ | ছাত্র/ছাত্রী | জালতকা, গাংনী, মেহেরপুর |</t>
  </si>
  <si>
    <t>| ৮২৩ | নাম: মোছাঃ মিঠু খাতুন | ৫৭০0৫৬৫৮৪৬৭৮ | মো: কবরুল হোসেন | মোছা: রেখা খাতুন | ২৩/০৩/২০০১ | ছাত্র/ছাত্রী | জালতকা, গাংনী, মেহেরপুর |</t>
  </si>
  <si>
    <t>| ৮২৪ | নাম: চন্দনা আক্তার মুক্তা | ৫৭০0৫৬৫৮৪৬৮০ | আব্দুল মালেক | মোস্তারা | ০৬/০৭/২০০০ | গৃহিনী | জালতকা, গাংনী, মেহেরপুর |</t>
  </si>
  <si>
    <t>| ৮২৫ | নাম: মোছাঃ কবিতা খাতুন | ৫৭০0৫৬৫৮৪৬৮১ | মো: রবিউল ইসলাম | মোছা: ফাহিমা খাতুন | ১২/১২/২০০২ | গৃহিনী | জালতকা, গাংনী, মেহেরপুর |</t>
  </si>
  <si>
    <t>| ৮২৬ | মোছাঃ সুমাইয়া খাতুন | ৫৭০0৫৬৫৮৪৬৮২ | মো: মিকাইল | মোছা: আমেনা খাতুন | ০৪/০১/২০০০ | গৃহিনী | জালতকা, গাংনী, মেহেরপুর |</t>
  </si>
  <si>
    <t>| ৮২৭ | মোছাঃ রেহেনা খাতুন | ৫৭০0৫৬৫৮৪৬৮৩ | মো: মনিরুল ইসলাম | মোছা: রাশিদা খাতুন | ১৩/০৮/১৯৯৯ | গৃহিনী | জালতকা, গাংনী, মেহেরপুর |</t>
  </si>
  <si>
    <t>| ৮২৮ | মোছাঃ ইরিনা আক্তার বিবি | ৫৭০0৫৬৫৮৪৬৮৯ | জামাল হোসেন | মোছা: সখিনা খাতুন | ৩১/০৮/২০০২ | গৃহিনী | জালতকা, গাংনী, মেহেরপুর |</t>
  </si>
  <si>
    <t>| ৮২৯ | মোছাঃ হানুফা খাতুন | ৫৭০0৫৬৫৮৪৬৯২ | মো: বিশারত আলী | মোছা: ডলি খাতুন | ০৩/১০/২০০২ | গৃহিনী | জালতকা, গাংনী, মেহেরপুর |</t>
  </si>
  <si>
    <t>| ৮৩০ | রাবিয়া খাতুন | ৫৭০0৫৬৫৮৪৬৯৩ | আলাউদ্দীন | নাজমা খাতুন | ০১/০১/২০০২ | ছাত্র/ছাত্রী | ১২৫, জালতকা, গাংনী, মেহেরপুর |</t>
  </si>
  <si>
    <t>| ৮৩১ | মোছাঃ পায়রা খাতুন | ৫৭০0৫৬৫৮৪৬৯৪ | মো: ইয়াকুব মন্ডল | মোছা: সাহানাজ পারভিন | ০১/০১/১৯৯৮ | গৃহিনী | ৯৪, জালতকা, গাংনী, মেহেরপুর |</t>
  </si>
  <si>
    <t>| ৮৩২ | মোছাঃ পাপিয়া খাতুন | ৫৭০0৫৬৫৮৪৬৯৫ | মো: আলফাজ উদ্দীন | মোছা: পারভিনা খাতুন | ২৫/১১/২০০১ | গৃহিনী | জালতকা, গাংনী, মেহেরপুর |</t>
  </si>
  <si>
    <t>| ৮৩৩ | মোছাঃ মনিকা খাতুন | ৫৭০0৫৬৫৮৪৬৯৬ | রহিদ | রেবেকা | ০৯/০১/১৯৯৫ | গৃহিনী | জালতকা, গাংনী, মেহেরপুর |</t>
  </si>
  <si>
    <t>| ৮৩৪ | নাম: মোছাঃ সুরাইয়া খাতুন | ৫৭০0৫৬৫৮৪৭১০ | মো: মিয়াজান | মোছা: নাজমা খাতুন | ০১/০৬/২০০৩ | ছাত্র/ছাত্রী | জালতকা, গাংনী, মেহেরপুর |</t>
  </si>
  <si>
    <t>| ৮৩৫ | নাম: মোছাঃ রুবিনা খাতুন | ৫৭০0৫৬000৫০৮ | মো: রবিউল ইসলাম | মোছা: বিউটি খাতুন | ১৩/০৪/২০০৪ | গৃহিনী | জালতকা, গাংনী, মেহেরপুর |</t>
  </si>
  <si>
    <t>| ৮৩৬ | নাম: মোছাঃ ছনিয়া খাতুন | ৫৭০0৫৬৫৮৪৭০১ | মো: মোহন আলী | মোছা: রহিমা খাতুন | ১০/১২/১৯৯৯ | গৃহিনী | জালতকা, গাংনী, মেহেরপুর |</t>
  </si>
  <si>
    <t>| ৮৩৭ | নাম: মোছাঃ সালমা খাতুন | ৫৭০0৫৬৫৮৪৭০২ | আ: সালাম | জালিমা খাতুন | ০৫/০৫/১৯৯৮ | গৃহিনী | জালতকা, গাংনী, মেহেরপুর |</t>
  </si>
  <si>
    <t>| ৮৩৮ | নাম: মোছাঃ জহুরা খাতুন | ৫৭০0৫৬৫৮৪৭০৪ | মো: এনামুল হক | মোছা: নুরুন্নাহার খাতুন | ২৫/১২/১৯৯৭ | ছাত্র/ছাত্রী | ৯১১, জালতকা, গাংনী, মেহেরপুর |</t>
  </si>
  <si>
    <t>| ৮৩৯ | নাম: মোছাঃ বিথী | ৫৭০0৫৬৫৮৪৭০৫ | মো: আনিসুর রহমান | মোছা: সালেহা | ০৮/০৪/১৯৯৭ | গৃহিনী | জালতকা, গাংনী, মেহেরপুর |</t>
  </si>
  <si>
    <t>| ৮৪০ | নাম: অমেলা | ৫৭০0৫৬৫৮৪৭০৯ | মো: ইদ্রিস আলী | হাজেরা | ১৭/০৭/২০০০ | গৃহিনী | ১১১২, জালতকা, গাংনী, মেহেরপুর |</t>
  </si>
  <si>
    <t>| ৮৪১ | নাম: হালিমা | ৫৭০0৫৬৫৮৪৬৫০ | আবু তাহের | শার বানু | ০১/০২/১৯৮৪ | শ্রমিক | জালতকা, গাংনী, মেহেরপুর |</t>
  </si>
  <si>
    <t>| ৮৪২ | নাম: রুমানা | ৫৭০0৫৬৫৮৪৭০৬ | নফর আলী | কাজল রেখা | ১২/০৫/১৯৯৪ | গৃহিনী | জালতকা, গাংনী, মেহেরপুর |</t>
  </si>
  <si>
    <t>| ৮৪৩ | নাম: মোছাঃ মাছুরা খাতুন | ৫৭০0৫৬৫৮৪৭০৭ | মো: নজরুল ইসলাম | মোছা: মহিমা খাতুন | ০৪/০১/১৯৮৯ | গৃহিনী | জালতকা, গাংনী, মেহেরপুর |</t>
  </si>
  <si>
    <t>| ৮৪৪ | মোছাঃ তহমিনা | ৫৭০0৫৬000৫২৭ | আবু বক্কর | রাহেলা | ২১/০৫/১৯৫৮ | গৃহিনী | জালতকা, গাংনী, মেহেরপুর |</t>
  </si>
  <si>
    <t>| ৮৪৫ | মোছাঃ খাদিজা খাতুন | ৫৭০0৫৬000৫২৮ | মো: খাইরুল ইসলাম | মোছা: গুলশান আরা | ০৩/০৩/২০০৪ | গৃহিনী | জালতকা, গাংনী, মেহেরপুর |</t>
  </si>
  <si>
    <t>| ৮৪৬ | নাম: মনিকা খাতুন | ৫৭০0৫৬000৫৩৪ | মো: মনিরুল | মোছা: মেরিনা খাতুন | ১৩/০৮/২০০১ | গৃহিনী | ৯৩৭, জালতকা, গাংনী, মেহেরপুর |</t>
  </si>
  <si>
    <t>| ৮৪৭ | নাম: সুমি আক্তার কেয়া | ৫৭০0৫৬000৫৩৮ | মো: বাবুল হোসেন | রানু বেগম | ১০/০২/২০০৪ | গৃহিনী | জালতকা, গাংনী, মেহেরপুর |</t>
  </si>
  <si>
    <t>| ৮৪৮ | নাম: মোছাঃ ইতি খাতুন | ৫৭০0৫৬৫৮৪৭১৪ | মো: মানিক আলী | মোছা: আনজিরা খাতুন | ২১/০১/২০০৪ | গৃহিনী | জালতকা, গাংনী, মেহেরপুর |</t>
  </si>
  <si>
    <t>| ৮৪৯ | নাম: মোছাঃ আছমা | ৫৭০0৫৬000৫৩৩ | মো: আজিবর আলী | মোছা: রেখা খাতুন | ০৬/০১/২০০১ | গৃহিনী | ১১৭৮, জালতকা, গাংনী, মেহেরপুর |</t>
  </si>
  <si>
    <t>| ৮৫০ | নাম: মোছাঃ হীরা খাতুন | ৫৭০0৫৬৫৮৪৭১৬ | মো: জুমাত আলী | মোছা: লতিফা খাতুন | ০৪/০৭/১৯৯২ | ছাত্র/ছাত্রী | ৮৪৪, জালতকা, গাংনী, মেহেরপুর |</t>
  </si>
  <si>
    <t>| ৮৫১ | নাম: মোছাঃ সাহেরা খাতুন | ৫৭০0৫৬৫৮৪৭২২ | মো: মপেজ উদ্দীন | মোছা: ওমেলা খাতুন | ১৭/০৭/১৯৭৪ | গৃহিনী | ৭৭৯, জালতকা, গাংনী, মেহেরপুর |</t>
  </si>
  <si>
    <t>| ৮৫২ | নাম: মোছাঃ পারভীনা খাতুন | ৫৭০0৫৬৫৮৪৭২৩ | মো: আতিয়ার রহমান | মোছা: সাহেরা খাতুন | ২০/০১/১৯৯০ | গৃহিনী | জালতকা, গাংনী, মেহেরপুর |</t>
  </si>
  <si>
    <t>| ৮৫৩ | নাম: তাসলিমা খাতুন | ৫৭০0৫৬৫৮৪৭২৪ | ফজলুর রহমান | তাহারন খাতুন | ০১/০১/১৯৮৩ | গৃহিনী | জালতকা, গাংনী, মেহেরপুর |</t>
  </si>
  <si>
    <t>| ৮৫৪ | নাম: মোছাঃ তমা খাতুন | ৫৭০0৫৬000৫৪৭ | মো: আশকর আলী | মোছা: সুছাট বেগম | ০১/০৫/২০০৬ | গৃহিনী | জালতকা, গাংনী, মেহেরপুর |</t>
  </si>
  <si>
    <t>| ৮৫৫ | নাম: মোছাঃ সীমা খাতুন | ৫৭০0৫৬৫৮৪৭৩১ | মো: ওয়াজ্জেল হোসেন | মোছা: খাদেজা খাতুন | ০৫/০৭/২০০০ | গৃহকর্ম | ৮৮২, জালতকা, গাংনী, মেহেরপুর |</t>
  </si>
  <si>
    <t>| ৮৫৬ | নাম: মোছাঃ আসমা উল হুসনা | ৫৭০0৫৬৫৮৪৭৩২ | মো: রমজান আলী | মোছা: সাহার বানু | ১২/১২/২০০৪ | গৃহিনী | জালতকা, গাংনী, মেহেরপুর |</t>
  </si>
  <si>
    <t>| ৮৫৭ | নাম: মোছাঃ তানিয়া খাতুন | ৫৭০0৫৬৫৮৪৭৩৫ | লাবলু | আরজিনা | ১০/০৩/২০০৩ | গৃহিনী | ১০৬৭, জালতকা, গাংনী, মেহেরপুর |</t>
  </si>
  <si>
    <t>| ৮৫৮ | নাম: সুমাইয়া মিম | ৫৭০0৫৬৫৮৪৭৩৭ | হযরত আলী | নাজমা খাতুন | ১৩/১১/২০০২ | ছাত্র/ছাত্রী | জালতকা, গাংনী, মেহেরপুর |</t>
  </si>
  <si>
    <t>| ৮৫৯ | নাম: মোছাঃ সাইফুল খাতুন | ৫৭০0৫৬৫৮৪৭৩৮ | পিতা: মোহাঃ শরিফদ্দিন | মোছা: মরিয়ম খাতুন | ০৮/১০/১৯৯৯ | গৃহিনী | বালিয়া পাড়া, জালতকা, গাংনী, মেহেরপুর |</t>
  </si>
  <si>
    <t>| ৮৬০ | নাম: মোছাঃ রইনা খাতুন | ৫৭০0৫৬৫৮৪৭৩৯ | মো: জফের আলী | ফেলা খাতুন | ০৫/০৭/১৯৬৫ | গৃহিনী | জালতকা, গাংনী, মেহেরপুর |</t>
  </si>
  <si>
    <t>| ৮৬১ | নাম: সারজিনা | ৫৭০0৫৬৫৮৪৭৪২ | মো: আবুজেল | রোকেয়া খাতুন | ১৯/০৭/১৯৮৪ | গৃহিনী | জালতকা, গাংনী, মেহেরপুর |</t>
  </si>
  <si>
    <t>| ৮৬২ | মোছাঃ বিথী খাতুন | ৫৭০০৫৬৫৪৪৭৫০ | মো: পলান আলী | মোছা: সামেনা খাতুন | ১৫/০২/২০০৪ | গৃহিণী | জালশুকা, গাংনী, মেহেরপুর |</t>
  </si>
  <si>
    <t>| ৮৬৩ | মোছা: শারমিন খাতুন | ৫৭০০৫৬৫৪৪৭৫৪ | মোহামদ সহরুল আলী | মোছা: এনই খাতুন | ০১/০৫/২০০৫ | গৃহিণী | জালশুকা, গাংনী, মেহেরপুর |</t>
  </si>
  <si>
    <t>| ৮৬৪ | মো: লাবনী খাতুন | ৫৭০০৫৬৫৪৪৭৫৭ | মো: মুকুল হোসেন | মোছা: কবিতা খাতুন | ২১/১২/২০০৩ | গৃহিণী | জালশুকা, গাংনী, মেহেরপুর |</t>
  </si>
  <si>
    <t>| ৮৬৫ | মোছা: বিমা খাতুন | ৫৭০০৫৬৫৪৪৭৫৮ | মো: আনারুল হক | মোছা: সাগরা খাতুন | ১৮/১১/২০০২ | গৃহিণী | জালশুকা, গাংনী, মেহেরপুর |</t>
  </si>
  <si>
    <t>| ৮৬৬ | মোছাঃ শিমলা খাতুন | ৫৭০০৫৬৫৪৪৭৫৯ | মো: গোলাম রসুল | মোছা: নার্গিস খাতুন | ০২/০১/২০০৪ | গৃহিণী | জালশুকা, গাংনী, মেহেরপুর |</t>
  </si>
  <si>
    <t>| ৮৬৭ | মোছাঃ লাবিয়া খাতুন | ৫৭০০৫৬৫৪৪৭৬০ | মো: মহিবুল ইসলাম | মোছা: মুসলিমা খাতুন | ০৩/০২/২০০৫ | গৃহিণী | জালশুকা, গাংনী, মেহেরপুর |</t>
  </si>
  <si>
    <t>| ৮৬৮ | মোছা: রিয়া খাতুন | ৫৭০০৫৬৫৪৪৭৬১ | মো: হামিদুল | মোছা: রোজিনা খাতুন | ২৫/১১/২০০৫ | গৃহিণী | জালশুকা, গাংনী, মেহেরপুর |</t>
  </si>
  <si>
    <t>| ৮৬৯ | মোছা: মিতা খাতুন | ৫৭০০৫৬৫৪৪৭৬৩ | মো: ইমান আলী | মোছা: ছামেনা খাতুন | ২৩/০৮/২০০৬ | গৃহিণী | জালশুকা, গাংনী, মেহেরপুর |</t>
  </si>
  <si>
    <t>| ৮৭০ | মোছা: সোনালী খাতুন | ৫৭০০৫৬৫৪৪৭৬৪ | মো: আকালু | মোছা: রেহেনা খাতুন | ০৯/০২/২০০৫ | গৃহিণী | জালশুকা, গাংনী, মেহেরপুর |</t>
  </si>
  <si>
    <t>| ৮৭১ | মোছা: রিতা খাতুন | ৫৭০০৫৬৫৪৪৭৬৫ | মো: আব্দুর রহমান | মোছা: মহিরন নেছা | ১০/১০/২০০৫ | গৃহিণী | জালশুকা, গাংনী, মেহেরপুর |</t>
  </si>
  <si>
    <t>| ৮৭২ | মোছা: সানজিদা ইসলাম | ৫৭০০৫৬৫৪৪৭৬৬ | মো: ডাবলু হোসেন | মোছা: শাহানাজ পারভীন | ৩১/১২/২০০২ | গৃহিণী | জালশুকা, গাংনী, মেহেরপুর |</t>
  </si>
  <si>
    <t>| ৮৭৩ | মোছা: জান্নাতুল ফেরদৌস | ৫৭০০৫৬৫৪৪৭৭৩ | মো: জামাত আলী | মোছা: আমিরন খাতুন | ১৫/০৪/২০০৪ | গৃহিণী | জালশুকা, গাংনী, মেহেরপুর |</t>
  </si>
  <si>
    <t>| ৮৭৪ | মোছাঃ মুমিয়ারা খাতুন | ৫৭০০৫৬৫৪৪৭৭৪ | মো: মরজেল হক | মোছা: লিলা খাতুন | ০৭/০৮/২০০৪ | গৃহিণী | জালশুকা, গাংনী, মেহেরপুর |</t>
  </si>
  <si>
    <t>| ৮৭৫ | মোছা: কাজল রেখা | ৫৭০০৫৬৫৪৪৭৭৬ | মো: আয়নদ্দীন মন্ডল | মোছা: ছকিনা খাতুন | ১৮/০৪/২০০৪ | গৃহিণী | জালশুকা, গাংনী, মেহেরপুর |</t>
  </si>
  <si>
    <t>| ৮৭৬ | সোনিয়া আক্তার | ৫৭০০৫৬৫৪৪৭৭৭ | কুদ্দুস ফকির | মাজেদা খাতুন | ১০/০৩/২০০৪ | গৃহিণী | জালশুকা, গাংনী, মেহেরপুর |</t>
  </si>
  <si>
    <t>| ৮৭৭ | মোছা: রতনা খাতুন | ৫৭০০৫৬৫৪৪৭৭৮ | মো: আব্দুল | মোছা: চায়না খাতুন | ২০/০৫/২০০৬ | গৃহিণী | জালশুকা, গাংনী, মেহেরপুর |</t>
  </si>
  <si>
    <t>| ৮৭৮ | মোছা: বৃষ্টি মালা | ৫৭০০৫৬৫৪৪৭৮১ | মো: শামসুল হুদা | মোছা: আরমিলা খাতুন | ০৮/১২/২০০৫ | ছাত্র/ছাত্রী | জালশুকা, গাংনী, মেহেরপুর |</t>
  </si>
  <si>
    <t>| ৮৭৯ | মোছা: আছিয়া খাতুন | ৫৭০০৫৬৫৪৪৭৮২ | মো: সামাদ আলী | মোছা: মদিনা খাতুন | ২৬/১১/২০০৪ | গৃহিণী | -, জালশুকা, গাংনী, মেহেরপুর |</t>
  </si>
  <si>
    <t>| ৮৮০ | মোছা: বৃষ্টি খাতুন | ৫৭০০৫৬৫৪৪৭৮৩ | মো: হাফিজুর | মোছা: রাশিদা বেগম | ০৫/০৭/২০০৪ | গৃহিণী | জালশুকা, গাংনী, মেহেরপুর |</t>
  </si>
  <si>
    <t>| ৮৮১ | মোছা: নিপা খাতুন | ৫৭০০৫৬৫৪৪৭৮৪ | মো: মইহক আলী | মৃত রহিন খাতুন | ০১/০১/২০০৭ | গৃহিণী | জালশুকা, গাংনী, মেহেরপুর |</t>
  </si>
  <si>
    <t>| ৮৮২ | মোছা: শারমিন খাতুন | ৫৭০০৫৬৫৪৪৭৮৫ | মো: আবুল কাসেম | মোছা: সাবিরন নেছা | ১৮/০১/২০০৪ | গৃহিণী | জালশুকা, গাংনী, মেহেরপুর |</t>
  </si>
  <si>
    <t>| ৮৮৩ | মোছা: লাবনী খাতুন | ৫৭০০৫৬৫৪৪৭৮৭ | মো: হাজাদ আলী | মোছা: মরজিনা খাতুন | ০২/০১/২০০৫ | গৃহিণী | জালশুকা, গাংনী, মেহেরপুর |</t>
  </si>
  <si>
    <t>| ৮৮৪ | মুসলিমা আক্তার মায়া | ৫৭০০৫৬৫৪৪৭৮৮ | মো: মোশারেফ হোসেন | মোছা: অলিয়া বেগম | ০১/০২/২০০৪ | গৃহিণী | জালশুকা, গাংনী, মেহেরপুর |</t>
  </si>
  <si>
    <t>| ৮৮৫ | মোছা: তাছনিয়া মেহজামিন | ৫৭০০৫৬৫৪৪৭৮৯ | মো: আবু তাহের | মোছা: মিতা খাতুন | ২৯/০৮/২০০৩ | কৃষক | -, জালশুকা, গাংনী, মেহেরপুর |</t>
  </si>
  <si>
    <t>| ৮৮৬ | মোছা: ছনিয়া খাতুন | ৫৭০০৫৬৫৪৪৭৯০ | মো: উসমান গনি | মোছা: আল্লাদী খাতুন | ২৬/১০/২০০৪ | গৃহিণী | জালশুকা, গাংনী, মেহেরপুর |</t>
  </si>
  <si>
    <t>| ৮৮৭ | মোছা: তাছলিমা খাতুন | ৫৭০০৫৬৫৪৪৭৯১ | মো: ইউছুপ আলী | মোছা: অসুরা খাতুন | ১০/০২/২০০৩ | গৃহিণী | জালশুকা, গাংনী, মেহেরপুর |</t>
  </si>
  <si>
    <t>| ৮৮৮ | মোছা: ফাতেমা খাতুন | ৫৭০০৫৬৫৪৪৭৯৩ | মো: আব্দুর রহমান | মোছা: মাবিয়া বেগম | ২০/১০/২০০৩ | গৃহিণী | জালশুকা, গাংনী, মেহেরপুর |</t>
  </si>
  <si>
    <t>| ৮৮৯ | মোছা: শাপলা খাতুন | ৫৭০০৫৬৫৪৪৭৯৬ | মৃত আলতাব হোসেন | মোছা: জেসমিন আরা | ১৭/০৩/১৯৯৯ | গৃহিণী | জালশুকা, গাংনী, মেহেরপুর |</t>
  </si>
  <si>
    <t>| ৮৯০ | মোছা: তাছলিমা খাতুন | ৫৭০০৫৬৫৪৪৭৯৭ | মৃত আবুল হোসেন | মোছা: রহিমা খাতুন | ০২/০৪/১৯৮৭ | গৃহিণী | জালশুকা, গাংনী, মেহেরপুর |</t>
  </si>
  <si>
    <t>| ৮৯১ | মোছা: তানিয়া খাতুন | ৫৭০০৫৬৫৪৪৭৯৮ | মো: ছাবের আলী | মোছা: পিরীতি খাতুন | ০৪/০৬/২০০৫ | গৃহিণী | ধানখোলা, গাংনী, মেহেরপুর |</t>
  </si>
  <si>
    <t>| ৮৯২ | মোছা: লিমা খাতুন | ৫৭০০৫৬৫৪৪৭৯৯ | মো: জিয়ারুল | মোছা: পপিয়া খাতুন | ০১/০২/২০০৬ | ছাত্র/ছাত্রী | জালশুকা, গাংনী, মেহেরপুর |</t>
  </si>
  <si>
    <t>| ৮৯৩ | মোছা: জান্নাতুল ফেরদৌস | ৫৭০০৫৬৫৪৪৮০০ | মো: সাজেদুল ইসলাম | মোছা: মনোয়ারা খাতুন | ০৮/১০/২০০৫ | গৃহিণী | জালশুকা, গাংনী, মেহেরপুর |</t>
  </si>
  <si>
    <t>| ৮৯৪ | মোছা: সুমাইয়া খাতুন | ৫৭০০৫৬৫৪৪৮০১ | মো: জমিরুল ইসলাম | মোছা: মুর্শিদা খাতুন | ০১/০১/২০০১ | ছাত্র/ছাত্রী | জালশুকা, গাংনী, মেহেরপুর |</t>
  </si>
  <si>
    <t>| ৮৯৫ | মোছা: কুরছিয়া খাতুন | ৫৭০০৫৬৫৪৪৮০৬ | মো: রমজান আলী | মোছা: রেখা খাতুন | ০১/০৫/২০০৪ | ছাত্র/ছাত্রী | জালশুকা, গাংনী, মেহেরপুর |</t>
  </si>
  <si>
    <t>| ৮৯৬ | খাদেজা | ৫৭০০৫৬৫৪৪৮৪৭ | মো: সিরাজ | মাজেদা | ১১/১০/১৯৮৭ | গৃহিণী | জালশুকা, গাংনী, মেহেরপুর |</t>
  </si>
  <si>
    <t>| ৮৯৭ | মোছা: শারমিন আক্তার | ৫৭০০৫৬৫৪৪৮০২ | মো: শপিত মিয়িা | মোছা: জামিরান বেগম | ০৩/০২/২০০২ | বেকার | জালশুকা, গাংনী, মেহেরপুর |</t>
  </si>
  <si>
    <t>| ৮৯৮ | ফলি খাতুন | ৫৭০০৫৬৫৪৪৮৩৯ | খলিল | সাহানারা | ০৯/০৭/১৯৮৮ | গৃহিণী | ৮৯১, জালশুকা, গাংনী, মেহেরপুর |</t>
  </si>
  <si>
    <t>| ৮৯৯ | মোছা: রিনা খাতুন | ৫৭০০৫৬৫৪৪৮১৪ | মো: কাশেম জোয়ার্দ্দার | মোছা: রোকিয়া খাতুন | ০৮/০২/১৯৭০ | গৃহিণী | জালশুকা, গাংনী, মেহেরপুর |</t>
  </si>
  <si>
    <t>| ৯০০ | মোছা: বিউটিয়ারা খাতুন | ৫৭০০৫৬৬০০০৩৭৮ | মো: খলিলুর রহমান | মোছা: শাহানারা খাতুন | ০৭/০৩/১৯৯৭ | পাগল | জালশুকা, গাংনী, মেহেরপুর |</t>
  </si>
  <si>
    <t>| ৯০১ | মোছা: আখি খাতুন | ৫৭০০৫৬৬০০০৫৪৯ | মো: আশরাফুল ইসলাম | মোছা: মুসলিমা খাতুন | ০৬/০৪/২০০৭ | ছাত্র/ছাত্রী | জালশুকা, গাংনী, মেহেরপুর |</t>
  </si>
  <si>
    <t>| ৯০২ | মোছা: মেরিনা | ৫৭০০৫৬৬০০০৫৫৩ | মো: জিয়ারুর রহমান | মোছা: হানিফা খাতুন | ০৫/০৩/২০০৭ | গৃহিণী | জালশুকা, গাংনী, মেহেরপুর |</t>
  </si>
  <si>
    <t>| ৯০৩ | মোছা: মনিকা | ৫৭০০৫৬৬০০০৫৫৪ | মো: আব্দুল লতিফ | মোছা: মনোয়ারা খাতুন | ০৫/০৬/২০০৭ | গৃহিণী | জালশুকা, গাংনী, মেহেরপুর |</t>
  </si>
  <si>
    <t>| ৯০৪ | মোছা: আছিয়া খাতুন | ৫৭০০৫৬৬০০০৫৫৫ | মো: মহিবুল | মোছা: মমতাজ খাতুন | ১৭/০১/২০০৭ | ছাত্র/ছাত্রী | জালশুকা, গাংনী, মেহেরপুর |</t>
  </si>
  <si>
    <t>| ৯০৫ | মোছা: সাগরী খাতুন | ৫৭০০৫৬৬০০০৫৫৭ | মো: সাহাজান আলী | মোছা: রাফেজা খাতুন | ১৪/০৮/২০০৭ | গৃহিণী | জালশুকা, গাংনী, মেহেরপুর |</t>
  </si>
  <si>
    <t>| ৯০৬ | মোছা: আনিকা খাতুন | ৫৭০০৫৬৬০০০৫৬১ | মো: রমজান আলী | মোছা: রেখা খাতুন | ০১/০৮/২০০৭ | গৃহিণী | জালশুকা, গাংনী, মেহেরপুর |</t>
  </si>
  <si>
    <t>| ৯০৭ | মোছা: সুরভী আক্তার | ৫৭০০৫৬৫৪৪৮১১ | মো: বাবুল আক্তার | মোছা: মাজেদা খাতুন | ১১/১২/২০০৪ | গৃহিণী | জালশুকা, গাংনী, মেহেরপুর |</t>
  </si>
  <si>
    <t>| ৯০৮ | মোছা: পিংকি মালা | ৫৭০০৫৬৫৪৪৮১৬ | মো: মহিবুল হক | মোছা: ছাবিনা খাতুন | ৩০/১২/২০০৬ | গৃহিণী | জালশুকা, গাংনী, মেহেরপুর |</t>
  </si>
  <si>
    <t>| ৯০৯ | মিনারা | ৫৭০০৫৬৫৪৪৮২০ | তাহের | ছাদিকুন | ১১/০৯/১৯৮৬ | গৃহিণী | ৯০৩, জালশুকা, গাংনী, মেহেরপুর |</t>
  </si>
  <si>
    <t>| ৯১০ | মোছা: রুকাইয়া খাতুন | ৫৭০০৫৬৫৪৪৮১৭ | মো: বোল্টু মিয়া | মোছা: সাবিনা খাতুন | ০১/০৫/২০০৫ | ছাত্র/ছাত্রী | জালশুকা, গাংনী, মেহেরপুর |</t>
  </si>
  <si>
    <t>| ৯১১ | উর্মী খাতুন | ৫৭০০৫৬৫৪৪৮১৮ | মো: সাজিবুল হক | নাহিমা খাতুন | ১২/০১/২০০৪ | গৃহিণী | ১৩৭৫, জালশুকা, গাংনী, মেহেরপুর |</t>
  </si>
  <si>
    <t>| ৭৫৪ | মাইগ্রেট হয়েছে |  |  |  |  |  |  |</t>
  </si>
  <si>
    <t>| ৭৫৫ | মোছাঃ ইমা খাতুন | ৫৭০২৫৬০০০৪২০ | মো: মফিজুর রহমান | মোছা: নজিরা খাতুন | ২৬/১০/২০০০ | গৃহিনী | জালশুকা, গাংনী, মেহেরপুর |</t>
  </si>
  <si>
    <t>| ৭৫৬ | মিতা খাতুন | ৫৭০২৫৬০০০৪২১ | মো: মিনারুল ইসলাম | মোছা: বেলি খাতুন | ২৫/১০/১৯৯৯ | ছাত্র/ছাত্রী | জালশুকা, গাংনী, মেহেরপুর |</t>
  </si>
  <si>
    <t>| ৭৫৭ | মাইগ্রেট হয়েছে |  |  |  |  |  |  |</t>
  </si>
  <si>
    <t>| ৭৫৮ | মোছা: অর্পিতা খাতুন | ৫৭০২৫৬০০০৪৩২ | মো: হোসেন আলী | মোছা: ছপুরা খাতুন | ০৫/০৫/১৯৯৮ | গৃহিনী | জালশুকা, গাংনী, মেহেরপুর |</t>
  </si>
  <si>
    <t>| ৭৫৯ | মাইগ্রেট হয়েছে |  |  |  |  |  |  |</t>
  </si>
  <si>
    <t>| ৭৬০ | মোছা: মুক্তিয়ারা খাতুন | ৫৭০২৫৬০০০৪৩৪ | মো: আজিজুল ইসলাম | মোছা: নুরজাহান খাতুন | ১০/১০/২০০১ | গৃহিনী | জালশুকা, গাংনী, মেহেরপুর |</t>
  </si>
  <si>
    <t>| ৭৬১ | মোছা: খাদিজা খাতুন রিক্তা | ৫৭০২৫৬০০০৪৩৫ | মো: ইসমাইল হোসেন | মোছা: সাবিনা খাতুন | ০৩/০১/২০০০ | গৃহিনী | জালশুকা, গাংনী, মেহেরপুর |</t>
  </si>
  <si>
    <t>| ৭৬২ | মোছা: পুষ্প খাতুন | ৫৭০২৫৬০০০৪৩৬ | মৃত নেকবার আলী | মোছা: সাহানা খাতুন | ২৫/০১/২০০০ | গৃহিনী | জালশুকা, গাংনী, মেহেরপুর |</t>
  </si>
  <si>
    <t>| ৭৬৩ | মোছা: রূপালী খাতুন | ৫৭০২৫৬০০০৪৩৮ | মো: তারাচান | মোছা: রোকেয়া খাতুন | ১০/০৬/১৯৯৬ | গৃহিনী | জালশুকা, গাংনী, মেহেরপুর |</t>
  </si>
  <si>
    <t>| ৭৬৪ | মোছা: রিক্তা খাতুন | ৫৭০২৫৬০০০৪৪২ | মো: ইয়াছদ্দীন | মোছা: শিরিনা খাতুন | ০৮/০৯/১৯৯১ | গৃহিনী | জালশুকা, গাংনী, মেহেরপুর |</t>
  </si>
  <si>
    <t>| ৭৬৫ | মোছা: সুমি খাতুন | ৫৭০২৫৬০০০৪৪৪ | মো: রিয়াজ উদ্দীন | মোছা: ফিরোজা খাতুন | ২০/১১/১৯৯৯ | ছাত্র/ছাত্রী | জালশুকা, গাংনী, মেহেরপুর |</t>
  </si>
  <si>
    <t>| ৭৬৬ | মোছা: আছিয়া খাতুন | ৫৭০২৫৬০০০৪৪৫ | মো: আশাবুল হক | মোছা: বেলিয়ার খাতুন | ০৯/০৬/২০০২ | ছাত্র/ছাত্রী | জালশুকা, গাংনী, মেহেরপুর |</t>
  </si>
  <si>
    <t>| ৭৬৭ | মোছা: মহিরন নেছা | ৫৭০২৫৬০০০৪৪৮ | মৃত মান্নান হক | মোছা: মর্জিনা খাতুন | ০২/০৬/১৯৮৭ | গৃহিনী | জালশুকা, গাংনী, মেহেরপুর |</t>
  </si>
  <si>
    <t>| ৭৬৮ | মোছা: রেক্সনা খাতুন | ৫৭০২৫৬০০০৪৪৯ | মো: নাসির উদ্দীন | মোছা: সাহেরা খাতুন | ২৭/১২/১৯৯৭ | ছাত্র/ছাত্রী | জালশুকা, গাংনী, মেহেরপুর |</t>
  </si>
  <si>
    <t>| ৭৬৯ | শাহরিয়া বন্যা | ৫৭০২৫৬০০০৪৫০ | মো: শামসুল হুদা | আরমিলা খাতুন | ২৩/০১/১৯৯৯ | ছাত্র/ছাত্রী | জালশুকা, গাংনী, মেহেরপুর |</t>
  </si>
  <si>
    <t>| ৭৭০ | মাইগ্রেট হয়েছে |  |  |  |  |  |  |</t>
  </si>
  <si>
    <t>| ৭৭১ | মোছা: চায়না খাতুন | ৫৭০২৫৬০০০৪৫৩ | মো: নুরুল আমিন | মোছা: মাজেদা খাতুন | ০১/০৪/১৯৯৭ | গৃহিনী | জালশুকা, গাংনী, মেহেরপুর 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</si>
</sst>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75"/>
    <col customWidth="1" min="3" max="3" width="14.38"/>
    <col customWidth="1" min="4" max="4" width="14.25"/>
    <col customWidth="1" min="5" max="5" width="16.75"/>
    <col customWidth="1" min="6" max="6" width="10.75"/>
    <col customWidth="1" min="7" max="7" width="8.5"/>
    <col customWidth="1" min="8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ht="15.75" customHeight="1">
      <c r="A2" s="3">
        <v>1.0</v>
      </c>
      <c r="B2" s="2" t="s">
        <v>8</v>
      </c>
      <c r="C2" s="2" t="s">
        <v>9</v>
      </c>
      <c r="D2" s="2" t="s">
        <v>10</v>
      </c>
      <c r="E2" s="3">
        <v>5.70056376535E11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/>
      <c r="L2" s="2"/>
    </row>
    <row r="3" ht="15.75" customHeight="1">
      <c r="A3" s="3">
        <v>2.0</v>
      </c>
      <c r="B3" s="4" t="s">
        <v>16</v>
      </c>
      <c r="C3" s="2" t="s">
        <v>17</v>
      </c>
      <c r="D3" s="2" t="s">
        <v>18</v>
      </c>
      <c r="E3" s="3">
        <v>5.70056376539E11</v>
      </c>
      <c r="F3" s="2" t="s">
        <v>19</v>
      </c>
      <c r="G3" s="2" t="s">
        <v>12</v>
      </c>
      <c r="H3" s="2" t="s">
        <v>13</v>
      </c>
      <c r="I3" s="2" t="s">
        <v>14</v>
      </c>
      <c r="J3" s="2" t="s">
        <v>15</v>
      </c>
      <c r="K3" s="2"/>
      <c r="L3" s="2"/>
    </row>
    <row r="4" ht="15.75" customHeight="1">
      <c r="A4" s="3">
        <v>3.0</v>
      </c>
      <c r="B4" s="2" t="s">
        <v>20</v>
      </c>
      <c r="C4" s="2" t="s">
        <v>21</v>
      </c>
      <c r="D4" s="2" t="s">
        <v>22</v>
      </c>
      <c r="E4" s="3">
        <v>5.70056376542E11</v>
      </c>
      <c r="F4" s="2" t="s">
        <v>23</v>
      </c>
      <c r="G4" s="2" t="s">
        <v>12</v>
      </c>
      <c r="H4" s="2" t="s">
        <v>13</v>
      </c>
      <c r="I4" s="2" t="s">
        <v>14</v>
      </c>
      <c r="J4" s="2" t="s">
        <v>15</v>
      </c>
      <c r="K4" s="2"/>
      <c r="L4" s="2"/>
    </row>
    <row r="5" ht="15.75" customHeight="1">
      <c r="A5" s="3">
        <v>4.0</v>
      </c>
      <c r="B5" s="2" t="s">
        <v>24</v>
      </c>
      <c r="C5" s="2" t="s">
        <v>25</v>
      </c>
      <c r="D5" s="2" t="s">
        <v>26</v>
      </c>
      <c r="E5" s="3">
        <v>5.70056376979E11</v>
      </c>
      <c r="F5" s="2" t="s">
        <v>27</v>
      </c>
      <c r="G5" s="2" t="s">
        <v>12</v>
      </c>
      <c r="H5" s="2" t="s">
        <v>13</v>
      </c>
      <c r="I5" s="2" t="s">
        <v>14</v>
      </c>
      <c r="J5" s="2" t="s">
        <v>15</v>
      </c>
      <c r="K5" s="2"/>
      <c r="L5" s="2"/>
    </row>
    <row r="6" ht="15.75" customHeight="1">
      <c r="A6" s="3">
        <v>5.0</v>
      </c>
      <c r="B6" s="2" t="s">
        <v>28</v>
      </c>
      <c r="C6" s="2" t="s">
        <v>29</v>
      </c>
      <c r="D6" s="2" t="s">
        <v>30</v>
      </c>
      <c r="E6" s="3">
        <v>5.70056376988E11</v>
      </c>
      <c r="F6" s="2" t="s">
        <v>31</v>
      </c>
      <c r="G6" s="2" t="s">
        <v>12</v>
      </c>
      <c r="H6" s="2" t="s">
        <v>13</v>
      </c>
      <c r="I6" s="2" t="s">
        <v>14</v>
      </c>
      <c r="J6" s="2" t="s">
        <v>15</v>
      </c>
      <c r="K6" s="2"/>
      <c r="L6" s="2"/>
    </row>
    <row r="7" ht="15.75" customHeight="1">
      <c r="A7" s="3">
        <v>6.0</v>
      </c>
      <c r="B7" s="2" t="s">
        <v>32</v>
      </c>
      <c r="C7" s="2" t="s">
        <v>33</v>
      </c>
      <c r="D7" s="2" t="s">
        <v>34</v>
      </c>
      <c r="E7" s="3">
        <v>5.70056377201E11</v>
      </c>
      <c r="F7" s="2" t="s">
        <v>35</v>
      </c>
      <c r="G7" s="2" t="s">
        <v>12</v>
      </c>
      <c r="H7" s="2" t="s">
        <v>13</v>
      </c>
      <c r="I7" s="2" t="s">
        <v>14</v>
      </c>
      <c r="J7" s="2" t="s">
        <v>15</v>
      </c>
      <c r="K7" s="2"/>
      <c r="L7" s="2"/>
    </row>
    <row r="8" ht="15.75" customHeight="1">
      <c r="A8" s="3">
        <v>7.0</v>
      </c>
      <c r="B8" s="2" t="s">
        <v>36</v>
      </c>
      <c r="C8" s="2" t="s">
        <v>37</v>
      </c>
      <c r="D8" s="2" t="s">
        <v>32</v>
      </c>
      <c r="E8" s="3">
        <v>5.70056377202E11</v>
      </c>
      <c r="F8" s="2" t="s">
        <v>38</v>
      </c>
      <c r="G8" s="2" t="s">
        <v>12</v>
      </c>
      <c r="H8" s="2" t="s">
        <v>13</v>
      </c>
      <c r="I8" s="2" t="s">
        <v>14</v>
      </c>
      <c r="J8" s="2" t="s">
        <v>15</v>
      </c>
      <c r="K8" s="2"/>
      <c r="L8" s="2"/>
    </row>
    <row r="9" ht="15.75" customHeight="1">
      <c r="A9" s="3">
        <v>8.0</v>
      </c>
      <c r="B9" s="2" t="s">
        <v>39</v>
      </c>
      <c r="C9" s="2" t="s">
        <v>40</v>
      </c>
      <c r="D9" s="2" t="s">
        <v>41</v>
      </c>
      <c r="E9" s="3">
        <v>5.70056377204E11</v>
      </c>
      <c r="F9" s="2" t="s">
        <v>42</v>
      </c>
      <c r="G9" s="2" t="s">
        <v>12</v>
      </c>
      <c r="H9" s="2" t="s">
        <v>13</v>
      </c>
      <c r="I9" s="2" t="s">
        <v>14</v>
      </c>
      <c r="J9" s="2" t="s">
        <v>15</v>
      </c>
      <c r="K9" s="2"/>
      <c r="L9" s="2"/>
    </row>
    <row r="10" ht="15.75" customHeight="1">
      <c r="A10" s="3">
        <v>9.0</v>
      </c>
      <c r="B10" s="4" t="s">
        <v>43</v>
      </c>
      <c r="C10" s="2" t="s">
        <v>33</v>
      </c>
      <c r="D10" s="2" t="s">
        <v>44</v>
      </c>
      <c r="E10" s="3">
        <v>5.70056377209E11</v>
      </c>
      <c r="F10" s="2" t="s">
        <v>45</v>
      </c>
      <c r="G10" s="2" t="s">
        <v>12</v>
      </c>
      <c r="H10" s="2" t="s">
        <v>13</v>
      </c>
      <c r="I10" s="2" t="s">
        <v>14</v>
      </c>
      <c r="J10" s="2" t="s">
        <v>15</v>
      </c>
      <c r="K10" s="2"/>
      <c r="L10" s="2"/>
    </row>
    <row r="11" ht="15.75" customHeight="1">
      <c r="A11" s="3">
        <v>10.0</v>
      </c>
      <c r="B11" s="2" t="s">
        <v>46</v>
      </c>
      <c r="C11" s="2" t="s">
        <v>47</v>
      </c>
      <c r="D11" s="2" t="s">
        <v>48</v>
      </c>
      <c r="E11" s="3">
        <v>5.70056377215E11</v>
      </c>
      <c r="F11" s="2" t="s">
        <v>49</v>
      </c>
      <c r="G11" s="2" t="s">
        <v>12</v>
      </c>
      <c r="H11" s="2" t="s">
        <v>13</v>
      </c>
      <c r="I11" s="2" t="s">
        <v>14</v>
      </c>
      <c r="J11" s="2" t="s">
        <v>15</v>
      </c>
      <c r="K11" s="2"/>
      <c r="L11" s="2"/>
    </row>
    <row r="12" ht="15.75" customHeight="1">
      <c r="A12" s="3"/>
      <c r="B12" s="2"/>
      <c r="C12" s="2"/>
      <c r="D12" s="2"/>
      <c r="E12" s="3"/>
      <c r="F12" s="2"/>
      <c r="G12" s="2"/>
      <c r="H12" s="2"/>
      <c r="I12" s="2"/>
      <c r="J12" s="2"/>
      <c r="K12" s="2"/>
      <c r="L12" s="2"/>
    </row>
    <row r="13" ht="15.75" customHeight="1">
      <c r="A13" s="3">
        <v>11.0</v>
      </c>
      <c r="B13" s="2" t="s">
        <v>50</v>
      </c>
      <c r="C13" s="2" t="s">
        <v>51</v>
      </c>
      <c r="D13" s="2" t="s">
        <v>52</v>
      </c>
      <c r="E13" s="3">
        <v>5.70056377217E11</v>
      </c>
      <c r="F13" s="2" t="s">
        <v>53</v>
      </c>
      <c r="G13" s="2" t="s">
        <v>12</v>
      </c>
      <c r="H13" s="2" t="s">
        <v>13</v>
      </c>
      <c r="I13" s="2" t="s">
        <v>14</v>
      </c>
      <c r="J13" s="2" t="s">
        <v>15</v>
      </c>
      <c r="K13" s="2"/>
      <c r="L13" s="2"/>
    </row>
    <row r="14" ht="15.75" customHeight="1">
      <c r="A14" s="3">
        <v>12.0</v>
      </c>
      <c r="B14" s="2" t="s">
        <v>54</v>
      </c>
      <c r="C14" s="2" t="s">
        <v>55</v>
      </c>
      <c r="D14" s="2" t="s">
        <v>56</v>
      </c>
      <c r="E14" s="3">
        <v>5.70056377223E11</v>
      </c>
      <c r="F14" s="2" t="s">
        <v>57</v>
      </c>
      <c r="G14" s="2" t="s">
        <v>12</v>
      </c>
      <c r="H14" s="2" t="s">
        <v>13</v>
      </c>
      <c r="I14" s="2" t="s">
        <v>14</v>
      </c>
      <c r="J14" s="2" t="s">
        <v>15</v>
      </c>
      <c r="K14" s="2"/>
      <c r="L14" s="2"/>
    </row>
    <row r="15" ht="15.75" customHeight="1">
      <c r="A15" s="3">
        <v>13.0</v>
      </c>
      <c r="B15" s="2" t="s">
        <v>58</v>
      </c>
      <c r="C15" s="2" t="s">
        <v>59</v>
      </c>
      <c r="D15" s="2" t="s">
        <v>60</v>
      </c>
      <c r="E15" s="3">
        <v>5.70056377224E11</v>
      </c>
      <c r="F15" s="2" t="s">
        <v>61</v>
      </c>
      <c r="G15" s="2" t="s">
        <v>12</v>
      </c>
      <c r="H15" s="2" t="s">
        <v>13</v>
      </c>
      <c r="I15" s="2" t="s">
        <v>14</v>
      </c>
      <c r="J15" s="2" t="s">
        <v>15</v>
      </c>
      <c r="K15" s="2"/>
      <c r="L15" s="2"/>
    </row>
    <row r="16" ht="15.75" customHeight="1">
      <c r="A16" s="3">
        <v>14.0</v>
      </c>
      <c r="B16" s="2" t="s">
        <v>62</v>
      </c>
      <c r="C16" s="2" t="s">
        <v>63</v>
      </c>
      <c r="D16" s="2" t="s">
        <v>64</v>
      </c>
      <c r="E16" s="3">
        <v>5.70056377226E11</v>
      </c>
      <c r="F16" s="2" t="s">
        <v>65</v>
      </c>
      <c r="G16" s="2" t="s">
        <v>12</v>
      </c>
      <c r="H16" s="2" t="s">
        <v>13</v>
      </c>
      <c r="I16" s="2" t="s">
        <v>14</v>
      </c>
      <c r="J16" s="2" t="s">
        <v>15</v>
      </c>
      <c r="K16" s="2"/>
      <c r="L16" s="2"/>
    </row>
    <row r="17" ht="15.75" customHeight="1">
      <c r="A17" s="3">
        <v>15.0</v>
      </c>
      <c r="B17" s="2" t="s">
        <v>66</v>
      </c>
      <c r="C17" s="2" t="s">
        <v>67</v>
      </c>
      <c r="D17" s="2" t="s">
        <v>62</v>
      </c>
      <c r="E17" s="3">
        <v>5.70056377228E11</v>
      </c>
      <c r="F17" s="2" t="s">
        <v>68</v>
      </c>
      <c r="G17" s="2" t="s">
        <v>12</v>
      </c>
      <c r="H17" s="2" t="s">
        <v>13</v>
      </c>
      <c r="I17" s="2" t="s">
        <v>14</v>
      </c>
      <c r="J17" s="2" t="s">
        <v>15</v>
      </c>
      <c r="K17" s="2"/>
      <c r="L17" s="2"/>
    </row>
    <row r="18" ht="15.75" customHeight="1">
      <c r="A18" s="3">
        <v>16.0</v>
      </c>
      <c r="B18" s="2" t="s">
        <v>69</v>
      </c>
      <c r="C18" s="2" t="s">
        <v>70</v>
      </c>
      <c r="D18" s="2" t="s">
        <v>71</v>
      </c>
      <c r="E18" s="3">
        <v>5.70056377229E11</v>
      </c>
      <c r="F18" s="2" t="s">
        <v>72</v>
      </c>
      <c r="G18" s="2" t="s">
        <v>12</v>
      </c>
      <c r="H18" s="2" t="s">
        <v>13</v>
      </c>
      <c r="I18" s="2" t="s">
        <v>14</v>
      </c>
      <c r="J18" s="2" t="s">
        <v>15</v>
      </c>
      <c r="K18" s="2"/>
      <c r="L18" s="2"/>
    </row>
    <row r="19" ht="15.75" customHeight="1">
      <c r="A19" s="3">
        <v>17.0</v>
      </c>
      <c r="B19" s="4" t="s">
        <v>73</v>
      </c>
      <c r="C19" s="2" t="s">
        <v>74</v>
      </c>
      <c r="D19" s="2" t="s">
        <v>75</v>
      </c>
      <c r="E19" s="3">
        <v>5.7005637723E11</v>
      </c>
      <c r="F19" s="2" t="s">
        <v>76</v>
      </c>
      <c r="G19" s="2" t="s">
        <v>12</v>
      </c>
      <c r="H19" s="2" t="s">
        <v>13</v>
      </c>
      <c r="I19" s="2" t="s">
        <v>14</v>
      </c>
      <c r="J19" s="2" t="s">
        <v>15</v>
      </c>
      <c r="K19" s="2"/>
      <c r="L19" s="2"/>
    </row>
    <row r="20" ht="15.75" customHeight="1">
      <c r="A20" s="3">
        <v>18.0</v>
      </c>
      <c r="B20" s="2" t="s">
        <v>77</v>
      </c>
      <c r="C20" s="2" t="s">
        <v>78</v>
      </c>
      <c r="D20" s="2" t="s">
        <v>79</v>
      </c>
      <c r="E20" s="3">
        <v>5.70056377233E11</v>
      </c>
      <c r="F20" s="2" t="s">
        <v>80</v>
      </c>
      <c r="G20" s="2" t="s">
        <v>12</v>
      </c>
      <c r="H20" s="2" t="s">
        <v>13</v>
      </c>
      <c r="I20" s="2" t="s">
        <v>14</v>
      </c>
      <c r="J20" s="2" t="s">
        <v>15</v>
      </c>
      <c r="K20" s="2"/>
      <c r="L20" s="2"/>
    </row>
    <row r="21" ht="15.75" customHeight="1">
      <c r="A21" s="3">
        <v>19.0</v>
      </c>
      <c r="B21" s="2" t="s">
        <v>81</v>
      </c>
      <c r="C21" s="2" t="s">
        <v>82</v>
      </c>
      <c r="D21" s="2" t="s">
        <v>83</v>
      </c>
      <c r="E21" s="3">
        <v>5.70056377234E11</v>
      </c>
      <c r="F21" s="2" t="s">
        <v>84</v>
      </c>
      <c r="G21" s="2" t="s">
        <v>12</v>
      </c>
      <c r="H21" s="2" t="s">
        <v>13</v>
      </c>
      <c r="I21" s="2" t="s">
        <v>14</v>
      </c>
      <c r="J21" s="2" t="s">
        <v>15</v>
      </c>
      <c r="K21" s="2"/>
      <c r="L21" s="2"/>
    </row>
    <row r="22" ht="15.75" customHeight="1">
      <c r="A22" s="3">
        <v>20.0</v>
      </c>
      <c r="B22" s="2" t="s">
        <v>85</v>
      </c>
      <c r="C22" s="2" t="s">
        <v>86</v>
      </c>
      <c r="D22" s="2" t="s">
        <v>87</v>
      </c>
      <c r="E22" s="5">
        <v>5.70056377235E11</v>
      </c>
      <c r="F22" s="2" t="s">
        <v>88</v>
      </c>
      <c r="G22" s="2" t="s">
        <v>12</v>
      </c>
      <c r="H22" s="2" t="s">
        <v>13</v>
      </c>
      <c r="I22" s="2" t="s">
        <v>14</v>
      </c>
      <c r="J22" s="2" t="s">
        <v>15</v>
      </c>
      <c r="K22" s="2"/>
      <c r="L22" s="2"/>
    </row>
    <row r="23" ht="15.75" customHeight="1">
      <c r="A23" s="3">
        <v>21.0</v>
      </c>
      <c r="B23" s="2" t="s">
        <v>89</v>
      </c>
      <c r="C23" s="2" t="s">
        <v>90</v>
      </c>
      <c r="D23" s="2" t="s">
        <v>91</v>
      </c>
      <c r="E23" s="3">
        <v>5.70056377236E11</v>
      </c>
      <c r="F23" s="2" t="s">
        <v>92</v>
      </c>
      <c r="G23" s="2" t="s">
        <v>12</v>
      </c>
      <c r="H23" s="2" t="s">
        <v>13</v>
      </c>
      <c r="I23" s="2" t="s">
        <v>14</v>
      </c>
      <c r="J23" s="2" t="s">
        <v>15</v>
      </c>
      <c r="K23" s="2"/>
      <c r="L23" s="2"/>
    </row>
    <row r="24" ht="15.75" customHeight="1">
      <c r="A24" s="3">
        <v>22.0</v>
      </c>
      <c r="B24" s="4" t="s">
        <v>93</v>
      </c>
      <c r="C24" s="2" t="s">
        <v>94</v>
      </c>
      <c r="D24" s="2" t="s">
        <v>95</v>
      </c>
      <c r="E24" s="3">
        <v>5.70056377237E11</v>
      </c>
      <c r="F24" s="2" t="s">
        <v>96</v>
      </c>
      <c r="G24" s="2" t="s">
        <v>12</v>
      </c>
      <c r="H24" s="2" t="s">
        <v>13</v>
      </c>
      <c r="I24" s="2" t="s">
        <v>14</v>
      </c>
      <c r="J24" s="2" t="s">
        <v>15</v>
      </c>
      <c r="K24" s="2"/>
      <c r="L24" s="2"/>
    </row>
    <row r="25" ht="15.75" customHeight="1">
      <c r="A25" s="3">
        <v>23.0</v>
      </c>
      <c r="B25" s="2" t="s">
        <v>97</v>
      </c>
      <c r="C25" s="2" t="s">
        <v>98</v>
      </c>
      <c r="D25" s="2" t="s">
        <v>99</v>
      </c>
      <c r="E25" s="3">
        <v>5.70056377238E11</v>
      </c>
      <c r="F25" s="2" t="s">
        <v>100</v>
      </c>
      <c r="G25" s="2" t="s">
        <v>12</v>
      </c>
      <c r="H25" s="2" t="s">
        <v>13</v>
      </c>
      <c r="I25" s="2" t="s">
        <v>14</v>
      </c>
      <c r="J25" s="2" t="s">
        <v>101</v>
      </c>
      <c r="K25" s="2"/>
      <c r="L25" s="2"/>
    </row>
    <row r="26" ht="15.75" customHeight="1">
      <c r="A26" s="3">
        <v>24.0</v>
      </c>
      <c r="B26" s="2" t="s">
        <v>102</v>
      </c>
      <c r="C26" s="2" t="s">
        <v>103</v>
      </c>
      <c r="D26" s="2" t="s">
        <v>104</v>
      </c>
      <c r="E26" s="3">
        <v>5.70056377239E11</v>
      </c>
      <c r="F26" s="2" t="s">
        <v>105</v>
      </c>
      <c r="G26" s="2" t="s">
        <v>12</v>
      </c>
      <c r="H26" s="2" t="s">
        <v>13</v>
      </c>
      <c r="I26" s="2" t="s">
        <v>14</v>
      </c>
      <c r="J26" s="2" t="s">
        <v>101</v>
      </c>
      <c r="K26" s="2"/>
      <c r="L26" s="2"/>
    </row>
    <row r="27" ht="15.75" customHeight="1">
      <c r="A27" s="3">
        <v>25.0</v>
      </c>
      <c r="B27" s="2" t="s">
        <v>106</v>
      </c>
      <c r="C27" s="2" t="s">
        <v>107</v>
      </c>
      <c r="D27" s="2" t="s">
        <v>108</v>
      </c>
      <c r="E27" s="3">
        <v>5.70056377241E11</v>
      </c>
      <c r="F27" s="2" t="s">
        <v>109</v>
      </c>
      <c r="G27" s="2" t="s">
        <v>12</v>
      </c>
      <c r="H27" s="2" t="s">
        <v>13</v>
      </c>
      <c r="I27" s="2" t="s">
        <v>14</v>
      </c>
      <c r="J27" s="2" t="s">
        <v>101</v>
      </c>
      <c r="K27" s="2"/>
      <c r="L27" s="2"/>
    </row>
    <row r="28" ht="15.75" customHeight="1">
      <c r="A28" s="3">
        <v>26.0</v>
      </c>
      <c r="B28" s="2" t="s">
        <v>110</v>
      </c>
      <c r="C28" s="2" t="s">
        <v>111</v>
      </c>
      <c r="D28" s="2" t="s">
        <v>112</v>
      </c>
      <c r="E28" s="3">
        <v>5.70056377244E11</v>
      </c>
      <c r="F28" s="2" t="s">
        <v>113</v>
      </c>
      <c r="G28" s="2" t="s">
        <v>12</v>
      </c>
      <c r="H28" s="2" t="s">
        <v>13</v>
      </c>
      <c r="I28" s="2" t="s">
        <v>14</v>
      </c>
      <c r="J28" s="2" t="s">
        <v>101</v>
      </c>
      <c r="K28" s="2"/>
      <c r="L28" s="2"/>
    </row>
    <row r="29" ht="15.75" customHeight="1">
      <c r="A29" s="3">
        <v>27.0</v>
      </c>
      <c r="B29" s="2" t="s">
        <v>26</v>
      </c>
      <c r="C29" s="2" t="s">
        <v>114</v>
      </c>
      <c r="D29" s="2" t="s">
        <v>115</v>
      </c>
      <c r="E29" s="3">
        <v>5.7005637725E11</v>
      </c>
      <c r="F29" s="2" t="s">
        <v>116</v>
      </c>
      <c r="G29" s="2" t="s">
        <v>12</v>
      </c>
      <c r="H29" s="2" t="s">
        <v>13</v>
      </c>
      <c r="I29" s="2" t="s">
        <v>14</v>
      </c>
      <c r="J29" s="2" t="s">
        <v>101</v>
      </c>
      <c r="K29" s="2"/>
      <c r="L29" s="2"/>
    </row>
    <row r="30" ht="15.75" customHeight="1">
      <c r="A30" s="3">
        <v>28.0</v>
      </c>
      <c r="B30" s="2" t="s">
        <v>117</v>
      </c>
      <c r="C30" s="2" t="s">
        <v>118</v>
      </c>
      <c r="D30" s="2" t="s">
        <v>119</v>
      </c>
      <c r="E30" s="3">
        <v>5.70056377251E11</v>
      </c>
      <c r="F30" s="2" t="s">
        <v>105</v>
      </c>
      <c r="G30" s="2" t="s">
        <v>12</v>
      </c>
      <c r="H30" s="2" t="s">
        <v>13</v>
      </c>
      <c r="I30" s="2" t="s">
        <v>14</v>
      </c>
      <c r="J30" s="2" t="s">
        <v>101</v>
      </c>
      <c r="K30" s="2"/>
      <c r="L30" s="2"/>
    </row>
    <row r="31" ht="15.75" customHeight="1">
      <c r="A31" s="3">
        <v>29.0</v>
      </c>
      <c r="B31" s="2" t="s">
        <v>120</v>
      </c>
      <c r="C31" s="2" t="s">
        <v>121</v>
      </c>
      <c r="D31" s="2" t="s">
        <v>122</v>
      </c>
      <c r="E31" s="3">
        <v>5.70056377253E11</v>
      </c>
      <c r="F31" s="2" t="s">
        <v>123</v>
      </c>
      <c r="G31" s="2" t="s">
        <v>12</v>
      </c>
      <c r="H31" s="2" t="s">
        <v>13</v>
      </c>
      <c r="I31" s="2" t="s">
        <v>14</v>
      </c>
      <c r="J31" s="2" t="s">
        <v>101</v>
      </c>
      <c r="K31" s="2"/>
      <c r="L31" s="2"/>
    </row>
    <row r="32" ht="15.75" customHeight="1">
      <c r="A32" s="3">
        <v>30.0</v>
      </c>
      <c r="B32" s="2" t="s">
        <v>124</v>
      </c>
      <c r="C32" s="2" t="s">
        <v>125</v>
      </c>
      <c r="D32" s="2" t="s">
        <v>126</v>
      </c>
      <c r="E32" s="3">
        <v>5.70056377254E11</v>
      </c>
      <c r="F32" s="2" t="s">
        <v>127</v>
      </c>
      <c r="G32" s="2" t="s">
        <v>12</v>
      </c>
      <c r="H32" s="2" t="s">
        <v>13</v>
      </c>
      <c r="I32" s="2" t="s">
        <v>14</v>
      </c>
      <c r="J32" s="2" t="s">
        <v>101</v>
      </c>
      <c r="K32" s="2"/>
      <c r="L32" s="2"/>
    </row>
    <row r="33" ht="15.75" customHeight="1">
      <c r="A33" s="3">
        <v>31.0</v>
      </c>
      <c r="B33" s="2" t="s">
        <v>128</v>
      </c>
      <c r="C33" s="2" t="s">
        <v>129</v>
      </c>
      <c r="D33" s="2" t="s">
        <v>122</v>
      </c>
      <c r="E33" s="3">
        <v>5.70056377258E11</v>
      </c>
      <c r="F33" s="2" t="s">
        <v>130</v>
      </c>
      <c r="G33" s="2" t="s">
        <v>12</v>
      </c>
      <c r="H33" s="2" t="s">
        <v>13</v>
      </c>
      <c r="I33" s="2" t="s">
        <v>14</v>
      </c>
      <c r="J33" s="2" t="s">
        <v>101</v>
      </c>
      <c r="K33" s="2"/>
      <c r="L33" s="2"/>
    </row>
    <row r="34" ht="15.75" customHeight="1">
      <c r="A34" s="3">
        <v>32.0</v>
      </c>
      <c r="B34" s="2" t="s">
        <v>131</v>
      </c>
      <c r="C34" s="2" t="s">
        <v>132</v>
      </c>
      <c r="D34" s="2" t="s">
        <v>133</v>
      </c>
      <c r="E34" s="3">
        <v>5.70056377268E11</v>
      </c>
      <c r="F34" s="2" t="s">
        <v>134</v>
      </c>
      <c r="G34" s="2" t="s">
        <v>12</v>
      </c>
      <c r="H34" s="2" t="s">
        <v>13</v>
      </c>
      <c r="I34" s="2" t="s">
        <v>14</v>
      </c>
      <c r="J34" s="2" t="s">
        <v>101</v>
      </c>
      <c r="K34" s="2"/>
      <c r="L34" s="2"/>
    </row>
    <row r="35" ht="15.75" customHeight="1">
      <c r="A35" s="3">
        <v>33.0</v>
      </c>
      <c r="B35" s="2" t="s">
        <v>20</v>
      </c>
      <c r="C35" s="2" t="s">
        <v>135</v>
      </c>
      <c r="D35" s="2" t="s">
        <v>136</v>
      </c>
      <c r="E35" s="3">
        <v>5.7005637727E11</v>
      </c>
      <c r="F35" s="2" t="s">
        <v>137</v>
      </c>
      <c r="G35" s="2" t="s">
        <v>12</v>
      </c>
      <c r="H35" s="2" t="s">
        <v>13</v>
      </c>
      <c r="I35" s="2" t="s">
        <v>14</v>
      </c>
      <c r="J35" s="2" t="s">
        <v>101</v>
      </c>
      <c r="K35" s="2"/>
      <c r="L35" s="2"/>
    </row>
    <row r="36" ht="15.75" customHeight="1">
      <c r="A36" s="3">
        <v>34.0</v>
      </c>
      <c r="B36" s="2" t="s">
        <v>138</v>
      </c>
      <c r="C36" s="2" t="s">
        <v>139</v>
      </c>
      <c r="D36" s="2" t="s">
        <v>140</v>
      </c>
      <c r="E36" s="3">
        <v>5.70056377271E11</v>
      </c>
      <c r="F36" s="2" t="s">
        <v>141</v>
      </c>
      <c r="G36" s="2" t="s">
        <v>12</v>
      </c>
      <c r="H36" s="2" t="s">
        <v>13</v>
      </c>
      <c r="I36" s="2" t="s">
        <v>14</v>
      </c>
      <c r="J36" s="2" t="s">
        <v>101</v>
      </c>
      <c r="K36" s="2"/>
      <c r="L36" s="2"/>
    </row>
    <row r="37" ht="15.75" customHeight="1">
      <c r="A37" s="3">
        <v>35.0</v>
      </c>
      <c r="B37" s="2" t="s">
        <v>142</v>
      </c>
      <c r="C37" s="2" t="s">
        <v>143</v>
      </c>
      <c r="D37" s="2" t="s">
        <v>144</v>
      </c>
      <c r="E37" s="3">
        <v>5.70056377272E11</v>
      </c>
      <c r="F37" s="2" t="s">
        <v>145</v>
      </c>
      <c r="G37" s="2" t="s">
        <v>12</v>
      </c>
      <c r="H37" s="2" t="s">
        <v>13</v>
      </c>
      <c r="I37" s="2" t="s">
        <v>14</v>
      </c>
      <c r="J37" s="2" t="s">
        <v>101</v>
      </c>
      <c r="K37" s="2"/>
      <c r="L37" s="2"/>
    </row>
    <row r="38" ht="15.75" customHeight="1">
      <c r="A38" s="3">
        <v>36.0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5.75" customHeight="1">
      <c r="A39" s="3">
        <v>37.0</v>
      </c>
      <c r="B39" s="2" t="s">
        <v>146</v>
      </c>
      <c r="C39" s="2" t="s">
        <v>147</v>
      </c>
      <c r="D39" s="2" t="s">
        <v>148</v>
      </c>
      <c r="E39" s="3">
        <v>5.70056377275E11</v>
      </c>
      <c r="F39" s="2" t="s">
        <v>149</v>
      </c>
      <c r="G39" s="2" t="s">
        <v>12</v>
      </c>
      <c r="H39" s="2" t="s">
        <v>13</v>
      </c>
      <c r="I39" s="2" t="s">
        <v>14</v>
      </c>
      <c r="J39" s="2" t="s">
        <v>101</v>
      </c>
      <c r="K39" s="2"/>
      <c r="L39" s="2"/>
    </row>
    <row r="40" ht="15.75" customHeight="1">
      <c r="A40" s="3">
        <v>38.0</v>
      </c>
      <c r="B40" s="2" t="s">
        <v>150</v>
      </c>
      <c r="C40" s="2" t="s">
        <v>82</v>
      </c>
      <c r="D40" s="2" t="s">
        <v>151</v>
      </c>
      <c r="E40" s="3">
        <v>5.70056377276E11</v>
      </c>
      <c r="F40" s="2" t="s">
        <v>152</v>
      </c>
      <c r="G40" s="2" t="s">
        <v>12</v>
      </c>
      <c r="H40" s="2" t="s">
        <v>13</v>
      </c>
      <c r="I40" s="2" t="s">
        <v>14</v>
      </c>
      <c r="J40" s="2" t="s">
        <v>101</v>
      </c>
      <c r="K40" s="2"/>
      <c r="L40" s="2"/>
    </row>
    <row r="41" ht="15.75" customHeight="1">
      <c r="A41" s="3">
        <v>39.0</v>
      </c>
      <c r="B41" s="2" t="s">
        <v>81</v>
      </c>
      <c r="C41" s="2" t="s">
        <v>153</v>
      </c>
      <c r="D41" s="2" t="s">
        <v>154</v>
      </c>
      <c r="E41" s="3">
        <v>5.70056377277E11</v>
      </c>
      <c r="F41" s="2" t="s">
        <v>155</v>
      </c>
      <c r="G41" s="2" t="s">
        <v>12</v>
      </c>
      <c r="H41" s="2" t="s">
        <v>13</v>
      </c>
      <c r="I41" s="2" t="s">
        <v>14</v>
      </c>
      <c r="J41" s="2" t="s">
        <v>101</v>
      </c>
      <c r="K41" s="2"/>
      <c r="L41" s="2"/>
    </row>
    <row r="42" ht="15.75" customHeight="1">
      <c r="A42" s="3">
        <v>40.0</v>
      </c>
      <c r="B42" s="2" t="s">
        <v>156</v>
      </c>
      <c r="C42" s="2" t="s">
        <v>157</v>
      </c>
      <c r="D42" s="2" t="s">
        <v>158</v>
      </c>
      <c r="E42" s="3">
        <v>5.70056377278E11</v>
      </c>
      <c r="F42" s="2" t="s">
        <v>159</v>
      </c>
      <c r="G42" s="2" t="s">
        <v>12</v>
      </c>
      <c r="H42" s="2" t="s">
        <v>13</v>
      </c>
      <c r="I42" s="2" t="s">
        <v>14</v>
      </c>
      <c r="J42" s="2" t="s">
        <v>101</v>
      </c>
      <c r="K42" s="2"/>
      <c r="L42" s="2"/>
    </row>
    <row r="43" ht="15.75" customHeight="1">
      <c r="A43" s="3">
        <v>41.0</v>
      </c>
      <c r="B43" s="2" t="s">
        <v>160</v>
      </c>
      <c r="C43" s="2" t="s">
        <v>161</v>
      </c>
      <c r="D43" s="2" t="s">
        <v>162</v>
      </c>
      <c r="E43" s="3">
        <v>5.70056377279E11</v>
      </c>
      <c r="F43" s="2" t="s">
        <v>163</v>
      </c>
      <c r="G43" s="2" t="s">
        <v>12</v>
      </c>
      <c r="H43" s="2" t="s">
        <v>13</v>
      </c>
      <c r="I43" s="2" t="s">
        <v>14</v>
      </c>
      <c r="J43" s="2" t="s">
        <v>101</v>
      </c>
      <c r="K43" s="2"/>
      <c r="L43" s="2"/>
    </row>
    <row r="44" ht="15.75" customHeight="1">
      <c r="A44" s="3">
        <v>42.0</v>
      </c>
      <c r="B44" s="2" t="s">
        <v>164</v>
      </c>
      <c r="C44" s="2" t="s">
        <v>165</v>
      </c>
      <c r="D44" s="2" t="s">
        <v>166</v>
      </c>
      <c r="E44" s="3">
        <v>5.7005637728E11</v>
      </c>
      <c r="F44" s="2" t="s">
        <v>167</v>
      </c>
      <c r="G44" s="2" t="s">
        <v>12</v>
      </c>
      <c r="H44" s="2" t="s">
        <v>13</v>
      </c>
      <c r="I44" s="2" t="s">
        <v>14</v>
      </c>
      <c r="J44" s="2" t="s">
        <v>101</v>
      </c>
      <c r="K44" s="2"/>
      <c r="L44" s="2"/>
    </row>
    <row r="45" ht="15.75" customHeight="1">
      <c r="A45" s="3">
        <v>43.0</v>
      </c>
      <c r="B45" s="2" t="s">
        <v>26</v>
      </c>
      <c r="C45" s="2" t="s">
        <v>168</v>
      </c>
      <c r="D45" s="2" t="s">
        <v>169</v>
      </c>
      <c r="E45" s="3">
        <v>5.70056377281E11</v>
      </c>
      <c r="F45" s="2" t="s">
        <v>170</v>
      </c>
      <c r="G45" s="2" t="s">
        <v>12</v>
      </c>
      <c r="H45" s="2" t="s">
        <v>13</v>
      </c>
      <c r="I45" s="2" t="s">
        <v>14</v>
      </c>
      <c r="J45" s="2" t="s">
        <v>101</v>
      </c>
      <c r="K45" s="2"/>
      <c r="L45" s="2"/>
    </row>
    <row r="46" ht="15.75" customHeight="1">
      <c r="A46" s="3">
        <v>44.0</v>
      </c>
      <c r="B46" s="2" t="s">
        <v>171</v>
      </c>
      <c r="C46" s="2" t="s">
        <v>172</v>
      </c>
      <c r="D46" s="2" t="s">
        <v>173</v>
      </c>
      <c r="E46" s="5">
        <v>5.70056377282E11</v>
      </c>
      <c r="F46" s="2" t="s">
        <v>174</v>
      </c>
      <c r="G46" s="2" t="s">
        <v>12</v>
      </c>
      <c r="H46" s="2" t="s">
        <v>13</v>
      </c>
      <c r="I46" s="2" t="s">
        <v>14</v>
      </c>
      <c r="J46" s="2" t="s">
        <v>101</v>
      </c>
      <c r="K46" s="2"/>
      <c r="L46" s="2"/>
    </row>
    <row r="47" ht="15.75" customHeight="1">
      <c r="A47" s="3">
        <v>45.0</v>
      </c>
      <c r="B47" s="2" t="s">
        <v>175</v>
      </c>
      <c r="C47" s="2" t="s">
        <v>176</v>
      </c>
      <c r="D47" s="2" t="s">
        <v>177</v>
      </c>
      <c r="E47" s="3">
        <v>5.70056377283E11</v>
      </c>
      <c r="F47" s="2" t="s">
        <v>178</v>
      </c>
      <c r="G47" s="2" t="s">
        <v>12</v>
      </c>
      <c r="H47" s="2" t="s">
        <v>13</v>
      </c>
      <c r="I47" s="2" t="s">
        <v>14</v>
      </c>
      <c r="J47" s="2" t="s">
        <v>101</v>
      </c>
      <c r="K47" s="2"/>
      <c r="L47" s="2"/>
    </row>
    <row r="48" ht="15.75" customHeight="1">
      <c r="A48" s="3">
        <v>46.0</v>
      </c>
      <c r="B48" s="2" t="s">
        <v>179</v>
      </c>
      <c r="C48" s="2" t="s">
        <v>180</v>
      </c>
      <c r="D48" s="2" t="s">
        <v>181</v>
      </c>
      <c r="E48" s="3">
        <v>5.70056377285E11</v>
      </c>
      <c r="F48" s="2" t="s">
        <v>182</v>
      </c>
      <c r="G48" s="2" t="s">
        <v>12</v>
      </c>
      <c r="H48" s="2" t="s">
        <v>13</v>
      </c>
      <c r="I48" s="2" t="s">
        <v>14</v>
      </c>
      <c r="J48" s="2" t="s">
        <v>101</v>
      </c>
      <c r="K48" s="2"/>
      <c r="L48" s="2"/>
    </row>
    <row r="49" ht="15.75" customHeight="1">
      <c r="A49" s="3">
        <v>47.0</v>
      </c>
      <c r="B49" s="6" t="s">
        <v>183</v>
      </c>
      <c r="C49" s="2" t="s">
        <v>184</v>
      </c>
      <c r="D49" s="2" t="s">
        <v>185</v>
      </c>
      <c r="E49" s="3">
        <v>5.7005637729E11</v>
      </c>
      <c r="F49" s="2" t="s">
        <v>186</v>
      </c>
      <c r="G49" s="2" t="s">
        <v>187</v>
      </c>
      <c r="H49" s="2" t="s">
        <v>13</v>
      </c>
      <c r="I49" s="2" t="s">
        <v>14</v>
      </c>
      <c r="J49" s="2" t="s">
        <v>101</v>
      </c>
      <c r="K49" s="2"/>
      <c r="L49" s="2"/>
    </row>
    <row r="50" ht="15.75" customHeight="1">
      <c r="A50" s="3">
        <v>48.0</v>
      </c>
      <c r="B50" s="2" t="s">
        <v>188</v>
      </c>
      <c r="C50" s="2" t="s">
        <v>189</v>
      </c>
      <c r="D50" s="2" t="s">
        <v>190</v>
      </c>
      <c r="E50" s="3">
        <v>5.70056377293E11</v>
      </c>
      <c r="F50" s="2" t="s">
        <v>191</v>
      </c>
      <c r="G50" s="2" t="s">
        <v>12</v>
      </c>
      <c r="H50" s="2" t="s">
        <v>13</v>
      </c>
      <c r="I50" s="2" t="s">
        <v>14</v>
      </c>
      <c r="J50" s="2" t="s">
        <v>101</v>
      </c>
      <c r="K50" s="2"/>
      <c r="L50" s="2"/>
    </row>
    <row r="51" ht="15.75" customHeight="1">
      <c r="A51" s="3">
        <v>49.0</v>
      </c>
      <c r="B51" s="2" t="s">
        <v>192</v>
      </c>
      <c r="C51" s="2" t="s">
        <v>193</v>
      </c>
      <c r="D51" s="2" t="s">
        <v>171</v>
      </c>
      <c r="E51" s="3">
        <v>5.70056377294E11</v>
      </c>
      <c r="F51" s="2" t="s">
        <v>194</v>
      </c>
      <c r="G51" s="2" t="s">
        <v>12</v>
      </c>
      <c r="H51" s="2" t="s">
        <v>13</v>
      </c>
      <c r="I51" s="2" t="s">
        <v>14</v>
      </c>
      <c r="J51" s="2" t="s">
        <v>101</v>
      </c>
      <c r="K51" s="2"/>
      <c r="L51" s="2"/>
    </row>
    <row r="52" ht="15.75" customHeight="1">
      <c r="A52" s="3">
        <v>50.0</v>
      </c>
      <c r="B52" s="2" t="s">
        <v>195</v>
      </c>
      <c r="C52" s="2" t="s">
        <v>196</v>
      </c>
      <c r="D52" s="2" t="s">
        <v>197</v>
      </c>
      <c r="E52" s="3">
        <v>5.70056377295E11</v>
      </c>
      <c r="F52" s="2" t="s">
        <v>198</v>
      </c>
      <c r="G52" s="2" t="s">
        <v>12</v>
      </c>
      <c r="H52" s="2" t="s">
        <v>13</v>
      </c>
      <c r="I52" s="2" t="s">
        <v>14</v>
      </c>
      <c r="J52" s="2" t="s">
        <v>101</v>
      </c>
      <c r="K52" s="2"/>
      <c r="L52" s="2"/>
    </row>
    <row r="53" ht="15.75" customHeight="1">
      <c r="A53" s="3">
        <v>51.0</v>
      </c>
      <c r="B53" s="2" t="s">
        <v>199</v>
      </c>
      <c r="C53" s="2" t="s">
        <v>200</v>
      </c>
      <c r="D53" s="2" t="s">
        <v>201</v>
      </c>
      <c r="E53" s="3">
        <v>5.70056377304E11</v>
      </c>
      <c r="F53" s="2" t="s">
        <v>202</v>
      </c>
      <c r="G53" s="2" t="s">
        <v>12</v>
      </c>
      <c r="H53" s="2" t="s">
        <v>13</v>
      </c>
      <c r="I53" s="2" t="s">
        <v>14</v>
      </c>
      <c r="J53" s="2" t="s">
        <v>101</v>
      </c>
      <c r="K53" s="2"/>
      <c r="L53" s="2"/>
    </row>
    <row r="54" ht="15.75" customHeight="1">
      <c r="A54" s="3">
        <v>52.0</v>
      </c>
      <c r="B54" s="2" t="s">
        <v>203</v>
      </c>
      <c r="C54" s="2" t="s">
        <v>204</v>
      </c>
      <c r="D54" s="2" t="s">
        <v>205</v>
      </c>
      <c r="E54" s="3">
        <v>5.70056377309E11</v>
      </c>
      <c r="F54" s="2" t="s">
        <v>206</v>
      </c>
      <c r="G54" s="2" t="s">
        <v>12</v>
      </c>
      <c r="H54" s="2" t="s">
        <v>13</v>
      </c>
      <c r="I54" s="2" t="s">
        <v>14</v>
      </c>
      <c r="J54" s="2" t="s">
        <v>101</v>
      </c>
      <c r="K54" s="2"/>
      <c r="L54" s="2"/>
    </row>
    <row r="55" ht="15.75" customHeight="1">
      <c r="A55" s="3">
        <v>53.0</v>
      </c>
      <c r="B55" s="2" t="s">
        <v>207</v>
      </c>
      <c r="C55" s="2" t="s">
        <v>208</v>
      </c>
      <c r="D55" s="2" t="s">
        <v>48</v>
      </c>
      <c r="E55" s="5">
        <v>5.70056377315E11</v>
      </c>
      <c r="F55" s="2" t="s">
        <v>209</v>
      </c>
      <c r="G55" s="2" t="s">
        <v>12</v>
      </c>
      <c r="H55" s="2" t="s">
        <v>13</v>
      </c>
      <c r="I55" s="2" t="s">
        <v>14</v>
      </c>
      <c r="J55" s="2" t="s">
        <v>101</v>
      </c>
      <c r="K55" s="2"/>
      <c r="L55" s="2"/>
    </row>
    <row r="56" ht="15.75" customHeight="1">
      <c r="A56" s="3">
        <v>54.0</v>
      </c>
      <c r="B56" s="2" t="s">
        <v>210</v>
      </c>
      <c r="C56" s="2" t="s">
        <v>211</v>
      </c>
      <c r="D56" s="2" t="s">
        <v>201</v>
      </c>
      <c r="E56" s="3">
        <v>5.70056377318E11</v>
      </c>
      <c r="F56" s="2" t="s">
        <v>212</v>
      </c>
      <c r="G56" s="2" t="s">
        <v>12</v>
      </c>
      <c r="H56" s="2" t="s">
        <v>13</v>
      </c>
      <c r="I56" s="2" t="s">
        <v>14</v>
      </c>
      <c r="J56" s="2" t="s">
        <v>101</v>
      </c>
      <c r="K56" s="2"/>
      <c r="L56" s="2"/>
    </row>
    <row r="57" ht="15.75" customHeight="1">
      <c r="A57" s="3">
        <v>55.0</v>
      </c>
      <c r="B57" s="2" t="s">
        <v>203</v>
      </c>
      <c r="C57" s="2" t="s">
        <v>213</v>
      </c>
      <c r="D57" s="2" t="s">
        <v>214</v>
      </c>
      <c r="E57" s="3">
        <v>5.70056377319E11</v>
      </c>
      <c r="F57" s="2" t="s">
        <v>215</v>
      </c>
      <c r="G57" s="2" t="s">
        <v>12</v>
      </c>
      <c r="H57" s="2" t="s">
        <v>13</v>
      </c>
      <c r="I57" s="2" t="s">
        <v>14</v>
      </c>
      <c r="J57" s="2" t="s">
        <v>101</v>
      </c>
      <c r="K57" s="2"/>
      <c r="L57" s="2"/>
    </row>
    <row r="58" ht="15.75" customHeight="1">
      <c r="A58" s="3">
        <v>56.0</v>
      </c>
      <c r="B58" s="2" t="s">
        <v>179</v>
      </c>
      <c r="C58" s="2" t="s">
        <v>216</v>
      </c>
      <c r="D58" s="2" t="s">
        <v>217</v>
      </c>
      <c r="E58" s="3">
        <v>5.70056377322E11</v>
      </c>
      <c r="F58" s="2" t="s">
        <v>218</v>
      </c>
      <c r="G58" s="2" t="s">
        <v>12</v>
      </c>
      <c r="H58" s="2" t="s">
        <v>13</v>
      </c>
      <c r="I58" s="2" t="s">
        <v>14</v>
      </c>
      <c r="J58" s="2" t="s">
        <v>101</v>
      </c>
      <c r="K58" s="2"/>
      <c r="L58" s="2"/>
    </row>
    <row r="59" ht="15.75" customHeight="1">
      <c r="A59" s="3">
        <v>57.0</v>
      </c>
      <c r="B59" s="2" t="s">
        <v>219</v>
      </c>
      <c r="C59" s="2" t="s">
        <v>220</v>
      </c>
      <c r="D59" s="2" t="s">
        <v>26</v>
      </c>
      <c r="E59" s="3">
        <v>5.70056377325E11</v>
      </c>
      <c r="F59" s="2" t="s">
        <v>221</v>
      </c>
      <c r="G59" s="2" t="s">
        <v>12</v>
      </c>
      <c r="H59" s="2" t="s">
        <v>13</v>
      </c>
      <c r="I59" s="2" t="s">
        <v>14</v>
      </c>
      <c r="J59" s="2" t="s">
        <v>101</v>
      </c>
      <c r="K59" s="2"/>
      <c r="L59" s="2"/>
    </row>
    <row r="60" ht="15.75" customHeight="1">
      <c r="A60" s="3">
        <v>58.0</v>
      </c>
      <c r="B60" s="2" t="s">
        <v>222</v>
      </c>
      <c r="C60" s="2" t="s">
        <v>223</v>
      </c>
      <c r="D60" s="2" t="s">
        <v>224</v>
      </c>
      <c r="E60" s="3">
        <v>5.70056377326E11</v>
      </c>
      <c r="F60" s="2" t="s">
        <v>225</v>
      </c>
      <c r="G60" s="2" t="s">
        <v>12</v>
      </c>
      <c r="H60" s="2" t="s">
        <v>13</v>
      </c>
      <c r="I60" s="2" t="s">
        <v>14</v>
      </c>
      <c r="J60" s="2" t="s">
        <v>101</v>
      </c>
      <c r="K60" s="2"/>
      <c r="L60" s="2"/>
    </row>
    <row r="61" ht="15.75" customHeight="1">
      <c r="A61" s="3">
        <v>59.0</v>
      </c>
      <c r="B61" s="2" t="s">
        <v>91</v>
      </c>
      <c r="C61" s="2" t="s">
        <v>226</v>
      </c>
      <c r="D61" s="2" t="s">
        <v>227</v>
      </c>
      <c r="E61" s="3">
        <v>5.70056377327E11</v>
      </c>
      <c r="F61" s="2" t="s">
        <v>228</v>
      </c>
      <c r="G61" s="2" t="s">
        <v>12</v>
      </c>
      <c r="H61" s="2" t="s">
        <v>13</v>
      </c>
      <c r="I61" s="2" t="s">
        <v>14</v>
      </c>
      <c r="J61" s="2" t="s">
        <v>101</v>
      </c>
      <c r="K61" s="2"/>
      <c r="L61" s="2"/>
    </row>
    <row r="62" ht="15.75" customHeight="1">
      <c r="A62" s="3">
        <v>60.0</v>
      </c>
      <c r="B62" s="2" t="s">
        <v>229</v>
      </c>
      <c r="C62" s="2" t="s">
        <v>230</v>
      </c>
      <c r="D62" s="2" t="s">
        <v>75</v>
      </c>
      <c r="E62" s="5">
        <v>5.7005637733E11</v>
      </c>
      <c r="F62" s="2" t="s">
        <v>231</v>
      </c>
      <c r="G62" s="2" t="s">
        <v>12</v>
      </c>
      <c r="H62" s="2" t="s">
        <v>13</v>
      </c>
      <c r="I62" s="2" t="s">
        <v>14</v>
      </c>
      <c r="J62" s="2" t="s">
        <v>15</v>
      </c>
      <c r="K62" s="2"/>
      <c r="L62" s="2"/>
    </row>
    <row r="63" ht="15.75" customHeight="1">
      <c r="A63" s="3">
        <v>61.0</v>
      </c>
      <c r="B63" s="2" t="s">
        <v>232</v>
      </c>
      <c r="C63" s="2" t="s">
        <v>233</v>
      </c>
      <c r="D63" s="2" t="s">
        <v>234</v>
      </c>
      <c r="E63" s="3">
        <v>5.70056377331E11</v>
      </c>
      <c r="F63" s="2" t="s">
        <v>235</v>
      </c>
      <c r="G63" s="2" t="s">
        <v>12</v>
      </c>
      <c r="H63" s="2" t="s">
        <v>13</v>
      </c>
      <c r="I63" s="2" t="s">
        <v>14</v>
      </c>
      <c r="J63" s="2" t="s">
        <v>101</v>
      </c>
      <c r="K63" s="2"/>
      <c r="L63" s="2"/>
    </row>
    <row r="64" ht="15.75" customHeight="1">
      <c r="A64" s="3">
        <v>62.0</v>
      </c>
      <c r="B64" s="2" t="s">
        <v>236</v>
      </c>
      <c r="C64" s="2" t="s">
        <v>237</v>
      </c>
      <c r="D64" s="2" t="s">
        <v>238</v>
      </c>
      <c r="E64" s="3">
        <v>5.70056377332E11</v>
      </c>
      <c r="F64" s="2" t="s">
        <v>68</v>
      </c>
      <c r="G64" s="2" t="s">
        <v>12</v>
      </c>
      <c r="H64" s="2" t="s">
        <v>13</v>
      </c>
      <c r="I64" s="2" t="s">
        <v>14</v>
      </c>
      <c r="J64" s="2" t="s">
        <v>101</v>
      </c>
      <c r="K64" s="2"/>
      <c r="L64" s="2"/>
    </row>
    <row r="65" ht="15.75" customHeight="1">
      <c r="A65" s="3">
        <v>63.0</v>
      </c>
      <c r="B65" s="2" t="s">
        <v>239</v>
      </c>
      <c r="C65" s="2" t="s">
        <v>82</v>
      </c>
      <c r="D65" s="2" t="s">
        <v>240</v>
      </c>
      <c r="E65" s="3">
        <v>5.70056377334E11</v>
      </c>
      <c r="F65" s="2" t="s">
        <v>241</v>
      </c>
      <c r="G65" s="2" t="s">
        <v>12</v>
      </c>
      <c r="H65" s="2" t="s">
        <v>13</v>
      </c>
      <c r="I65" s="2" t="s">
        <v>14</v>
      </c>
      <c r="J65" s="2" t="s">
        <v>101</v>
      </c>
      <c r="K65" s="2"/>
      <c r="L65" s="2"/>
    </row>
    <row r="66" ht="15.75" customHeight="1">
      <c r="A66" s="3">
        <v>64.0</v>
      </c>
      <c r="B66" s="2" t="s">
        <v>240</v>
      </c>
      <c r="C66" s="2" t="s">
        <v>242</v>
      </c>
      <c r="D66" s="2" t="s">
        <v>243</v>
      </c>
      <c r="E66" s="3">
        <v>5.70056377335E11</v>
      </c>
      <c r="F66" s="2" t="s">
        <v>244</v>
      </c>
      <c r="G66" s="2" t="s">
        <v>12</v>
      </c>
      <c r="H66" s="2" t="s">
        <v>13</v>
      </c>
      <c r="I66" s="2" t="s">
        <v>14</v>
      </c>
      <c r="J66" s="2" t="s">
        <v>101</v>
      </c>
      <c r="K66" s="2"/>
      <c r="L66" s="2"/>
    </row>
    <row r="67" ht="15.75" customHeight="1">
      <c r="A67" s="3">
        <v>65.0</v>
      </c>
      <c r="B67" s="4" t="s">
        <v>245</v>
      </c>
      <c r="C67" s="2" t="s">
        <v>82</v>
      </c>
      <c r="D67" s="2" t="s">
        <v>240</v>
      </c>
      <c r="E67" s="3">
        <v>5.70056377336E11</v>
      </c>
      <c r="F67" s="2" t="s">
        <v>246</v>
      </c>
      <c r="G67" s="2" t="s">
        <v>12</v>
      </c>
      <c r="H67" s="2" t="s">
        <v>13</v>
      </c>
      <c r="I67" s="2" t="s">
        <v>14</v>
      </c>
      <c r="J67" s="2" t="s">
        <v>101</v>
      </c>
      <c r="K67" s="2"/>
      <c r="L67" s="2"/>
    </row>
    <row r="68" ht="15.75" customHeight="1">
      <c r="A68" s="3">
        <v>66.0</v>
      </c>
      <c r="B68" s="2" t="s">
        <v>18</v>
      </c>
      <c r="C68" s="2" t="s">
        <v>211</v>
      </c>
      <c r="D68" s="2" t="s">
        <v>247</v>
      </c>
      <c r="E68" s="3">
        <v>5.70056377339E11</v>
      </c>
      <c r="F68" s="2" t="s">
        <v>248</v>
      </c>
      <c r="G68" s="2" t="s">
        <v>12</v>
      </c>
      <c r="H68" s="2" t="s">
        <v>13</v>
      </c>
      <c r="I68" s="2" t="s">
        <v>14</v>
      </c>
      <c r="J68" s="2" t="s">
        <v>101</v>
      </c>
      <c r="K68" s="2"/>
      <c r="L68" s="2"/>
    </row>
    <row r="69" ht="15.75" customHeight="1">
      <c r="A69" s="3">
        <v>67.0</v>
      </c>
      <c r="B69" s="2" t="s">
        <v>249</v>
      </c>
      <c r="C69" s="2" t="s">
        <v>250</v>
      </c>
      <c r="D69" s="2" t="s">
        <v>251</v>
      </c>
      <c r="E69" s="3">
        <v>5.70056377341E11</v>
      </c>
      <c r="F69" s="2" t="s">
        <v>252</v>
      </c>
      <c r="G69" s="2" t="s">
        <v>12</v>
      </c>
      <c r="H69" s="2" t="s">
        <v>13</v>
      </c>
      <c r="I69" s="2" t="s">
        <v>14</v>
      </c>
      <c r="J69" s="2" t="s">
        <v>101</v>
      </c>
      <c r="K69" s="2"/>
      <c r="L69" s="2"/>
    </row>
    <row r="70" ht="15.75" customHeight="1">
      <c r="A70" s="3">
        <v>68.0</v>
      </c>
      <c r="B70" s="2" t="s">
        <v>236</v>
      </c>
      <c r="C70" s="2" t="s">
        <v>253</v>
      </c>
      <c r="D70" s="2" t="s">
        <v>133</v>
      </c>
      <c r="E70" s="3">
        <v>5.70056377344E11</v>
      </c>
      <c r="F70" s="2" t="s">
        <v>254</v>
      </c>
      <c r="G70" s="2" t="s">
        <v>12</v>
      </c>
      <c r="H70" s="2" t="s">
        <v>13</v>
      </c>
      <c r="I70" s="2" t="s">
        <v>14</v>
      </c>
      <c r="J70" s="2" t="s">
        <v>15</v>
      </c>
      <c r="K70" s="2"/>
      <c r="L70" s="2"/>
    </row>
    <row r="71" ht="15.75" customHeight="1">
      <c r="A71" s="3">
        <v>69.0</v>
      </c>
      <c r="B71" s="2" t="s">
        <v>158</v>
      </c>
      <c r="C71" s="2" t="s">
        <v>255</v>
      </c>
      <c r="D71" s="2" t="s">
        <v>256</v>
      </c>
      <c r="E71" s="3">
        <v>5.70056377345E11</v>
      </c>
      <c r="F71" s="2" t="s">
        <v>257</v>
      </c>
      <c r="G71" s="2" t="s">
        <v>12</v>
      </c>
      <c r="H71" s="2" t="s">
        <v>13</v>
      </c>
      <c r="I71" s="2" t="s">
        <v>14</v>
      </c>
      <c r="J71" s="2" t="s">
        <v>101</v>
      </c>
      <c r="K71" s="2"/>
      <c r="L71" s="2"/>
    </row>
    <row r="72" ht="15.75" customHeight="1">
      <c r="A72" s="3">
        <v>70.0</v>
      </c>
      <c r="B72" s="2" t="s">
        <v>258</v>
      </c>
      <c r="C72" s="2" t="s">
        <v>259</v>
      </c>
      <c r="D72" s="2" t="s">
        <v>260</v>
      </c>
      <c r="E72" s="3">
        <v>5.70056377352E11</v>
      </c>
      <c r="F72" s="2" t="s">
        <v>261</v>
      </c>
      <c r="G72" s="2" t="s">
        <v>12</v>
      </c>
      <c r="H72" s="2" t="s">
        <v>13</v>
      </c>
      <c r="I72" s="2" t="s">
        <v>14</v>
      </c>
      <c r="J72" s="2" t="s">
        <v>101</v>
      </c>
      <c r="K72" s="2"/>
      <c r="L72" s="2"/>
    </row>
    <row r="73" ht="15.75" customHeight="1">
      <c r="A73" s="3">
        <v>71.0</v>
      </c>
      <c r="B73" s="4" t="s">
        <v>262</v>
      </c>
      <c r="C73" s="2" t="s">
        <v>263</v>
      </c>
      <c r="D73" s="2" t="s">
        <v>264</v>
      </c>
      <c r="E73" s="3">
        <v>5.70056377353E11</v>
      </c>
      <c r="F73" s="2" t="s">
        <v>265</v>
      </c>
      <c r="G73" s="2" t="s">
        <v>12</v>
      </c>
      <c r="H73" s="2" t="s">
        <v>13</v>
      </c>
      <c r="I73" s="2" t="s">
        <v>14</v>
      </c>
      <c r="J73" s="2" t="s">
        <v>101</v>
      </c>
      <c r="K73" s="2"/>
      <c r="L73" s="2"/>
    </row>
    <row r="74" ht="15.75" customHeight="1">
      <c r="A74" s="3">
        <v>72.0</v>
      </c>
      <c r="B74" s="4" t="s">
        <v>266</v>
      </c>
      <c r="C74" s="2" t="s">
        <v>263</v>
      </c>
      <c r="D74" s="2" t="s">
        <v>267</v>
      </c>
      <c r="E74" s="3">
        <v>5.70056377358E11</v>
      </c>
      <c r="F74" s="2" t="s">
        <v>268</v>
      </c>
      <c r="G74" s="2" t="s">
        <v>12</v>
      </c>
      <c r="H74" s="2" t="s">
        <v>13</v>
      </c>
      <c r="I74" s="2" t="s">
        <v>14</v>
      </c>
      <c r="J74" s="2" t="s">
        <v>101</v>
      </c>
      <c r="K74" s="2"/>
      <c r="L74" s="2"/>
    </row>
    <row r="75" ht="15.75" customHeight="1">
      <c r="A75" s="3">
        <v>73.0</v>
      </c>
      <c r="B75" s="2" t="s">
        <v>269</v>
      </c>
      <c r="C75" s="2" t="s">
        <v>270</v>
      </c>
      <c r="D75" s="2" t="s">
        <v>266</v>
      </c>
      <c r="E75" s="3">
        <v>5.70056377359E11</v>
      </c>
      <c r="F75" s="2" t="s">
        <v>271</v>
      </c>
      <c r="G75" s="2" t="s">
        <v>12</v>
      </c>
      <c r="H75" s="2" t="s">
        <v>13</v>
      </c>
      <c r="I75" s="2" t="s">
        <v>14</v>
      </c>
      <c r="J75" s="2" t="s">
        <v>101</v>
      </c>
      <c r="K75" s="2"/>
      <c r="L75" s="2"/>
    </row>
    <row r="76" ht="15.75" customHeight="1">
      <c r="A76" s="3">
        <v>74.0</v>
      </c>
      <c r="B76" s="2" t="s">
        <v>108</v>
      </c>
      <c r="C76" s="2" t="s">
        <v>272</v>
      </c>
      <c r="D76" s="2" t="s">
        <v>273</v>
      </c>
      <c r="E76" s="3">
        <v>5.70056377362E11</v>
      </c>
      <c r="F76" s="2" t="s">
        <v>274</v>
      </c>
      <c r="G76" s="2" t="s">
        <v>12</v>
      </c>
      <c r="H76" s="2" t="s">
        <v>13</v>
      </c>
      <c r="I76" s="2" t="s">
        <v>14</v>
      </c>
      <c r="J76" s="2" t="s">
        <v>101</v>
      </c>
      <c r="K76" s="2"/>
      <c r="L76" s="2"/>
    </row>
    <row r="77" ht="15.75" customHeight="1">
      <c r="A77" s="3">
        <v>75.0</v>
      </c>
      <c r="B77" s="2" t="s">
        <v>192</v>
      </c>
      <c r="C77" s="2" t="s">
        <v>275</v>
      </c>
      <c r="D77" s="2" t="s">
        <v>276</v>
      </c>
      <c r="E77" s="3">
        <v>5.70056377363E11</v>
      </c>
      <c r="F77" s="2" t="s">
        <v>277</v>
      </c>
      <c r="G77" s="2" t="s">
        <v>12</v>
      </c>
      <c r="H77" s="2" t="s">
        <v>13</v>
      </c>
      <c r="I77" s="2" t="s">
        <v>14</v>
      </c>
      <c r="J77" s="2" t="s">
        <v>101</v>
      </c>
      <c r="K77" s="2"/>
      <c r="L77" s="2"/>
    </row>
    <row r="78" ht="15.75" customHeight="1">
      <c r="A78" s="3">
        <v>76.0</v>
      </c>
      <c r="B78" s="2" t="s">
        <v>278</v>
      </c>
      <c r="C78" s="2" t="s">
        <v>279</v>
      </c>
      <c r="D78" s="2" t="s">
        <v>280</v>
      </c>
      <c r="E78" s="3">
        <v>5.70056377365E11</v>
      </c>
      <c r="F78" s="2" t="s">
        <v>281</v>
      </c>
      <c r="G78" s="2" t="s">
        <v>12</v>
      </c>
      <c r="H78" s="2" t="s">
        <v>13</v>
      </c>
      <c r="I78" s="2" t="s">
        <v>14</v>
      </c>
      <c r="J78" s="2" t="s">
        <v>101</v>
      </c>
      <c r="K78" s="2"/>
      <c r="L78" s="2"/>
    </row>
    <row r="79" ht="15.75" customHeight="1">
      <c r="A79" s="3">
        <v>77.0</v>
      </c>
      <c r="B79" s="2" t="s">
        <v>282</v>
      </c>
      <c r="C79" s="2" t="s">
        <v>283</v>
      </c>
      <c r="D79" s="2" t="s">
        <v>284</v>
      </c>
      <c r="E79" s="3">
        <v>5.70056377367E11</v>
      </c>
      <c r="F79" s="2" t="s">
        <v>285</v>
      </c>
      <c r="G79" s="2" t="s">
        <v>187</v>
      </c>
      <c r="H79" s="2" t="s">
        <v>286</v>
      </c>
      <c r="I79" s="2" t="s">
        <v>14</v>
      </c>
      <c r="J79" s="2" t="s">
        <v>101</v>
      </c>
      <c r="K79" s="2"/>
      <c r="L79" s="2"/>
    </row>
    <row r="80" ht="15.75" customHeight="1">
      <c r="A80" s="3">
        <v>78.0</v>
      </c>
      <c r="B80" s="2" t="s">
        <v>287</v>
      </c>
      <c r="C80" s="2" t="s">
        <v>288</v>
      </c>
      <c r="D80" s="2" t="s">
        <v>289</v>
      </c>
      <c r="E80" s="3">
        <v>5.70056377369E11</v>
      </c>
      <c r="F80" s="2" t="s">
        <v>290</v>
      </c>
      <c r="G80" s="2" t="s">
        <v>12</v>
      </c>
      <c r="H80" s="2" t="s">
        <v>13</v>
      </c>
      <c r="I80" s="2" t="s">
        <v>14</v>
      </c>
      <c r="J80" s="2" t="s">
        <v>101</v>
      </c>
      <c r="K80" s="2"/>
      <c r="L80" s="2"/>
    </row>
    <row r="81" ht="15.75" customHeight="1">
      <c r="A81" s="3">
        <v>79.0</v>
      </c>
      <c r="B81" s="2" t="s">
        <v>291</v>
      </c>
      <c r="C81" s="2" t="s">
        <v>292</v>
      </c>
      <c r="D81" s="2" t="s">
        <v>293</v>
      </c>
      <c r="E81" s="3">
        <v>5.7005637737E11</v>
      </c>
      <c r="F81" s="2" t="s">
        <v>294</v>
      </c>
      <c r="G81" s="2" t="s">
        <v>12</v>
      </c>
      <c r="H81" s="2" t="s">
        <v>13</v>
      </c>
      <c r="I81" s="2" t="s">
        <v>14</v>
      </c>
      <c r="J81" s="2" t="s">
        <v>101</v>
      </c>
      <c r="K81" s="2"/>
      <c r="L81" s="2"/>
    </row>
    <row r="82" ht="15.75" customHeight="1">
      <c r="A82" s="3">
        <v>80.0</v>
      </c>
      <c r="B82" s="2" t="s">
        <v>236</v>
      </c>
      <c r="C82" s="2" t="s">
        <v>295</v>
      </c>
      <c r="D82" s="2" t="s">
        <v>296</v>
      </c>
      <c r="E82" s="3">
        <v>5.70056377371E11</v>
      </c>
      <c r="F82" s="2" t="s">
        <v>297</v>
      </c>
      <c r="G82" s="2" t="s">
        <v>12</v>
      </c>
      <c r="H82" s="2" t="s">
        <v>13</v>
      </c>
      <c r="I82" s="2" t="s">
        <v>14</v>
      </c>
      <c r="J82" s="2" t="s">
        <v>101</v>
      </c>
      <c r="K82" s="2"/>
      <c r="L82" s="2"/>
    </row>
    <row r="83" ht="15.75" customHeight="1">
      <c r="A83" s="3">
        <v>81.0</v>
      </c>
      <c r="B83" s="2" t="s">
        <v>298</v>
      </c>
      <c r="C83" s="2" t="s">
        <v>157</v>
      </c>
      <c r="D83" s="2" t="s">
        <v>299</v>
      </c>
      <c r="E83" s="5">
        <v>5.70056377372E11</v>
      </c>
      <c r="F83" s="2" t="s">
        <v>300</v>
      </c>
      <c r="G83" s="2" t="s">
        <v>12</v>
      </c>
      <c r="H83" s="2" t="s">
        <v>13</v>
      </c>
      <c r="I83" s="2" t="s">
        <v>14</v>
      </c>
      <c r="J83" s="2" t="s">
        <v>101</v>
      </c>
      <c r="K83" s="2"/>
      <c r="L83" s="2"/>
    </row>
    <row r="84" ht="15.75" customHeight="1">
      <c r="A84" s="3">
        <v>82.0</v>
      </c>
      <c r="B84" s="2" t="s">
        <v>301</v>
      </c>
      <c r="C84" s="2" t="s">
        <v>302</v>
      </c>
      <c r="D84" s="2" t="s">
        <v>287</v>
      </c>
      <c r="E84" s="3">
        <v>5.70056377373E11</v>
      </c>
      <c r="F84" s="2" t="s">
        <v>303</v>
      </c>
      <c r="G84" s="2" t="s">
        <v>12</v>
      </c>
      <c r="H84" s="2" t="s">
        <v>13</v>
      </c>
      <c r="I84" s="2" t="s">
        <v>14</v>
      </c>
      <c r="J84" s="2" t="s">
        <v>101</v>
      </c>
      <c r="K84" s="2"/>
      <c r="L84" s="2"/>
    </row>
    <row r="85" ht="15.75" customHeight="1">
      <c r="A85" s="3">
        <v>83.0</v>
      </c>
      <c r="B85" s="2" t="s">
        <v>106</v>
      </c>
      <c r="C85" s="2" t="s">
        <v>304</v>
      </c>
      <c r="D85" s="2" t="s">
        <v>273</v>
      </c>
      <c r="E85" s="3">
        <v>5.70056377376E11</v>
      </c>
      <c r="F85" s="2" t="s">
        <v>305</v>
      </c>
      <c r="G85" s="2" t="s">
        <v>12</v>
      </c>
      <c r="H85" s="2" t="s">
        <v>13</v>
      </c>
      <c r="I85" s="2" t="s">
        <v>14</v>
      </c>
      <c r="J85" s="2" t="s">
        <v>101</v>
      </c>
      <c r="K85" s="2"/>
      <c r="L85" s="2"/>
    </row>
    <row r="86" ht="15.75" customHeight="1">
      <c r="A86" s="3">
        <v>84.0</v>
      </c>
      <c r="B86" s="2" t="s">
        <v>306</v>
      </c>
      <c r="C86" s="2" t="s">
        <v>307</v>
      </c>
      <c r="D86" s="2" t="s">
        <v>308</v>
      </c>
      <c r="E86" s="3">
        <v>5.70056377379E11</v>
      </c>
      <c r="F86" s="2" t="s">
        <v>309</v>
      </c>
      <c r="G86" s="2" t="s">
        <v>12</v>
      </c>
      <c r="H86" s="2" t="s">
        <v>13</v>
      </c>
      <c r="I86" s="2" t="s">
        <v>14</v>
      </c>
      <c r="J86" s="2" t="s">
        <v>101</v>
      </c>
      <c r="K86" s="2"/>
      <c r="L86" s="2"/>
    </row>
    <row r="87" ht="15.75" customHeight="1">
      <c r="A87" s="3">
        <v>85.0</v>
      </c>
      <c r="B87" s="2" t="s">
        <v>310</v>
      </c>
      <c r="C87" s="2" t="s">
        <v>311</v>
      </c>
      <c r="D87" s="2" t="s">
        <v>312</v>
      </c>
      <c r="E87" s="5">
        <v>5.7005637738E11</v>
      </c>
      <c r="F87" s="2" t="s">
        <v>313</v>
      </c>
      <c r="G87" s="2" t="s">
        <v>12</v>
      </c>
      <c r="H87" s="2" t="s">
        <v>13</v>
      </c>
      <c r="I87" s="2" t="s">
        <v>14</v>
      </c>
      <c r="J87" s="2" t="s">
        <v>101</v>
      </c>
      <c r="K87" s="2"/>
      <c r="L87" s="2"/>
    </row>
    <row r="88" ht="15.75" customHeight="1">
      <c r="A88" s="3">
        <v>86.0</v>
      </c>
      <c r="B88" s="2" t="s">
        <v>314</v>
      </c>
      <c r="C88" s="2" t="s">
        <v>315</v>
      </c>
      <c r="D88" s="2" t="s">
        <v>316</v>
      </c>
      <c r="E88" s="3">
        <v>5.70056377382E11</v>
      </c>
      <c r="F88" s="2" t="s">
        <v>317</v>
      </c>
      <c r="G88" s="2" t="s">
        <v>12</v>
      </c>
      <c r="H88" s="2" t="s">
        <v>13</v>
      </c>
      <c r="I88" s="2" t="s">
        <v>14</v>
      </c>
      <c r="J88" s="2" t="s">
        <v>101</v>
      </c>
      <c r="K88" s="2"/>
      <c r="L88" s="2"/>
    </row>
    <row r="89" ht="15.75" customHeight="1">
      <c r="A89" s="3">
        <v>87.0</v>
      </c>
      <c r="B89" s="2" t="s">
        <v>318</v>
      </c>
      <c r="C89" s="2" t="s">
        <v>319</v>
      </c>
      <c r="D89" s="2" t="s">
        <v>91</v>
      </c>
      <c r="E89" s="3">
        <v>5.70056377385E11</v>
      </c>
      <c r="F89" s="2" t="s">
        <v>320</v>
      </c>
      <c r="G89" s="2" t="s">
        <v>12</v>
      </c>
      <c r="H89" s="2" t="s">
        <v>13</v>
      </c>
      <c r="I89" s="2" t="s">
        <v>14</v>
      </c>
      <c r="J89" s="2" t="s">
        <v>101</v>
      </c>
      <c r="K89" s="2"/>
      <c r="L89" s="2"/>
    </row>
    <row r="90" ht="15.75" customHeight="1">
      <c r="A90" s="3">
        <v>88.0</v>
      </c>
      <c r="B90" s="2" t="s">
        <v>321</v>
      </c>
      <c r="C90" s="2" t="s">
        <v>322</v>
      </c>
      <c r="D90" s="2" t="s">
        <v>323</v>
      </c>
      <c r="E90" s="3">
        <v>5.70056377389E11</v>
      </c>
      <c r="F90" s="2" t="s">
        <v>324</v>
      </c>
      <c r="G90" s="2" t="s">
        <v>12</v>
      </c>
      <c r="H90" s="2" t="s">
        <v>13</v>
      </c>
      <c r="I90" s="2" t="s">
        <v>14</v>
      </c>
      <c r="J90" s="2" t="s">
        <v>101</v>
      </c>
      <c r="K90" s="2"/>
      <c r="L90" s="2"/>
    </row>
    <row r="91" ht="15.75" customHeight="1">
      <c r="A91" s="3">
        <v>89.0</v>
      </c>
      <c r="B91" s="2" t="s">
        <v>136</v>
      </c>
      <c r="C91" s="2" t="s">
        <v>325</v>
      </c>
      <c r="D91" s="2" t="s">
        <v>326</v>
      </c>
      <c r="E91" s="3">
        <v>5.7005637739E11</v>
      </c>
      <c r="F91" s="2" t="s">
        <v>327</v>
      </c>
      <c r="G91" s="2" t="s">
        <v>12</v>
      </c>
      <c r="H91" s="2" t="s">
        <v>13</v>
      </c>
      <c r="I91" s="2" t="s">
        <v>14</v>
      </c>
      <c r="J91" s="2" t="s">
        <v>101</v>
      </c>
      <c r="K91" s="2"/>
      <c r="L91" s="2"/>
    </row>
    <row r="92" ht="15.75" customHeight="1">
      <c r="A92" s="3">
        <v>90.0</v>
      </c>
      <c r="B92" s="2" t="s">
        <v>328</v>
      </c>
      <c r="C92" s="2" t="s">
        <v>325</v>
      </c>
      <c r="D92" s="2" t="s">
        <v>326</v>
      </c>
      <c r="E92" s="3">
        <v>5.70056377391E11</v>
      </c>
      <c r="F92" s="2" t="s">
        <v>329</v>
      </c>
      <c r="G92" s="2" t="s">
        <v>12</v>
      </c>
      <c r="H92" s="2" t="s">
        <v>13</v>
      </c>
      <c r="I92" s="2" t="s">
        <v>14</v>
      </c>
      <c r="J92" s="2" t="s">
        <v>101</v>
      </c>
      <c r="K92" s="2"/>
      <c r="L92" s="2"/>
    </row>
    <row r="93" ht="15.75" customHeight="1">
      <c r="A93" s="3">
        <v>91.0</v>
      </c>
      <c r="B93" s="2" t="s">
        <v>106</v>
      </c>
      <c r="C93" s="2" t="s">
        <v>330</v>
      </c>
      <c r="D93" s="2" t="s">
        <v>331</v>
      </c>
      <c r="E93" s="3">
        <v>5.70056377392E11</v>
      </c>
      <c r="F93" s="2" t="s">
        <v>332</v>
      </c>
      <c r="G93" s="2" t="s">
        <v>12</v>
      </c>
      <c r="H93" s="2" t="s">
        <v>13</v>
      </c>
      <c r="I93" s="2" t="s">
        <v>14</v>
      </c>
      <c r="J93" s="2" t="s">
        <v>101</v>
      </c>
      <c r="K93" s="2"/>
      <c r="L93" s="2"/>
    </row>
    <row r="94" ht="15.75" customHeight="1">
      <c r="A94" s="3">
        <v>92.0</v>
      </c>
      <c r="B94" s="2" t="s">
        <v>333</v>
      </c>
      <c r="C94" s="2" t="s">
        <v>334</v>
      </c>
      <c r="D94" s="2" t="s">
        <v>335</v>
      </c>
      <c r="E94" s="3">
        <v>5.70056377393E11</v>
      </c>
      <c r="F94" s="2" t="s">
        <v>336</v>
      </c>
      <c r="G94" s="2" t="s">
        <v>12</v>
      </c>
      <c r="H94" s="2" t="s">
        <v>13</v>
      </c>
      <c r="I94" s="2" t="s">
        <v>14</v>
      </c>
      <c r="J94" s="2" t="s">
        <v>101</v>
      </c>
      <c r="K94" s="2"/>
      <c r="L94" s="2"/>
    </row>
    <row r="95" ht="15.75" customHeight="1">
      <c r="A95" s="3">
        <v>93.0</v>
      </c>
      <c r="B95" s="2" t="s">
        <v>32</v>
      </c>
      <c r="C95" s="2" t="s">
        <v>82</v>
      </c>
      <c r="D95" s="2" t="s">
        <v>337</v>
      </c>
      <c r="E95" s="3">
        <v>5.70056377394E11</v>
      </c>
      <c r="F95" s="2" t="s">
        <v>338</v>
      </c>
      <c r="G95" s="2" t="s">
        <v>12</v>
      </c>
      <c r="H95" s="2" t="s">
        <v>13</v>
      </c>
      <c r="I95" s="2" t="s">
        <v>14</v>
      </c>
      <c r="J95" s="2" t="s">
        <v>101</v>
      </c>
      <c r="K95" s="2"/>
      <c r="L95" s="2"/>
    </row>
    <row r="96" ht="15.75" customHeight="1">
      <c r="A96" s="3">
        <v>94.0</v>
      </c>
      <c r="B96" s="2" t="s">
        <v>339</v>
      </c>
      <c r="C96" s="2" t="s">
        <v>165</v>
      </c>
      <c r="D96" s="2" t="s">
        <v>247</v>
      </c>
      <c r="E96" s="3">
        <v>5.70056377397E11</v>
      </c>
      <c r="F96" s="2" t="s">
        <v>340</v>
      </c>
      <c r="G96" s="2" t="s">
        <v>12</v>
      </c>
      <c r="H96" s="2" t="s">
        <v>13</v>
      </c>
      <c r="I96" s="2" t="s">
        <v>14</v>
      </c>
      <c r="J96" s="2" t="s">
        <v>101</v>
      </c>
      <c r="K96" s="2"/>
      <c r="L96" s="2"/>
    </row>
    <row r="97" ht="15.75" customHeight="1">
      <c r="A97" s="3">
        <v>95.0</v>
      </c>
      <c r="B97" s="2" t="s">
        <v>133</v>
      </c>
      <c r="C97" s="2" t="s">
        <v>341</v>
      </c>
      <c r="D97" s="2" t="s">
        <v>342</v>
      </c>
      <c r="E97" s="3">
        <v>5.70056377806E11</v>
      </c>
      <c r="F97" s="2" t="s">
        <v>343</v>
      </c>
      <c r="G97" s="2" t="s">
        <v>12</v>
      </c>
      <c r="H97" s="2" t="s">
        <v>344</v>
      </c>
      <c r="I97" s="2" t="s">
        <v>14</v>
      </c>
      <c r="J97" s="2" t="s">
        <v>101</v>
      </c>
      <c r="K97" s="2"/>
      <c r="L97" s="2"/>
    </row>
    <row r="98" ht="15.75" customHeight="1">
      <c r="A98" s="3">
        <v>96.0</v>
      </c>
      <c r="B98" s="2" t="s">
        <v>345</v>
      </c>
      <c r="C98" s="2" t="s">
        <v>346</v>
      </c>
      <c r="D98" s="2" t="s">
        <v>347</v>
      </c>
      <c r="E98" s="5">
        <v>5.70056377811E11</v>
      </c>
      <c r="F98" s="2" t="s">
        <v>221</v>
      </c>
      <c r="G98" s="2" t="s">
        <v>12</v>
      </c>
      <c r="H98" s="2" t="s">
        <v>13</v>
      </c>
      <c r="I98" s="2" t="s">
        <v>14</v>
      </c>
      <c r="J98" s="2" t="s">
        <v>101</v>
      </c>
      <c r="K98" s="2"/>
      <c r="L98" s="2"/>
    </row>
    <row r="99" ht="15.75" customHeight="1">
      <c r="A99" s="3">
        <v>97.0</v>
      </c>
      <c r="B99" s="2" t="s">
        <v>8</v>
      </c>
      <c r="C99" s="2" t="s">
        <v>348</v>
      </c>
      <c r="D99" s="2" t="s">
        <v>349</v>
      </c>
      <c r="E99" s="3">
        <v>5.70056377815E11</v>
      </c>
      <c r="F99" s="2" t="s">
        <v>68</v>
      </c>
      <c r="G99" s="2" t="s">
        <v>187</v>
      </c>
      <c r="H99" s="2" t="s">
        <v>344</v>
      </c>
      <c r="I99" s="2" t="s">
        <v>14</v>
      </c>
      <c r="J99" s="2" t="s">
        <v>101</v>
      </c>
      <c r="K99" s="2"/>
      <c r="L99" s="2"/>
    </row>
    <row r="100" ht="15.75" customHeight="1">
      <c r="A100" s="3">
        <v>98.0</v>
      </c>
      <c r="B100" s="2" t="s">
        <v>350</v>
      </c>
      <c r="C100" s="2" t="s">
        <v>351</v>
      </c>
      <c r="D100" s="2" t="s">
        <v>91</v>
      </c>
      <c r="E100" s="3">
        <v>5.70056377817E11</v>
      </c>
      <c r="F100" s="2" t="s">
        <v>352</v>
      </c>
      <c r="G100" s="2" t="s">
        <v>12</v>
      </c>
      <c r="H100" s="2" t="s">
        <v>13</v>
      </c>
      <c r="I100" s="2" t="s">
        <v>14</v>
      </c>
      <c r="J100" s="2" t="s">
        <v>101</v>
      </c>
      <c r="K100" s="2"/>
      <c r="L100" s="2"/>
    </row>
    <row r="101" ht="15.75" customHeight="1">
      <c r="A101" s="3">
        <v>99.0</v>
      </c>
      <c r="B101" s="2" t="s">
        <v>144</v>
      </c>
      <c r="C101" s="2" t="s">
        <v>353</v>
      </c>
      <c r="D101" s="2" t="s">
        <v>354</v>
      </c>
      <c r="E101" s="3">
        <v>5.7005637782E11</v>
      </c>
      <c r="F101" s="2" t="s">
        <v>355</v>
      </c>
      <c r="G101" s="2" t="s">
        <v>12</v>
      </c>
      <c r="H101" s="2" t="s">
        <v>356</v>
      </c>
      <c r="I101" s="2" t="s">
        <v>14</v>
      </c>
      <c r="J101" s="2" t="s">
        <v>101</v>
      </c>
      <c r="K101" s="2"/>
      <c r="L101" s="2"/>
    </row>
    <row r="102" ht="15.75" customHeight="1">
      <c r="A102" s="3">
        <v>100.0</v>
      </c>
      <c r="B102" s="2" t="s">
        <v>357</v>
      </c>
      <c r="C102" s="2" t="s">
        <v>358</v>
      </c>
      <c r="D102" s="2" t="s">
        <v>359</v>
      </c>
      <c r="E102" s="3">
        <v>5.70056377824E11</v>
      </c>
      <c r="F102" s="2" t="s">
        <v>360</v>
      </c>
      <c r="G102" s="2" t="s">
        <v>12</v>
      </c>
      <c r="H102" s="2" t="s">
        <v>356</v>
      </c>
      <c r="I102" s="2" t="s">
        <v>14</v>
      </c>
      <c r="J102" s="2" t="s">
        <v>101</v>
      </c>
      <c r="K102" s="2"/>
      <c r="L102" s="2"/>
    </row>
    <row r="103" ht="15.75" customHeight="1">
      <c r="A103" s="3">
        <v>101.0</v>
      </c>
      <c r="B103" s="2" t="s">
        <v>117</v>
      </c>
      <c r="C103" s="2" t="s">
        <v>361</v>
      </c>
      <c r="D103" s="2" t="s">
        <v>362</v>
      </c>
      <c r="E103" s="3">
        <v>5.70056377829E11</v>
      </c>
      <c r="F103" s="2" t="s">
        <v>363</v>
      </c>
      <c r="G103" s="2" t="s">
        <v>12</v>
      </c>
      <c r="H103" s="2" t="s">
        <v>356</v>
      </c>
      <c r="I103" s="2" t="s">
        <v>14</v>
      </c>
      <c r="J103" s="2" t="s">
        <v>101</v>
      </c>
      <c r="K103" s="2"/>
      <c r="L103" s="2"/>
    </row>
    <row r="104" ht="15.75" customHeight="1">
      <c r="A104" s="3">
        <v>102.0</v>
      </c>
      <c r="B104" s="2" t="s">
        <v>364</v>
      </c>
      <c r="C104" s="2" t="s">
        <v>365</v>
      </c>
      <c r="D104" s="2" t="s">
        <v>366</v>
      </c>
      <c r="E104" s="3">
        <v>5.70056377831E11</v>
      </c>
      <c r="F104" s="2" t="s">
        <v>367</v>
      </c>
      <c r="G104" s="2" t="s">
        <v>12</v>
      </c>
      <c r="H104" s="2" t="s">
        <v>13</v>
      </c>
      <c r="I104" s="2" t="s">
        <v>14</v>
      </c>
      <c r="J104" s="2" t="s">
        <v>101</v>
      </c>
      <c r="K104" s="2"/>
      <c r="L104" s="2"/>
    </row>
    <row r="105" ht="15.75" customHeight="1">
      <c r="A105" s="3">
        <v>103.0</v>
      </c>
      <c r="B105" s="4" t="s">
        <v>115</v>
      </c>
      <c r="C105" s="2" t="s">
        <v>368</v>
      </c>
      <c r="D105" s="2" t="s">
        <v>369</v>
      </c>
      <c r="E105" s="3">
        <v>5.70056377832E11</v>
      </c>
      <c r="F105" s="2" t="s">
        <v>370</v>
      </c>
      <c r="G105" s="2" t="s">
        <v>12</v>
      </c>
      <c r="H105" s="2" t="s">
        <v>356</v>
      </c>
      <c r="I105" s="2" t="s">
        <v>14</v>
      </c>
      <c r="J105" s="2" t="s">
        <v>101</v>
      </c>
      <c r="K105" s="2"/>
      <c r="L105" s="2"/>
    </row>
    <row r="106" ht="15.75" customHeight="1">
      <c r="A106" s="3">
        <v>104.0</v>
      </c>
      <c r="B106" s="2" t="s">
        <v>371</v>
      </c>
      <c r="C106" s="2" t="s">
        <v>372</v>
      </c>
      <c r="D106" s="2" t="s">
        <v>108</v>
      </c>
      <c r="E106" s="3">
        <v>5.70056377833E11</v>
      </c>
      <c r="F106" s="2" t="s">
        <v>373</v>
      </c>
      <c r="G106" s="2" t="s">
        <v>12</v>
      </c>
      <c r="H106" s="2" t="s">
        <v>344</v>
      </c>
      <c r="I106" s="2" t="s">
        <v>14</v>
      </c>
      <c r="J106" s="2" t="s">
        <v>101</v>
      </c>
      <c r="K106" s="2"/>
      <c r="L106" s="2"/>
    </row>
    <row r="107" ht="15.75" customHeight="1">
      <c r="A107" s="3">
        <v>105.0</v>
      </c>
      <c r="B107" s="2" t="s">
        <v>374</v>
      </c>
      <c r="C107" s="2" t="s">
        <v>375</v>
      </c>
      <c r="D107" s="2" t="s">
        <v>376</v>
      </c>
      <c r="E107" s="3">
        <v>5.70056377834E11</v>
      </c>
      <c r="F107" s="2" t="s">
        <v>377</v>
      </c>
      <c r="G107" s="2" t="s">
        <v>12</v>
      </c>
      <c r="H107" s="2" t="s">
        <v>13</v>
      </c>
      <c r="I107" s="2" t="s">
        <v>14</v>
      </c>
      <c r="J107" s="2" t="s">
        <v>101</v>
      </c>
      <c r="K107" s="2"/>
      <c r="L107" s="2"/>
    </row>
    <row r="108" ht="15.75" customHeight="1">
      <c r="A108" s="3">
        <v>106.0</v>
      </c>
      <c r="B108" s="2" t="s">
        <v>234</v>
      </c>
      <c r="C108" s="2" t="s">
        <v>378</v>
      </c>
      <c r="D108" s="2" t="s">
        <v>379</v>
      </c>
      <c r="E108" s="3">
        <v>5.70056377843E11</v>
      </c>
      <c r="F108" s="2" t="s">
        <v>380</v>
      </c>
      <c r="G108" s="2" t="s">
        <v>12</v>
      </c>
      <c r="H108" s="2" t="s">
        <v>13</v>
      </c>
      <c r="I108" s="2" t="s">
        <v>14</v>
      </c>
      <c r="J108" s="2" t="s">
        <v>101</v>
      </c>
      <c r="K108" s="2"/>
      <c r="L108" s="2"/>
    </row>
    <row r="109" ht="15.75" customHeight="1">
      <c r="A109" s="3">
        <v>107.0</v>
      </c>
      <c r="B109" s="2" t="s">
        <v>381</v>
      </c>
      <c r="C109" s="2" t="s">
        <v>382</v>
      </c>
      <c r="D109" s="2" t="s">
        <v>383</v>
      </c>
      <c r="E109" s="3">
        <v>5.70056377844E11</v>
      </c>
      <c r="F109" s="2" t="s">
        <v>384</v>
      </c>
      <c r="G109" s="2" t="s">
        <v>12</v>
      </c>
      <c r="H109" s="2" t="s">
        <v>13</v>
      </c>
      <c r="I109" s="2" t="s">
        <v>14</v>
      </c>
      <c r="J109" s="2" t="s">
        <v>101</v>
      </c>
      <c r="K109" s="2"/>
      <c r="L109" s="2"/>
    </row>
    <row r="110" ht="15.75" customHeight="1">
      <c r="A110" s="3">
        <v>108.0</v>
      </c>
      <c r="B110" s="2" t="s">
        <v>117</v>
      </c>
      <c r="C110" s="2" t="s">
        <v>385</v>
      </c>
      <c r="D110" s="2" t="s">
        <v>386</v>
      </c>
      <c r="E110" s="3">
        <v>5.70056377847E11</v>
      </c>
      <c r="F110" s="2" t="s">
        <v>387</v>
      </c>
      <c r="G110" s="2" t="s">
        <v>12</v>
      </c>
      <c r="H110" s="2" t="s">
        <v>13</v>
      </c>
      <c r="I110" s="2" t="s">
        <v>14</v>
      </c>
      <c r="J110" s="2" t="s">
        <v>101</v>
      </c>
      <c r="K110" s="2"/>
      <c r="L110" s="2"/>
    </row>
    <row r="111" ht="15.75" customHeight="1">
      <c r="A111" s="3">
        <v>109.0</v>
      </c>
      <c r="B111" s="2" t="s">
        <v>388</v>
      </c>
      <c r="C111" s="2" t="s">
        <v>389</v>
      </c>
      <c r="D111" s="2" t="s">
        <v>390</v>
      </c>
      <c r="E111" s="3">
        <v>5.70056377855E11</v>
      </c>
      <c r="F111" s="2" t="s">
        <v>391</v>
      </c>
      <c r="G111" s="2" t="s">
        <v>12</v>
      </c>
      <c r="H111" s="2" t="s">
        <v>13</v>
      </c>
      <c r="I111" s="2" t="s">
        <v>14</v>
      </c>
      <c r="J111" s="2" t="s">
        <v>101</v>
      </c>
      <c r="K111" s="2"/>
      <c r="L111" s="2"/>
    </row>
    <row r="112" ht="15.75" customHeight="1">
      <c r="A112" s="3">
        <v>110.0</v>
      </c>
      <c r="B112" s="2" t="s">
        <v>306</v>
      </c>
      <c r="C112" s="2" t="s">
        <v>392</v>
      </c>
      <c r="D112" s="2" t="s">
        <v>393</v>
      </c>
      <c r="E112" s="3">
        <v>5.70056377856E11</v>
      </c>
      <c r="F112" s="2" t="s">
        <v>394</v>
      </c>
      <c r="G112" s="2" t="s">
        <v>12</v>
      </c>
      <c r="H112" s="2" t="s">
        <v>13</v>
      </c>
      <c r="I112" s="2" t="s">
        <v>14</v>
      </c>
      <c r="J112" s="2" t="s">
        <v>101</v>
      </c>
      <c r="K112" s="2"/>
      <c r="L112" s="2"/>
    </row>
    <row r="113" ht="15.75" customHeight="1">
      <c r="A113" s="3">
        <v>111.0</v>
      </c>
      <c r="B113" s="2" t="s">
        <v>395</v>
      </c>
      <c r="C113" s="2" t="s">
        <v>396</v>
      </c>
      <c r="D113" s="2" t="s">
        <v>397</v>
      </c>
      <c r="E113" s="3">
        <v>5.70056377857E11</v>
      </c>
      <c r="F113" s="2" t="s">
        <v>398</v>
      </c>
      <c r="G113" s="2" t="s">
        <v>12</v>
      </c>
      <c r="H113" s="2" t="s">
        <v>13</v>
      </c>
      <c r="I113" s="2" t="s">
        <v>14</v>
      </c>
      <c r="J113" s="2" t="s">
        <v>101</v>
      </c>
      <c r="K113" s="2"/>
      <c r="L113" s="2"/>
    </row>
    <row r="114" ht="15.75" customHeight="1">
      <c r="A114" s="3">
        <v>112.0</v>
      </c>
      <c r="B114" s="2" t="s">
        <v>54</v>
      </c>
      <c r="C114" s="2" t="s">
        <v>399</v>
      </c>
      <c r="D114" s="2" t="s">
        <v>400</v>
      </c>
      <c r="E114" s="3">
        <v>5.70056377859E11</v>
      </c>
      <c r="F114" s="2" t="s">
        <v>401</v>
      </c>
      <c r="G114" s="2" t="s">
        <v>12</v>
      </c>
      <c r="H114" s="2" t="s">
        <v>13</v>
      </c>
      <c r="I114" s="2" t="s">
        <v>14</v>
      </c>
      <c r="J114" s="2" t="s">
        <v>101</v>
      </c>
      <c r="K114" s="2"/>
      <c r="L114" s="2"/>
    </row>
    <row r="115" ht="15.75" customHeight="1">
      <c r="A115" s="3">
        <v>113.0</v>
      </c>
      <c r="B115" s="4" t="s">
        <v>402</v>
      </c>
      <c r="C115" s="2" t="s">
        <v>403</v>
      </c>
      <c r="D115" s="2" t="s">
        <v>404</v>
      </c>
      <c r="E115" s="3">
        <v>5.70056377872E11</v>
      </c>
      <c r="F115" s="2" t="s">
        <v>405</v>
      </c>
      <c r="G115" s="2" t="s">
        <v>12</v>
      </c>
      <c r="H115" s="2" t="s">
        <v>406</v>
      </c>
      <c r="I115" s="2" t="s">
        <v>14</v>
      </c>
      <c r="J115" s="2" t="s">
        <v>101</v>
      </c>
      <c r="K115" s="2"/>
      <c r="L115" s="2"/>
    </row>
    <row r="116" ht="15.75" customHeight="1">
      <c r="A116" s="3">
        <v>114.0</v>
      </c>
      <c r="B116" s="2" t="s">
        <v>407</v>
      </c>
      <c r="C116" s="2" t="s">
        <v>408</v>
      </c>
      <c r="D116" s="2" t="s">
        <v>409</v>
      </c>
      <c r="E116" s="3">
        <v>5.70056378002E11</v>
      </c>
      <c r="F116" s="2" t="s">
        <v>410</v>
      </c>
      <c r="G116" s="2" t="s">
        <v>12</v>
      </c>
      <c r="H116" s="2" t="s">
        <v>13</v>
      </c>
      <c r="I116" s="2" t="s">
        <v>411</v>
      </c>
      <c r="J116" s="2" t="s">
        <v>14</v>
      </c>
      <c r="K116" s="2" t="s">
        <v>101</v>
      </c>
      <c r="L116" s="2"/>
    </row>
    <row r="117" ht="15.75" customHeight="1">
      <c r="A117" s="3">
        <v>115.0</v>
      </c>
      <c r="B117" s="2" t="s">
        <v>412</v>
      </c>
      <c r="C117" s="2" t="s">
        <v>413</v>
      </c>
      <c r="D117" s="2" t="s">
        <v>299</v>
      </c>
      <c r="E117" s="3">
        <v>5.70056378005E11</v>
      </c>
      <c r="F117" s="2" t="s">
        <v>414</v>
      </c>
      <c r="G117" s="2" t="s">
        <v>12</v>
      </c>
      <c r="H117" s="2" t="s">
        <v>13</v>
      </c>
      <c r="I117" s="2" t="s">
        <v>411</v>
      </c>
      <c r="J117" s="2" t="s">
        <v>14</v>
      </c>
      <c r="K117" s="2" t="s">
        <v>101</v>
      </c>
      <c r="L117" s="2"/>
    </row>
    <row r="118" ht="15.75" customHeight="1">
      <c r="A118" s="3">
        <v>116.0</v>
      </c>
      <c r="B118" s="2" t="s">
        <v>117</v>
      </c>
      <c r="C118" s="2" t="s">
        <v>415</v>
      </c>
      <c r="D118" s="2" t="s">
        <v>416</v>
      </c>
      <c r="E118" s="3">
        <v>5.7005637801E11</v>
      </c>
      <c r="F118" s="2" t="s">
        <v>417</v>
      </c>
      <c r="G118" s="2" t="s">
        <v>12</v>
      </c>
      <c r="H118" s="2" t="s">
        <v>13</v>
      </c>
      <c r="I118" s="2" t="s">
        <v>411</v>
      </c>
      <c r="J118" s="2" t="s">
        <v>14</v>
      </c>
      <c r="K118" s="2" t="s">
        <v>101</v>
      </c>
      <c r="L118" s="2"/>
    </row>
    <row r="119" ht="15.75" customHeight="1">
      <c r="A119" s="3">
        <v>117.0</v>
      </c>
      <c r="B119" s="2" t="s">
        <v>418</v>
      </c>
      <c r="C119" s="2" t="s">
        <v>419</v>
      </c>
      <c r="D119" s="2" t="s">
        <v>117</v>
      </c>
      <c r="E119" s="3">
        <v>5.70056378011E11</v>
      </c>
      <c r="F119" s="2" t="s">
        <v>420</v>
      </c>
      <c r="G119" s="2" t="s">
        <v>12</v>
      </c>
      <c r="H119" s="2" t="s">
        <v>13</v>
      </c>
      <c r="I119" s="2" t="s">
        <v>411</v>
      </c>
      <c r="J119" s="2" t="s">
        <v>14</v>
      </c>
      <c r="K119" s="2" t="s">
        <v>101</v>
      </c>
      <c r="L119" s="2"/>
    </row>
    <row r="120" ht="15.75" customHeight="1">
      <c r="A120" s="3">
        <v>118.0</v>
      </c>
      <c r="B120" s="2" t="s">
        <v>106</v>
      </c>
      <c r="C120" s="2" t="s">
        <v>421</v>
      </c>
      <c r="D120" s="2" t="s">
        <v>422</v>
      </c>
      <c r="E120" s="3">
        <v>5.70056378012E11</v>
      </c>
      <c r="F120" s="2" t="s">
        <v>68</v>
      </c>
      <c r="G120" s="2" t="s">
        <v>12</v>
      </c>
      <c r="H120" s="2" t="s">
        <v>13</v>
      </c>
      <c r="I120" s="2" t="s">
        <v>411</v>
      </c>
      <c r="J120" s="2" t="s">
        <v>14</v>
      </c>
      <c r="K120" s="2" t="s">
        <v>101</v>
      </c>
      <c r="L120" s="2"/>
    </row>
    <row r="121" ht="15.75" customHeight="1">
      <c r="A121" s="3">
        <v>119.0</v>
      </c>
      <c r="B121" s="2" t="s">
        <v>423</v>
      </c>
      <c r="C121" s="2" t="s">
        <v>415</v>
      </c>
      <c r="D121" s="2" t="s">
        <v>416</v>
      </c>
      <c r="E121" s="3">
        <v>5.70056378014E11</v>
      </c>
      <c r="F121" s="2" t="s">
        <v>424</v>
      </c>
      <c r="G121" s="2" t="s">
        <v>12</v>
      </c>
      <c r="H121" s="2" t="s">
        <v>13</v>
      </c>
      <c r="I121" s="2" t="s">
        <v>411</v>
      </c>
      <c r="J121" s="2" t="s">
        <v>14</v>
      </c>
      <c r="K121" s="2" t="s">
        <v>101</v>
      </c>
      <c r="L121" s="2"/>
    </row>
    <row r="122" ht="15.75" customHeight="1">
      <c r="A122" s="3">
        <v>120.0</v>
      </c>
      <c r="B122" s="2" t="s">
        <v>425</v>
      </c>
      <c r="C122" s="2" t="s">
        <v>426</v>
      </c>
      <c r="D122" s="2" t="s">
        <v>427</v>
      </c>
      <c r="E122" s="3">
        <v>5.70056378017E11</v>
      </c>
      <c r="F122" s="2" t="s">
        <v>428</v>
      </c>
      <c r="G122" s="2" t="s">
        <v>12</v>
      </c>
      <c r="H122" s="2" t="s">
        <v>13</v>
      </c>
      <c r="I122" s="2" t="s">
        <v>14</v>
      </c>
      <c r="J122" s="2" t="s">
        <v>101</v>
      </c>
      <c r="K122" s="2"/>
      <c r="L122" s="2"/>
    </row>
    <row r="123" ht="15.75" customHeight="1">
      <c r="A123" s="3">
        <v>121.0</v>
      </c>
      <c r="B123" s="2" t="s">
        <v>429</v>
      </c>
      <c r="C123" s="2" t="s">
        <v>430</v>
      </c>
      <c r="D123" s="2" t="s">
        <v>431</v>
      </c>
      <c r="E123" s="3">
        <v>5.70056378019E11</v>
      </c>
      <c r="F123" s="2" t="s">
        <v>432</v>
      </c>
      <c r="G123" s="2" t="s">
        <v>12</v>
      </c>
      <c r="H123" s="2" t="s">
        <v>13</v>
      </c>
      <c r="I123" s="2" t="s">
        <v>411</v>
      </c>
      <c r="J123" s="2" t="s">
        <v>14</v>
      </c>
      <c r="K123" s="2" t="s">
        <v>101</v>
      </c>
      <c r="L123" s="2"/>
    </row>
    <row r="124" ht="15.75" customHeight="1">
      <c r="A124" s="3">
        <v>122.0</v>
      </c>
      <c r="B124" s="2" t="s">
        <v>433</v>
      </c>
      <c r="C124" s="2" t="s">
        <v>434</v>
      </c>
      <c r="D124" s="2" t="s">
        <v>435</v>
      </c>
      <c r="E124" s="3">
        <v>5.7005637802E11</v>
      </c>
      <c r="F124" s="2" t="s">
        <v>436</v>
      </c>
      <c r="G124" s="2" t="s">
        <v>12</v>
      </c>
      <c r="H124" s="2" t="s">
        <v>13</v>
      </c>
      <c r="I124" s="2" t="s">
        <v>411</v>
      </c>
      <c r="J124" s="2" t="s">
        <v>14</v>
      </c>
      <c r="K124" s="2" t="s">
        <v>101</v>
      </c>
      <c r="L124" s="2"/>
    </row>
    <row r="125" ht="15.75" customHeight="1">
      <c r="A125" s="3">
        <v>123.0</v>
      </c>
      <c r="B125" s="2" t="s">
        <v>437</v>
      </c>
      <c r="C125" s="2" t="s">
        <v>438</v>
      </c>
      <c r="D125" s="2" t="s">
        <v>77</v>
      </c>
      <c r="E125" s="3">
        <v>5.70056378022E11</v>
      </c>
      <c r="F125" s="2" t="s">
        <v>257</v>
      </c>
      <c r="G125" s="2" t="s">
        <v>12</v>
      </c>
      <c r="H125" s="2" t="s">
        <v>13</v>
      </c>
      <c r="I125" s="2" t="s">
        <v>411</v>
      </c>
      <c r="J125" s="2" t="s">
        <v>14</v>
      </c>
      <c r="K125" s="2" t="s">
        <v>101</v>
      </c>
      <c r="L125" s="2"/>
    </row>
    <row r="126" ht="15.75" customHeight="1">
      <c r="A126" s="3">
        <v>124.0</v>
      </c>
      <c r="B126" s="2" t="s">
        <v>20</v>
      </c>
      <c r="C126" s="2" t="s">
        <v>275</v>
      </c>
      <c r="D126" s="2" t="s">
        <v>439</v>
      </c>
      <c r="E126" s="3">
        <v>5.70056378023E11</v>
      </c>
      <c r="F126" s="2" t="s">
        <v>68</v>
      </c>
      <c r="G126" s="2" t="s">
        <v>12</v>
      </c>
      <c r="H126" s="2" t="s">
        <v>13</v>
      </c>
      <c r="I126" s="2" t="s">
        <v>411</v>
      </c>
      <c r="J126" s="2" t="s">
        <v>14</v>
      </c>
      <c r="K126" s="2" t="s">
        <v>101</v>
      </c>
      <c r="L126" s="2"/>
    </row>
    <row r="127" ht="15.75" customHeight="1">
      <c r="A127" s="3">
        <v>125.0</v>
      </c>
      <c r="B127" s="2" t="s">
        <v>440</v>
      </c>
      <c r="C127" s="2" t="s">
        <v>441</v>
      </c>
      <c r="D127" s="2" t="s">
        <v>442</v>
      </c>
      <c r="E127" s="3">
        <v>5.70056378025E11</v>
      </c>
      <c r="F127" s="2" t="s">
        <v>443</v>
      </c>
      <c r="G127" s="2" t="s">
        <v>12</v>
      </c>
      <c r="H127" s="2" t="s">
        <v>13</v>
      </c>
      <c r="I127" s="2" t="s">
        <v>411</v>
      </c>
      <c r="J127" s="2" t="s">
        <v>14</v>
      </c>
      <c r="K127" s="2" t="s">
        <v>101</v>
      </c>
      <c r="L127" s="2"/>
    </row>
    <row r="128" ht="15.75" customHeight="1">
      <c r="A128" s="3">
        <v>126.0</v>
      </c>
      <c r="B128" s="2" t="s">
        <v>444</v>
      </c>
      <c r="C128" s="2" t="s">
        <v>139</v>
      </c>
      <c r="D128" s="2" t="s">
        <v>445</v>
      </c>
      <c r="E128" s="3">
        <v>5.70056378028E11</v>
      </c>
      <c r="F128" s="2" t="s">
        <v>446</v>
      </c>
      <c r="G128" s="2" t="s">
        <v>12</v>
      </c>
      <c r="H128" s="2" t="s">
        <v>13</v>
      </c>
      <c r="I128" s="2" t="s">
        <v>411</v>
      </c>
      <c r="J128" s="2" t="s">
        <v>14</v>
      </c>
      <c r="K128" s="2" t="s">
        <v>101</v>
      </c>
      <c r="L128" s="2"/>
    </row>
    <row r="129" ht="15.75" customHeight="1">
      <c r="A129" s="3">
        <v>127.0</v>
      </c>
      <c r="B129" s="2" t="s">
        <v>447</v>
      </c>
      <c r="C129" s="2" t="s">
        <v>448</v>
      </c>
      <c r="D129" s="2" t="s">
        <v>416</v>
      </c>
      <c r="E129" s="3">
        <v>5.70056378032E11</v>
      </c>
      <c r="F129" s="2" t="s">
        <v>449</v>
      </c>
      <c r="G129" s="2" t="s">
        <v>12</v>
      </c>
      <c r="H129" s="2" t="s">
        <v>13</v>
      </c>
      <c r="I129" s="2" t="s">
        <v>411</v>
      </c>
      <c r="J129" s="2" t="s">
        <v>14</v>
      </c>
      <c r="K129" s="2" t="s">
        <v>101</v>
      </c>
      <c r="L129" s="2"/>
    </row>
    <row r="130" ht="15.75" customHeight="1">
      <c r="A130" s="3">
        <v>128.0</v>
      </c>
      <c r="B130" s="2" t="s">
        <v>106</v>
      </c>
      <c r="C130" s="2" t="s">
        <v>450</v>
      </c>
      <c r="D130" s="2" t="s">
        <v>451</v>
      </c>
      <c r="E130" s="5">
        <v>5.70056378033E11</v>
      </c>
      <c r="F130" s="2" t="s">
        <v>452</v>
      </c>
      <c r="G130" s="2" t="s">
        <v>12</v>
      </c>
      <c r="H130" s="2" t="s">
        <v>13</v>
      </c>
      <c r="I130" s="2" t="s">
        <v>411</v>
      </c>
      <c r="J130" s="2" t="s">
        <v>14</v>
      </c>
      <c r="K130" s="2" t="s">
        <v>101</v>
      </c>
      <c r="L130" s="2"/>
    </row>
    <row r="131" ht="15.75" customHeight="1">
      <c r="A131" s="3">
        <v>129.0</v>
      </c>
      <c r="B131" s="2" t="s">
        <v>58</v>
      </c>
      <c r="C131" s="2" t="s">
        <v>453</v>
      </c>
      <c r="D131" s="2" t="s">
        <v>454</v>
      </c>
      <c r="E131" s="3">
        <v>5.70056378037E11</v>
      </c>
      <c r="F131" s="2" t="s">
        <v>455</v>
      </c>
      <c r="G131" s="2" t="s">
        <v>12</v>
      </c>
      <c r="H131" s="2" t="s">
        <v>13</v>
      </c>
      <c r="I131" s="2" t="s">
        <v>14</v>
      </c>
      <c r="J131" s="2" t="s">
        <v>101</v>
      </c>
      <c r="K131" s="2"/>
      <c r="L131" s="2"/>
    </row>
    <row r="132" ht="15.75" customHeight="1">
      <c r="A132" s="3">
        <v>130.0</v>
      </c>
      <c r="B132" s="2" t="s">
        <v>456</v>
      </c>
      <c r="C132" s="2" t="s">
        <v>457</v>
      </c>
      <c r="D132" s="2" t="s">
        <v>217</v>
      </c>
      <c r="E132" s="3">
        <v>5.7005637804E11</v>
      </c>
      <c r="F132" s="2" t="s">
        <v>458</v>
      </c>
      <c r="G132" s="2" t="s">
        <v>12</v>
      </c>
      <c r="H132" s="2" t="s">
        <v>13</v>
      </c>
      <c r="I132" s="2" t="s">
        <v>411</v>
      </c>
      <c r="J132" s="2" t="s">
        <v>14</v>
      </c>
      <c r="K132" s="2" t="s">
        <v>101</v>
      </c>
      <c r="L132" s="2"/>
    </row>
    <row r="133" ht="15.75" customHeight="1">
      <c r="A133" s="3">
        <v>131.0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3">
        <v>132.0</v>
      </c>
      <c r="B134" s="2" t="s">
        <v>337</v>
      </c>
      <c r="C134" s="2" t="s">
        <v>459</v>
      </c>
      <c r="D134" s="2" t="s">
        <v>460</v>
      </c>
      <c r="E134" s="3">
        <v>5.70056378045E11</v>
      </c>
      <c r="F134" s="2" t="s">
        <v>461</v>
      </c>
      <c r="G134" s="2" t="s">
        <v>12</v>
      </c>
      <c r="H134" s="2" t="s">
        <v>13</v>
      </c>
      <c r="I134" s="2" t="s">
        <v>411</v>
      </c>
      <c r="J134" s="2" t="s">
        <v>14</v>
      </c>
      <c r="K134" s="2" t="s">
        <v>101</v>
      </c>
      <c r="L134" s="2"/>
    </row>
    <row r="135" ht="15.75" customHeight="1">
      <c r="A135" s="3">
        <v>133.0</v>
      </c>
      <c r="B135" s="2" t="s">
        <v>462</v>
      </c>
      <c r="C135" s="2" t="s">
        <v>463</v>
      </c>
      <c r="D135" s="2" t="s">
        <v>87</v>
      </c>
      <c r="E135" s="3">
        <v>5.70056378047E11</v>
      </c>
      <c r="F135" s="2" t="s">
        <v>414</v>
      </c>
      <c r="G135" s="2" t="s">
        <v>12</v>
      </c>
      <c r="H135" s="2" t="s">
        <v>13</v>
      </c>
      <c r="I135" s="2" t="s">
        <v>411</v>
      </c>
      <c r="J135" s="2" t="s">
        <v>14</v>
      </c>
      <c r="K135" s="2" t="s">
        <v>101</v>
      </c>
      <c r="L135" s="2"/>
    </row>
    <row r="136" ht="15.75" customHeight="1">
      <c r="A136" s="3">
        <v>134.0</v>
      </c>
      <c r="B136" s="2" t="s">
        <v>464</v>
      </c>
      <c r="C136" s="2" t="s">
        <v>465</v>
      </c>
      <c r="D136" s="2" t="s">
        <v>466</v>
      </c>
      <c r="E136" s="3">
        <v>5.7005637805E11</v>
      </c>
      <c r="F136" s="2" t="s">
        <v>257</v>
      </c>
      <c r="G136" s="2" t="s">
        <v>12</v>
      </c>
      <c r="H136" s="2" t="s">
        <v>13</v>
      </c>
      <c r="I136" s="2" t="s">
        <v>411</v>
      </c>
      <c r="J136" s="2" t="s">
        <v>14</v>
      </c>
      <c r="K136" s="2" t="s">
        <v>101</v>
      </c>
      <c r="L136" s="2"/>
    </row>
    <row r="137" ht="15.75" customHeight="1">
      <c r="A137" s="3">
        <v>135.0</v>
      </c>
      <c r="B137" s="2" t="s">
        <v>467</v>
      </c>
      <c r="C137" s="2" t="s">
        <v>468</v>
      </c>
      <c r="D137" s="2" t="s">
        <v>245</v>
      </c>
      <c r="E137" s="3">
        <v>5.70056378051E11</v>
      </c>
      <c r="F137" s="2" t="s">
        <v>469</v>
      </c>
      <c r="G137" s="2" t="s">
        <v>12</v>
      </c>
      <c r="H137" s="2" t="s">
        <v>13</v>
      </c>
      <c r="I137" s="2" t="s">
        <v>411</v>
      </c>
      <c r="J137" s="2" t="s">
        <v>14</v>
      </c>
      <c r="K137" s="2" t="s">
        <v>101</v>
      </c>
      <c r="L137" s="2"/>
    </row>
    <row r="138" ht="15.75" customHeight="1">
      <c r="A138" s="3">
        <v>136.0</v>
      </c>
      <c r="B138" s="2" t="s">
        <v>122</v>
      </c>
      <c r="C138" s="2" t="s">
        <v>470</v>
      </c>
      <c r="D138" s="2" t="s">
        <v>471</v>
      </c>
      <c r="E138" s="3">
        <v>5.70056378052E11</v>
      </c>
      <c r="F138" s="2" t="s">
        <v>472</v>
      </c>
      <c r="G138" s="2" t="s">
        <v>12</v>
      </c>
      <c r="H138" s="2" t="s">
        <v>13</v>
      </c>
      <c r="I138" s="2" t="s">
        <v>411</v>
      </c>
      <c r="J138" s="2" t="s">
        <v>14</v>
      </c>
      <c r="K138" s="2" t="s">
        <v>101</v>
      </c>
      <c r="L138" s="2"/>
    </row>
    <row r="139" ht="15.75" customHeight="1">
      <c r="A139" s="3">
        <v>137.0</v>
      </c>
      <c r="B139" s="2" t="s">
        <v>77</v>
      </c>
      <c r="C139" s="2" t="s">
        <v>98</v>
      </c>
      <c r="D139" s="2" t="s">
        <v>162</v>
      </c>
      <c r="E139" s="3">
        <v>5.70056378053E11</v>
      </c>
      <c r="F139" s="2" t="s">
        <v>473</v>
      </c>
      <c r="G139" s="2" t="s">
        <v>12</v>
      </c>
      <c r="H139" s="2" t="s">
        <v>13</v>
      </c>
      <c r="I139" s="2" t="s">
        <v>411</v>
      </c>
      <c r="J139" s="2" t="s">
        <v>14</v>
      </c>
      <c r="K139" s="2" t="s">
        <v>101</v>
      </c>
      <c r="L139" s="2"/>
    </row>
    <row r="140" ht="15.75" customHeight="1">
      <c r="A140" s="3">
        <v>138.0</v>
      </c>
      <c r="B140" s="2" t="s">
        <v>474</v>
      </c>
      <c r="C140" s="2" t="s">
        <v>475</v>
      </c>
      <c r="D140" s="2" t="s">
        <v>476</v>
      </c>
      <c r="E140" s="3">
        <v>5.70056378054E11</v>
      </c>
      <c r="F140" s="2" t="s">
        <v>477</v>
      </c>
      <c r="G140" s="2" t="s">
        <v>12</v>
      </c>
      <c r="H140" s="2" t="s">
        <v>13</v>
      </c>
      <c r="I140" s="2" t="s">
        <v>411</v>
      </c>
      <c r="J140" s="2" t="s">
        <v>14</v>
      </c>
      <c r="K140" s="2" t="s">
        <v>101</v>
      </c>
      <c r="L140" s="2"/>
    </row>
    <row r="141" ht="15.75" customHeight="1">
      <c r="A141" s="3">
        <v>139.0</v>
      </c>
      <c r="B141" s="2" t="s">
        <v>383</v>
      </c>
      <c r="C141" s="2" t="s">
        <v>478</v>
      </c>
      <c r="D141" s="2" t="s">
        <v>122</v>
      </c>
      <c r="E141" s="5">
        <v>5.70056378055E11</v>
      </c>
      <c r="F141" s="2" t="s">
        <v>479</v>
      </c>
      <c r="G141" s="2" t="s">
        <v>12</v>
      </c>
      <c r="H141" s="2" t="s">
        <v>13</v>
      </c>
      <c r="I141" s="2" t="s">
        <v>411</v>
      </c>
      <c r="J141" s="2" t="s">
        <v>14</v>
      </c>
      <c r="K141" s="2" t="s">
        <v>101</v>
      </c>
      <c r="L141" s="2"/>
    </row>
    <row r="142" ht="15.75" customHeight="1">
      <c r="A142" s="3">
        <v>140.0</v>
      </c>
      <c r="B142" s="2" t="s">
        <v>480</v>
      </c>
      <c r="C142" s="2" t="s">
        <v>481</v>
      </c>
      <c r="D142" s="2" t="s">
        <v>482</v>
      </c>
      <c r="E142" s="3">
        <v>5.70056378057E11</v>
      </c>
      <c r="F142" s="2" t="s">
        <v>483</v>
      </c>
      <c r="G142" s="2" t="s">
        <v>12</v>
      </c>
      <c r="H142" s="2" t="s">
        <v>13</v>
      </c>
      <c r="I142" s="2" t="s">
        <v>14</v>
      </c>
      <c r="J142" s="2" t="s">
        <v>101</v>
      </c>
      <c r="K142" s="2"/>
      <c r="L142" s="2"/>
    </row>
    <row r="143" ht="15.75" customHeight="1">
      <c r="A143" s="3">
        <v>141.0</v>
      </c>
      <c r="B143" s="2" t="s">
        <v>36</v>
      </c>
      <c r="C143" s="2" t="s">
        <v>484</v>
      </c>
      <c r="D143" s="2" t="s">
        <v>485</v>
      </c>
      <c r="E143" s="3">
        <v>5.70056378059E11</v>
      </c>
      <c r="F143" s="2" t="s">
        <v>252</v>
      </c>
      <c r="G143" s="2" t="s">
        <v>12</v>
      </c>
      <c r="H143" s="2" t="s">
        <v>13</v>
      </c>
      <c r="I143" s="2" t="s">
        <v>411</v>
      </c>
      <c r="J143" s="2" t="s">
        <v>14</v>
      </c>
      <c r="K143" s="2" t="s">
        <v>101</v>
      </c>
      <c r="L143" s="2"/>
    </row>
    <row r="144" ht="15.75" customHeight="1">
      <c r="A144" s="3">
        <v>142.0</v>
      </c>
      <c r="B144" s="2" t="s">
        <v>486</v>
      </c>
      <c r="C144" s="2" t="s">
        <v>487</v>
      </c>
      <c r="D144" s="2" t="s">
        <v>488</v>
      </c>
      <c r="E144" s="3">
        <v>5.70056378063E11</v>
      </c>
      <c r="F144" s="2" t="s">
        <v>489</v>
      </c>
      <c r="G144" s="2" t="s">
        <v>12</v>
      </c>
      <c r="H144" s="2" t="s">
        <v>13</v>
      </c>
      <c r="I144" s="2" t="s">
        <v>411</v>
      </c>
      <c r="J144" s="2" t="s">
        <v>14</v>
      </c>
      <c r="K144" s="2" t="s">
        <v>101</v>
      </c>
      <c r="L144" s="2"/>
    </row>
    <row r="145" ht="15.75" customHeight="1">
      <c r="A145" s="3">
        <v>143.0</v>
      </c>
      <c r="B145" s="2" t="s">
        <v>81</v>
      </c>
      <c r="C145" s="2" t="s">
        <v>490</v>
      </c>
      <c r="D145" s="2" t="s">
        <v>491</v>
      </c>
      <c r="E145" s="3">
        <v>5.70056378068E11</v>
      </c>
      <c r="F145" s="2" t="s">
        <v>492</v>
      </c>
      <c r="G145" s="2" t="s">
        <v>12</v>
      </c>
      <c r="H145" s="2" t="s">
        <v>493</v>
      </c>
      <c r="I145" s="2" t="s">
        <v>13</v>
      </c>
      <c r="J145" s="2" t="s">
        <v>14</v>
      </c>
      <c r="K145" s="2" t="s">
        <v>101</v>
      </c>
      <c r="L145" s="2"/>
    </row>
    <row r="146" ht="15.75" customHeight="1">
      <c r="A146" s="3">
        <v>144.0</v>
      </c>
      <c r="B146" s="2" t="s">
        <v>494</v>
      </c>
      <c r="C146" s="2" t="s">
        <v>495</v>
      </c>
      <c r="D146" s="2" t="s">
        <v>496</v>
      </c>
      <c r="E146" s="3">
        <v>5.7005637807E11</v>
      </c>
      <c r="F146" s="2" t="s">
        <v>497</v>
      </c>
      <c r="G146" s="2" t="s">
        <v>12</v>
      </c>
      <c r="H146" s="2" t="s">
        <v>498</v>
      </c>
      <c r="I146" s="2" t="s">
        <v>14</v>
      </c>
      <c r="J146" s="2" t="s">
        <v>101</v>
      </c>
      <c r="K146" s="2"/>
      <c r="L146" s="2"/>
    </row>
    <row r="147" ht="15.75" customHeight="1">
      <c r="A147" s="3">
        <v>145.0</v>
      </c>
      <c r="B147" s="2" t="s">
        <v>499</v>
      </c>
      <c r="C147" s="2" t="s">
        <v>500</v>
      </c>
      <c r="D147" s="2" t="s">
        <v>501</v>
      </c>
      <c r="E147" s="3">
        <v>5.70056378073E11</v>
      </c>
      <c r="F147" s="2" t="s">
        <v>502</v>
      </c>
      <c r="G147" s="2" t="s">
        <v>12</v>
      </c>
      <c r="H147" s="2" t="s">
        <v>498</v>
      </c>
      <c r="I147" s="2" t="s">
        <v>13</v>
      </c>
      <c r="J147" s="2" t="s">
        <v>14</v>
      </c>
      <c r="K147" s="2" t="s">
        <v>101</v>
      </c>
      <c r="L147" s="2"/>
    </row>
    <row r="148" ht="15.75" customHeight="1">
      <c r="A148" s="3">
        <v>146.0</v>
      </c>
      <c r="B148" s="2" t="s">
        <v>36</v>
      </c>
      <c r="C148" s="2" t="s">
        <v>503</v>
      </c>
      <c r="D148" s="2" t="s">
        <v>504</v>
      </c>
      <c r="E148" s="3">
        <v>5.70056378081E11</v>
      </c>
      <c r="F148" s="2" t="s">
        <v>505</v>
      </c>
      <c r="G148" s="2" t="s">
        <v>12</v>
      </c>
      <c r="H148" s="2" t="s">
        <v>13</v>
      </c>
      <c r="I148" s="2" t="s">
        <v>14</v>
      </c>
      <c r="J148" s="2" t="s">
        <v>101</v>
      </c>
      <c r="K148" s="2"/>
      <c r="L148" s="2"/>
    </row>
    <row r="149" ht="15.75" customHeight="1">
      <c r="A149" s="3">
        <v>147.0</v>
      </c>
      <c r="B149" s="2" t="s">
        <v>506</v>
      </c>
      <c r="C149" s="2" t="s">
        <v>507</v>
      </c>
      <c r="D149" s="2" t="s">
        <v>331</v>
      </c>
      <c r="E149" s="3">
        <v>5.70056378082E11</v>
      </c>
      <c r="F149" s="2" t="s">
        <v>508</v>
      </c>
      <c r="G149" s="2" t="s">
        <v>12</v>
      </c>
      <c r="H149" s="2" t="s">
        <v>13</v>
      </c>
      <c r="I149" s="2" t="s">
        <v>14</v>
      </c>
      <c r="J149" s="2" t="s">
        <v>101</v>
      </c>
      <c r="K149" s="2"/>
      <c r="L149" s="2"/>
    </row>
    <row r="150" ht="15.75" customHeight="1">
      <c r="A150" s="3">
        <v>148.0</v>
      </c>
      <c r="B150" s="2" t="s">
        <v>256</v>
      </c>
      <c r="C150" s="2" t="s">
        <v>509</v>
      </c>
      <c r="D150" s="2" t="s">
        <v>510</v>
      </c>
      <c r="E150" s="3">
        <v>5.70056378089E11</v>
      </c>
      <c r="F150" s="2" t="s">
        <v>511</v>
      </c>
      <c r="G150" s="2" t="s">
        <v>12</v>
      </c>
      <c r="H150" s="2" t="s">
        <v>13</v>
      </c>
      <c r="I150" s="2" t="s">
        <v>14</v>
      </c>
      <c r="J150" s="2" t="s">
        <v>101</v>
      </c>
      <c r="K150" s="2"/>
      <c r="L150" s="2"/>
    </row>
    <row r="151" ht="15.75" customHeight="1">
      <c r="A151" s="3">
        <v>149.0</v>
      </c>
      <c r="B151" s="2" t="s">
        <v>122</v>
      </c>
      <c r="C151" s="2" t="s">
        <v>512</v>
      </c>
      <c r="D151" s="2" t="s">
        <v>456</v>
      </c>
      <c r="E151" s="3">
        <v>5.7005637809E11</v>
      </c>
      <c r="F151" s="2" t="s">
        <v>513</v>
      </c>
      <c r="G151" s="2" t="s">
        <v>12</v>
      </c>
      <c r="H151" s="2" t="s">
        <v>13</v>
      </c>
      <c r="I151" s="2" t="s">
        <v>411</v>
      </c>
      <c r="J151" s="2" t="s">
        <v>14</v>
      </c>
      <c r="K151" s="2" t="s">
        <v>101</v>
      </c>
      <c r="L151" s="2"/>
    </row>
    <row r="152" ht="15.75" customHeight="1">
      <c r="A152" s="3">
        <v>150.0</v>
      </c>
      <c r="B152" s="2" t="s">
        <v>514</v>
      </c>
      <c r="C152" s="2" t="s">
        <v>515</v>
      </c>
      <c r="D152" s="2" t="s">
        <v>516</v>
      </c>
      <c r="E152" s="3">
        <v>5.70056378091E11</v>
      </c>
      <c r="F152" s="2" t="s">
        <v>517</v>
      </c>
      <c r="G152" s="2" t="s">
        <v>12</v>
      </c>
      <c r="H152" s="2" t="s">
        <v>13</v>
      </c>
      <c r="I152" s="2" t="s">
        <v>411</v>
      </c>
      <c r="J152" s="2" t="s">
        <v>14</v>
      </c>
      <c r="K152" s="2" t="s">
        <v>101</v>
      </c>
      <c r="L152" s="2"/>
    </row>
    <row r="153" ht="15.75" customHeight="1">
      <c r="A153" s="3">
        <v>151.0</v>
      </c>
      <c r="B153" s="2" t="s">
        <v>518</v>
      </c>
      <c r="C153" s="2" t="s">
        <v>519</v>
      </c>
      <c r="D153" s="2" t="s">
        <v>520</v>
      </c>
      <c r="E153" s="3">
        <v>5.70056378093E11</v>
      </c>
      <c r="F153" s="2" t="s">
        <v>521</v>
      </c>
      <c r="G153" s="2" t="s">
        <v>12</v>
      </c>
      <c r="H153" s="2" t="s">
        <v>498</v>
      </c>
      <c r="I153" s="2" t="s">
        <v>13</v>
      </c>
      <c r="J153" s="2" t="s">
        <v>14</v>
      </c>
      <c r="K153" s="2" t="s">
        <v>101</v>
      </c>
      <c r="L153" s="2"/>
    </row>
    <row r="154" ht="15.75" customHeight="1">
      <c r="A154" s="3">
        <v>152.0</v>
      </c>
      <c r="B154" s="2" t="s">
        <v>102</v>
      </c>
      <c r="C154" s="2" t="s">
        <v>522</v>
      </c>
      <c r="D154" s="2" t="s">
        <v>523</v>
      </c>
      <c r="E154" s="3">
        <v>5.70056378094E11</v>
      </c>
      <c r="F154" s="2" t="s">
        <v>524</v>
      </c>
      <c r="G154" s="2" t="s">
        <v>12</v>
      </c>
      <c r="H154" s="2" t="s">
        <v>525</v>
      </c>
      <c r="I154" s="2" t="s">
        <v>13</v>
      </c>
      <c r="J154" s="2" t="s">
        <v>14</v>
      </c>
      <c r="K154" s="2" t="s">
        <v>101</v>
      </c>
      <c r="L154" s="2"/>
    </row>
    <row r="155" ht="15.75" customHeight="1">
      <c r="A155" s="3">
        <v>153.0</v>
      </c>
      <c r="B155" s="2" t="s">
        <v>526</v>
      </c>
      <c r="C155" s="2" t="s">
        <v>527</v>
      </c>
      <c r="D155" s="2" t="s">
        <v>177</v>
      </c>
      <c r="E155" s="3">
        <v>5.70056378097E11</v>
      </c>
      <c r="F155" s="2" t="s">
        <v>528</v>
      </c>
      <c r="G155" s="2" t="s">
        <v>12</v>
      </c>
      <c r="H155" s="2" t="s">
        <v>13</v>
      </c>
      <c r="I155" s="2" t="s">
        <v>14</v>
      </c>
      <c r="J155" s="2" t="s">
        <v>101</v>
      </c>
      <c r="K155" s="2"/>
      <c r="L155" s="2"/>
    </row>
    <row r="156" ht="15.75" customHeight="1">
      <c r="A156" s="3">
        <v>154.0</v>
      </c>
      <c r="B156" s="2" t="s">
        <v>529</v>
      </c>
      <c r="C156" s="2" t="s">
        <v>530</v>
      </c>
      <c r="D156" s="2" t="s">
        <v>383</v>
      </c>
      <c r="E156" s="3">
        <v>5.700563781E11</v>
      </c>
      <c r="F156" s="2" t="s">
        <v>531</v>
      </c>
      <c r="G156" s="2" t="s">
        <v>12</v>
      </c>
      <c r="H156" s="2" t="s">
        <v>356</v>
      </c>
      <c r="I156" s="2" t="s">
        <v>411</v>
      </c>
      <c r="J156" s="2" t="s">
        <v>14</v>
      </c>
      <c r="K156" s="2" t="s">
        <v>101</v>
      </c>
      <c r="L156" s="2"/>
    </row>
    <row r="157" ht="15.75" customHeight="1">
      <c r="A157" s="3">
        <v>155.0</v>
      </c>
      <c r="B157" s="2" t="s">
        <v>205</v>
      </c>
      <c r="C157" s="2" t="s">
        <v>532</v>
      </c>
      <c r="D157" s="2" t="s">
        <v>435</v>
      </c>
      <c r="E157" s="3">
        <v>5.70056378101E11</v>
      </c>
      <c r="F157" s="2" t="s">
        <v>533</v>
      </c>
      <c r="G157" s="2" t="s">
        <v>12</v>
      </c>
      <c r="H157" s="2" t="s">
        <v>13</v>
      </c>
      <c r="I157" s="2" t="s">
        <v>14</v>
      </c>
      <c r="J157" s="2" t="s">
        <v>101</v>
      </c>
      <c r="K157" s="2"/>
      <c r="L157" s="2"/>
    </row>
    <row r="158" ht="15.75" customHeight="1">
      <c r="A158" s="3">
        <v>156.0</v>
      </c>
      <c r="B158" s="2" t="s">
        <v>222</v>
      </c>
      <c r="C158" s="2" t="s">
        <v>534</v>
      </c>
      <c r="D158" s="2" t="s">
        <v>535</v>
      </c>
      <c r="E158" s="3">
        <v>5.70056378102E11</v>
      </c>
      <c r="F158" s="2" t="s">
        <v>536</v>
      </c>
      <c r="G158" s="2" t="s">
        <v>12</v>
      </c>
      <c r="H158" s="2" t="s">
        <v>13</v>
      </c>
      <c r="I158" s="2" t="s">
        <v>411</v>
      </c>
      <c r="J158" s="2" t="s">
        <v>14</v>
      </c>
      <c r="K158" s="2" t="s">
        <v>101</v>
      </c>
      <c r="L158" s="2"/>
    </row>
    <row r="159" ht="15.75" customHeight="1">
      <c r="A159" s="3">
        <v>157.0</v>
      </c>
      <c r="B159" s="2" t="s">
        <v>537</v>
      </c>
      <c r="C159" s="2" t="s">
        <v>538</v>
      </c>
      <c r="D159" s="2" t="s">
        <v>217</v>
      </c>
      <c r="E159" s="3">
        <v>5.70056378106E11</v>
      </c>
      <c r="F159" s="2" t="s">
        <v>539</v>
      </c>
      <c r="G159" s="2" t="s">
        <v>12</v>
      </c>
      <c r="H159" s="2" t="s">
        <v>13</v>
      </c>
      <c r="I159" s="2" t="s">
        <v>411</v>
      </c>
      <c r="J159" s="2" t="s">
        <v>14</v>
      </c>
      <c r="K159" s="2" t="s">
        <v>101</v>
      </c>
      <c r="L159" s="2"/>
    </row>
    <row r="160" ht="15.75" customHeight="1">
      <c r="A160" s="3">
        <v>158.0</v>
      </c>
      <c r="B160" s="2" t="s">
        <v>8</v>
      </c>
      <c r="C160" s="2" t="s">
        <v>114</v>
      </c>
      <c r="D160" s="2" t="s">
        <v>540</v>
      </c>
      <c r="E160" s="3">
        <v>5.70056378108E11</v>
      </c>
      <c r="F160" s="2" t="s">
        <v>541</v>
      </c>
      <c r="G160" s="2" t="s">
        <v>12</v>
      </c>
      <c r="H160" s="2" t="s">
        <v>13</v>
      </c>
      <c r="I160" s="2" t="s">
        <v>411</v>
      </c>
      <c r="J160" s="2" t="s">
        <v>14</v>
      </c>
      <c r="K160" s="2" t="s">
        <v>101</v>
      </c>
      <c r="L160" s="2"/>
    </row>
    <row r="161" ht="15.75" customHeight="1">
      <c r="A161" s="3">
        <v>159.0</v>
      </c>
      <c r="B161" s="2" t="s">
        <v>542</v>
      </c>
      <c r="C161" s="2" t="s">
        <v>543</v>
      </c>
      <c r="D161" s="2" t="s">
        <v>234</v>
      </c>
      <c r="E161" s="3">
        <v>5.70056378109E11</v>
      </c>
      <c r="F161" s="2" t="s">
        <v>544</v>
      </c>
      <c r="G161" s="2" t="s">
        <v>12</v>
      </c>
      <c r="H161" s="2" t="s">
        <v>13</v>
      </c>
      <c r="I161" s="2" t="s">
        <v>411</v>
      </c>
      <c r="J161" s="2" t="s">
        <v>14</v>
      </c>
      <c r="K161" s="2" t="s">
        <v>101</v>
      </c>
      <c r="L161" s="2"/>
    </row>
    <row r="162" ht="15.75" customHeight="1">
      <c r="A162" s="3">
        <v>160.0</v>
      </c>
      <c r="B162" s="2" t="s">
        <v>306</v>
      </c>
      <c r="C162" s="2" t="s">
        <v>545</v>
      </c>
      <c r="D162" s="2" t="s">
        <v>546</v>
      </c>
      <c r="E162" s="3">
        <v>5.70056378111E11</v>
      </c>
      <c r="F162" s="2" t="s">
        <v>547</v>
      </c>
      <c r="G162" s="2" t="s">
        <v>12</v>
      </c>
      <c r="H162" s="2" t="s">
        <v>13</v>
      </c>
      <c r="I162" s="2" t="s">
        <v>14</v>
      </c>
      <c r="J162" s="2" t="s">
        <v>101</v>
      </c>
      <c r="K162" s="2"/>
      <c r="L162" s="2"/>
    </row>
    <row r="163" ht="15.75" customHeight="1">
      <c r="A163" s="3">
        <v>161.0</v>
      </c>
      <c r="B163" s="2" t="s">
        <v>548</v>
      </c>
      <c r="C163" s="2" t="s">
        <v>549</v>
      </c>
      <c r="D163" s="2" t="s">
        <v>550</v>
      </c>
      <c r="E163" s="3">
        <v>5.70056378113E11</v>
      </c>
      <c r="F163" s="2" t="s">
        <v>551</v>
      </c>
      <c r="G163" s="2" t="s">
        <v>12</v>
      </c>
      <c r="H163" s="2" t="s">
        <v>13</v>
      </c>
      <c r="I163" s="2" t="s">
        <v>411</v>
      </c>
      <c r="J163" s="2" t="s">
        <v>14</v>
      </c>
      <c r="K163" s="2" t="s">
        <v>101</v>
      </c>
      <c r="L163" s="2"/>
    </row>
    <row r="164" ht="15.75" customHeight="1">
      <c r="A164" s="3">
        <v>162.0</v>
      </c>
      <c r="B164" s="2" t="s">
        <v>439</v>
      </c>
      <c r="C164" s="2" t="s">
        <v>552</v>
      </c>
      <c r="D164" s="2" t="s">
        <v>553</v>
      </c>
      <c r="E164" s="3">
        <v>5.70056378116E11</v>
      </c>
      <c r="F164" s="2" t="s">
        <v>554</v>
      </c>
      <c r="G164" s="2" t="s">
        <v>12</v>
      </c>
      <c r="H164" s="2" t="s">
        <v>13</v>
      </c>
      <c r="I164" s="2" t="s">
        <v>411</v>
      </c>
      <c r="J164" s="2" t="s">
        <v>14</v>
      </c>
      <c r="K164" s="2" t="s">
        <v>101</v>
      </c>
      <c r="L164" s="2"/>
    </row>
    <row r="165" ht="15.75" customHeight="1">
      <c r="A165" s="3">
        <v>163.0</v>
      </c>
      <c r="B165" s="2" t="s">
        <v>205</v>
      </c>
      <c r="C165" s="2" t="s">
        <v>555</v>
      </c>
      <c r="D165" s="2" t="s">
        <v>556</v>
      </c>
      <c r="E165" s="3">
        <v>5.70056378121E11</v>
      </c>
      <c r="F165" s="2" t="s">
        <v>557</v>
      </c>
      <c r="G165" s="2" t="s">
        <v>12</v>
      </c>
      <c r="H165" s="2" t="s">
        <v>13</v>
      </c>
      <c r="I165" s="2" t="s">
        <v>411</v>
      </c>
      <c r="J165" s="2" t="s">
        <v>14</v>
      </c>
      <c r="K165" s="2" t="s">
        <v>101</v>
      </c>
      <c r="L165" s="2"/>
    </row>
    <row r="166" ht="15.75" customHeight="1">
      <c r="A166" s="3">
        <v>164.0</v>
      </c>
      <c r="B166" s="2" t="s">
        <v>558</v>
      </c>
      <c r="C166" s="2" t="s">
        <v>559</v>
      </c>
      <c r="D166" s="2" t="s">
        <v>560</v>
      </c>
      <c r="E166" s="3">
        <v>5.70056378122E11</v>
      </c>
      <c r="F166" s="2" t="s">
        <v>455</v>
      </c>
      <c r="G166" s="2" t="s">
        <v>12</v>
      </c>
      <c r="H166" s="2" t="s">
        <v>13</v>
      </c>
      <c r="I166" s="2" t="s">
        <v>411</v>
      </c>
      <c r="J166" s="2" t="s">
        <v>14</v>
      </c>
      <c r="K166" s="2" t="s">
        <v>101</v>
      </c>
      <c r="L166" s="2"/>
    </row>
    <row r="167" ht="15.75" customHeight="1">
      <c r="A167" s="3">
        <v>165.0</v>
      </c>
      <c r="B167" s="2" t="s">
        <v>561</v>
      </c>
      <c r="C167" s="2" t="s">
        <v>562</v>
      </c>
      <c r="D167" s="2" t="s">
        <v>563</v>
      </c>
      <c r="E167" s="5">
        <v>5.70056378124E11</v>
      </c>
      <c r="F167" s="2" t="s">
        <v>564</v>
      </c>
      <c r="G167" s="2" t="s">
        <v>12</v>
      </c>
      <c r="H167" s="2" t="s">
        <v>13</v>
      </c>
      <c r="I167" s="2" t="s">
        <v>411</v>
      </c>
      <c r="J167" s="2" t="s">
        <v>14</v>
      </c>
      <c r="K167" s="2" t="s">
        <v>101</v>
      </c>
      <c r="L167" s="2"/>
    </row>
    <row r="168" ht="15.75" customHeight="1">
      <c r="A168" s="3">
        <v>166.0</v>
      </c>
      <c r="B168" s="2" t="s">
        <v>565</v>
      </c>
      <c r="C168" s="2" t="s">
        <v>566</v>
      </c>
      <c r="D168" s="2" t="s">
        <v>567</v>
      </c>
      <c r="E168" s="3">
        <v>5.70056378125E11</v>
      </c>
      <c r="F168" s="2" t="s">
        <v>477</v>
      </c>
      <c r="G168" s="2" t="s">
        <v>12</v>
      </c>
      <c r="H168" s="2" t="s">
        <v>13</v>
      </c>
      <c r="I168" s="2" t="s">
        <v>411</v>
      </c>
      <c r="J168" s="2" t="s">
        <v>14</v>
      </c>
      <c r="K168" s="2" t="s">
        <v>101</v>
      </c>
      <c r="L168" s="2"/>
    </row>
    <row r="169" ht="15.75" customHeight="1">
      <c r="A169" s="3">
        <v>167.0</v>
      </c>
      <c r="B169" s="2" t="s">
        <v>568</v>
      </c>
      <c r="C169" s="2" t="s">
        <v>566</v>
      </c>
      <c r="D169" s="2" t="s">
        <v>569</v>
      </c>
      <c r="E169" s="3">
        <v>5.70056378126E11</v>
      </c>
      <c r="F169" s="2" t="s">
        <v>570</v>
      </c>
      <c r="G169" s="2" t="s">
        <v>12</v>
      </c>
      <c r="H169" s="2" t="s">
        <v>13</v>
      </c>
      <c r="I169" s="2" t="s">
        <v>411</v>
      </c>
      <c r="J169" s="2" t="s">
        <v>14</v>
      </c>
      <c r="K169" s="2" t="s">
        <v>101</v>
      </c>
      <c r="L169" s="2"/>
    </row>
    <row r="170" ht="15.75" customHeight="1">
      <c r="A170" s="3">
        <v>168.0</v>
      </c>
      <c r="B170" s="2" t="s">
        <v>162</v>
      </c>
      <c r="C170" s="2" t="s">
        <v>571</v>
      </c>
      <c r="D170" s="2" t="s">
        <v>572</v>
      </c>
      <c r="E170" s="3">
        <v>5.70056378132E11</v>
      </c>
      <c r="F170" s="2" t="s">
        <v>573</v>
      </c>
      <c r="G170" s="2" t="s">
        <v>12</v>
      </c>
      <c r="H170" s="2" t="s">
        <v>13</v>
      </c>
      <c r="I170" s="2" t="s">
        <v>411</v>
      </c>
      <c r="J170" s="2" t="s">
        <v>14</v>
      </c>
      <c r="K170" s="2" t="s">
        <v>101</v>
      </c>
      <c r="L170" s="2"/>
    </row>
    <row r="171" ht="15.75" customHeight="1">
      <c r="A171" s="3">
        <v>169.0</v>
      </c>
      <c r="B171" s="2" t="s">
        <v>574</v>
      </c>
      <c r="C171" s="2" t="s">
        <v>575</v>
      </c>
      <c r="D171" s="2" t="s">
        <v>383</v>
      </c>
      <c r="E171" s="3">
        <v>5.70056378134E11</v>
      </c>
      <c r="F171" s="2" t="s">
        <v>528</v>
      </c>
      <c r="G171" s="2" t="s">
        <v>12</v>
      </c>
      <c r="H171" s="2" t="s">
        <v>13</v>
      </c>
      <c r="I171" s="2" t="s">
        <v>411</v>
      </c>
      <c r="J171" s="2" t="s">
        <v>14</v>
      </c>
      <c r="K171" s="2" t="s">
        <v>101</v>
      </c>
      <c r="L171" s="2"/>
    </row>
    <row r="172" ht="15.75" customHeight="1">
      <c r="A172" s="3">
        <v>170.0</v>
      </c>
      <c r="B172" s="2" t="s">
        <v>192</v>
      </c>
      <c r="C172" s="2" t="s">
        <v>576</v>
      </c>
      <c r="D172" s="2" t="s">
        <v>179</v>
      </c>
      <c r="E172" s="5">
        <v>5.70056378135E11</v>
      </c>
      <c r="F172" s="2" t="s">
        <v>570</v>
      </c>
      <c r="G172" s="2" t="s">
        <v>12</v>
      </c>
      <c r="H172" s="2" t="s">
        <v>13</v>
      </c>
      <c r="I172" s="2" t="s">
        <v>411</v>
      </c>
      <c r="J172" s="2" t="s">
        <v>14</v>
      </c>
      <c r="K172" s="2" t="s">
        <v>101</v>
      </c>
      <c r="L172" s="2"/>
    </row>
    <row r="173" ht="15.75" customHeight="1">
      <c r="A173" s="3">
        <v>171.0</v>
      </c>
      <c r="B173" s="4" t="s">
        <v>577</v>
      </c>
      <c r="C173" s="2" t="s">
        <v>578</v>
      </c>
      <c r="D173" s="2" t="s">
        <v>144</v>
      </c>
      <c r="E173" s="3">
        <v>5.70056378137E11</v>
      </c>
      <c r="F173" s="2" t="s">
        <v>579</v>
      </c>
      <c r="G173" s="2" t="s">
        <v>12</v>
      </c>
      <c r="H173" s="2" t="s">
        <v>13</v>
      </c>
      <c r="I173" s="2" t="s">
        <v>411</v>
      </c>
      <c r="J173" s="2" t="s">
        <v>14</v>
      </c>
      <c r="K173" s="2" t="s">
        <v>101</v>
      </c>
      <c r="L173" s="2"/>
    </row>
    <row r="174" ht="15.75" customHeight="1">
      <c r="A174" s="3">
        <v>172.0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3">
        <v>173.0</v>
      </c>
      <c r="B175" s="2" t="s">
        <v>227</v>
      </c>
      <c r="C175" s="2" t="s">
        <v>580</v>
      </c>
      <c r="D175" s="2" t="s">
        <v>416</v>
      </c>
      <c r="E175" s="3">
        <v>5.70056378139E11</v>
      </c>
      <c r="F175" s="2" t="s">
        <v>581</v>
      </c>
      <c r="G175" s="2" t="s">
        <v>12</v>
      </c>
      <c r="H175" s="2" t="s">
        <v>13</v>
      </c>
      <c r="I175" s="2" t="s">
        <v>411</v>
      </c>
      <c r="J175" s="2" t="s">
        <v>14</v>
      </c>
      <c r="K175" s="2" t="s">
        <v>101</v>
      </c>
      <c r="L175" s="2"/>
    </row>
    <row r="176" ht="15.75" customHeight="1">
      <c r="A176" s="3">
        <v>174.0</v>
      </c>
      <c r="B176" s="2" t="s">
        <v>582</v>
      </c>
      <c r="C176" s="2" t="s">
        <v>583</v>
      </c>
      <c r="D176" s="2" t="s">
        <v>584</v>
      </c>
      <c r="E176" s="5">
        <v>5.70056378141E11</v>
      </c>
      <c r="F176" s="2" t="s">
        <v>489</v>
      </c>
      <c r="G176" s="2" t="s">
        <v>12</v>
      </c>
      <c r="H176" s="2" t="s">
        <v>13</v>
      </c>
      <c r="I176" s="2" t="s">
        <v>411</v>
      </c>
      <c r="J176" s="2" t="s">
        <v>14</v>
      </c>
      <c r="K176" s="2" t="s">
        <v>101</v>
      </c>
      <c r="L176" s="2"/>
    </row>
    <row r="177" ht="15.75" customHeight="1">
      <c r="A177" s="3">
        <v>175.0</v>
      </c>
      <c r="B177" s="2" t="s">
        <v>585</v>
      </c>
      <c r="C177" s="2" t="s">
        <v>586</v>
      </c>
      <c r="D177" s="2" t="s">
        <v>486</v>
      </c>
      <c r="E177" s="3">
        <v>5.70056378142E11</v>
      </c>
      <c r="F177" s="2" t="s">
        <v>587</v>
      </c>
      <c r="G177" s="2" t="s">
        <v>12</v>
      </c>
      <c r="H177" s="2" t="s">
        <v>13</v>
      </c>
      <c r="I177" s="2" t="s">
        <v>14</v>
      </c>
      <c r="J177" s="2" t="s">
        <v>101</v>
      </c>
      <c r="K177" s="2"/>
      <c r="L177" s="2"/>
    </row>
    <row r="178" ht="15.75" customHeight="1">
      <c r="A178" s="3">
        <v>176.0</v>
      </c>
      <c r="B178" s="4" t="s">
        <v>278</v>
      </c>
      <c r="C178" s="2" t="s">
        <v>588</v>
      </c>
      <c r="D178" s="2" t="s">
        <v>589</v>
      </c>
      <c r="E178" s="3">
        <v>5.70056378144E11</v>
      </c>
      <c r="F178" s="2" t="s">
        <v>590</v>
      </c>
      <c r="G178" s="2" t="s">
        <v>12</v>
      </c>
      <c r="H178" s="2" t="s">
        <v>13</v>
      </c>
      <c r="I178" s="2" t="s">
        <v>411</v>
      </c>
      <c r="J178" s="2" t="s">
        <v>14</v>
      </c>
      <c r="K178" s="2" t="s">
        <v>101</v>
      </c>
      <c r="L178" s="2"/>
    </row>
    <row r="179" ht="15.75" customHeight="1">
      <c r="A179" s="3">
        <v>177.0</v>
      </c>
      <c r="B179" s="2" t="s">
        <v>148</v>
      </c>
      <c r="C179" s="2" t="s">
        <v>591</v>
      </c>
      <c r="D179" s="2" t="s">
        <v>592</v>
      </c>
      <c r="E179" s="3">
        <v>5.70056378151E11</v>
      </c>
      <c r="F179" s="2" t="s">
        <v>593</v>
      </c>
      <c r="G179" s="2" t="s">
        <v>12</v>
      </c>
      <c r="H179" s="2" t="s">
        <v>13</v>
      </c>
      <c r="I179" s="2" t="s">
        <v>411</v>
      </c>
      <c r="J179" s="2" t="s">
        <v>14</v>
      </c>
      <c r="K179" s="2" t="s">
        <v>101</v>
      </c>
      <c r="L179" s="2"/>
    </row>
    <row r="180" ht="15.75" customHeight="1">
      <c r="A180" s="3">
        <v>178.0</v>
      </c>
      <c r="B180" s="2" t="s">
        <v>594</v>
      </c>
      <c r="C180" s="2" t="s">
        <v>595</v>
      </c>
      <c r="D180" s="2" t="s">
        <v>596</v>
      </c>
      <c r="E180" s="3">
        <v>5.70056378155E11</v>
      </c>
      <c r="F180" s="2" t="s">
        <v>257</v>
      </c>
      <c r="G180" s="2" t="s">
        <v>12</v>
      </c>
      <c r="H180" s="2" t="s">
        <v>13</v>
      </c>
      <c r="I180" s="2" t="s">
        <v>411</v>
      </c>
      <c r="J180" s="2" t="s">
        <v>14</v>
      </c>
      <c r="K180" s="2" t="s">
        <v>101</v>
      </c>
      <c r="L180" s="2"/>
    </row>
    <row r="181" ht="15.75" customHeight="1">
      <c r="A181" s="3">
        <v>179.0</v>
      </c>
      <c r="B181" s="2" t="s">
        <v>247</v>
      </c>
      <c r="C181" s="2" t="s">
        <v>597</v>
      </c>
      <c r="D181" s="2" t="s">
        <v>598</v>
      </c>
      <c r="E181" s="3">
        <v>5.70056378156E11</v>
      </c>
      <c r="F181" s="2" t="s">
        <v>489</v>
      </c>
      <c r="G181" s="2" t="s">
        <v>12</v>
      </c>
      <c r="H181" s="2" t="s">
        <v>13</v>
      </c>
      <c r="I181" s="2" t="s">
        <v>411</v>
      </c>
      <c r="J181" s="2" t="s">
        <v>14</v>
      </c>
      <c r="K181" s="2" t="s">
        <v>101</v>
      </c>
      <c r="L181" s="2"/>
    </row>
    <row r="182" ht="15.75" customHeight="1">
      <c r="A182" s="3">
        <v>180.0</v>
      </c>
      <c r="B182" s="4" t="s">
        <v>599</v>
      </c>
      <c r="C182" s="2" t="s">
        <v>600</v>
      </c>
      <c r="D182" s="2" t="s">
        <v>54</v>
      </c>
      <c r="E182" s="3">
        <v>5.70056378158E11</v>
      </c>
      <c r="F182" s="2" t="s">
        <v>505</v>
      </c>
      <c r="G182" s="2" t="s">
        <v>12</v>
      </c>
      <c r="H182" s="2" t="s">
        <v>13</v>
      </c>
      <c r="I182" s="2" t="s">
        <v>411</v>
      </c>
      <c r="J182" s="2" t="s">
        <v>14</v>
      </c>
      <c r="K182" s="2" t="s">
        <v>101</v>
      </c>
      <c r="L182" s="2"/>
    </row>
    <row r="183" ht="15.75" customHeight="1">
      <c r="A183" s="3">
        <v>181.0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3">
        <v>182.0</v>
      </c>
      <c r="B184" s="2" t="s">
        <v>601</v>
      </c>
      <c r="C184" s="2" t="s">
        <v>602</v>
      </c>
      <c r="D184" s="2" t="s">
        <v>299</v>
      </c>
      <c r="E184" s="3">
        <v>5.70056378165E11</v>
      </c>
      <c r="F184" s="2" t="s">
        <v>603</v>
      </c>
      <c r="G184" s="2" t="s">
        <v>12</v>
      </c>
      <c r="H184" s="2" t="s">
        <v>13</v>
      </c>
      <c r="I184" s="2" t="s">
        <v>411</v>
      </c>
      <c r="J184" s="2" t="s">
        <v>14</v>
      </c>
      <c r="K184" s="2" t="s">
        <v>101</v>
      </c>
      <c r="L184" s="2"/>
    </row>
    <row r="185" ht="15.75" customHeight="1">
      <c r="A185" s="3">
        <v>183.0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3">
        <v>184.0</v>
      </c>
      <c r="B186" s="2" t="s">
        <v>299</v>
      </c>
      <c r="C186" s="2" t="s">
        <v>604</v>
      </c>
      <c r="D186" s="2" t="s">
        <v>605</v>
      </c>
      <c r="E186" s="3">
        <v>5.70056378167E11</v>
      </c>
      <c r="F186" s="2" t="s">
        <v>606</v>
      </c>
      <c r="G186" s="2" t="s">
        <v>12</v>
      </c>
      <c r="H186" s="2" t="s">
        <v>13</v>
      </c>
      <c r="I186" s="2" t="s">
        <v>411</v>
      </c>
      <c r="J186" s="2" t="s">
        <v>14</v>
      </c>
      <c r="K186" s="2" t="s">
        <v>101</v>
      </c>
      <c r="L186" s="2"/>
    </row>
    <row r="187" ht="15.75" customHeight="1">
      <c r="A187" s="3">
        <v>185.0</v>
      </c>
      <c r="B187" s="2" t="s">
        <v>444</v>
      </c>
      <c r="C187" s="2" t="s">
        <v>607</v>
      </c>
      <c r="D187" s="2" t="s">
        <v>608</v>
      </c>
      <c r="E187" s="3">
        <v>5.70056378169E11</v>
      </c>
      <c r="F187" s="2" t="s">
        <v>609</v>
      </c>
      <c r="G187" s="2" t="s">
        <v>12</v>
      </c>
      <c r="H187" s="2" t="s">
        <v>13</v>
      </c>
      <c r="I187" s="2" t="s">
        <v>411</v>
      </c>
      <c r="J187" s="2" t="s">
        <v>14</v>
      </c>
      <c r="K187" s="2" t="s">
        <v>101</v>
      </c>
      <c r="L187" s="2"/>
    </row>
    <row r="188" ht="15.75" customHeight="1">
      <c r="A188" s="3">
        <v>186.0</v>
      </c>
      <c r="B188" s="2" t="s">
        <v>558</v>
      </c>
      <c r="C188" s="2" t="s">
        <v>610</v>
      </c>
      <c r="D188" s="2" t="s">
        <v>611</v>
      </c>
      <c r="E188" s="3">
        <v>5.70056378171E11</v>
      </c>
      <c r="F188" s="2" t="s">
        <v>612</v>
      </c>
      <c r="G188" s="2" t="s">
        <v>12</v>
      </c>
      <c r="H188" s="2" t="s">
        <v>13</v>
      </c>
      <c r="I188" s="2" t="s">
        <v>411</v>
      </c>
      <c r="J188" s="2" t="s">
        <v>14</v>
      </c>
      <c r="K188" s="2" t="s">
        <v>101</v>
      </c>
      <c r="L188" s="2"/>
    </row>
    <row r="189" ht="15.75" customHeight="1">
      <c r="A189" s="3">
        <v>187.0</v>
      </c>
      <c r="B189" s="2" t="s">
        <v>613</v>
      </c>
      <c r="C189" s="2" t="s">
        <v>614</v>
      </c>
      <c r="D189" s="2" t="s">
        <v>615</v>
      </c>
      <c r="E189" s="3">
        <v>5.70056378175E11</v>
      </c>
      <c r="F189" s="2" t="s">
        <v>505</v>
      </c>
      <c r="G189" s="2" t="s">
        <v>12</v>
      </c>
      <c r="H189" s="2" t="s">
        <v>13</v>
      </c>
      <c r="I189" s="2" t="s">
        <v>411</v>
      </c>
      <c r="J189" s="2" t="s">
        <v>14</v>
      </c>
      <c r="K189" s="2" t="s">
        <v>101</v>
      </c>
      <c r="L189" s="2"/>
    </row>
    <row r="190" ht="15.75" customHeight="1">
      <c r="A190" s="3">
        <v>188.0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3">
        <v>189.0</v>
      </c>
      <c r="B191" s="2" t="s">
        <v>616</v>
      </c>
      <c r="C191" s="2" t="s">
        <v>617</v>
      </c>
      <c r="D191" s="2" t="s">
        <v>618</v>
      </c>
      <c r="E191" s="5">
        <v>5.70056378178E11</v>
      </c>
      <c r="F191" s="2" t="s">
        <v>619</v>
      </c>
      <c r="G191" s="2" t="s">
        <v>12</v>
      </c>
      <c r="H191" s="2" t="s">
        <v>13</v>
      </c>
      <c r="I191" s="2" t="s">
        <v>14</v>
      </c>
      <c r="J191" s="2" t="s">
        <v>101</v>
      </c>
      <c r="K191" s="2"/>
      <c r="L191" s="2"/>
    </row>
    <row r="192" ht="15.75" customHeight="1">
      <c r="A192" s="3">
        <v>190.0</v>
      </c>
      <c r="B192" s="2" t="s">
        <v>620</v>
      </c>
      <c r="C192" s="2" t="s">
        <v>621</v>
      </c>
      <c r="D192" s="2" t="s">
        <v>236</v>
      </c>
      <c r="E192" s="3">
        <v>5.70056378181E11</v>
      </c>
      <c r="F192" s="2" t="s">
        <v>622</v>
      </c>
      <c r="G192" s="2" t="s">
        <v>12</v>
      </c>
      <c r="H192" s="2" t="s">
        <v>13</v>
      </c>
      <c r="I192" s="2" t="s">
        <v>411</v>
      </c>
      <c r="J192" s="2" t="s">
        <v>14</v>
      </c>
      <c r="K192" s="2" t="s">
        <v>101</v>
      </c>
      <c r="L192" s="2"/>
    </row>
    <row r="193" ht="15.75" customHeight="1">
      <c r="A193" s="3">
        <v>191.0</v>
      </c>
      <c r="B193" s="2" t="s">
        <v>623</v>
      </c>
      <c r="C193" s="2" t="s">
        <v>624</v>
      </c>
      <c r="D193" s="2" t="s">
        <v>625</v>
      </c>
      <c r="E193" s="5">
        <v>5.70056378182E11</v>
      </c>
      <c r="F193" s="2" t="s">
        <v>626</v>
      </c>
      <c r="G193" s="2" t="s">
        <v>12</v>
      </c>
      <c r="H193" s="2" t="s">
        <v>13</v>
      </c>
      <c r="I193" s="2" t="s">
        <v>14</v>
      </c>
      <c r="J193" s="2" t="s">
        <v>101</v>
      </c>
      <c r="K193" s="2"/>
      <c r="L193" s="2"/>
    </row>
    <row r="194" ht="15.75" customHeight="1">
      <c r="A194" s="3">
        <v>192.0</v>
      </c>
      <c r="B194" s="2" t="s">
        <v>627</v>
      </c>
      <c r="C194" s="2" t="s">
        <v>628</v>
      </c>
      <c r="D194" s="2" t="s">
        <v>115</v>
      </c>
      <c r="E194" s="3">
        <v>5.70056378183E11</v>
      </c>
      <c r="F194" s="2" t="s">
        <v>461</v>
      </c>
      <c r="G194" s="2" t="s">
        <v>12</v>
      </c>
      <c r="H194" s="2" t="s">
        <v>13</v>
      </c>
      <c r="I194" s="2" t="s">
        <v>411</v>
      </c>
      <c r="J194" s="2" t="s">
        <v>14</v>
      </c>
      <c r="K194" s="2" t="s">
        <v>101</v>
      </c>
      <c r="L194" s="2"/>
    </row>
    <row r="195" ht="15.75" customHeight="1">
      <c r="A195" s="3">
        <v>193.0</v>
      </c>
      <c r="B195" s="2" t="s">
        <v>629</v>
      </c>
      <c r="C195" s="2" t="s">
        <v>630</v>
      </c>
      <c r="D195" s="2" t="s">
        <v>631</v>
      </c>
      <c r="E195" s="3">
        <v>5.70056378184E11</v>
      </c>
      <c r="F195" s="2" t="s">
        <v>452</v>
      </c>
      <c r="G195" s="2" t="s">
        <v>12</v>
      </c>
      <c r="H195" s="2" t="s">
        <v>13</v>
      </c>
      <c r="I195" s="2" t="s">
        <v>411</v>
      </c>
      <c r="J195" s="2" t="s">
        <v>14</v>
      </c>
      <c r="K195" s="2" t="s">
        <v>101</v>
      </c>
      <c r="L195" s="2"/>
    </row>
    <row r="196" ht="15.75" customHeight="1">
      <c r="A196" s="3">
        <v>194.0</v>
      </c>
      <c r="B196" s="2" t="s">
        <v>632</v>
      </c>
      <c r="C196" s="2" t="s">
        <v>633</v>
      </c>
      <c r="D196" s="2" t="s">
        <v>634</v>
      </c>
      <c r="E196" s="3">
        <v>5.70056378186E11</v>
      </c>
      <c r="F196" s="2" t="s">
        <v>635</v>
      </c>
      <c r="G196" s="2" t="s">
        <v>12</v>
      </c>
      <c r="H196" s="2" t="s">
        <v>13</v>
      </c>
      <c r="I196" s="2" t="s">
        <v>411</v>
      </c>
      <c r="J196" s="2" t="s">
        <v>14</v>
      </c>
      <c r="K196" s="2" t="s">
        <v>101</v>
      </c>
      <c r="L196" s="2"/>
    </row>
    <row r="197" ht="15.75" customHeight="1">
      <c r="A197" s="3">
        <v>195.0</v>
      </c>
      <c r="B197" s="2" t="s">
        <v>636</v>
      </c>
      <c r="C197" s="2" t="s">
        <v>637</v>
      </c>
      <c r="D197" s="2" t="s">
        <v>638</v>
      </c>
      <c r="E197" s="3">
        <v>5.70056378188E11</v>
      </c>
      <c r="F197" s="2" t="s">
        <v>639</v>
      </c>
      <c r="G197" s="2" t="s">
        <v>12</v>
      </c>
      <c r="H197" s="2" t="s">
        <v>13</v>
      </c>
      <c r="I197" s="2" t="s">
        <v>411</v>
      </c>
      <c r="J197" s="2" t="s">
        <v>14</v>
      </c>
      <c r="K197" s="2" t="s">
        <v>101</v>
      </c>
      <c r="L197" s="2"/>
    </row>
    <row r="198" ht="15.75" customHeight="1">
      <c r="A198" s="3">
        <v>196.0</v>
      </c>
      <c r="B198" s="2" t="s">
        <v>640</v>
      </c>
      <c r="C198" s="2" t="s">
        <v>641</v>
      </c>
      <c r="D198" s="2" t="s">
        <v>642</v>
      </c>
      <c r="E198" s="3">
        <v>5.70056378189E11</v>
      </c>
      <c r="F198" s="2" t="s">
        <v>643</v>
      </c>
      <c r="G198" s="2" t="s">
        <v>12</v>
      </c>
      <c r="H198" s="2" t="s">
        <v>13</v>
      </c>
      <c r="I198" s="2" t="s">
        <v>411</v>
      </c>
      <c r="J198" s="2" t="s">
        <v>14</v>
      </c>
      <c r="K198" s="2" t="s">
        <v>101</v>
      </c>
      <c r="L198" s="2"/>
    </row>
    <row r="199" ht="15.75" customHeight="1">
      <c r="A199" s="3">
        <v>197.0</v>
      </c>
      <c r="B199" s="2" t="s">
        <v>644</v>
      </c>
      <c r="C199" s="2" t="s">
        <v>645</v>
      </c>
      <c r="D199" s="2" t="s">
        <v>646</v>
      </c>
      <c r="E199" s="3">
        <v>5.70056378191E11</v>
      </c>
      <c r="F199" s="2" t="s">
        <v>647</v>
      </c>
      <c r="G199" s="2" t="s">
        <v>12</v>
      </c>
      <c r="H199" s="2" t="s">
        <v>13</v>
      </c>
      <c r="I199" s="2" t="s">
        <v>411</v>
      </c>
      <c r="J199" s="2" t="s">
        <v>14</v>
      </c>
      <c r="K199" s="2" t="s">
        <v>101</v>
      </c>
      <c r="L199" s="2"/>
    </row>
    <row r="200" ht="15.75" customHeight="1">
      <c r="A200" s="3">
        <v>198.0</v>
      </c>
      <c r="B200" s="2" t="s">
        <v>632</v>
      </c>
      <c r="C200" s="2" t="s">
        <v>648</v>
      </c>
      <c r="D200" s="2" t="s">
        <v>649</v>
      </c>
      <c r="E200" s="3">
        <v>5.70056378194E11</v>
      </c>
      <c r="F200" s="2" t="s">
        <v>609</v>
      </c>
      <c r="G200" s="2" t="s">
        <v>12</v>
      </c>
      <c r="H200" s="2" t="s">
        <v>13</v>
      </c>
      <c r="I200" s="2" t="s">
        <v>411</v>
      </c>
      <c r="J200" s="2" t="s">
        <v>14</v>
      </c>
      <c r="K200" s="2" t="s">
        <v>101</v>
      </c>
      <c r="L200" s="2"/>
    </row>
    <row r="201" ht="15.75" customHeight="1">
      <c r="A201" s="3">
        <v>199.0</v>
      </c>
      <c r="B201" s="2" t="s">
        <v>650</v>
      </c>
      <c r="C201" s="2" t="s">
        <v>651</v>
      </c>
      <c r="D201" s="2" t="s">
        <v>486</v>
      </c>
      <c r="E201" s="3">
        <v>5.70056378196E11</v>
      </c>
      <c r="F201" s="2" t="s">
        <v>652</v>
      </c>
      <c r="G201" s="2" t="s">
        <v>12</v>
      </c>
      <c r="H201" s="2" t="s">
        <v>13</v>
      </c>
      <c r="I201" s="2" t="s">
        <v>411</v>
      </c>
      <c r="J201" s="2" t="s">
        <v>14</v>
      </c>
      <c r="K201" s="2" t="s">
        <v>101</v>
      </c>
      <c r="L201" s="2"/>
    </row>
    <row r="202" ht="15.75" customHeight="1">
      <c r="A202" s="3">
        <v>200.0</v>
      </c>
      <c r="B202" s="2" t="s">
        <v>653</v>
      </c>
      <c r="C202" s="2" t="s">
        <v>654</v>
      </c>
      <c r="D202" s="2" t="s">
        <v>655</v>
      </c>
      <c r="E202" s="3">
        <v>5.70056378199E11</v>
      </c>
      <c r="F202" s="2" t="s">
        <v>656</v>
      </c>
      <c r="G202" s="2" t="s">
        <v>12</v>
      </c>
      <c r="H202" s="2" t="s">
        <v>13</v>
      </c>
      <c r="I202" s="2" t="s">
        <v>411</v>
      </c>
      <c r="J202" s="2" t="s">
        <v>14</v>
      </c>
      <c r="K202" s="2" t="s">
        <v>101</v>
      </c>
      <c r="L202" s="2"/>
    </row>
    <row r="203" ht="15.75" customHeight="1">
      <c r="A203" s="3">
        <v>201.0</v>
      </c>
      <c r="B203" s="2" t="s">
        <v>657</v>
      </c>
      <c r="C203" s="2" t="s">
        <v>658</v>
      </c>
      <c r="D203" s="2" t="s">
        <v>659</v>
      </c>
      <c r="E203" s="5">
        <v>5.70056378202E11</v>
      </c>
      <c r="F203" s="2" t="s">
        <v>660</v>
      </c>
      <c r="G203" s="2" t="s">
        <v>12</v>
      </c>
      <c r="H203" s="2" t="s">
        <v>356</v>
      </c>
      <c r="I203" s="2" t="s">
        <v>13</v>
      </c>
      <c r="J203" s="2" t="s">
        <v>14</v>
      </c>
      <c r="K203" s="2" t="s">
        <v>101</v>
      </c>
      <c r="L203" s="2"/>
    </row>
    <row r="204" ht="15.75" customHeight="1">
      <c r="A204" s="3">
        <v>202.0</v>
      </c>
      <c r="B204" s="4" t="s">
        <v>661</v>
      </c>
      <c r="C204" s="2" t="s">
        <v>662</v>
      </c>
      <c r="D204" s="2" t="s">
        <v>663</v>
      </c>
      <c r="E204" s="3">
        <v>5.70056378204E11</v>
      </c>
      <c r="F204" s="2" t="s">
        <v>664</v>
      </c>
      <c r="G204" s="2" t="s">
        <v>12</v>
      </c>
      <c r="H204" s="2" t="s">
        <v>13</v>
      </c>
      <c r="I204" s="2" t="s">
        <v>14</v>
      </c>
      <c r="J204" s="2" t="s">
        <v>101</v>
      </c>
      <c r="K204" s="2"/>
      <c r="L204" s="2"/>
    </row>
    <row r="205" ht="15.75" customHeight="1">
      <c r="A205" s="3">
        <v>203.0</v>
      </c>
      <c r="B205" s="2" t="s">
        <v>20</v>
      </c>
      <c r="C205" s="2" t="s">
        <v>665</v>
      </c>
      <c r="D205" s="2" t="s">
        <v>666</v>
      </c>
      <c r="E205" s="3">
        <v>5.70056378205E11</v>
      </c>
      <c r="F205" s="2" t="s">
        <v>667</v>
      </c>
      <c r="G205" s="2" t="s">
        <v>12</v>
      </c>
      <c r="H205" s="2" t="s">
        <v>344</v>
      </c>
      <c r="I205" s="2" t="s">
        <v>13</v>
      </c>
      <c r="J205" s="2" t="s">
        <v>14</v>
      </c>
      <c r="K205" s="2" t="s">
        <v>101</v>
      </c>
      <c r="L205" s="2"/>
    </row>
    <row r="206" ht="15.75" customHeight="1">
      <c r="A206" s="3">
        <v>204.0</v>
      </c>
      <c r="B206" s="2" t="s">
        <v>668</v>
      </c>
      <c r="C206" s="2" t="s">
        <v>669</v>
      </c>
      <c r="D206" s="2" t="s">
        <v>670</v>
      </c>
      <c r="E206" s="3">
        <v>5.70056378206E11</v>
      </c>
      <c r="F206" s="2" t="s">
        <v>671</v>
      </c>
      <c r="G206" s="2" t="s">
        <v>12</v>
      </c>
      <c r="H206" s="2" t="s">
        <v>498</v>
      </c>
      <c r="I206" s="2" t="s">
        <v>13</v>
      </c>
      <c r="J206" s="2" t="s">
        <v>14</v>
      </c>
      <c r="K206" s="2" t="s">
        <v>101</v>
      </c>
      <c r="L206" s="2"/>
    </row>
    <row r="207" ht="15.75" customHeight="1">
      <c r="A207" s="3">
        <v>205.0</v>
      </c>
      <c r="B207" s="2" t="s">
        <v>672</v>
      </c>
      <c r="C207" s="2" t="s">
        <v>673</v>
      </c>
      <c r="D207" s="2" t="s">
        <v>674</v>
      </c>
      <c r="E207" s="3">
        <v>5.70056378207E11</v>
      </c>
      <c r="F207" s="2" t="s">
        <v>675</v>
      </c>
      <c r="G207" s="2" t="s">
        <v>12</v>
      </c>
      <c r="H207" s="2" t="s">
        <v>498</v>
      </c>
      <c r="I207" s="2" t="s">
        <v>13</v>
      </c>
      <c r="J207" s="2" t="s">
        <v>14</v>
      </c>
      <c r="K207" s="2" t="s">
        <v>101</v>
      </c>
      <c r="L207" s="2"/>
    </row>
    <row r="208" ht="15.75" customHeight="1">
      <c r="A208" s="3">
        <v>206.0</v>
      </c>
      <c r="B208" s="2" t="s">
        <v>676</v>
      </c>
      <c r="C208" s="2" t="s">
        <v>677</v>
      </c>
      <c r="D208" s="2" t="s">
        <v>205</v>
      </c>
      <c r="E208" s="3">
        <v>5.7005637821E11</v>
      </c>
      <c r="F208" s="2" t="s">
        <v>678</v>
      </c>
      <c r="G208" s="2" t="s">
        <v>12</v>
      </c>
      <c r="H208" s="2" t="s">
        <v>498</v>
      </c>
      <c r="I208" s="2" t="s">
        <v>13</v>
      </c>
      <c r="J208" s="2" t="s">
        <v>14</v>
      </c>
      <c r="K208" s="2" t="s">
        <v>101</v>
      </c>
      <c r="L208" s="2"/>
    </row>
    <row r="209" ht="15.75" customHeight="1">
      <c r="A209" s="3">
        <v>207.0</v>
      </c>
      <c r="B209" s="2" t="s">
        <v>679</v>
      </c>
      <c r="C209" s="2" t="s">
        <v>680</v>
      </c>
      <c r="D209" s="2" t="s">
        <v>681</v>
      </c>
      <c r="E209" s="3">
        <v>5.70056378213E11</v>
      </c>
      <c r="F209" s="2" t="s">
        <v>682</v>
      </c>
      <c r="G209" s="2" t="s">
        <v>12</v>
      </c>
      <c r="H209" s="2" t="s">
        <v>493</v>
      </c>
      <c r="I209" s="2" t="s">
        <v>13</v>
      </c>
      <c r="J209" s="2" t="s">
        <v>14</v>
      </c>
      <c r="K209" s="2" t="s">
        <v>101</v>
      </c>
      <c r="L209" s="2"/>
    </row>
    <row r="210" ht="15.75" customHeight="1">
      <c r="A210" s="3">
        <v>208.0</v>
      </c>
      <c r="B210" s="2" t="s">
        <v>683</v>
      </c>
      <c r="C210" s="2" t="s">
        <v>684</v>
      </c>
      <c r="D210" s="2" t="s">
        <v>685</v>
      </c>
      <c r="E210" s="3">
        <v>5.70056378214E11</v>
      </c>
      <c r="F210" s="2" t="s">
        <v>686</v>
      </c>
      <c r="G210" s="2" t="s">
        <v>12</v>
      </c>
      <c r="H210" s="2" t="s">
        <v>498</v>
      </c>
      <c r="I210" s="2" t="s">
        <v>14</v>
      </c>
      <c r="J210" s="2" t="s">
        <v>101</v>
      </c>
      <c r="K210" s="2"/>
      <c r="L210" s="2"/>
    </row>
    <row r="211" ht="15.75" customHeight="1">
      <c r="A211" s="3">
        <v>209.0</v>
      </c>
      <c r="B211" s="2" t="s">
        <v>499</v>
      </c>
      <c r="C211" s="2" t="s">
        <v>687</v>
      </c>
      <c r="D211" s="2" t="s">
        <v>381</v>
      </c>
      <c r="E211" s="3">
        <v>5.70056378216E11</v>
      </c>
      <c r="F211" s="2" t="s">
        <v>688</v>
      </c>
      <c r="G211" s="2" t="s">
        <v>12</v>
      </c>
      <c r="H211" s="2" t="s">
        <v>498</v>
      </c>
      <c r="I211" s="2" t="s">
        <v>14</v>
      </c>
      <c r="J211" s="2" t="s">
        <v>101</v>
      </c>
      <c r="K211" s="2"/>
      <c r="L211" s="2"/>
    </row>
    <row r="212" ht="15.75" customHeight="1">
      <c r="A212" s="3">
        <v>210.0</v>
      </c>
      <c r="B212" s="2" t="s">
        <v>158</v>
      </c>
      <c r="C212" s="2" t="s">
        <v>689</v>
      </c>
      <c r="D212" s="2" t="s">
        <v>690</v>
      </c>
      <c r="E212" s="5">
        <v>5.70056378217E11</v>
      </c>
      <c r="F212" s="2" t="s">
        <v>691</v>
      </c>
      <c r="G212" s="2" t="s">
        <v>12</v>
      </c>
      <c r="H212" s="2" t="s">
        <v>498</v>
      </c>
      <c r="I212" s="2" t="s">
        <v>13</v>
      </c>
      <c r="J212" s="2" t="s">
        <v>14</v>
      </c>
      <c r="K212" s="2" t="s">
        <v>101</v>
      </c>
      <c r="L212" s="2"/>
    </row>
    <row r="213" ht="15.75" customHeight="1">
      <c r="A213" s="3">
        <v>211.0</v>
      </c>
      <c r="B213" s="4" t="s">
        <v>692</v>
      </c>
      <c r="C213" s="2" t="s">
        <v>226</v>
      </c>
      <c r="D213" s="2" t="s">
        <v>693</v>
      </c>
      <c r="E213" s="3">
        <v>5.70056378235E11</v>
      </c>
      <c r="F213" s="2" t="s">
        <v>694</v>
      </c>
      <c r="G213" s="2" t="s">
        <v>12</v>
      </c>
      <c r="H213" s="2" t="s">
        <v>13</v>
      </c>
      <c r="I213" s="2" t="s">
        <v>411</v>
      </c>
      <c r="J213" s="2" t="s">
        <v>14</v>
      </c>
      <c r="K213" s="2" t="s">
        <v>101</v>
      </c>
      <c r="L213" s="2"/>
    </row>
    <row r="214" ht="15.75" customHeight="1">
      <c r="A214" s="3">
        <v>212.0</v>
      </c>
      <c r="B214" s="2" t="s">
        <v>695</v>
      </c>
      <c r="C214" s="2" t="s">
        <v>696</v>
      </c>
      <c r="D214" s="2" t="s">
        <v>649</v>
      </c>
      <c r="E214" s="3">
        <v>5.70056378241E11</v>
      </c>
      <c r="F214" s="2" t="s">
        <v>697</v>
      </c>
      <c r="G214" s="2" t="s">
        <v>12</v>
      </c>
      <c r="H214" s="2" t="s">
        <v>13</v>
      </c>
      <c r="I214" s="2" t="s">
        <v>14</v>
      </c>
      <c r="J214" s="2" t="s">
        <v>101</v>
      </c>
      <c r="K214" s="2"/>
      <c r="L214" s="2"/>
    </row>
    <row r="215" ht="15.75" customHeight="1">
      <c r="A215" s="3">
        <v>213.0</v>
      </c>
      <c r="B215" s="2" t="s">
        <v>698</v>
      </c>
      <c r="C215" s="2" t="s">
        <v>419</v>
      </c>
      <c r="D215" s="2" t="s">
        <v>699</v>
      </c>
      <c r="E215" s="3">
        <v>5.70056378243E11</v>
      </c>
      <c r="F215" s="2" t="s">
        <v>700</v>
      </c>
      <c r="G215" s="2" t="s">
        <v>12</v>
      </c>
      <c r="H215" s="2" t="s">
        <v>13</v>
      </c>
      <c r="I215" s="2" t="s">
        <v>14</v>
      </c>
      <c r="J215" s="2" t="s">
        <v>101</v>
      </c>
      <c r="K215" s="2"/>
      <c r="L215" s="2"/>
    </row>
    <row r="216" ht="15.75" customHeight="1">
      <c r="A216" s="3">
        <v>214.0</v>
      </c>
      <c r="B216" s="2" t="s">
        <v>701</v>
      </c>
      <c r="C216" s="2" t="s">
        <v>702</v>
      </c>
      <c r="D216" s="2" t="s">
        <v>703</v>
      </c>
      <c r="E216" s="3">
        <v>5.70056378248E11</v>
      </c>
      <c r="F216" s="2" t="s">
        <v>704</v>
      </c>
      <c r="G216" s="2" t="s">
        <v>12</v>
      </c>
      <c r="H216" s="2" t="s">
        <v>13</v>
      </c>
      <c r="I216" s="2" t="s">
        <v>14</v>
      </c>
      <c r="J216" s="2" t="s">
        <v>101</v>
      </c>
      <c r="K216" s="2"/>
      <c r="L216" s="2"/>
    </row>
    <row r="217" ht="15.75" customHeight="1">
      <c r="A217" s="3">
        <v>215.0</v>
      </c>
      <c r="B217" s="2" t="s">
        <v>705</v>
      </c>
      <c r="C217" s="2" t="s">
        <v>283</v>
      </c>
      <c r="D217" s="2" t="s">
        <v>706</v>
      </c>
      <c r="E217" s="5">
        <v>5.70056378253E11</v>
      </c>
      <c r="F217" s="2" t="s">
        <v>707</v>
      </c>
      <c r="G217" s="2" t="s">
        <v>12</v>
      </c>
      <c r="H217" s="2" t="s">
        <v>13</v>
      </c>
      <c r="I217" s="2" t="s">
        <v>14</v>
      </c>
      <c r="J217" s="2" t="s">
        <v>101</v>
      </c>
      <c r="K217" s="2"/>
      <c r="L217" s="2"/>
    </row>
    <row r="218" ht="15.75" customHeight="1">
      <c r="A218" s="3">
        <v>216.0</v>
      </c>
      <c r="B218" s="2" t="s">
        <v>407</v>
      </c>
      <c r="C218" s="2" t="s">
        <v>637</v>
      </c>
      <c r="D218" s="2" t="s">
        <v>638</v>
      </c>
      <c r="E218" s="3">
        <v>5.70056378254E11</v>
      </c>
      <c r="F218" s="2" t="s">
        <v>708</v>
      </c>
      <c r="G218" s="2" t="s">
        <v>12</v>
      </c>
      <c r="H218" s="2" t="s">
        <v>498</v>
      </c>
      <c r="I218" s="2" t="s">
        <v>14</v>
      </c>
      <c r="J218" s="2" t="s">
        <v>101</v>
      </c>
      <c r="K218" s="2"/>
      <c r="L218" s="2"/>
    </row>
    <row r="219" ht="15.75" customHeight="1">
      <c r="A219" s="3">
        <v>217.0</v>
      </c>
      <c r="B219" s="2" t="s">
        <v>299</v>
      </c>
      <c r="C219" s="2" t="s">
        <v>709</v>
      </c>
      <c r="D219" s="2" t="s">
        <v>122</v>
      </c>
      <c r="E219" s="3">
        <v>5.70056378256E11</v>
      </c>
      <c r="F219" s="2" t="s">
        <v>710</v>
      </c>
      <c r="G219" s="2" t="s">
        <v>12</v>
      </c>
      <c r="H219" s="2" t="s">
        <v>13</v>
      </c>
      <c r="I219" s="2" t="s">
        <v>14</v>
      </c>
      <c r="J219" s="2" t="s">
        <v>101</v>
      </c>
      <c r="K219" s="2"/>
      <c r="L219" s="2"/>
    </row>
    <row r="220" ht="15.75" customHeight="1">
      <c r="A220" s="3">
        <v>218.0</v>
      </c>
      <c r="B220" s="2" t="s">
        <v>711</v>
      </c>
      <c r="C220" s="2" t="s">
        <v>712</v>
      </c>
      <c r="D220" s="2" t="s">
        <v>423</v>
      </c>
      <c r="E220" s="3">
        <v>5.7005637826E11</v>
      </c>
      <c r="F220" s="2" t="s">
        <v>713</v>
      </c>
      <c r="G220" s="2" t="s">
        <v>12</v>
      </c>
      <c r="H220" s="2" t="s">
        <v>498</v>
      </c>
      <c r="I220" s="2" t="s">
        <v>13</v>
      </c>
      <c r="J220" s="2" t="s">
        <v>14</v>
      </c>
      <c r="K220" s="2" t="s">
        <v>101</v>
      </c>
      <c r="L220" s="2"/>
    </row>
    <row r="221" ht="15.75" customHeight="1">
      <c r="A221" s="3">
        <v>219.0</v>
      </c>
      <c r="B221" s="2" t="s">
        <v>217</v>
      </c>
      <c r="C221" s="2" t="s">
        <v>714</v>
      </c>
      <c r="D221" s="2" t="s">
        <v>715</v>
      </c>
      <c r="E221" s="3">
        <v>5.70056378266E11</v>
      </c>
      <c r="F221" s="2" t="s">
        <v>716</v>
      </c>
      <c r="G221" s="2" t="s">
        <v>12</v>
      </c>
      <c r="H221" s="2" t="s">
        <v>493</v>
      </c>
      <c r="I221" s="2" t="s">
        <v>13</v>
      </c>
      <c r="J221" s="2" t="s">
        <v>14</v>
      </c>
      <c r="K221" s="2" t="s">
        <v>101</v>
      </c>
      <c r="L221" s="2"/>
    </row>
    <row r="222" ht="15.75" customHeight="1">
      <c r="A222" s="3">
        <v>220.0</v>
      </c>
      <c r="B222" s="2" t="s">
        <v>553</v>
      </c>
      <c r="C222" s="2" t="s">
        <v>717</v>
      </c>
      <c r="D222" s="2" t="s">
        <v>718</v>
      </c>
      <c r="E222" s="3">
        <v>5.70056378268E11</v>
      </c>
      <c r="F222" s="2" t="s">
        <v>719</v>
      </c>
      <c r="G222" s="2" t="s">
        <v>12</v>
      </c>
      <c r="H222" s="2" t="s">
        <v>498</v>
      </c>
      <c r="I222" s="2" t="s">
        <v>13</v>
      </c>
      <c r="J222" s="2" t="s">
        <v>14</v>
      </c>
      <c r="K222" s="2" t="s">
        <v>101</v>
      </c>
      <c r="L222" s="2"/>
    </row>
    <row r="223" ht="15.75" customHeight="1">
      <c r="A223" s="3">
        <v>221.0</v>
      </c>
      <c r="B223" s="2" t="s">
        <v>720</v>
      </c>
      <c r="C223" s="2" t="s">
        <v>721</v>
      </c>
      <c r="D223" s="2" t="s">
        <v>108</v>
      </c>
      <c r="E223" s="3">
        <v>5.70056378271E11</v>
      </c>
      <c r="F223" s="2" t="s">
        <v>722</v>
      </c>
      <c r="G223" s="2" t="s">
        <v>12</v>
      </c>
      <c r="H223" s="2" t="s">
        <v>498</v>
      </c>
      <c r="I223" s="2" t="s">
        <v>13</v>
      </c>
      <c r="J223" s="2" t="s">
        <v>14</v>
      </c>
      <c r="K223" s="2" t="s">
        <v>101</v>
      </c>
      <c r="L223" s="2"/>
    </row>
    <row r="224" ht="15.75" customHeight="1">
      <c r="A224" s="3">
        <v>222.0</v>
      </c>
      <c r="B224" s="2" t="s">
        <v>723</v>
      </c>
      <c r="C224" s="2" t="s">
        <v>724</v>
      </c>
      <c r="D224" s="2" t="s">
        <v>725</v>
      </c>
      <c r="E224" s="3">
        <v>5.70056378272E11</v>
      </c>
      <c r="F224" s="2" t="s">
        <v>726</v>
      </c>
      <c r="G224" s="2" t="s">
        <v>12</v>
      </c>
      <c r="H224" s="2" t="s">
        <v>498</v>
      </c>
      <c r="I224" s="2" t="s">
        <v>14</v>
      </c>
      <c r="J224" s="2" t="s">
        <v>101</v>
      </c>
      <c r="K224" s="2"/>
      <c r="L224" s="2"/>
    </row>
    <row r="225" ht="15.75" customHeight="1">
      <c r="A225" s="3">
        <v>223.0</v>
      </c>
      <c r="B225" s="2" t="s">
        <v>151</v>
      </c>
      <c r="C225" s="2" t="s">
        <v>727</v>
      </c>
      <c r="D225" s="2" t="s">
        <v>728</v>
      </c>
      <c r="E225" s="3">
        <v>5.70056378276E11</v>
      </c>
      <c r="F225" s="2" t="s">
        <v>729</v>
      </c>
      <c r="G225" s="2" t="s">
        <v>12</v>
      </c>
      <c r="H225" s="2" t="s">
        <v>498</v>
      </c>
      <c r="I225" s="2" t="s">
        <v>13</v>
      </c>
      <c r="J225" s="2" t="s">
        <v>14</v>
      </c>
      <c r="K225" s="2" t="s">
        <v>101</v>
      </c>
      <c r="L225" s="2"/>
    </row>
    <row r="226" ht="15.75" customHeight="1">
      <c r="A226" s="3">
        <v>224.0</v>
      </c>
      <c r="B226" s="2" t="s">
        <v>54</v>
      </c>
      <c r="C226" s="2" t="s">
        <v>82</v>
      </c>
      <c r="D226" s="2" t="s">
        <v>730</v>
      </c>
      <c r="E226" s="3">
        <v>5.7005637828E11</v>
      </c>
      <c r="F226" s="2" t="s">
        <v>731</v>
      </c>
      <c r="G226" s="2" t="s">
        <v>12</v>
      </c>
      <c r="H226" s="2" t="s">
        <v>498</v>
      </c>
      <c r="I226" s="2" t="s">
        <v>14</v>
      </c>
      <c r="J226" s="2" t="s">
        <v>101</v>
      </c>
      <c r="K226" s="2"/>
      <c r="L226" s="2"/>
    </row>
    <row r="227" ht="15.75" customHeight="1">
      <c r="A227" s="3">
        <v>225.0</v>
      </c>
      <c r="B227" s="2" t="s">
        <v>732</v>
      </c>
      <c r="C227" s="2" t="s">
        <v>733</v>
      </c>
      <c r="D227" s="2" t="s">
        <v>437</v>
      </c>
      <c r="E227" s="3">
        <v>5.70056378283E11</v>
      </c>
      <c r="F227" s="2" t="s">
        <v>734</v>
      </c>
      <c r="G227" s="2" t="s">
        <v>12</v>
      </c>
      <c r="H227" s="2" t="s">
        <v>498</v>
      </c>
      <c r="I227" s="2" t="s">
        <v>13</v>
      </c>
      <c r="J227" s="2" t="s">
        <v>14</v>
      </c>
      <c r="K227" s="2" t="s">
        <v>101</v>
      </c>
      <c r="L227" s="2"/>
    </row>
    <row r="228" ht="15.75" customHeight="1">
      <c r="A228" s="3">
        <v>226.0</v>
      </c>
      <c r="B228" s="2" t="s">
        <v>735</v>
      </c>
      <c r="C228" s="2" t="s">
        <v>736</v>
      </c>
      <c r="D228" s="2" t="s">
        <v>737</v>
      </c>
      <c r="E228" s="3">
        <v>5.70056378288E11</v>
      </c>
      <c r="F228" s="2" t="s">
        <v>738</v>
      </c>
      <c r="G228" s="2" t="s">
        <v>12</v>
      </c>
      <c r="H228" s="2" t="s">
        <v>498</v>
      </c>
      <c r="I228" s="2" t="s">
        <v>13</v>
      </c>
      <c r="J228" s="2" t="s">
        <v>14</v>
      </c>
      <c r="K228" s="2" t="s">
        <v>101</v>
      </c>
      <c r="L228" s="2"/>
    </row>
    <row r="229" ht="15.75" customHeight="1">
      <c r="A229" s="3">
        <v>227.0</v>
      </c>
      <c r="B229" s="2" t="s">
        <v>659</v>
      </c>
      <c r="C229" s="2" t="s">
        <v>739</v>
      </c>
      <c r="D229" s="2" t="s">
        <v>251</v>
      </c>
      <c r="E229" s="3">
        <v>5.70056378289E11</v>
      </c>
      <c r="F229" s="2" t="s">
        <v>740</v>
      </c>
      <c r="G229" s="2" t="s">
        <v>12</v>
      </c>
      <c r="H229" s="2" t="s">
        <v>13</v>
      </c>
      <c r="I229" s="2" t="s">
        <v>14</v>
      </c>
      <c r="J229" s="2" t="s">
        <v>101</v>
      </c>
      <c r="K229" s="2"/>
      <c r="L229" s="2"/>
    </row>
    <row r="230" ht="15.75" customHeight="1">
      <c r="A230" s="3">
        <v>228.0</v>
      </c>
      <c r="B230" s="2" t="s">
        <v>741</v>
      </c>
      <c r="C230" s="2" t="s">
        <v>742</v>
      </c>
      <c r="D230" s="2" t="s">
        <v>743</v>
      </c>
      <c r="E230" s="3">
        <v>5.7005637829E11</v>
      </c>
      <c r="F230" s="2" t="s">
        <v>744</v>
      </c>
      <c r="G230" s="2" t="s">
        <v>12</v>
      </c>
      <c r="H230" s="2" t="s">
        <v>498</v>
      </c>
      <c r="I230" s="2" t="s">
        <v>13</v>
      </c>
      <c r="J230" s="2" t="s">
        <v>14</v>
      </c>
      <c r="K230" s="2" t="s">
        <v>101</v>
      </c>
      <c r="L230" s="2"/>
    </row>
    <row r="231" ht="15.75" customHeight="1">
      <c r="A231" s="3">
        <v>229.0</v>
      </c>
      <c r="B231" s="2" t="s">
        <v>745</v>
      </c>
      <c r="C231" s="2" t="s">
        <v>746</v>
      </c>
      <c r="D231" s="2" t="s">
        <v>623</v>
      </c>
      <c r="E231" s="3">
        <v>5.70056378297E11</v>
      </c>
      <c r="F231" s="2" t="s">
        <v>731</v>
      </c>
      <c r="G231" s="2" t="s">
        <v>12</v>
      </c>
      <c r="H231" s="2" t="s">
        <v>493</v>
      </c>
      <c r="I231" s="2" t="s">
        <v>13</v>
      </c>
      <c r="J231" s="2" t="s">
        <v>14</v>
      </c>
      <c r="K231" s="2" t="s">
        <v>101</v>
      </c>
      <c r="L231" s="2"/>
    </row>
    <row r="232" ht="15.75" customHeight="1">
      <c r="A232" s="3">
        <v>230.0</v>
      </c>
      <c r="B232" s="2" t="s">
        <v>747</v>
      </c>
      <c r="C232" s="2" t="s">
        <v>748</v>
      </c>
      <c r="D232" s="2" t="s">
        <v>749</v>
      </c>
      <c r="E232" s="3">
        <v>5.70056378299E11</v>
      </c>
      <c r="F232" s="2" t="s">
        <v>750</v>
      </c>
      <c r="G232" s="2" t="s">
        <v>12</v>
      </c>
      <c r="H232" s="2" t="s">
        <v>356</v>
      </c>
      <c r="I232" s="2" t="s">
        <v>13</v>
      </c>
      <c r="J232" s="2" t="s">
        <v>14</v>
      </c>
      <c r="K232" s="2" t="s">
        <v>101</v>
      </c>
      <c r="L232" s="2"/>
    </row>
    <row r="233" ht="15.75" customHeight="1">
      <c r="A233" s="3">
        <v>231.0</v>
      </c>
      <c r="B233" s="4" t="s">
        <v>751</v>
      </c>
      <c r="C233" s="2" t="s">
        <v>752</v>
      </c>
      <c r="D233" s="2" t="s">
        <v>753</v>
      </c>
      <c r="E233" s="3">
        <v>5.700563783E11</v>
      </c>
      <c r="F233" s="2" t="s">
        <v>754</v>
      </c>
      <c r="G233" s="2" t="s">
        <v>12</v>
      </c>
      <c r="H233" s="2" t="s">
        <v>356</v>
      </c>
      <c r="I233" s="2" t="s">
        <v>13</v>
      </c>
      <c r="J233" s="2" t="s">
        <v>14</v>
      </c>
      <c r="K233" s="2" t="s">
        <v>101</v>
      </c>
      <c r="L233" s="2"/>
    </row>
    <row r="234" ht="15.75" customHeight="1">
      <c r="A234" s="3">
        <v>232.0</v>
      </c>
      <c r="B234" s="2" t="s">
        <v>106</v>
      </c>
      <c r="C234" s="2" t="s">
        <v>755</v>
      </c>
      <c r="D234" s="2" t="s">
        <v>711</v>
      </c>
      <c r="E234" s="3">
        <v>5.70056378302E11</v>
      </c>
      <c r="F234" s="2" t="s">
        <v>756</v>
      </c>
      <c r="G234" s="2" t="s">
        <v>12</v>
      </c>
      <c r="H234" s="2" t="s">
        <v>13</v>
      </c>
      <c r="I234" s="2" t="s">
        <v>14</v>
      </c>
      <c r="J234" s="2" t="s">
        <v>101</v>
      </c>
      <c r="K234" s="2"/>
      <c r="L234" s="2"/>
    </row>
    <row r="235" ht="15.75" customHeight="1">
      <c r="A235" s="3">
        <v>233.0</v>
      </c>
      <c r="B235" s="2" t="s">
        <v>757</v>
      </c>
      <c r="C235" s="2" t="s">
        <v>758</v>
      </c>
      <c r="D235" s="2" t="s">
        <v>447</v>
      </c>
      <c r="E235" s="3">
        <v>5.70056378304E11</v>
      </c>
      <c r="F235" s="2" t="s">
        <v>759</v>
      </c>
      <c r="G235" s="2" t="s">
        <v>12</v>
      </c>
      <c r="H235" s="2" t="s">
        <v>13</v>
      </c>
      <c r="I235" s="2" t="s">
        <v>14</v>
      </c>
      <c r="J235" s="2" t="s">
        <v>101</v>
      </c>
      <c r="K235" s="2"/>
      <c r="L235" s="2"/>
    </row>
    <row r="236" ht="15.75" customHeight="1">
      <c r="A236" s="3">
        <v>234.0</v>
      </c>
      <c r="B236" s="2" t="s">
        <v>760</v>
      </c>
      <c r="C236" s="2" t="s">
        <v>761</v>
      </c>
      <c r="D236" s="2" t="s">
        <v>762</v>
      </c>
      <c r="E236" s="3">
        <v>5.70056378306E11</v>
      </c>
      <c r="F236" s="2" t="s">
        <v>763</v>
      </c>
      <c r="G236" s="2" t="s">
        <v>12</v>
      </c>
      <c r="H236" s="2" t="s">
        <v>13</v>
      </c>
      <c r="I236" s="2" t="s">
        <v>14</v>
      </c>
      <c r="J236" s="2" t="s">
        <v>101</v>
      </c>
      <c r="K236" s="2"/>
      <c r="L236" s="2"/>
    </row>
    <row r="237" ht="15.75" customHeight="1">
      <c r="A237" s="3">
        <v>235.0</v>
      </c>
      <c r="B237" s="2" t="s">
        <v>764</v>
      </c>
      <c r="C237" s="2" t="s">
        <v>765</v>
      </c>
      <c r="D237" s="2" t="s">
        <v>766</v>
      </c>
      <c r="E237" s="5">
        <v>5.70056378311E11</v>
      </c>
      <c r="F237" s="2" t="s">
        <v>767</v>
      </c>
      <c r="G237" s="2" t="s">
        <v>12</v>
      </c>
      <c r="H237" s="2" t="s">
        <v>13</v>
      </c>
      <c r="I237" s="2" t="s">
        <v>14</v>
      </c>
      <c r="J237" s="2" t="s">
        <v>101</v>
      </c>
      <c r="K237" s="2"/>
      <c r="L237" s="2"/>
    </row>
    <row r="238" ht="15.75" customHeight="1">
      <c r="A238" s="3">
        <v>236.0</v>
      </c>
      <c r="B238" s="2" t="s">
        <v>768</v>
      </c>
      <c r="C238" s="2" t="s">
        <v>769</v>
      </c>
      <c r="D238" s="2" t="s">
        <v>770</v>
      </c>
      <c r="E238" s="3">
        <v>5.70056378313E11</v>
      </c>
      <c r="F238" s="2" t="s">
        <v>771</v>
      </c>
      <c r="G238" s="2" t="s">
        <v>12</v>
      </c>
      <c r="H238" s="2" t="s">
        <v>13</v>
      </c>
      <c r="I238" s="2" t="s">
        <v>14</v>
      </c>
      <c r="J238" s="2" t="s">
        <v>101</v>
      </c>
      <c r="K238" s="2"/>
      <c r="L238" s="2"/>
    </row>
    <row r="239" ht="15.75" customHeight="1">
      <c r="A239" s="3">
        <v>237.0</v>
      </c>
      <c r="B239" s="2" t="s">
        <v>772</v>
      </c>
      <c r="C239" s="2" t="s">
        <v>773</v>
      </c>
      <c r="D239" s="2" t="s">
        <v>117</v>
      </c>
      <c r="E239" s="3">
        <v>5.70056378315E11</v>
      </c>
      <c r="F239" s="2" t="s">
        <v>774</v>
      </c>
      <c r="G239" s="2" t="s">
        <v>12</v>
      </c>
      <c r="H239" s="2" t="s">
        <v>13</v>
      </c>
      <c r="I239" s="2" t="s">
        <v>14</v>
      </c>
      <c r="J239" s="2" t="s">
        <v>101</v>
      </c>
      <c r="K239" s="2"/>
      <c r="L239" s="2"/>
    </row>
    <row r="240" ht="15.75" customHeight="1">
      <c r="A240" s="3">
        <v>238.0</v>
      </c>
      <c r="B240" s="2" t="s">
        <v>514</v>
      </c>
      <c r="C240" s="2" t="s">
        <v>775</v>
      </c>
      <c r="D240" s="2" t="s">
        <v>776</v>
      </c>
      <c r="E240" s="3">
        <v>5.70056378318E11</v>
      </c>
      <c r="F240" s="2" t="s">
        <v>777</v>
      </c>
      <c r="G240" s="2" t="s">
        <v>12</v>
      </c>
      <c r="H240" s="2" t="s">
        <v>13</v>
      </c>
      <c r="I240" s="2" t="s">
        <v>14</v>
      </c>
      <c r="J240" s="2" t="s">
        <v>101</v>
      </c>
      <c r="K240" s="2"/>
      <c r="L240" s="2"/>
    </row>
    <row r="241" ht="15.75" customHeight="1">
      <c r="A241" s="3">
        <v>239.0</v>
      </c>
      <c r="B241" s="2" t="s">
        <v>778</v>
      </c>
      <c r="C241" s="2" t="s">
        <v>779</v>
      </c>
      <c r="D241" s="2" t="s">
        <v>780</v>
      </c>
      <c r="E241" s="3">
        <v>5.7005637832E11</v>
      </c>
      <c r="F241" s="2" t="s">
        <v>781</v>
      </c>
      <c r="G241" s="2" t="s">
        <v>12</v>
      </c>
      <c r="H241" s="2" t="s">
        <v>13</v>
      </c>
      <c r="I241" s="2" t="s">
        <v>14</v>
      </c>
      <c r="J241" s="2" t="s">
        <v>101</v>
      </c>
      <c r="K241" s="2"/>
      <c r="L241" s="2"/>
    </row>
    <row r="242" ht="15.75" customHeight="1">
      <c r="A242" s="3">
        <v>240.0</v>
      </c>
      <c r="B242" s="2" t="s">
        <v>644</v>
      </c>
      <c r="C242" s="2" t="s">
        <v>782</v>
      </c>
      <c r="D242" s="2" t="s">
        <v>783</v>
      </c>
      <c r="E242" s="3">
        <v>5.70056378322E11</v>
      </c>
      <c r="F242" s="2" t="s">
        <v>784</v>
      </c>
      <c r="G242" s="2" t="s">
        <v>12</v>
      </c>
      <c r="H242" s="2" t="s">
        <v>13</v>
      </c>
      <c r="I242" s="2" t="s">
        <v>14</v>
      </c>
      <c r="J242" s="2" t="s">
        <v>101</v>
      </c>
      <c r="K242" s="2"/>
      <c r="L242" s="2"/>
    </row>
    <row r="243" ht="15.75" customHeight="1">
      <c r="A243" s="3">
        <v>241.0</v>
      </c>
      <c r="B243" s="2" t="s">
        <v>299</v>
      </c>
      <c r="C243" s="2" t="s">
        <v>785</v>
      </c>
      <c r="D243" s="2" t="s">
        <v>786</v>
      </c>
      <c r="E243" s="3">
        <v>5.70056378325E11</v>
      </c>
      <c r="F243" s="2" t="s">
        <v>61</v>
      </c>
      <c r="G243" s="2" t="s">
        <v>12</v>
      </c>
      <c r="H243" s="2" t="s">
        <v>13</v>
      </c>
      <c r="I243" s="2" t="s">
        <v>14</v>
      </c>
      <c r="J243" s="2" t="s">
        <v>101</v>
      </c>
      <c r="K243" s="2"/>
      <c r="L243" s="2"/>
    </row>
    <row r="244" ht="15.75" customHeight="1">
      <c r="A244" s="3">
        <v>242.0</v>
      </c>
      <c r="B244" s="2" t="s">
        <v>787</v>
      </c>
      <c r="C244" s="2" t="s">
        <v>788</v>
      </c>
      <c r="D244" s="2" t="s">
        <v>789</v>
      </c>
      <c r="E244" s="3">
        <v>5.7005637833E11</v>
      </c>
      <c r="F244" s="2" t="s">
        <v>790</v>
      </c>
      <c r="G244" s="2" t="s">
        <v>12</v>
      </c>
      <c r="H244" s="2" t="s">
        <v>13</v>
      </c>
      <c r="I244" s="2" t="s">
        <v>14</v>
      </c>
      <c r="J244" s="2" t="s">
        <v>101</v>
      </c>
      <c r="K244" s="2"/>
      <c r="L244" s="2"/>
    </row>
    <row r="245" ht="15.75" customHeight="1">
      <c r="A245" s="3">
        <v>243.0</v>
      </c>
      <c r="B245" s="2" t="s">
        <v>791</v>
      </c>
      <c r="C245" s="2" t="s">
        <v>792</v>
      </c>
      <c r="D245" s="2" t="s">
        <v>793</v>
      </c>
      <c r="E245" s="5">
        <v>5.70056378332E11</v>
      </c>
      <c r="F245" s="2" t="s">
        <v>794</v>
      </c>
      <c r="G245" s="2" t="s">
        <v>12</v>
      </c>
      <c r="H245" s="2" t="s">
        <v>13</v>
      </c>
      <c r="I245" s="2" t="s">
        <v>14</v>
      </c>
      <c r="J245" s="2" t="s">
        <v>101</v>
      </c>
      <c r="K245" s="2"/>
      <c r="L245" s="2"/>
    </row>
    <row r="246" ht="15.75" customHeight="1">
      <c r="A246" s="3">
        <v>244.0</v>
      </c>
      <c r="B246" s="2" t="s">
        <v>795</v>
      </c>
      <c r="C246" s="2" t="s">
        <v>796</v>
      </c>
      <c r="D246" s="2" t="s">
        <v>797</v>
      </c>
      <c r="E246" s="5">
        <v>5.70056378333E11</v>
      </c>
      <c r="F246" s="2" t="s">
        <v>798</v>
      </c>
      <c r="G246" s="2" t="s">
        <v>12</v>
      </c>
      <c r="H246" s="2" t="s">
        <v>13</v>
      </c>
      <c r="I246" s="2" t="s">
        <v>14</v>
      </c>
      <c r="J246" s="2" t="s">
        <v>101</v>
      </c>
      <c r="K246" s="2"/>
      <c r="L246" s="2"/>
    </row>
    <row r="247" ht="15.75" customHeight="1">
      <c r="A247" s="3">
        <v>245.0</v>
      </c>
      <c r="B247" s="2" t="s">
        <v>799</v>
      </c>
      <c r="C247" s="2" t="s">
        <v>800</v>
      </c>
      <c r="D247" s="2" t="s">
        <v>801</v>
      </c>
      <c r="E247" s="3">
        <v>5.70056378337E11</v>
      </c>
      <c r="F247" s="2" t="s">
        <v>802</v>
      </c>
      <c r="G247" s="2" t="s">
        <v>12</v>
      </c>
      <c r="H247" s="2" t="s">
        <v>13</v>
      </c>
      <c r="I247" s="2" t="s">
        <v>14</v>
      </c>
      <c r="J247" s="2" t="s">
        <v>101</v>
      </c>
      <c r="K247" s="2"/>
      <c r="L247" s="2"/>
    </row>
    <row r="248" ht="15.75" customHeight="1">
      <c r="A248" s="3">
        <v>246.0</v>
      </c>
      <c r="B248" s="2" t="s">
        <v>620</v>
      </c>
      <c r="C248" s="2" t="s">
        <v>803</v>
      </c>
      <c r="D248" s="2" t="s">
        <v>804</v>
      </c>
      <c r="E248" s="3">
        <v>5.70056378338E11</v>
      </c>
      <c r="F248" s="2" t="s">
        <v>805</v>
      </c>
      <c r="G248" s="2" t="s">
        <v>12</v>
      </c>
      <c r="H248" s="2" t="s">
        <v>13</v>
      </c>
      <c r="I248" s="2" t="s">
        <v>14</v>
      </c>
      <c r="J248" s="2" t="s">
        <v>101</v>
      </c>
      <c r="K248" s="2"/>
      <c r="L248" s="2"/>
    </row>
    <row r="249" ht="15.75" customHeight="1">
      <c r="A249" s="3">
        <v>247.0</v>
      </c>
      <c r="B249" s="2" t="s">
        <v>806</v>
      </c>
      <c r="C249" s="2" t="s">
        <v>807</v>
      </c>
      <c r="D249" s="2" t="s">
        <v>808</v>
      </c>
      <c r="E249" s="3">
        <v>5.70056378341E11</v>
      </c>
      <c r="F249" s="2" t="s">
        <v>809</v>
      </c>
      <c r="G249" s="2" t="s">
        <v>12</v>
      </c>
      <c r="H249" s="2" t="s">
        <v>13</v>
      </c>
      <c r="I249" s="2" t="s">
        <v>14</v>
      </c>
      <c r="J249" s="2" t="s">
        <v>101</v>
      </c>
      <c r="K249" s="2"/>
      <c r="L249" s="2"/>
    </row>
    <row r="250" ht="15.75" customHeight="1">
      <c r="A250" s="3">
        <v>248.0</v>
      </c>
      <c r="B250" s="2" t="s">
        <v>810</v>
      </c>
      <c r="C250" s="2" t="s">
        <v>811</v>
      </c>
      <c r="D250" s="2" t="s">
        <v>50</v>
      </c>
      <c r="E250" s="3">
        <v>5.70056378342E11</v>
      </c>
      <c r="F250" s="2" t="s">
        <v>812</v>
      </c>
      <c r="G250" s="2" t="s">
        <v>12</v>
      </c>
      <c r="H250" s="2" t="s">
        <v>13</v>
      </c>
      <c r="I250" s="2" t="s">
        <v>14</v>
      </c>
      <c r="J250" s="2" t="s">
        <v>101</v>
      </c>
      <c r="K250" s="2"/>
      <c r="L250" s="2"/>
    </row>
    <row r="251" ht="15.75" customHeight="1">
      <c r="A251" s="3">
        <v>249.0</v>
      </c>
      <c r="B251" s="2" t="s">
        <v>345</v>
      </c>
      <c r="C251" s="2" t="s">
        <v>813</v>
      </c>
      <c r="D251" s="2" t="s">
        <v>814</v>
      </c>
      <c r="E251" s="3">
        <v>5.70056378345E11</v>
      </c>
      <c r="F251" s="2" t="s">
        <v>815</v>
      </c>
      <c r="G251" s="2" t="s">
        <v>12</v>
      </c>
      <c r="H251" s="2" t="s">
        <v>13</v>
      </c>
      <c r="I251" s="2" t="s">
        <v>14</v>
      </c>
      <c r="J251" s="2" t="s">
        <v>101</v>
      </c>
      <c r="K251" s="2"/>
      <c r="L251" s="2"/>
    </row>
    <row r="252" ht="15.75" customHeight="1">
      <c r="A252" s="3">
        <v>250.0</v>
      </c>
      <c r="B252" s="2" t="s">
        <v>816</v>
      </c>
      <c r="C252" s="2" t="s">
        <v>817</v>
      </c>
      <c r="D252" s="2" t="s">
        <v>818</v>
      </c>
      <c r="E252" s="3">
        <v>5.70056378346E11</v>
      </c>
      <c r="F252" s="2" t="s">
        <v>819</v>
      </c>
      <c r="G252" s="2" t="s">
        <v>12</v>
      </c>
      <c r="H252" s="2" t="s">
        <v>13</v>
      </c>
      <c r="I252" s="2" t="s">
        <v>14</v>
      </c>
      <c r="J252" s="2" t="s">
        <v>101</v>
      </c>
      <c r="K252" s="2"/>
      <c r="L252" s="2"/>
    </row>
    <row r="253" ht="15.75" customHeight="1">
      <c r="A253" s="3">
        <v>251.0</v>
      </c>
      <c r="B253" s="4" t="s">
        <v>820</v>
      </c>
      <c r="C253" s="2" t="s">
        <v>821</v>
      </c>
      <c r="D253" s="2" t="s">
        <v>638</v>
      </c>
      <c r="E253" s="5">
        <v>5.70056378347E11</v>
      </c>
      <c r="F253" s="2" t="s">
        <v>822</v>
      </c>
      <c r="G253" s="2" t="s">
        <v>12</v>
      </c>
      <c r="H253" s="2" t="s">
        <v>13</v>
      </c>
      <c r="I253" s="2" t="s">
        <v>14</v>
      </c>
      <c r="J253" s="2" t="s">
        <v>101</v>
      </c>
      <c r="K253" s="2"/>
      <c r="L253" s="2"/>
    </row>
    <row r="254" ht="15.75" customHeight="1">
      <c r="A254" s="3">
        <v>252.0</v>
      </c>
      <c r="B254" s="2" t="s">
        <v>236</v>
      </c>
      <c r="C254" s="2" t="s">
        <v>823</v>
      </c>
      <c r="D254" s="2" t="s">
        <v>824</v>
      </c>
      <c r="E254" s="3">
        <v>5.70056378348E11</v>
      </c>
      <c r="F254" s="2" t="s">
        <v>825</v>
      </c>
      <c r="G254" s="2" t="s">
        <v>12</v>
      </c>
      <c r="H254" s="2" t="s">
        <v>13</v>
      </c>
      <c r="I254" s="2" t="s">
        <v>14</v>
      </c>
      <c r="J254" s="2" t="s">
        <v>101</v>
      </c>
      <c r="K254" s="2"/>
      <c r="L254" s="2"/>
    </row>
    <row r="255" ht="15.75" customHeight="1">
      <c r="A255" s="3">
        <v>253.0</v>
      </c>
      <c r="B255" s="2" t="s">
        <v>826</v>
      </c>
      <c r="C255" s="2" t="s">
        <v>827</v>
      </c>
      <c r="D255" s="2" t="s">
        <v>171</v>
      </c>
      <c r="E255" s="3">
        <v>5.70056378349E11</v>
      </c>
      <c r="F255" s="2" t="s">
        <v>828</v>
      </c>
      <c r="G255" s="2" t="s">
        <v>12</v>
      </c>
      <c r="H255" s="2" t="s">
        <v>13</v>
      </c>
      <c r="I255" s="2" t="s">
        <v>14</v>
      </c>
      <c r="J255" s="2" t="s">
        <v>101</v>
      </c>
      <c r="K255" s="2"/>
      <c r="L255" s="2"/>
    </row>
    <row r="256" ht="15.75" customHeight="1">
      <c r="A256" s="3">
        <v>254.0</v>
      </c>
      <c r="B256" s="2" t="s">
        <v>829</v>
      </c>
      <c r="C256" s="2" t="s">
        <v>830</v>
      </c>
      <c r="D256" s="2" t="s">
        <v>831</v>
      </c>
      <c r="E256" s="3">
        <v>5.70056378351E11</v>
      </c>
      <c r="F256" s="2" t="s">
        <v>832</v>
      </c>
      <c r="G256" s="2" t="s">
        <v>12</v>
      </c>
      <c r="H256" s="2" t="s">
        <v>13</v>
      </c>
      <c r="I256" s="2" t="s">
        <v>14</v>
      </c>
      <c r="J256" s="2" t="s">
        <v>101</v>
      </c>
      <c r="K256" s="2"/>
      <c r="L256" s="2"/>
    </row>
    <row r="257" ht="15.75" customHeight="1">
      <c r="A257" s="3">
        <v>255.0</v>
      </c>
      <c r="B257" s="2" t="s">
        <v>824</v>
      </c>
      <c r="C257" s="2" t="s">
        <v>833</v>
      </c>
      <c r="D257" s="2" t="s">
        <v>834</v>
      </c>
      <c r="E257" s="3">
        <v>5.70056378352E11</v>
      </c>
      <c r="F257" s="2" t="s">
        <v>835</v>
      </c>
      <c r="G257" s="2" t="s">
        <v>12</v>
      </c>
      <c r="H257" s="2" t="s">
        <v>13</v>
      </c>
      <c r="I257" s="2" t="s">
        <v>14</v>
      </c>
      <c r="J257" s="2" t="s">
        <v>101</v>
      </c>
      <c r="K257" s="2"/>
      <c r="L257" s="2"/>
    </row>
    <row r="258" ht="15.75" customHeight="1">
      <c r="A258" s="3">
        <v>256.0</v>
      </c>
      <c r="B258" s="2" t="s">
        <v>256</v>
      </c>
      <c r="C258" s="2" t="s">
        <v>836</v>
      </c>
      <c r="D258" s="2" t="s">
        <v>837</v>
      </c>
      <c r="E258" s="3">
        <v>5.70056378353E11</v>
      </c>
      <c r="F258" s="2" t="s">
        <v>838</v>
      </c>
      <c r="G258" s="2" t="s">
        <v>12</v>
      </c>
      <c r="H258" s="2" t="s">
        <v>13</v>
      </c>
      <c r="I258" s="2" t="s">
        <v>14</v>
      </c>
      <c r="J258" s="2" t="s">
        <v>101</v>
      </c>
      <c r="K258" s="2"/>
      <c r="L258" s="2"/>
    </row>
    <row r="259" ht="15.75" customHeight="1">
      <c r="A259" s="3">
        <v>257.0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3">
        <v>258.0</v>
      </c>
      <c r="B260" s="2" t="s">
        <v>839</v>
      </c>
      <c r="C260" s="2" t="s">
        <v>840</v>
      </c>
      <c r="D260" s="2" t="s">
        <v>841</v>
      </c>
      <c r="E260" s="3">
        <v>5.70056378355E11</v>
      </c>
      <c r="F260" s="2" t="s">
        <v>842</v>
      </c>
      <c r="G260" s="2" t="s">
        <v>12</v>
      </c>
      <c r="H260" s="2" t="s">
        <v>13</v>
      </c>
      <c r="I260" s="2" t="s">
        <v>14</v>
      </c>
      <c r="J260" s="2" t="s">
        <v>101</v>
      </c>
      <c r="K260" s="2"/>
      <c r="L260" s="2"/>
    </row>
    <row r="261" ht="15.75" customHeight="1">
      <c r="A261" s="3">
        <v>259.0</v>
      </c>
      <c r="B261" s="2" t="s">
        <v>843</v>
      </c>
      <c r="C261" s="2" t="s">
        <v>844</v>
      </c>
      <c r="D261" s="2" t="s">
        <v>91</v>
      </c>
      <c r="E261" s="3">
        <v>5.70056378357E11</v>
      </c>
      <c r="F261" s="2" t="s">
        <v>845</v>
      </c>
      <c r="G261" s="2" t="s">
        <v>12</v>
      </c>
      <c r="H261" s="2" t="s">
        <v>13</v>
      </c>
      <c r="I261" s="2" t="s">
        <v>14</v>
      </c>
      <c r="J261" s="2" t="s">
        <v>101</v>
      </c>
      <c r="K261" s="2"/>
      <c r="L261" s="2"/>
    </row>
    <row r="262" ht="15.75" customHeight="1">
      <c r="A262" s="3">
        <v>260.0</v>
      </c>
      <c r="B262" s="2" t="s">
        <v>146</v>
      </c>
      <c r="C262" s="2" t="s">
        <v>846</v>
      </c>
      <c r="D262" s="2" t="s">
        <v>847</v>
      </c>
      <c r="E262" s="3">
        <v>5.70056378358E11</v>
      </c>
      <c r="F262" s="2" t="s">
        <v>848</v>
      </c>
      <c r="G262" s="2" t="s">
        <v>12</v>
      </c>
      <c r="H262" s="2" t="s">
        <v>13</v>
      </c>
      <c r="I262" s="2" t="s">
        <v>14</v>
      </c>
      <c r="J262" s="2" t="s">
        <v>101</v>
      </c>
      <c r="K262" s="2"/>
      <c r="L262" s="2"/>
    </row>
    <row r="263" ht="15.75" customHeight="1">
      <c r="A263" s="3">
        <v>261.0</v>
      </c>
      <c r="B263" s="2" t="s">
        <v>117</v>
      </c>
      <c r="C263" s="2" t="s">
        <v>849</v>
      </c>
      <c r="D263" s="2" t="s">
        <v>850</v>
      </c>
      <c r="E263" s="3">
        <v>5.70056378359E11</v>
      </c>
      <c r="F263" s="2" t="s">
        <v>838</v>
      </c>
      <c r="G263" s="2" t="s">
        <v>12</v>
      </c>
      <c r="H263" s="2" t="s">
        <v>13</v>
      </c>
      <c r="I263" s="2" t="s">
        <v>14</v>
      </c>
      <c r="J263" s="2" t="s">
        <v>101</v>
      </c>
      <c r="K263" s="2"/>
      <c r="L263" s="2"/>
    </row>
    <row r="264" ht="15.75" customHeight="1">
      <c r="A264" s="3">
        <v>262.0</v>
      </c>
      <c r="B264" s="2" t="s">
        <v>851</v>
      </c>
      <c r="C264" s="2" t="s">
        <v>852</v>
      </c>
      <c r="D264" s="2" t="s">
        <v>824</v>
      </c>
      <c r="E264" s="3">
        <v>5.7005637836E11</v>
      </c>
      <c r="F264" s="2" t="s">
        <v>853</v>
      </c>
      <c r="G264" s="2" t="s">
        <v>12</v>
      </c>
      <c r="H264" s="2" t="s">
        <v>13</v>
      </c>
      <c r="I264" s="2" t="s">
        <v>14</v>
      </c>
      <c r="J264" s="2" t="s">
        <v>101</v>
      </c>
      <c r="K264" s="2"/>
      <c r="L264" s="2"/>
    </row>
    <row r="265" ht="15.75" customHeight="1">
      <c r="A265" s="3">
        <v>263.0</v>
      </c>
      <c r="B265" s="2" t="s">
        <v>66</v>
      </c>
      <c r="C265" s="2" t="s">
        <v>854</v>
      </c>
      <c r="D265" s="2" t="s">
        <v>855</v>
      </c>
      <c r="E265" s="3">
        <v>5.70056378361E11</v>
      </c>
      <c r="F265" s="2" t="s">
        <v>856</v>
      </c>
      <c r="G265" s="2" t="s">
        <v>12</v>
      </c>
      <c r="H265" s="2" t="s">
        <v>13</v>
      </c>
      <c r="I265" s="2" t="s">
        <v>14</v>
      </c>
      <c r="J265" s="2" t="s">
        <v>101</v>
      </c>
      <c r="K265" s="2"/>
      <c r="L265" s="2"/>
    </row>
    <row r="266" ht="15.75" customHeight="1">
      <c r="A266" s="3">
        <v>264.0</v>
      </c>
      <c r="B266" s="2" t="s">
        <v>516</v>
      </c>
      <c r="C266" s="2" t="s">
        <v>857</v>
      </c>
      <c r="D266" s="2" t="s">
        <v>858</v>
      </c>
      <c r="E266" s="3">
        <v>5.70056378362E11</v>
      </c>
      <c r="F266" s="2" t="s">
        <v>859</v>
      </c>
      <c r="G266" s="2" t="s">
        <v>12</v>
      </c>
      <c r="H266" s="2" t="s">
        <v>13</v>
      </c>
      <c r="I266" s="2" t="s">
        <v>14</v>
      </c>
      <c r="J266" s="2" t="s">
        <v>101</v>
      </c>
      <c r="K266" s="2"/>
      <c r="L266" s="2"/>
    </row>
    <row r="267" ht="15.75" customHeight="1">
      <c r="A267" s="3">
        <v>265.0</v>
      </c>
      <c r="B267" s="2" t="s">
        <v>860</v>
      </c>
      <c r="C267" s="2" t="s">
        <v>861</v>
      </c>
      <c r="D267" s="2" t="s">
        <v>362</v>
      </c>
      <c r="E267" s="3">
        <v>5.70056378366E11</v>
      </c>
      <c r="F267" s="2" t="s">
        <v>862</v>
      </c>
      <c r="G267" s="2" t="s">
        <v>12</v>
      </c>
      <c r="H267" s="2" t="s">
        <v>13</v>
      </c>
      <c r="I267" s="2" t="s">
        <v>14</v>
      </c>
      <c r="J267" s="2" t="s">
        <v>101</v>
      </c>
      <c r="K267" s="2"/>
      <c r="L267" s="2"/>
    </row>
    <row r="268" ht="15.75" customHeight="1">
      <c r="A268" s="3">
        <v>266.0</v>
      </c>
      <c r="B268" s="2" t="s">
        <v>863</v>
      </c>
      <c r="C268" s="2" t="s">
        <v>864</v>
      </c>
      <c r="D268" s="2" t="s">
        <v>865</v>
      </c>
      <c r="E268" s="3">
        <v>5.70056378367E11</v>
      </c>
      <c r="F268" s="2" t="s">
        <v>866</v>
      </c>
      <c r="G268" s="2" t="s">
        <v>12</v>
      </c>
      <c r="H268" s="2" t="s">
        <v>13</v>
      </c>
      <c r="I268" s="2" t="s">
        <v>14</v>
      </c>
      <c r="J268" s="2" t="s">
        <v>101</v>
      </c>
      <c r="K268" s="2"/>
      <c r="L268" s="2"/>
    </row>
    <row r="269" ht="15.75" customHeight="1">
      <c r="A269" s="3">
        <v>267.0</v>
      </c>
      <c r="B269" s="2" t="s">
        <v>867</v>
      </c>
      <c r="C269" s="2" t="s">
        <v>868</v>
      </c>
      <c r="D269" s="2" t="s">
        <v>869</v>
      </c>
      <c r="E269" s="3">
        <v>5.70056378368E11</v>
      </c>
      <c r="F269" s="2" t="s">
        <v>870</v>
      </c>
      <c r="G269" s="2" t="s">
        <v>12</v>
      </c>
      <c r="H269" s="2" t="s">
        <v>13</v>
      </c>
      <c r="I269" s="2" t="s">
        <v>14</v>
      </c>
      <c r="J269" s="2" t="s">
        <v>101</v>
      </c>
      <c r="K269" s="2"/>
      <c r="L269" s="2"/>
    </row>
    <row r="270" ht="15.75" customHeight="1">
      <c r="A270" s="3">
        <v>268.0</v>
      </c>
      <c r="B270" s="2" t="s">
        <v>871</v>
      </c>
      <c r="C270" s="2" t="s">
        <v>872</v>
      </c>
      <c r="D270" s="2" t="s">
        <v>873</v>
      </c>
      <c r="E270" s="3">
        <v>5.70056378369E11</v>
      </c>
      <c r="F270" s="2" t="s">
        <v>874</v>
      </c>
      <c r="G270" s="2" t="s">
        <v>12</v>
      </c>
      <c r="H270" s="2" t="s">
        <v>13</v>
      </c>
      <c r="I270" s="2" t="s">
        <v>14</v>
      </c>
      <c r="J270" s="2" t="s">
        <v>101</v>
      </c>
      <c r="K270" s="2"/>
      <c r="L270" s="2"/>
    </row>
    <row r="271" ht="15.75" customHeight="1">
      <c r="A271" s="3">
        <v>269.0</v>
      </c>
      <c r="B271" s="4" t="s">
        <v>16</v>
      </c>
      <c r="C271" s="2" t="s">
        <v>875</v>
      </c>
      <c r="D271" s="2" t="s">
        <v>876</v>
      </c>
      <c r="E271" s="3">
        <v>5.70056378372E11</v>
      </c>
      <c r="F271" s="2" t="s">
        <v>877</v>
      </c>
      <c r="G271" s="2" t="s">
        <v>12</v>
      </c>
      <c r="H271" s="2" t="s">
        <v>13</v>
      </c>
      <c r="I271" s="2" t="s">
        <v>14</v>
      </c>
      <c r="J271" s="2" t="s">
        <v>101</v>
      </c>
      <c r="K271" s="2"/>
      <c r="L271" s="2"/>
    </row>
    <row r="272" ht="15.75" customHeight="1">
      <c r="A272" s="3">
        <v>270.0</v>
      </c>
      <c r="B272" s="2" t="s">
        <v>146</v>
      </c>
      <c r="C272" s="2" t="s">
        <v>878</v>
      </c>
      <c r="D272" s="2" t="s">
        <v>879</v>
      </c>
      <c r="E272" s="3">
        <v>5.70056378373E11</v>
      </c>
      <c r="F272" s="2" t="s">
        <v>880</v>
      </c>
      <c r="G272" s="2" t="s">
        <v>12</v>
      </c>
      <c r="H272" s="2" t="s">
        <v>13</v>
      </c>
      <c r="I272" s="2" t="s">
        <v>14</v>
      </c>
      <c r="J272" s="2" t="s">
        <v>101</v>
      </c>
      <c r="K272" s="2"/>
      <c r="L272" s="2"/>
    </row>
    <row r="273" ht="15.75" customHeight="1">
      <c r="A273" s="3">
        <v>271.0</v>
      </c>
      <c r="B273" s="2" t="s">
        <v>881</v>
      </c>
      <c r="C273" s="2" t="s">
        <v>882</v>
      </c>
      <c r="D273" s="2" t="s">
        <v>883</v>
      </c>
      <c r="E273" s="3">
        <v>5.70056378375E11</v>
      </c>
      <c r="F273" s="2" t="s">
        <v>884</v>
      </c>
      <c r="G273" s="2" t="s">
        <v>12</v>
      </c>
      <c r="H273" s="2" t="s">
        <v>13</v>
      </c>
      <c r="I273" s="2" t="s">
        <v>14</v>
      </c>
      <c r="J273" s="2" t="s">
        <v>101</v>
      </c>
      <c r="K273" s="2"/>
      <c r="L273" s="2"/>
    </row>
    <row r="274" ht="15.75" customHeight="1">
      <c r="A274" s="3">
        <v>272.0</v>
      </c>
      <c r="B274" s="2" t="s">
        <v>885</v>
      </c>
      <c r="C274" s="2" t="s">
        <v>886</v>
      </c>
      <c r="D274" s="2" t="s">
        <v>883</v>
      </c>
      <c r="E274" s="3">
        <v>5.70056378376E11</v>
      </c>
      <c r="F274" s="2" t="s">
        <v>887</v>
      </c>
      <c r="G274" s="2" t="s">
        <v>12</v>
      </c>
      <c r="H274" s="2" t="s">
        <v>13</v>
      </c>
      <c r="I274" s="2" t="s">
        <v>14</v>
      </c>
      <c r="J274" s="2" t="s">
        <v>101</v>
      </c>
      <c r="K274" s="2"/>
      <c r="L274" s="2"/>
    </row>
    <row r="275" ht="15.75" customHeight="1">
      <c r="A275" s="3">
        <v>273.0</v>
      </c>
      <c r="B275" s="4" t="s">
        <v>119</v>
      </c>
      <c r="C275" s="2" t="s">
        <v>821</v>
      </c>
      <c r="D275" s="2" t="s">
        <v>816</v>
      </c>
      <c r="E275" s="3">
        <v>5.70056378377E11</v>
      </c>
      <c r="F275" s="2" t="s">
        <v>888</v>
      </c>
      <c r="G275" s="2" t="s">
        <v>12</v>
      </c>
      <c r="H275" s="2" t="s">
        <v>13</v>
      </c>
      <c r="I275" s="2" t="s">
        <v>14</v>
      </c>
      <c r="J275" s="2" t="s">
        <v>101</v>
      </c>
      <c r="K275" s="2"/>
      <c r="L275" s="2"/>
    </row>
    <row r="276" ht="15.75" customHeight="1">
      <c r="A276" s="3">
        <v>274.0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3">
        <v>275.0</v>
      </c>
      <c r="B277" s="2" t="s">
        <v>889</v>
      </c>
      <c r="C277" s="2" t="s">
        <v>868</v>
      </c>
      <c r="D277" s="2" t="s">
        <v>890</v>
      </c>
      <c r="E277" s="3">
        <v>5.70056378382E11</v>
      </c>
      <c r="F277" s="2" t="s">
        <v>891</v>
      </c>
      <c r="G277" s="2" t="s">
        <v>12</v>
      </c>
      <c r="H277" s="2" t="s">
        <v>13</v>
      </c>
      <c r="I277" s="2" t="s">
        <v>14</v>
      </c>
      <c r="J277" s="2" t="s">
        <v>101</v>
      </c>
      <c r="K277" s="2"/>
      <c r="L277" s="2"/>
    </row>
    <row r="278" ht="15.75" customHeight="1">
      <c r="A278" s="3">
        <v>276.0</v>
      </c>
      <c r="B278" s="2" t="s">
        <v>106</v>
      </c>
      <c r="C278" s="2" t="s">
        <v>892</v>
      </c>
      <c r="D278" s="2" t="s">
        <v>893</v>
      </c>
      <c r="E278" s="3">
        <v>5.70056378384E11</v>
      </c>
      <c r="F278" s="2" t="s">
        <v>894</v>
      </c>
      <c r="G278" s="2" t="s">
        <v>12</v>
      </c>
      <c r="H278" s="2" t="s">
        <v>13</v>
      </c>
      <c r="I278" s="2" t="s">
        <v>14</v>
      </c>
      <c r="J278" s="2" t="s">
        <v>101</v>
      </c>
      <c r="K278" s="2"/>
      <c r="L278" s="2"/>
    </row>
    <row r="279" ht="15.75" customHeight="1">
      <c r="A279" s="3">
        <v>277.0</v>
      </c>
      <c r="B279" s="2" t="s">
        <v>895</v>
      </c>
      <c r="C279" s="2" t="s">
        <v>779</v>
      </c>
      <c r="D279" s="2" t="s">
        <v>896</v>
      </c>
      <c r="E279" s="3">
        <v>5.70056378385E11</v>
      </c>
      <c r="F279" s="2" t="s">
        <v>897</v>
      </c>
      <c r="G279" s="2" t="s">
        <v>12</v>
      </c>
      <c r="H279" s="2" t="s">
        <v>13</v>
      </c>
      <c r="I279" s="2" t="s">
        <v>14</v>
      </c>
      <c r="J279" s="2" t="s">
        <v>101</v>
      </c>
      <c r="K279" s="2"/>
      <c r="L279" s="2"/>
    </row>
    <row r="280" ht="15.75" customHeight="1">
      <c r="A280" s="3">
        <v>278.0</v>
      </c>
      <c r="B280" s="2" t="s">
        <v>898</v>
      </c>
      <c r="C280" s="2" t="s">
        <v>899</v>
      </c>
      <c r="D280" s="2" t="s">
        <v>900</v>
      </c>
      <c r="E280" s="3">
        <v>5.70056378386E11</v>
      </c>
      <c r="F280" s="2" t="s">
        <v>901</v>
      </c>
      <c r="G280" s="2" t="s">
        <v>187</v>
      </c>
      <c r="H280" s="2" t="s">
        <v>13</v>
      </c>
      <c r="I280" s="2" t="s">
        <v>14</v>
      </c>
      <c r="J280" s="2" t="s">
        <v>101</v>
      </c>
      <c r="K280" s="2"/>
      <c r="L280" s="2"/>
    </row>
    <row r="281" ht="15.75" customHeight="1">
      <c r="A281" s="3">
        <v>279.0</v>
      </c>
      <c r="B281" s="2" t="s">
        <v>217</v>
      </c>
      <c r="C281" s="2" t="s">
        <v>902</v>
      </c>
      <c r="D281" s="2" t="s">
        <v>124</v>
      </c>
      <c r="E281" s="3">
        <v>5.70056378387E11</v>
      </c>
      <c r="F281" s="2" t="s">
        <v>903</v>
      </c>
      <c r="G281" s="2" t="s">
        <v>12</v>
      </c>
      <c r="H281" s="2" t="s">
        <v>13</v>
      </c>
      <c r="I281" s="2" t="s">
        <v>14</v>
      </c>
      <c r="J281" s="2" t="s">
        <v>101</v>
      </c>
      <c r="K281" s="2"/>
      <c r="L281" s="2"/>
    </row>
    <row r="282" ht="15.75" customHeight="1">
      <c r="A282" s="3">
        <v>280.0</v>
      </c>
      <c r="B282" s="2" t="s">
        <v>904</v>
      </c>
      <c r="C282" s="2" t="s">
        <v>905</v>
      </c>
      <c r="D282" s="2" t="s">
        <v>906</v>
      </c>
      <c r="E282" s="3">
        <v>5.70056378389E11</v>
      </c>
      <c r="F282" s="2" t="s">
        <v>880</v>
      </c>
      <c r="G282" s="2" t="s">
        <v>12</v>
      </c>
      <c r="H282" s="2" t="s">
        <v>13</v>
      </c>
      <c r="I282" s="2" t="s">
        <v>14</v>
      </c>
      <c r="J282" s="2" t="s">
        <v>101</v>
      </c>
      <c r="K282" s="2"/>
      <c r="L282" s="2"/>
    </row>
    <row r="283" ht="15.75" customHeight="1">
      <c r="A283" s="3">
        <v>281.0</v>
      </c>
      <c r="B283" s="2" t="s">
        <v>907</v>
      </c>
      <c r="C283" s="2" t="s">
        <v>908</v>
      </c>
      <c r="D283" s="2" t="s">
        <v>909</v>
      </c>
      <c r="E283" s="3">
        <v>5.70056378391E11</v>
      </c>
      <c r="F283" s="2" t="s">
        <v>910</v>
      </c>
      <c r="G283" s="2" t="s">
        <v>12</v>
      </c>
      <c r="H283" s="2" t="s">
        <v>13</v>
      </c>
      <c r="I283" s="2" t="s">
        <v>14</v>
      </c>
      <c r="J283" s="2" t="s">
        <v>101</v>
      </c>
      <c r="K283" s="2"/>
      <c r="L283" s="2"/>
    </row>
    <row r="284" ht="15.75" customHeight="1">
      <c r="A284" s="3">
        <v>282.0</v>
      </c>
      <c r="B284" s="2" t="s">
        <v>52</v>
      </c>
      <c r="C284" s="2" t="s">
        <v>911</v>
      </c>
      <c r="D284" s="2" t="s">
        <v>912</v>
      </c>
      <c r="E284" s="5">
        <v>5.70056378395E11</v>
      </c>
      <c r="F284" s="2" t="s">
        <v>913</v>
      </c>
      <c r="G284" s="2" t="s">
        <v>12</v>
      </c>
      <c r="H284" s="2" t="s">
        <v>13</v>
      </c>
      <c r="I284" s="2" t="s">
        <v>14</v>
      </c>
      <c r="J284" s="2" t="s">
        <v>101</v>
      </c>
      <c r="K284" s="2"/>
      <c r="L284" s="2"/>
    </row>
    <row r="285" ht="15.75" customHeight="1">
      <c r="A285" s="3">
        <v>283.0</v>
      </c>
      <c r="B285" s="2" t="s">
        <v>914</v>
      </c>
      <c r="C285" s="2" t="s">
        <v>915</v>
      </c>
      <c r="D285" s="2" t="s">
        <v>381</v>
      </c>
      <c r="E285" s="5">
        <v>5.70056378396E11</v>
      </c>
      <c r="F285" s="2" t="s">
        <v>916</v>
      </c>
      <c r="G285" s="2" t="s">
        <v>12</v>
      </c>
      <c r="H285" s="2" t="s">
        <v>13</v>
      </c>
      <c r="I285" s="2" t="s">
        <v>14</v>
      </c>
      <c r="J285" s="2" t="s">
        <v>101</v>
      </c>
      <c r="K285" s="2"/>
      <c r="L285" s="2"/>
    </row>
    <row r="286" ht="15.75" customHeight="1">
      <c r="A286" s="3">
        <v>284.0</v>
      </c>
      <c r="B286" s="2" t="s">
        <v>638</v>
      </c>
      <c r="C286" s="2" t="s">
        <v>917</v>
      </c>
      <c r="D286" s="2" t="s">
        <v>918</v>
      </c>
      <c r="E286" s="3">
        <v>5.70056378397E11</v>
      </c>
      <c r="F286" s="2" t="s">
        <v>919</v>
      </c>
      <c r="G286" s="2" t="s">
        <v>12</v>
      </c>
      <c r="H286" s="2" t="s">
        <v>13</v>
      </c>
      <c r="I286" s="2" t="s">
        <v>14</v>
      </c>
      <c r="J286" s="2" t="s">
        <v>101</v>
      </c>
      <c r="K286" s="2"/>
      <c r="L286" s="2"/>
    </row>
    <row r="287" ht="15.75" customHeight="1">
      <c r="A287" s="3">
        <v>285.0</v>
      </c>
      <c r="B287" s="2" t="s">
        <v>256</v>
      </c>
      <c r="C287" s="2" t="s">
        <v>920</v>
      </c>
      <c r="D287" s="2" t="s">
        <v>921</v>
      </c>
      <c r="E287" s="3">
        <v>5.70056378398E11</v>
      </c>
      <c r="F287" s="2" t="s">
        <v>922</v>
      </c>
      <c r="G287" s="2" t="s">
        <v>12</v>
      </c>
      <c r="H287" s="2" t="s">
        <v>13</v>
      </c>
      <c r="I287" s="2" t="s">
        <v>14</v>
      </c>
      <c r="J287" s="2" t="s">
        <v>101</v>
      </c>
      <c r="K287" s="2"/>
      <c r="L287" s="2"/>
    </row>
    <row r="288" ht="15.75" customHeight="1">
      <c r="A288" s="3">
        <v>286.0</v>
      </c>
      <c r="B288" s="2" t="s">
        <v>923</v>
      </c>
      <c r="C288" s="2" t="s">
        <v>924</v>
      </c>
      <c r="D288" s="2" t="s">
        <v>925</v>
      </c>
      <c r="E288" s="3">
        <v>5.70056378399E11</v>
      </c>
      <c r="F288" s="2" t="s">
        <v>926</v>
      </c>
      <c r="G288" s="2" t="s">
        <v>12</v>
      </c>
      <c r="H288" s="2" t="s">
        <v>13</v>
      </c>
      <c r="I288" s="2" t="s">
        <v>14</v>
      </c>
      <c r="J288" s="2" t="s">
        <v>101</v>
      </c>
      <c r="K288" s="2"/>
      <c r="L288" s="2"/>
    </row>
    <row r="289" ht="15.75" customHeight="1">
      <c r="A289" s="3">
        <v>287.0</v>
      </c>
      <c r="B289" s="2" t="s">
        <v>927</v>
      </c>
      <c r="C289" s="2" t="s">
        <v>928</v>
      </c>
      <c r="D289" s="2" t="s">
        <v>865</v>
      </c>
      <c r="E289" s="5">
        <v>5.700563784E11</v>
      </c>
      <c r="F289" s="2" t="s">
        <v>929</v>
      </c>
      <c r="G289" s="2" t="s">
        <v>12</v>
      </c>
      <c r="H289" s="2" t="s">
        <v>13</v>
      </c>
      <c r="I289" s="2" t="s">
        <v>14</v>
      </c>
      <c r="J289" s="2" t="s">
        <v>101</v>
      </c>
      <c r="K289" s="2"/>
      <c r="L289" s="2"/>
    </row>
    <row r="290" ht="15.75" customHeight="1">
      <c r="A290" s="3">
        <v>288.0</v>
      </c>
      <c r="B290" s="2" t="s">
        <v>930</v>
      </c>
      <c r="C290" s="2" t="s">
        <v>911</v>
      </c>
      <c r="D290" s="2" t="s">
        <v>931</v>
      </c>
      <c r="E290" s="3">
        <v>5.70056378407E11</v>
      </c>
      <c r="F290" s="2" t="s">
        <v>932</v>
      </c>
      <c r="G290" s="2" t="s">
        <v>12</v>
      </c>
      <c r="H290" s="2" t="s">
        <v>13</v>
      </c>
      <c r="I290" s="2" t="s">
        <v>14</v>
      </c>
      <c r="J290" s="2" t="s">
        <v>101</v>
      </c>
      <c r="K290" s="2"/>
      <c r="L290" s="2"/>
    </row>
    <row r="291" ht="15.75" customHeight="1">
      <c r="A291" s="3">
        <v>289.0</v>
      </c>
      <c r="B291" s="2" t="s">
        <v>217</v>
      </c>
      <c r="C291" s="2" t="s">
        <v>933</v>
      </c>
      <c r="D291" s="2" t="s">
        <v>934</v>
      </c>
      <c r="E291" s="3">
        <v>5.70056378412E11</v>
      </c>
      <c r="F291" s="2" t="s">
        <v>458</v>
      </c>
      <c r="G291" s="2" t="s">
        <v>12</v>
      </c>
      <c r="H291" s="2" t="s">
        <v>13</v>
      </c>
      <c r="I291" s="2" t="s">
        <v>14</v>
      </c>
      <c r="J291" s="2" t="s">
        <v>101</v>
      </c>
      <c r="K291" s="2"/>
      <c r="L291" s="2"/>
    </row>
    <row r="292" ht="15.75" customHeight="1">
      <c r="A292" s="3">
        <v>290.0</v>
      </c>
      <c r="B292" s="2" t="s">
        <v>205</v>
      </c>
      <c r="C292" s="2" t="s">
        <v>935</v>
      </c>
      <c r="D292" s="2" t="s">
        <v>936</v>
      </c>
      <c r="E292" s="3">
        <v>5.7005637842E11</v>
      </c>
      <c r="F292" s="2" t="s">
        <v>937</v>
      </c>
      <c r="G292" s="2" t="s">
        <v>12</v>
      </c>
      <c r="H292" s="2" t="s">
        <v>13</v>
      </c>
      <c r="I292" s="2" t="s">
        <v>14</v>
      </c>
      <c r="J292" s="2" t="s">
        <v>101</v>
      </c>
      <c r="K292" s="2"/>
      <c r="L292" s="2"/>
    </row>
    <row r="293" ht="15.75" customHeight="1">
      <c r="A293" s="3">
        <v>291.0</v>
      </c>
      <c r="B293" s="2" t="s">
        <v>117</v>
      </c>
      <c r="C293" s="2" t="s">
        <v>938</v>
      </c>
      <c r="D293" s="2" t="s">
        <v>939</v>
      </c>
      <c r="E293" s="3">
        <v>5.70056378422E11</v>
      </c>
      <c r="F293" s="2" t="s">
        <v>940</v>
      </c>
      <c r="G293" s="2" t="s">
        <v>12</v>
      </c>
      <c r="H293" s="2" t="s">
        <v>13</v>
      </c>
      <c r="I293" s="2" t="s">
        <v>14</v>
      </c>
      <c r="J293" s="2" t="s">
        <v>101</v>
      </c>
      <c r="K293" s="2"/>
      <c r="L293" s="2"/>
    </row>
    <row r="294" ht="15.75" customHeight="1">
      <c r="A294" s="3">
        <v>292.0</v>
      </c>
      <c r="B294" s="2" t="s">
        <v>941</v>
      </c>
      <c r="C294" s="2" t="s">
        <v>942</v>
      </c>
      <c r="D294" s="2" t="s">
        <v>331</v>
      </c>
      <c r="E294" s="3">
        <v>5.70056378423E11</v>
      </c>
      <c r="F294" s="2" t="s">
        <v>943</v>
      </c>
      <c r="G294" s="2" t="s">
        <v>12</v>
      </c>
      <c r="H294" s="2" t="s">
        <v>13</v>
      </c>
      <c r="I294" s="2" t="s">
        <v>14</v>
      </c>
      <c r="J294" s="2" t="s">
        <v>101</v>
      </c>
      <c r="K294" s="2"/>
      <c r="L294" s="2"/>
    </row>
    <row r="295" ht="15.75" customHeight="1">
      <c r="A295" s="3">
        <v>293.0</v>
      </c>
      <c r="B295" s="2" t="s">
        <v>944</v>
      </c>
      <c r="C295" s="2" t="s">
        <v>945</v>
      </c>
      <c r="D295" s="2" t="s">
        <v>946</v>
      </c>
      <c r="E295" s="3">
        <v>5.70056378424E11</v>
      </c>
      <c r="F295" s="2" t="s">
        <v>458</v>
      </c>
      <c r="G295" s="2" t="s">
        <v>12</v>
      </c>
      <c r="H295" s="2" t="s">
        <v>13</v>
      </c>
      <c r="I295" s="2" t="s">
        <v>14</v>
      </c>
      <c r="J295" s="2" t="s">
        <v>101</v>
      </c>
      <c r="K295" s="2"/>
      <c r="L295" s="2"/>
    </row>
    <row r="296" ht="15.75" customHeight="1">
      <c r="A296" s="3">
        <v>294.0</v>
      </c>
      <c r="B296" s="4" t="s">
        <v>947</v>
      </c>
      <c r="C296" s="2" t="s">
        <v>948</v>
      </c>
      <c r="D296" s="2" t="s">
        <v>91</v>
      </c>
      <c r="E296" s="3">
        <v>5.70056378428E11</v>
      </c>
      <c r="F296" s="2" t="s">
        <v>949</v>
      </c>
      <c r="G296" s="2" t="s">
        <v>12</v>
      </c>
      <c r="H296" s="2" t="s">
        <v>13</v>
      </c>
      <c r="I296" s="2" t="s">
        <v>14</v>
      </c>
      <c r="J296" s="2" t="s">
        <v>101</v>
      </c>
      <c r="K296" s="2"/>
      <c r="L296" s="2"/>
    </row>
    <row r="297" ht="15.75" customHeight="1">
      <c r="A297" s="3">
        <v>295.0</v>
      </c>
      <c r="B297" s="2" t="s">
        <v>258</v>
      </c>
      <c r="C297" s="2" t="s">
        <v>950</v>
      </c>
      <c r="D297" s="2" t="s">
        <v>951</v>
      </c>
      <c r="E297" s="3">
        <v>5.70056378429E11</v>
      </c>
      <c r="F297" s="2" t="s">
        <v>952</v>
      </c>
      <c r="G297" s="2" t="s">
        <v>12</v>
      </c>
      <c r="H297" s="2" t="s">
        <v>13</v>
      </c>
      <c r="I297" s="2" t="s">
        <v>14</v>
      </c>
      <c r="J297" s="2" t="s">
        <v>101</v>
      </c>
      <c r="K297" s="2"/>
      <c r="L297" s="2"/>
    </row>
    <row r="298" ht="15.75" customHeight="1">
      <c r="A298" s="3">
        <v>296.0</v>
      </c>
      <c r="B298" s="2" t="s">
        <v>824</v>
      </c>
      <c r="C298" s="2" t="s">
        <v>953</v>
      </c>
      <c r="D298" s="2" t="s">
        <v>954</v>
      </c>
      <c r="E298" s="3">
        <v>5.7005637843E11</v>
      </c>
      <c r="F298" s="2" t="s">
        <v>955</v>
      </c>
      <c r="G298" s="2" t="s">
        <v>12</v>
      </c>
      <c r="H298" s="2" t="s">
        <v>13</v>
      </c>
      <c r="I298" s="2" t="s">
        <v>14</v>
      </c>
      <c r="J298" s="2" t="s">
        <v>101</v>
      </c>
      <c r="K298" s="2"/>
      <c r="L298" s="2"/>
    </row>
    <row r="299" ht="15.75" customHeight="1">
      <c r="A299" s="3">
        <v>297.0</v>
      </c>
      <c r="B299" s="2" t="s">
        <v>956</v>
      </c>
      <c r="C299" s="2" t="s">
        <v>957</v>
      </c>
      <c r="D299" s="2" t="s">
        <v>946</v>
      </c>
      <c r="E299" s="3">
        <v>5.70056378431E11</v>
      </c>
      <c r="F299" s="2" t="s">
        <v>958</v>
      </c>
      <c r="G299" s="2" t="s">
        <v>12</v>
      </c>
      <c r="H299" s="2" t="s">
        <v>13</v>
      </c>
      <c r="I299" s="2" t="s">
        <v>14</v>
      </c>
      <c r="J299" s="2" t="s">
        <v>101</v>
      </c>
      <c r="K299" s="2"/>
      <c r="L299" s="2"/>
    </row>
    <row r="300" ht="15.75" customHeight="1">
      <c r="A300" s="3">
        <v>298.0</v>
      </c>
      <c r="B300" s="2" t="s">
        <v>959</v>
      </c>
      <c r="C300" s="2" t="s">
        <v>960</v>
      </c>
      <c r="D300" s="2" t="s">
        <v>961</v>
      </c>
      <c r="E300" s="3">
        <v>5.70056378434E11</v>
      </c>
      <c r="F300" s="2" t="s">
        <v>962</v>
      </c>
      <c r="G300" s="2" t="s">
        <v>12</v>
      </c>
      <c r="H300" s="2" t="s">
        <v>13</v>
      </c>
      <c r="I300" s="2" t="s">
        <v>14</v>
      </c>
      <c r="J300" s="2" t="s">
        <v>101</v>
      </c>
      <c r="K300" s="2"/>
      <c r="L300" s="2"/>
    </row>
    <row r="301" ht="15.75" customHeight="1">
      <c r="A301" s="3">
        <v>299.0</v>
      </c>
      <c r="B301" s="2" t="s">
        <v>963</v>
      </c>
      <c r="C301" s="2" t="s">
        <v>964</v>
      </c>
      <c r="D301" s="2" t="s">
        <v>797</v>
      </c>
      <c r="E301" s="3">
        <v>5.70056378435E11</v>
      </c>
      <c r="F301" s="2" t="s">
        <v>965</v>
      </c>
      <c r="G301" s="2" t="s">
        <v>12</v>
      </c>
      <c r="H301" s="2" t="s">
        <v>13</v>
      </c>
      <c r="I301" s="2" t="s">
        <v>14</v>
      </c>
      <c r="J301" s="2" t="s">
        <v>101</v>
      </c>
      <c r="K301" s="2"/>
      <c r="L301" s="2"/>
    </row>
    <row r="302" ht="15.75" customHeight="1">
      <c r="A302" s="3">
        <v>300.0</v>
      </c>
      <c r="B302" s="2" t="s">
        <v>966</v>
      </c>
      <c r="C302" s="2" t="s">
        <v>967</v>
      </c>
      <c r="D302" s="2" t="s">
        <v>968</v>
      </c>
      <c r="E302" s="3">
        <v>5.70056378437E11</v>
      </c>
      <c r="F302" s="2" t="s">
        <v>969</v>
      </c>
      <c r="G302" s="2" t="s">
        <v>12</v>
      </c>
      <c r="H302" s="2" t="s">
        <v>13</v>
      </c>
      <c r="I302" s="2" t="s">
        <v>14</v>
      </c>
      <c r="J302" s="2" t="s">
        <v>101</v>
      </c>
      <c r="K302" s="2"/>
      <c r="L302" s="2"/>
    </row>
    <row r="303" ht="15.75" customHeight="1">
      <c r="A303" s="3">
        <v>301.0</v>
      </c>
      <c r="B303" s="2" t="s">
        <v>158</v>
      </c>
      <c r="C303" s="2" t="s">
        <v>970</v>
      </c>
      <c r="D303" s="2" t="s">
        <v>971</v>
      </c>
      <c r="E303" s="3">
        <v>5.70056378438E11</v>
      </c>
      <c r="F303" s="2" t="s">
        <v>972</v>
      </c>
      <c r="G303" s="2" t="s">
        <v>12</v>
      </c>
      <c r="H303" s="2" t="s">
        <v>13</v>
      </c>
      <c r="I303" s="2" t="s">
        <v>14</v>
      </c>
      <c r="J303" s="2" t="s">
        <v>101</v>
      </c>
      <c r="K303" s="2"/>
      <c r="L303" s="2"/>
    </row>
    <row r="304" ht="15.75" customHeight="1">
      <c r="A304" s="3">
        <v>302.0</v>
      </c>
      <c r="B304" s="4" t="s">
        <v>973</v>
      </c>
      <c r="C304" s="2" t="s">
        <v>974</v>
      </c>
      <c r="D304" s="2" t="s">
        <v>975</v>
      </c>
      <c r="E304" s="3">
        <v>5.70056378439E11</v>
      </c>
      <c r="F304" s="2" t="s">
        <v>428</v>
      </c>
      <c r="G304" s="2" t="s">
        <v>12</v>
      </c>
      <c r="H304" s="2" t="s">
        <v>13</v>
      </c>
      <c r="I304" s="2" t="s">
        <v>14</v>
      </c>
      <c r="J304" s="2" t="s">
        <v>101</v>
      </c>
      <c r="K304" s="2"/>
      <c r="L304" s="2"/>
    </row>
    <row r="305" ht="15.75" customHeight="1">
      <c r="A305" s="3">
        <v>303.0</v>
      </c>
      <c r="B305" s="2" t="s">
        <v>136</v>
      </c>
      <c r="C305" s="2" t="s">
        <v>976</v>
      </c>
      <c r="D305" s="2" t="s">
        <v>977</v>
      </c>
      <c r="E305" s="3">
        <v>5.7005637844E11</v>
      </c>
      <c r="F305" s="2" t="s">
        <v>978</v>
      </c>
      <c r="G305" s="2" t="s">
        <v>12</v>
      </c>
      <c r="H305" s="2" t="s">
        <v>13</v>
      </c>
      <c r="I305" s="2" t="s">
        <v>14</v>
      </c>
      <c r="J305" s="2" t="s">
        <v>101</v>
      </c>
      <c r="K305" s="2"/>
      <c r="L305" s="2"/>
    </row>
    <row r="306" ht="15.75" customHeight="1">
      <c r="A306" s="3">
        <v>304.0</v>
      </c>
      <c r="B306" s="2" t="s">
        <v>977</v>
      </c>
      <c r="C306" s="2" t="s">
        <v>979</v>
      </c>
      <c r="D306" s="2" t="s">
        <v>980</v>
      </c>
      <c r="E306" s="3">
        <v>5.70056378441E11</v>
      </c>
      <c r="F306" s="2" t="s">
        <v>981</v>
      </c>
      <c r="G306" s="2" t="s">
        <v>12</v>
      </c>
      <c r="H306" s="2" t="s">
        <v>13</v>
      </c>
      <c r="I306" s="2" t="s">
        <v>14</v>
      </c>
      <c r="J306" s="2" t="s">
        <v>101</v>
      </c>
      <c r="K306" s="2"/>
      <c r="L306" s="2"/>
    </row>
    <row r="307" ht="15.75" customHeight="1">
      <c r="A307" s="3">
        <v>305.0</v>
      </c>
      <c r="B307" s="4" t="s">
        <v>876</v>
      </c>
      <c r="C307" s="2" t="s">
        <v>979</v>
      </c>
      <c r="D307" s="2" t="s">
        <v>982</v>
      </c>
      <c r="E307" s="3">
        <v>5.70056378442E11</v>
      </c>
      <c r="F307" s="2" t="s">
        <v>983</v>
      </c>
      <c r="G307" s="2" t="s">
        <v>12</v>
      </c>
      <c r="H307" s="2" t="s">
        <v>13</v>
      </c>
      <c r="I307" s="2" t="s">
        <v>14</v>
      </c>
      <c r="J307" s="2" t="s">
        <v>101</v>
      </c>
      <c r="K307" s="2"/>
      <c r="L307" s="2"/>
    </row>
    <row r="308" ht="15.75" customHeight="1">
      <c r="A308" s="3">
        <v>306.0</v>
      </c>
      <c r="B308" s="2" t="s">
        <v>984</v>
      </c>
      <c r="C308" s="2" t="s">
        <v>985</v>
      </c>
      <c r="D308" s="2" t="s">
        <v>986</v>
      </c>
      <c r="E308" s="3">
        <v>5.70056378443E11</v>
      </c>
      <c r="F308" s="2" t="s">
        <v>987</v>
      </c>
      <c r="G308" s="2" t="s">
        <v>12</v>
      </c>
      <c r="H308" s="2" t="s">
        <v>13</v>
      </c>
      <c r="I308" s="2" t="s">
        <v>14</v>
      </c>
      <c r="J308" s="2" t="s">
        <v>101</v>
      </c>
      <c r="K308" s="2"/>
      <c r="L308" s="2"/>
    </row>
    <row r="309" ht="15.75" customHeight="1">
      <c r="A309" s="3">
        <v>307.0</v>
      </c>
      <c r="B309" s="2" t="s">
        <v>988</v>
      </c>
      <c r="C309" s="2" t="s">
        <v>989</v>
      </c>
      <c r="D309" s="2" t="s">
        <v>990</v>
      </c>
      <c r="E309" s="3">
        <v>5.70056378445E11</v>
      </c>
      <c r="F309" s="2" t="s">
        <v>991</v>
      </c>
      <c r="G309" s="2" t="s">
        <v>12</v>
      </c>
      <c r="H309" s="2" t="s">
        <v>13</v>
      </c>
      <c r="I309" s="2" t="s">
        <v>14</v>
      </c>
      <c r="J309" s="2" t="s">
        <v>101</v>
      </c>
      <c r="K309" s="2"/>
      <c r="L309" s="2"/>
    </row>
    <row r="310" ht="15.75" customHeight="1">
      <c r="A310" s="3">
        <v>308.0</v>
      </c>
      <c r="B310" s="2" t="s">
        <v>992</v>
      </c>
      <c r="C310" s="2" t="s">
        <v>993</v>
      </c>
      <c r="D310" s="2" t="s">
        <v>994</v>
      </c>
      <c r="E310" s="3">
        <v>5.70056378446E11</v>
      </c>
      <c r="F310" s="2" t="s">
        <v>995</v>
      </c>
      <c r="G310" s="2" t="s">
        <v>12</v>
      </c>
      <c r="H310" s="2" t="s">
        <v>13</v>
      </c>
      <c r="I310" s="2" t="s">
        <v>14</v>
      </c>
      <c r="J310" s="2" t="s">
        <v>101</v>
      </c>
      <c r="K310" s="2"/>
      <c r="L310" s="2"/>
    </row>
    <row r="311" ht="15.75" customHeight="1">
      <c r="A311" s="3">
        <v>309.0</v>
      </c>
      <c r="B311" s="2" t="s">
        <v>996</v>
      </c>
      <c r="C311" s="2" t="s">
        <v>993</v>
      </c>
      <c r="D311" s="2" t="s">
        <v>997</v>
      </c>
      <c r="E311" s="3">
        <v>5.70056378447E11</v>
      </c>
      <c r="F311" s="2" t="s">
        <v>998</v>
      </c>
      <c r="G311" s="2" t="s">
        <v>12</v>
      </c>
      <c r="H311" s="2" t="s">
        <v>13</v>
      </c>
      <c r="I311" s="2" t="s">
        <v>14</v>
      </c>
      <c r="J311" s="2" t="s">
        <v>101</v>
      </c>
      <c r="K311" s="2"/>
      <c r="L311" s="2"/>
    </row>
    <row r="312" ht="15.75" customHeight="1">
      <c r="A312" s="3">
        <v>310.0</v>
      </c>
      <c r="B312" s="2" t="s">
        <v>999</v>
      </c>
      <c r="C312" s="2" t="s">
        <v>1000</v>
      </c>
      <c r="D312" s="2" t="s">
        <v>1001</v>
      </c>
      <c r="E312" s="3">
        <v>5.70056378448E11</v>
      </c>
      <c r="F312" s="2" t="s">
        <v>1002</v>
      </c>
      <c r="G312" s="2" t="s">
        <v>12</v>
      </c>
      <c r="H312" s="2" t="s">
        <v>13</v>
      </c>
      <c r="I312" s="2" t="s">
        <v>14</v>
      </c>
      <c r="J312" s="2" t="s">
        <v>101</v>
      </c>
      <c r="K312" s="2"/>
      <c r="L312" s="2"/>
    </row>
    <row r="313" ht="15.75" customHeight="1">
      <c r="A313" s="3">
        <v>311.0</v>
      </c>
      <c r="B313" s="2" t="s">
        <v>119</v>
      </c>
      <c r="C313" s="2" t="s">
        <v>1003</v>
      </c>
      <c r="D313" s="2" t="s">
        <v>975</v>
      </c>
      <c r="E313" s="3">
        <v>5.7005637845E11</v>
      </c>
      <c r="F313" s="2" t="s">
        <v>1004</v>
      </c>
      <c r="G313" s="2" t="s">
        <v>12</v>
      </c>
      <c r="H313" s="2" t="s">
        <v>13</v>
      </c>
      <c r="I313" s="2" t="s">
        <v>14</v>
      </c>
      <c r="J313" s="2" t="s">
        <v>101</v>
      </c>
      <c r="K313" s="2"/>
      <c r="L313" s="2"/>
    </row>
    <row r="314" ht="15.75" customHeight="1">
      <c r="A314" s="3">
        <v>312.0</v>
      </c>
      <c r="B314" s="2" t="s">
        <v>333</v>
      </c>
      <c r="C314" s="2" t="s">
        <v>1005</v>
      </c>
      <c r="D314" s="2" t="s">
        <v>381</v>
      </c>
      <c r="E314" s="3">
        <v>5.7005637846E11</v>
      </c>
      <c r="F314" s="2" t="s">
        <v>1006</v>
      </c>
      <c r="G314" s="2" t="s">
        <v>12</v>
      </c>
      <c r="H314" s="2" t="s">
        <v>13</v>
      </c>
      <c r="I314" s="2" t="s">
        <v>14</v>
      </c>
      <c r="J314" s="2" t="s">
        <v>101</v>
      </c>
      <c r="K314" s="2"/>
      <c r="L314" s="2"/>
    </row>
    <row r="315" ht="15.75" customHeight="1">
      <c r="A315" s="3">
        <v>313.0</v>
      </c>
      <c r="B315" s="2" t="s">
        <v>941</v>
      </c>
      <c r="C315" s="2" t="s">
        <v>1007</v>
      </c>
      <c r="D315" s="2" t="s">
        <v>1008</v>
      </c>
      <c r="E315" s="3">
        <v>5.70056378464E11</v>
      </c>
      <c r="F315" s="2" t="s">
        <v>1009</v>
      </c>
      <c r="G315" s="2" t="s">
        <v>12</v>
      </c>
      <c r="H315" s="2" t="s">
        <v>13</v>
      </c>
      <c r="I315" s="2" t="s">
        <v>14</v>
      </c>
      <c r="J315" s="2" t="s">
        <v>101</v>
      </c>
      <c r="K315" s="2"/>
      <c r="L315" s="2"/>
    </row>
    <row r="316" ht="15.75" customHeight="1">
      <c r="A316" s="3">
        <v>314.0</v>
      </c>
      <c r="B316" s="2" t="s">
        <v>192</v>
      </c>
      <c r="C316" s="2" t="s">
        <v>1010</v>
      </c>
      <c r="D316" s="2" t="s">
        <v>1011</v>
      </c>
      <c r="E316" s="3">
        <v>5.70056378465E11</v>
      </c>
      <c r="F316" s="2" t="s">
        <v>1012</v>
      </c>
      <c r="G316" s="2" t="s">
        <v>12</v>
      </c>
      <c r="H316" s="2" t="s">
        <v>13</v>
      </c>
      <c r="I316" s="2" t="s">
        <v>14</v>
      </c>
      <c r="J316" s="2" t="s">
        <v>101</v>
      </c>
      <c r="K316" s="2"/>
      <c r="L316" s="2"/>
    </row>
    <row r="317" ht="15.75" customHeight="1">
      <c r="A317" s="3">
        <v>315.0</v>
      </c>
      <c r="B317" s="2" t="s">
        <v>179</v>
      </c>
      <c r="C317" s="2" t="s">
        <v>1013</v>
      </c>
      <c r="D317" s="2" t="s">
        <v>1014</v>
      </c>
      <c r="E317" s="3">
        <v>5.70056378466E11</v>
      </c>
      <c r="F317" s="2" t="s">
        <v>901</v>
      </c>
      <c r="G317" s="2" t="s">
        <v>12</v>
      </c>
      <c r="H317" s="2" t="s">
        <v>13</v>
      </c>
      <c r="I317" s="2" t="s">
        <v>14</v>
      </c>
      <c r="J317" s="2" t="s">
        <v>101</v>
      </c>
      <c r="K317" s="2"/>
      <c r="L317" s="2"/>
    </row>
    <row r="318" ht="15.75" customHeight="1">
      <c r="A318" s="3">
        <v>316.0</v>
      </c>
      <c r="B318" s="2" t="s">
        <v>518</v>
      </c>
      <c r="C318" s="2" t="s">
        <v>1015</v>
      </c>
      <c r="D318" s="2" t="s">
        <v>1016</v>
      </c>
      <c r="E318" s="3">
        <v>5.70056378467E11</v>
      </c>
      <c r="F318" s="2" t="s">
        <v>1006</v>
      </c>
      <c r="G318" s="2" t="s">
        <v>12</v>
      </c>
      <c r="H318" s="2" t="s">
        <v>13</v>
      </c>
      <c r="I318" s="2" t="s">
        <v>14</v>
      </c>
      <c r="J318" s="2" t="s">
        <v>101</v>
      </c>
      <c r="K318" s="2"/>
      <c r="L318" s="2"/>
    </row>
    <row r="319" ht="15.75" customHeight="1">
      <c r="A319" s="3">
        <v>317.0</v>
      </c>
      <c r="B319" s="2" t="s">
        <v>383</v>
      </c>
      <c r="C319" s="2" t="s">
        <v>1017</v>
      </c>
      <c r="D319" s="2" t="s">
        <v>865</v>
      </c>
      <c r="E319" s="3">
        <v>5.70056378475E11</v>
      </c>
      <c r="F319" s="2" t="s">
        <v>1018</v>
      </c>
      <c r="G319" s="2" t="s">
        <v>12</v>
      </c>
      <c r="H319" s="2" t="s">
        <v>13</v>
      </c>
      <c r="I319" s="2" t="s">
        <v>14</v>
      </c>
      <c r="J319" s="2" t="s">
        <v>101</v>
      </c>
      <c r="K319" s="2"/>
      <c r="L319" s="2"/>
    </row>
    <row r="320" ht="15.75" customHeight="1">
      <c r="A320" s="3">
        <v>318.0</v>
      </c>
      <c r="B320" s="2" t="s">
        <v>108</v>
      </c>
      <c r="C320" s="2" t="s">
        <v>1019</v>
      </c>
      <c r="D320" s="2" t="s">
        <v>1020</v>
      </c>
      <c r="E320" s="3">
        <v>5.70056378476E11</v>
      </c>
      <c r="F320" s="2" t="s">
        <v>1021</v>
      </c>
      <c r="G320" s="2" t="s">
        <v>12</v>
      </c>
      <c r="H320" s="2" t="s">
        <v>13</v>
      </c>
      <c r="I320" s="2" t="s">
        <v>14</v>
      </c>
      <c r="J320" s="2" t="s">
        <v>101</v>
      </c>
      <c r="K320" s="2"/>
      <c r="L320" s="2"/>
    </row>
    <row r="321" ht="15.75" customHeight="1">
      <c r="A321" s="3">
        <v>319.0</v>
      </c>
      <c r="B321" s="2" t="s">
        <v>1022</v>
      </c>
      <c r="C321" s="2" t="s">
        <v>1023</v>
      </c>
      <c r="D321" s="2" t="s">
        <v>1024</v>
      </c>
      <c r="E321" s="3">
        <v>5.70056378479E11</v>
      </c>
      <c r="F321" s="2" t="s">
        <v>573</v>
      </c>
      <c r="G321" s="2" t="s">
        <v>12</v>
      </c>
      <c r="H321" s="2" t="s">
        <v>13</v>
      </c>
      <c r="I321" s="2" t="s">
        <v>14</v>
      </c>
      <c r="J321" s="2" t="s">
        <v>101</v>
      </c>
      <c r="K321" s="2"/>
      <c r="L321" s="2"/>
    </row>
    <row r="322" ht="15.75" customHeight="1">
      <c r="A322" s="3">
        <v>320.0</v>
      </c>
      <c r="B322" s="4" t="s">
        <v>1025</v>
      </c>
      <c r="C322" s="2" t="s">
        <v>1026</v>
      </c>
      <c r="D322" s="2" t="s">
        <v>1027</v>
      </c>
      <c r="E322" s="3">
        <v>5.70056378484E11</v>
      </c>
      <c r="F322" s="2" t="s">
        <v>1028</v>
      </c>
      <c r="G322" s="2" t="s">
        <v>12</v>
      </c>
      <c r="H322" s="2" t="s">
        <v>13</v>
      </c>
      <c r="I322" s="2" t="s">
        <v>14</v>
      </c>
      <c r="J322" s="2" t="s">
        <v>101</v>
      </c>
      <c r="K322" s="2"/>
      <c r="L322" s="2"/>
    </row>
    <row r="323" ht="15.75" customHeight="1">
      <c r="A323" s="3">
        <v>321.0</v>
      </c>
      <c r="B323" s="2" t="s">
        <v>1029</v>
      </c>
      <c r="C323" s="2" t="s">
        <v>1030</v>
      </c>
      <c r="D323" s="2" t="s">
        <v>1031</v>
      </c>
      <c r="E323" s="3">
        <v>5.70056378485E11</v>
      </c>
      <c r="F323" s="2" t="s">
        <v>1032</v>
      </c>
      <c r="G323" s="2" t="s">
        <v>12</v>
      </c>
      <c r="H323" s="2" t="s">
        <v>13</v>
      </c>
      <c r="I323" s="2" t="s">
        <v>14</v>
      </c>
      <c r="J323" s="2" t="s">
        <v>101</v>
      </c>
      <c r="K323" s="2"/>
      <c r="L323" s="2"/>
    </row>
    <row r="324" ht="15.75" customHeight="1">
      <c r="A324" s="3">
        <v>322.0</v>
      </c>
      <c r="B324" s="2" t="s">
        <v>627</v>
      </c>
      <c r="C324" s="2" t="s">
        <v>1033</v>
      </c>
      <c r="D324" s="2" t="s">
        <v>1034</v>
      </c>
      <c r="E324" s="3">
        <v>5.70056378491E11</v>
      </c>
      <c r="F324" s="2" t="s">
        <v>1035</v>
      </c>
      <c r="G324" s="2" t="s">
        <v>12</v>
      </c>
      <c r="H324" s="2" t="s">
        <v>13</v>
      </c>
      <c r="I324" s="2" t="s">
        <v>14</v>
      </c>
      <c r="J324" s="2" t="s">
        <v>101</v>
      </c>
      <c r="K324" s="2"/>
      <c r="L324" s="2"/>
    </row>
    <row r="325" ht="15.75" customHeight="1">
      <c r="A325" s="3">
        <v>323.0</v>
      </c>
      <c r="B325" s="4" t="s">
        <v>1036</v>
      </c>
      <c r="C325" s="2" t="s">
        <v>1037</v>
      </c>
      <c r="D325" s="2" t="s">
        <v>999</v>
      </c>
      <c r="E325" s="3">
        <v>5.70056378492E11</v>
      </c>
      <c r="F325" s="2" t="s">
        <v>1038</v>
      </c>
      <c r="G325" s="2" t="s">
        <v>12</v>
      </c>
      <c r="H325" s="2" t="s">
        <v>13</v>
      </c>
      <c r="I325" s="2" t="s">
        <v>14</v>
      </c>
      <c r="J325" s="2" t="s">
        <v>101</v>
      </c>
      <c r="K325" s="2"/>
      <c r="L325" s="2"/>
    </row>
    <row r="326" ht="15.75" customHeight="1">
      <c r="A326" s="3">
        <v>324.0</v>
      </c>
      <c r="B326" s="2" t="s">
        <v>219</v>
      </c>
      <c r="C326" s="2" t="s">
        <v>1039</v>
      </c>
      <c r="D326" s="2" t="s">
        <v>834</v>
      </c>
      <c r="E326" s="3">
        <v>5.70056378493E11</v>
      </c>
      <c r="F326" s="2" t="s">
        <v>489</v>
      </c>
      <c r="G326" s="2" t="s">
        <v>12</v>
      </c>
      <c r="H326" s="2" t="s">
        <v>13</v>
      </c>
      <c r="I326" s="2" t="s">
        <v>14</v>
      </c>
      <c r="J326" s="2" t="s">
        <v>101</v>
      </c>
      <c r="K326" s="2"/>
      <c r="L326" s="2"/>
    </row>
    <row r="327" ht="15.75" customHeight="1">
      <c r="A327" s="3">
        <v>325.0</v>
      </c>
      <c r="B327" s="2" t="s">
        <v>1040</v>
      </c>
      <c r="C327" s="2" t="s">
        <v>1041</v>
      </c>
      <c r="D327" s="2" t="s">
        <v>1042</v>
      </c>
      <c r="E327" s="3">
        <v>5.70056378495E11</v>
      </c>
      <c r="F327" s="2" t="s">
        <v>1043</v>
      </c>
      <c r="G327" s="2" t="s">
        <v>12</v>
      </c>
      <c r="H327" s="2" t="s">
        <v>13</v>
      </c>
      <c r="I327" s="2" t="s">
        <v>14</v>
      </c>
      <c r="J327" s="2" t="s">
        <v>101</v>
      </c>
      <c r="K327" s="2"/>
      <c r="L327" s="2"/>
    </row>
    <row r="328" ht="15.75" customHeight="1">
      <c r="A328" s="3">
        <v>326.0</v>
      </c>
      <c r="B328" s="2" t="s">
        <v>1044</v>
      </c>
      <c r="C328" s="2" t="s">
        <v>1045</v>
      </c>
      <c r="D328" s="2" t="s">
        <v>1046</v>
      </c>
      <c r="E328" s="3">
        <v>5.70056378497E11</v>
      </c>
      <c r="F328" s="2" t="s">
        <v>777</v>
      </c>
      <c r="G328" s="2" t="s">
        <v>12</v>
      </c>
      <c r="H328" s="2" t="s">
        <v>13</v>
      </c>
      <c r="I328" s="2" t="s">
        <v>14</v>
      </c>
      <c r="J328" s="2" t="s">
        <v>101</v>
      </c>
      <c r="K328" s="2"/>
      <c r="L328" s="2"/>
    </row>
    <row r="329" ht="15.75" customHeight="1">
      <c r="A329" s="3">
        <v>327.0</v>
      </c>
      <c r="B329" s="2" t="s">
        <v>1047</v>
      </c>
      <c r="C329" s="2" t="s">
        <v>1039</v>
      </c>
      <c r="D329" s="2" t="s">
        <v>834</v>
      </c>
      <c r="E329" s="3">
        <v>5.70056378498E11</v>
      </c>
      <c r="F329" s="2" t="s">
        <v>1048</v>
      </c>
      <c r="G329" s="2" t="s">
        <v>12</v>
      </c>
      <c r="H329" s="2" t="s">
        <v>13</v>
      </c>
      <c r="I329" s="2" t="s">
        <v>14</v>
      </c>
      <c r="J329" s="2" t="s">
        <v>101</v>
      </c>
      <c r="K329" s="2"/>
      <c r="L329" s="2"/>
    </row>
    <row r="330" ht="15.75" customHeight="1">
      <c r="A330" s="3">
        <v>328.0</v>
      </c>
      <c r="B330" s="2" t="s">
        <v>81</v>
      </c>
      <c r="C330" s="2" t="s">
        <v>1049</v>
      </c>
      <c r="D330" s="2" t="s">
        <v>119</v>
      </c>
      <c r="E330" s="3">
        <v>5.70056378501E11</v>
      </c>
      <c r="F330" s="2" t="s">
        <v>1050</v>
      </c>
      <c r="G330" s="2" t="s">
        <v>1051</v>
      </c>
      <c r="H330" s="2" t="s">
        <v>13</v>
      </c>
      <c r="I330" s="2" t="s">
        <v>14</v>
      </c>
      <c r="J330" s="2" t="s">
        <v>101</v>
      </c>
      <c r="K330" s="2"/>
      <c r="L330" s="2"/>
    </row>
    <row r="331" ht="15.75" customHeight="1">
      <c r="A331" s="3">
        <v>329.0</v>
      </c>
      <c r="B331" s="2" t="s">
        <v>349</v>
      </c>
      <c r="C331" s="2" t="s">
        <v>1052</v>
      </c>
      <c r="D331" s="2" t="s">
        <v>1053</v>
      </c>
      <c r="E331" s="5">
        <v>5.70056378512E11</v>
      </c>
      <c r="F331" s="2" t="s">
        <v>1054</v>
      </c>
      <c r="G331" s="2" t="s">
        <v>12</v>
      </c>
      <c r="H331" s="2" t="s">
        <v>13</v>
      </c>
      <c r="I331" s="2" t="s">
        <v>14</v>
      </c>
      <c r="J331" s="2" t="s">
        <v>101</v>
      </c>
      <c r="K331" s="2"/>
      <c r="L331" s="2"/>
    </row>
    <row r="332" ht="15.75" customHeight="1">
      <c r="A332" s="3">
        <v>330.0</v>
      </c>
      <c r="B332" s="2" t="s">
        <v>1055</v>
      </c>
      <c r="C332" s="2" t="s">
        <v>1056</v>
      </c>
      <c r="D332" s="2" t="s">
        <v>1057</v>
      </c>
      <c r="E332" s="3">
        <v>5.70056378513E11</v>
      </c>
      <c r="F332" s="2" t="s">
        <v>1058</v>
      </c>
      <c r="G332" s="2" t="s">
        <v>12</v>
      </c>
      <c r="H332" s="2" t="s">
        <v>13</v>
      </c>
      <c r="I332" s="2" t="s">
        <v>14</v>
      </c>
      <c r="J332" s="2" t="s">
        <v>101</v>
      </c>
      <c r="K332" s="2"/>
      <c r="L332" s="2"/>
    </row>
    <row r="333" ht="15.75" customHeight="1">
      <c r="A333" s="3">
        <v>331.0</v>
      </c>
      <c r="B333" s="2" t="s">
        <v>1059</v>
      </c>
      <c r="C333" s="2" t="s">
        <v>1060</v>
      </c>
      <c r="D333" s="2" t="s">
        <v>1061</v>
      </c>
      <c r="E333" s="3">
        <v>5.70056378518E11</v>
      </c>
      <c r="F333" s="2" t="s">
        <v>1062</v>
      </c>
      <c r="G333" s="2" t="s">
        <v>12</v>
      </c>
      <c r="H333" s="2" t="s">
        <v>13</v>
      </c>
      <c r="I333" s="2" t="s">
        <v>14</v>
      </c>
      <c r="J333" s="2" t="s">
        <v>101</v>
      </c>
      <c r="K333" s="2"/>
      <c r="L333" s="2"/>
    </row>
    <row r="334" ht="15.75" customHeight="1">
      <c r="A334" s="3">
        <v>332.0</v>
      </c>
      <c r="B334" s="2" t="s">
        <v>192</v>
      </c>
      <c r="C334" s="2" t="s">
        <v>1063</v>
      </c>
      <c r="D334" s="2" t="s">
        <v>804</v>
      </c>
      <c r="E334" s="3">
        <v>5.70056378519E11</v>
      </c>
      <c r="F334" s="2" t="s">
        <v>186</v>
      </c>
      <c r="G334" s="2" t="s">
        <v>12</v>
      </c>
      <c r="H334" s="2" t="s">
        <v>13</v>
      </c>
      <c r="I334" s="2" t="s">
        <v>14</v>
      </c>
      <c r="J334" s="2" t="s">
        <v>101</v>
      </c>
      <c r="K334" s="2"/>
      <c r="L334" s="2"/>
    </row>
    <row r="335" ht="15.75" customHeight="1">
      <c r="A335" s="3">
        <v>333.0</v>
      </c>
      <c r="B335" s="2" t="s">
        <v>1064</v>
      </c>
      <c r="C335" s="2" t="s">
        <v>1065</v>
      </c>
      <c r="D335" s="2" t="s">
        <v>1066</v>
      </c>
      <c r="E335" s="3">
        <v>5.7005637852E11</v>
      </c>
      <c r="F335" s="2" t="s">
        <v>1067</v>
      </c>
      <c r="G335" s="2" t="s">
        <v>12</v>
      </c>
      <c r="H335" s="2" t="s">
        <v>13</v>
      </c>
      <c r="I335" s="2" t="s">
        <v>14</v>
      </c>
      <c r="J335" s="2" t="s">
        <v>101</v>
      </c>
      <c r="K335" s="2"/>
      <c r="L335" s="2"/>
    </row>
    <row r="336" ht="15.75" customHeight="1">
      <c r="A336" s="3">
        <v>334.0</v>
      </c>
      <c r="B336" s="2" t="s">
        <v>1068</v>
      </c>
      <c r="C336" s="2" t="s">
        <v>1069</v>
      </c>
      <c r="D336" s="2" t="s">
        <v>1070</v>
      </c>
      <c r="E336" s="3">
        <v>5.70056378521E11</v>
      </c>
      <c r="F336" s="2" t="s">
        <v>1071</v>
      </c>
      <c r="G336" s="2" t="s">
        <v>12</v>
      </c>
      <c r="H336" s="2" t="s">
        <v>13</v>
      </c>
      <c r="I336" s="2" t="s">
        <v>14</v>
      </c>
      <c r="J336" s="2" t="s">
        <v>101</v>
      </c>
      <c r="K336" s="2"/>
      <c r="L336" s="2"/>
    </row>
    <row r="337" ht="15.75" customHeight="1">
      <c r="A337" s="3">
        <v>335.0</v>
      </c>
      <c r="B337" s="2" t="s">
        <v>1072</v>
      </c>
      <c r="C337" s="2" t="s">
        <v>1073</v>
      </c>
      <c r="D337" s="2" t="s">
        <v>1074</v>
      </c>
      <c r="E337" s="3">
        <v>5.70056378523E11</v>
      </c>
      <c r="F337" s="2" t="s">
        <v>19</v>
      </c>
      <c r="G337" s="2" t="s">
        <v>12</v>
      </c>
      <c r="H337" s="2" t="s">
        <v>13</v>
      </c>
      <c r="I337" s="2" t="s">
        <v>14</v>
      </c>
      <c r="J337" s="2" t="s">
        <v>101</v>
      </c>
      <c r="K337" s="2"/>
      <c r="L337" s="2"/>
    </row>
    <row r="338" ht="15.75" customHeight="1">
      <c r="A338" s="3">
        <v>336.0</v>
      </c>
      <c r="B338" s="2" t="s">
        <v>1075</v>
      </c>
      <c r="C338" s="2" t="s">
        <v>1076</v>
      </c>
      <c r="D338" s="2" t="s">
        <v>1077</v>
      </c>
      <c r="E338" s="3">
        <v>5.70056378524E11</v>
      </c>
      <c r="F338" s="2" t="s">
        <v>1078</v>
      </c>
      <c r="G338" s="2" t="s">
        <v>12</v>
      </c>
      <c r="H338" s="2" t="s">
        <v>13</v>
      </c>
      <c r="I338" s="2" t="s">
        <v>14</v>
      </c>
      <c r="J338" s="2" t="s">
        <v>101</v>
      </c>
      <c r="K338" s="2"/>
      <c r="L338" s="2"/>
    </row>
    <row r="339" ht="15.75" customHeight="1">
      <c r="A339" s="3">
        <v>337.0</v>
      </c>
      <c r="B339" s="2" t="s">
        <v>638</v>
      </c>
      <c r="C339" s="2" t="s">
        <v>562</v>
      </c>
      <c r="D339" s="2" t="s">
        <v>1079</v>
      </c>
      <c r="E339" s="3">
        <v>5.70056378525E11</v>
      </c>
      <c r="F339" s="2" t="s">
        <v>1080</v>
      </c>
      <c r="G339" s="2" t="s">
        <v>12</v>
      </c>
      <c r="H339" s="2" t="s">
        <v>13</v>
      </c>
      <c r="I339" s="2" t="s">
        <v>14</v>
      </c>
      <c r="J339" s="2" t="s">
        <v>101</v>
      </c>
      <c r="K339" s="2"/>
      <c r="L339" s="2"/>
    </row>
    <row r="340" ht="15.75" customHeight="1">
      <c r="A340" s="3">
        <v>338.0</v>
      </c>
      <c r="B340" s="2" t="s">
        <v>548</v>
      </c>
      <c r="C340" s="2" t="s">
        <v>1081</v>
      </c>
      <c r="D340" s="2" t="s">
        <v>1082</v>
      </c>
      <c r="E340" s="3">
        <v>5.70056378526E11</v>
      </c>
      <c r="F340" s="2" t="s">
        <v>1083</v>
      </c>
      <c r="G340" s="2" t="s">
        <v>12</v>
      </c>
      <c r="H340" s="2" t="s">
        <v>13</v>
      </c>
      <c r="I340" s="2" t="s">
        <v>14</v>
      </c>
      <c r="J340" s="2" t="s">
        <v>101</v>
      </c>
      <c r="K340" s="2"/>
      <c r="L340" s="2"/>
    </row>
    <row r="341" ht="15.75" customHeight="1">
      <c r="A341" s="3">
        <v>339.0</v>
      </c>
      <c r="B341" s="2" t="s">
        <v>1084</v>
      </c>
      <c r="C341" s="2" t="s">
        <v>979</v>
      </c>
      <c r="D341" s="2" t="s">
        <v>801</v>
      </c>
      <c r="E341" s="3">
        <v>5.7005637853E11</v>
      </c>
      <c r="F341" s="2" t="s">
        <v>1085</v>
      </c>
      <c r="G341" s="2" t="s">
        <v>12</v>
      </c>
      <c r="H341" s="2" t="s">
        <v>13</v>
      </c>
      <c r="I341" s="2" t="s">
        <v>14</v>
      </c>
      <c r="J341" s="2" t="s">
        <v>101</v>
      </c>
      <c r="K341" s="2"/>
      <c r="L341" s="2"/>
    </row>
    <row r="342" ht="15.75" customHeight="1">
      <c r="A342" s="3">
        <v>340.0</v>
      </c>
      <c r="B342" s="2" t="s">
        <v>1086</v>
      </c>
      <c r="C342" s="2" t="s">
        <v>1087</v>
      </c>
      <c r="D342" s="2" t="s">
        <v>1088</v>
      </c>
      <c r="E342" s="3">
        <v>5.70056378531E11</v>
      </c>
      <c r="F342" s="2" t="s">
        <v>1089</v>
      </c>
      <c r="G342" s="2" t="s">
        <v>12</v>
      </c>
      <c r="H342" s="2" t="s">
        <v>13</v>
      </c>
      <c r="I342" s="2" t="s">
        <v>14</v>
      </c>
      <c r="J342" s="2" t="s">
        <v>101</v>
      </c>
      <c r="K342" s="2"/>
      <c r="L342" s="2"/>
    </row>
    <row r="343" ht="15.75" customHeight="1">
      <c r="A343" s="3">
        <v>341.0</v>
      </c>
      <c r="B343" s="2" t="s">
        <v>1090</v>
      </c>
      <c r="C343" s="2" t="s">
        <v>1091</v>
      </c>
      <c r="D343" s="2" t="s">
        <v>1092</v>
      </c>
      <c r="E343" s="3">
        <v>5.70056378533E11</v>
      </c>
      <c r="F343" s="2" t="s">
        <v>1093</v>
      </c>
      <c r="G343" s="2" t="s">
        <v>12</v>
      </c>
      <c r="H343" s="2" t="s">
        <v>13</v>
      </c>
      <c r="I343" s="2" t="s">
        <v>14</v>
      </c>
      <c r="J343" s="2" t="s">
        <v>101</v>
      </c>
      <c r="K343" s="2"/>
      <c r="L343" s="2"/>
    </row>
    <row r="344" ht="15.75" customHeight="1">
      <c r="A344" s="3">
        <v>342.0</v>
      </c>
      <c r="B344" s="2" t="s">
        <v>1094</v>
      </c>
      <c r="C344" s="2" t="s">
        <v>1095</v>
      </c>
      <c r="D344" s="2" t="s">
        <v>1096</v>
      </c>
      <c r="E344" s="3">
        <v>5.70056378534E11</v>
      </c>
      <c r="F344" s="2" t="s">
        <v>969</v>
      </c>
      <c r="G344" s="2" t="s">
        <v>12</v>
      </c>
      <c r="H344" s="2" t="s">
        <v>13</v>
      </c>
      <c r="I344" s="2" t="s">
        <v>14</v>
      </c>
      <c r="J344" s="2" t="s">
        <v>101</v>
      </c>
      <c r="K344" s="2"/>
      <c r="L344" s="2"/>
    </row>
    <row r="345" ht="15.75" customHeight="1">
      <c r="A345" s="3">
        <v>343.0</v>
      </c>
      <c r="B345" s="2" t="s">
        <v>227</v>
      </c>
      <c r="C345" s="2" t="s">
        <v>1063</v>
      </c>
      <c r="D345" s="2" t="s">
        <v>1097</v>
      </c>
      <c r="E345" s="3">
        <v>5.70056378535E11</v>
      </c>
      <c r="F345" s="2" t="s">
        <v>1078</v>
      </c>
      <c r="G345" s="2" t="s">
        <v>12</v>
      </c>
      <c r="H345" s="2" t="s">
        <v>13</v>
      </c>
      <c r="I345" s="2" t="s">
        <v>14</v>
      </c>
      <c r="J345" s="2" t="s">
        <v>101</v>
      </c>
      <c r="K345" s="2"/>
      <c r="L345" s="2"/>
    </row>
    <row r="346" ht="15.75" customHeight="1">
      <c r="A346" s="3">
        <v>344.0</v>
      </c>
      <c r="B346" s="2" t="s">
        <v>1074</v>
      </c>
      <c r="C346" s="2" t="s">
        <v>1098</v>
      </c>
      <c r="D346" s="2" t="s">
        <v>1099</v>
      </c>
      <c r="E346" s="3">
        <v>5.70056378536E11</v>
      </c>
      <c r="F346" s="2" t="s">
        <v>1100</v>
      </c>
      <c r="G346" s="2" t="s">
        <v>12</v>
      </c>
      <c r="H346" s="2" t="s">
        <v>13</v>
      </c>
      <c r="I346" s="2" t="s">
        <v>14</v>
      </c>
      <c r="J346" s="2" t="s">
        <v>101</v>
      </c>
      <c r="K346" s="2"/>
      <c r="L346" s="2"/>
    </row>
    <row r="347" ht="15.75" customHeight="1">
      <c r="A347" s="3">
        <v>345.0</v>
      </c>
      <c r="B347" s="2" t="s">
        <v>1101</v>
      </c>
      <c r="C347" s="2" t="s">
        <v>1102</v>
      </c>
      <c r="D347" s="2" t="s">
        <v>986</v>
      </c>
      <c r="E347" s="3">
        <v>5.70056378537E11</v>
      </c>
      <c r="F347" s="2" t="s">
        <v>1018</v>
      </c>
      <c r="G347" s="2" t="s">
        <v>12</v>
      </c>
      <c r="H347" s="2" t="s">
        <v>13</v>
      </c>
      <c r="I347" s="2" t="s">
        <v>14</v>
      </c>
      <c r="J347" s="2" t="s">
        <v>101</v>
      </c>
      <c r="K347" s="2"/>
      <c r="L347" s="2"/>
    </row>
    <row r="348" ht="15.75" customHeight="1">
      <c r="A348" s="3">
        <v>346.0</v>
      </c>
      <c r="B348" s="2" t="s">
        <v>1103</v>
      </c>
      <c r="C348" s="2" t="s">
        <v>1104</v>
      </c>
      <c r="D348" s="2" t="s">
        <v>1105</v>
      </c>
      <c r="E348" s="3">
        <v>5.70056378538E11</v>
      </c>
      <c r="F348" s="2" t="s">
        <v>1106</v>
      </c>
      <c r="G348" s="2" t="s">
        <v>12</v>
      </c>
      <c r="H348" s="2" t="s">
        <v>13</v>
      </c>
      <c r="I348" s="2" t="s">
        <v>14</v>
      </c>
      <c r="J348" s="2" t="s">
        <v>101</v>
      </c>
      <c r="K348" s="2"/>
      <c r="L348" s="2"/>
    </row>
    <row r="349" ht="15.75" customHeight="1">
      <c r="A349" s="3">
        <v>347.0</v>
      </c>
      <c r="B349" s="2" t="s">
        <v>205</v>
      </c>
      <c r="C349" s="2" t="s">
        <v>1087</v>
      </c>
      <c r="D349" s="2" t="s">
        <v>1107</v>
      </c>
      <c r="E349" s="3">
        <v>5.70056378539E11</v>
      </c>
      <c r="F349" s="2" t="s">
        <v>1108</v>
      </c>
      <c r="G349" s="2" t="s">
        <v>12</v>
      </c>
      <c r="H349" s="2" t="s">
        <v>13</v>
      </c>
      <c r="I349" s="2" t="s">
        <v>14</v>
      </c>
      <c r="J349" s="2" t="s">
        <v>101</v>
      </c>
      <c r="K349" s="2"/>
      <c r="L349" s="2"/>
    </row>
    <row r="350" ht="15.75" customHeight="1">
      <c r="A350" s="3">
        <v>348.0</v>
      </c>
      <c r="B350" s="2" t="s">
        <v>898</v>
      </c>
      <c r="C350" s="2" t="s">
        <v>779</v>
      </c>
      <c r="D350" s="2" t="s">
        <v>516</v>
      </c>
      <c r="E350" s="3">
        <v>5.70056378541E11</v>
      </c>
      <c r="F350" s="2" t="s">
        <v>1109</v>
      </c>
      <c r="G350" s="2" t="s">
        <v>12</v>
      </c>
      <c r="H350" s="2" t="s">
        <v>13</v>
      </c>
      <c r="I350" s="2" t="s">
        <v>14</v>
      </c>
      <c r="J350" s="2" t="s">
        <v>101</v>
      </c>
      <c r="K350" s="2"/>
      <c r="L350" s="2"/>
    </row>
    <row r="351" ht="15.75" customHeight="1">
      <c r="A351" s="3">
        <v>349.0</v>
      </c>
      <c r="B351" s="2" t="s">
        <v>1110</v>
      </c>
      <c r="C351" s="2" t="s">
        <v>1111</v>
      </c>
      <c r="D351" s="2" t="s">
        <v>1112</v>
      </c>
      <c r="E351" s="3">
        <v>5.70056378542E11</v>
      </c>
      <c r="F351" s="2" t="s">
        <v>1113</v>
      </c>
      <c r="G351" s="2" t="s">
        <v>12</v>
      </c>
      <c r="H351" s="2" t="s">
        <v>13</v>
      </c>
      <c r="I351" s="2" t="s">
        <v>14</v>
      </c>
      <c r="J351" s="2" t="s">
        <v>101</v>
      </c>
      <c r="K351" s="2"/>
      <c r="L351" s="2"/>
    </row>
    <row r="352" ht="15.75" customHeight="1">
      <c r="A352" s="3">
        <v>350.0</v>
      </c>
      <c r="B352" s="2" t="s">
        <v>1114</v>
      </c>
      <c r="C352" s="2" t="s">
        <v>1115</v>
      </c>
      <c r="D352" s="2" t="s">
        <v>30</v>
      </c>
      <c r="E352" s="3">
        <v>5.70056378546E11</v>
      </c>
      <c r="F352" s="2" t="s">
        <v>1116</v>
      </c>
      <c r="G352" s="2" t="s">
        <v>12</v>
      </c>
      <c r="H352" s="2" t="s">
        <v>13</v>
      </c>
      <c r="I352" s="2" t="s">
        <v>14</v>
      </c>
      <c r="J352" s="2" t="s">
        <v>101</v>
      </c>
      <c r="K352" s="2"/>
      <c r="L352" s="2"/>
    </row>
    <row r="353" ht="15.75" customHeight="1">
      <c r="A353" s="3">
        <v>351.0</v>
      </c>
      <c r="B353" s="2" t="s">
        <v>1088</v>
      </c>
      <c r="C353" s="2" t="s">
        <v>979</v>
      </c>
      <c r="D353" s="2" t="s">
        <v>801</v>
      </c>
      <c r="E353" s="3">
        <v>5.70056378547E11</v>
      </c>
      <c r="F353" s="2" t="s">
        <v>1117</v>
      </c>
      <c r="G353" s="2" t="s">
        <v>12</v>
      </c>
      <c r="H353" s="2" t="s">
        <v>13</v>
      </c>
      <c r="I353" s="2" t="s">
        <v>14</v>
      </c>
      <c r="J353" s="2" t="s">
        <v>101</v>
      </c>
      <c r="K353" s="2"/>
      <c r="L353" s="2"/>
    </row>
    <row r="354" ht="15.75" customHeight="1">
      <c r="A354" s="3">
        <v>352.0</v>
      </c>
      <c r="B354" s="2" t="s">
        <v>1082</v>
      </c>
      <c r="C354" s="2" t="s">
        <v>979</v>
      </c>
      <c r="D354" s="2" t="s">
        <v>801</v>
      </c>
      <c r="E354" s="3">
        <v>5.70056378548E11</v>
      </c>
      <c r="F354" s="2" t="s">
        <v>1118</v>
      </c>
      <c r="G354" s="2" t="s">
        <v>12</v>
      </c>
      <c r="H354" s="2" t="s">
        <v>13</v>
      </c>
      <c r="I354" s="2" t="s">
        <v>14</v>
      </c>
      <c r="J354" s="2" t="s">
        <v>101</v>
      </c>
      <c r="K354" s="2"/>
      <c r="L354" s="2"/>
    </row>
    <row r="355" ht="15.75" customHeight="1">
      <c r="A355" s="3">
        <v>353.0</v>
      </c>
      <c r="B355" s="2" t="s">
        <v>1119</v>
      </c>
      <c r="C355" s="2" t="s">
        <v>1120</v>
      </c>
      <c r="D355" s="2" t="s">
        <v>1121</v>
      </c>
      <c r="E355" s="3">
        <v>5.7005637855E11</v>
      </c>
      <c r="F355" s="2" t="s">
        <v>170</v>
      </c>
      <c r="G355" s="2" t="s">
        <v>12</v>
      </c>
      <c r="H355" s="2" t="s">
        <v>13</v>
      </c>
      <c r="I355" s="2" t="s">
        <v>14</v>
      </c>
      <c r="J355" s="2" t="s">
        <v>101</v>
      </c>
      <c r="K355" s="2"/>
      <c r="L355" s="2"/>
    </row>
    <row r="356" ht="15.75" customHeight="1">
      <c r="A356" s="3">
        <v>354.0</v>
      </c>
      <c r="B356" s="2" t="s">
        <v>946</v>
      </c>
      <c r="C356" s="2" t="s">
        <v>1039</v>
      </c>
      <c r="D356" s="2" t="s">
        <v>834</v>
      </c>
      <c r="E356" s="3">
        <v>5.70056378552E11</v>
      </c>
      <c r="F356" s="2" t="s">
        <v>1122</v>
      </c>
      <c r="G356" s="2" t="s">
        <v>12</v>
      </c>
      <c r="H356" s="2" t="s">
        <v>13</v>
      </c>
      <c r="I356" s="2" t="s">
        <v>14</v>
      </c>
      <c r="J356" s="2" t="s">
        <v>101</v>
      </c>
      <c r="K356" s="2"/>
      <c r="L356" s="2"/>
    </row>
    <row r="357" ht="15.75" customHeight="1">
      <c r="A357" s="3">
        <v>355.0</v>
      </c>
      <c r="B357" s="2" t="s">
        <v>1123</v>
      </c>
      <c r="C357" s="2" t="s">
        <v>1030</v>
      </c>
      <c r="D357" s="2" t="s">
        <v>1031</v>
      </c>
      <c r="E357" s="3">
        <v>5.70056378553E11</v>
      </c>
      <c r="F357" s="2" t="s">
        <v>1124</v>
      </c>
      <c r="G357" s="2" t="s">
        <v>12</v>
      </c>
      <c r="H357" s="2" t="s">
        <v>13</v>
      </c>
      <c r="I357" s="2" t="s">
        <v>14</v>
      </c>
      <c r="J357" s="2" t="s">
        <v>101</v>
      </c>
      <c r="K357" s="2"/>
      <c r="L357" s="2"/>
    </row>
    <row r="358" ht="15.75" customHeight="1">
      <c r="A358" s="3">
        <v>356.0</v>
      </c>
      <c r="B358" s="2" t="s">
        <v>28</v>
      </c>
      <c r="C358" s="2" t="s">
        <v>1125</v>
      </c>
      <c r="D358" s="2" t="s">
        <v>1126</v>
      </c>
      <c r="E358" s="3">
        <v>5.70056378554E11</v>
      </c>
      <c r="F358" s="2" t="s">
        <v>1127</v>
      </c>
      <c r="G358" s="2" t="s">
        <v>12</v>
      </c>
      <c r="H358" s="2" t="s">
        <v>13</v>
      </c>
      <c r="I358" s="2" t="s">
        <v>14</v>
      </c>
      <c r="J358" s="2" t="s">
        <v>101</v>
      </c>
      <c r="K358" s="2"/>
      <c r="L358" s="2"/>
    </row>
    <row r="359" ht="15.75" customHeight="1">
      <c r="A359" s="3">
        <v>357.0</v>
      </c>
      <c r="B359" s="2" t="s">
        <v>1128</v>
      </c>
      <c r="C359" s="2" t="s">
        <v>1129</v>
      </c>
      <c r="D359" s="2" t="s">
        <v>1130</v>
      </c>
      <c r="E359" s="3">
        <v>5.70056378556E11</v>
      </c>
      <c r="F359" s="2" t="s">
        <v>1131</v>
      </c>
      <c r="G359" s="2" t="s">
        <v>12</v>
      </c>
      <c r="H359" s="2" t="s">
        <v>13</v>
      </c>
      <c r="I359" s="2" t="s">
        <v>14</v>
      </c>
      <c r="J359" s="2" t="s">
        <v>101</v>
      </c>
      <c r="K359" s="2"/>
      <c r="L359" s="2"/>
    </row>
    <row r="360" ht="15.75" customHeight="1">
      <c r="A360" s="3">
        <v>358.0</v>
      </c>
      <c r="B360" s="2" t="s">
        <v>117</v>
      </c>
      <c r="C360" s="2" t="s">
        <v>1132</v>
      </c>
      <c r="D360" s="2" t="s">
        <v>1133</v>
      </c>
      <c r="E360" s="3">
        <v>5.70056378571E11</v>
      </c>
      <c r="F360" s="2" t="s">
        <v>1118</v>
      </c>
      <c r="G360" s="2" t="s">
        <v>12</v>
      </c>
      <c r="H360" s="2" t="s">
        <v>13</v>
      </c>
      <c r="I360" s="2" t="s">
        <v>14</v>
      </c>
      <c r="J360" s="2" t="s">
        <v>101</v>
      </c>
      <c r="K360" s="2"/>
      <c r="L360" s="2"/>
    </row>
    <row r="361" ht="15.75" customHeight="1">
      <c r="A361" s="3">
        <v>359.0</v>
      </c>
      <c r="B361" s="2" t="s">
        <v>818</v>
      </c>
      <c r="C361" s="2" t="s">
        <v>1134</v>
      </c>
      <c r="D361" s="2" t="s">
        <v>1135</v>
      </c>
      <c r="E361" s="3">
        <v>5.70056378575E11</v>
      </c>
      <c r="F361" s="2" t="s">
        <v>1136</v>
      </c>
      <c r="G361" s="2" t="s">
        <v>12</v>
      </c>
      <c r="H361" s="2" t="s">
        <v>13</v>
      </c>
      <c r="I361" s="2" t="s">
        <v>14</v>
      </c>
      <c r="J361" s="2" t="s">
        <v>101</v>
      </c>
      <c r="K361" s="2"/>
      <c r="L361" s="2"/>
    </row>
    <row r="362" ht="15.75" customHeight="1">
      <c r="A362" s="3">
        <v>360.0</v>
      </c>
      <c r="B362" s="2" t="s">
        <v>1137</v>
      </c>
      <c r="C362" s="2" t="s">
        <v>1138</v>
      </c>
      <c r="D362" s="2" t="s">
        <v>1139</v>
      </c>
      <c r="E362" s="5">
        <v>5.7005637858E11</v>
      </c>
      <c r="F362" s="2" t="s">
        <v>1140</v>
      </c>
      <c r="G362" s="2" t="s">
        <v>12</v>
      </c>
      <c r="H362" s="2" t="s">
        <v>13</v>
      </c>
      <c r="I362" s="2"/>
      <c r="J362" s="2" t="s">
        <v>14</v>
      </c>
      <c r="K362" s="2" t="s">
        <v>101</v>
      </c>
      <c r="L362" s="2"/>
    </row>
    <row r="363" ht="15.75" customHeight="1">
      <c r="A363" s="3">
        <v>361.0</v>
      </c>
      <c r="B363" s="2" t="s">
        <v>162</v>
      </c>
      <c r="C363" s="2" t="s">
        <v>419</v>
      </c>
      <c r="D363" s="2" t="s">
        <v>247</v>
      </c>
      <c r="E363" s="3">
        <v>5.70056378602E11</v>
      </c>
      <c r="F363" s="2" t="s">
        <v>1141</v>
      </c>
      <c r="G363" s="2" t="s">
        <v>12</v>
      </c>
      <c r="H363" s="2" t="s">
        <v>286</v>
      </c>
      <c r="I363" s="2" t="s">
        <v>411</v>
      </c>
      <c r="J363" s="2" t="s">
        <v>14</v>
      </c>
      <c r="K363" s="2" t="s">
        <v>101</v>
      </c>
      <c r="L363" s="2"/>
    </row>
    <row r="364" ht="15.75" customHeight="1">
      <c r="A364" s="3">
        <v>362.0</v>
      </c>
      <c r="B364" s="2" t="s">
        <v>529</v>
      </c>
      <c r="C364" s="2" t="s">
        <v>1142</v>
      </c>
      <c r="D364" s="2" t="s">
        <v>558</v>
      </c>
      <c r="E364" s="3">
        <v>5.70056378603E11</v>
      </c>
      <c r="F364" s="2" t="s">
        <v>1143</v>
      </c>
      <c r="G364" s="2" t="s">
        <v>12</v>
      </c>
      <c r="H364" s="2" t="s">
        <v>286</v>
      </c>
      <c r="I364" s="2" t="s">
        <v>411</v>
      </c>
      <c r="J364" s="2" t="s">
        <v>14</v>
      </c>
      <c r="K364" s="2" t="s">
        <v>101</v>
      </c>
      <c r="L364" s="2"/>
    </row>
    <row r="365" ht="15.75" customHeight="1">
      <c r="A365" s="3">
        <v>363.0</v>
      </c>
      <c r="B365" s="2" t="s">
        <v>1144</v>
      </c>
      <c r="C365" s="2" t="s">
        <v>1145</v>
      </c>
      <c r="D365" s="2" t="s">
        <v>1146</v>
      </c>
      <c r="E365" s="3">
        <v>5.70056378608E11</v>
      </c>
      <c r="F365" s="2" t="s">
        <v>1147</v>
      </c>
      <c r="G365" s="2" t="s">
        <v>12</v>
      </c>
      <c r="H365" s="2" t="s">
        <v>286</v>
      </c>
      <c r="I365" s="2" t="s">
        <v>411</v>
      </c>
      <c r="J365" s="2" t="s">
        <v>14</v>
      </c>
      <c r="K365" s="2" t="s">
        <v>101</v>
      </c>
      <c r="L365" s="2"/>
    </row>
    <row r="366" ht="15.75" customHeight="1">
      <c r="A366" s="3">
        <v>364.0</v>
      </c>
      <c r="B366" s="2" t="s">
        <v>1148</v>
      </c>
      <c r="C366" s="2" t="s">
        <v>1149</v>
      </c>
      <c r="D366" s="2" t="s">
        <v>930</v>
      </c>
      <c r="E366" s="3">
        <v>5.70056378609E11</v>
      </c>
      <c r="F366" s="2" t="s">
        <v>1150</v>
      </c>
      <c r="G366" s="2" t="s">
        <v>12</v>
      </c>
      <c r="H366" s="2" t="s">
        <v>286</v>
      </c>
      <c r="I366" s="2" t="s">
        <v>411</v>
      </c>
      <c r="J366" s="2" t="s">
        <v>14</v>
      </c>
      <c r="K366" s="2" t="s">
        <v>101</v>
      </c>
      <c r="L366" s="2"/>
    </row>
    <row r="367" ht="15.75" customHeight="1">
      <c r="A367" s="3">
        <v>365.0</v>
      </c>
      <c r="B367" s="2" t="s">
        <v>20</v>
      </c>
      <c r="C367" s="2" t="s">
        <v>1151</v>
      </c>
      <c r="D367" s="2" t="s">
        <v>227</v>
      </c>
      <c r="E367" s="3">
        <v>5.70056378614E11</v>
      </c>
      <c r="F367" s="2" t="s">
        <v>1152</v>
      </c>
      <c r="G367" s="2" t="s">
        <v>12</v>
      </c>
      <c r="H367" s="2" t="s">
        <v>286</v>
      </c>
      <c r="I367" s="2" t="s">
        <v>411</v>
      </c>
      <c r="J367" s="2" t="s">
        <v>14</v>
      </c>
      <c r="K367" s="2" t="s">
        <v>101</v>
      </c>
      <c r="L367" s="2"/>
    </row>
    <row r="368" ht="15.75" customHeight="1">
      <c r="A368" s="3">
        <v>366.0</v>
      </c>
      <c r="B368" s="2" t="s">
        <v>205</v>
      </c>
      <c r="C368" s="2" t="s">
        <v>1153</v>
      </c>
      <c r="D368" s="2" t="s">
        <v>1154</v>
      </c>
      <c r="E368" s="3">
        <v>5.70056378615E11</v>
      </c>
      <c r="F368" s="2" t="s">
        <v>1155</v>
      </c>
      <c r="G368" s="2" t="s">
        <v>12</v>
      </c>
      <c r="H368" s="2" t="s">
        <v>286</v>
      </c>
      <c r="I368" s="2" t="s">
        <v>411</v>
      </c>
      <c r="J368" s="2" t="s">
        <v>14</v>
      </c>
      <c r="K368" s="2" t="s">
        <v>101</v>
      </c>
      <c r="L368" s="2"/>
    </row>
    <row r="369" ht="15.75" customHeight="1">
      <c r="A369" s="3">
        <v>367.0</v>
      </c>
      <c r="B369" s="2" t="s">
        <v>197</v>
      </c>
      <c r="C369" s="2" t="s">
        <v>1156</v>
      </c>
      <c r="D369" s="2" t="s">
        <v>102</v>
      </c>
      <c r="E369" s="5">
        <v>5.70056378616E11</v>
      </c>
      <c r="F369" s="2" t="s">
        <v>1157</v>
      </c>
      <c r="G369" s="2" t="s">
        <v>12</v>
      </c>
      <c r="H369" s="2" t="s">
        <v>286</v>
      </c>
      <c r="I369" s="2" t="s">
        <v>411</v>
      </c>
      <c r="J369" s="2" t="s">
        <v>14</v>
      </c>
      <c r="K369" s="2" t="s">
        <v>101</v>
      </c>
      <c r="L369" s="2"/>
    </row>
    <row r="370" ht="15.75" customHeight="1">
      <c r="A370" s="3">
        <v>368.0</v>
      </c>
      <c r="B370" s="2" t="s">
        <v>1158</v>
      </c>
      <c r="C370" s="2" t="s">
        <v>1159</v>
      </c>
      <c r="D370" s="2" t="s">
        <v>1160</v>
      </c>
      <c r="E370" s="3">
        <v>5.70056378617E11</v>
      </c>
      <c r="F370" s="2" t="s">
        <v>1161</v>
      </c>
      <c r="G370" s="2" t="s">
        <v>12</v>
      </c>
      <c r="H370" s="2" t="s">
        <v>286</v>
      </c>
      <c r="I370" s="2" t="s">
        <v>1162</v>
      </c>
      <c r="J370" s="2" t="s">
        <v>14</v>
      </c>
      <c r="K370" s="2" t="s">
        <v>101</v>
      </c>
      <c r="L370" s="2"/>
    </row>
    <row r="371" ht="15.75" customHeight="1">
      <c r="A371" s="3">
        <v>369.0</v>
      </c>
      <c r="B371" s="2" t="s">
        <v>407</v>
      </c>
      <c r="C371" s="2" t="s">
        <v>1163</v>
      </c>
      <c r="D371" s="2" t="s">
        <v>1164</v>
      </c>
      <c r="E371" s="3">
        <v>5.70056378618E11</v>
      </c>
      <c r="F371" s="2" t="s">
        <v>336</v>
      </c>
      <c r="G371" s="2" t="s">
        <v>12</v>
      </c>
      <c r="H371" s="2" t="s">
        <v>286</v>
      </c>
      <c r="I371" s="2" t="s">
        <v>411</v>
      </c>
      <c r="J371" s="2" t="s">
        <v>14</v>
      </c>
      <c r="K371" s="2" t="s">
        <v>101</v>
      </c>
      <c r="L371" s="2"/>
    </row>
    <row r="372" ht="15.75" customHeight="1">
      <c r="A372" s="3">
        <v>370.0</v>
      </c>
      <c r="B372" s="2" t="s">
        <v>644</v>
      </c>
      <c r="C372" s="2" t="s">
        <v>1165</v>
      </c>
      <c r="D372" s="2" t="s">
        <v>205</v>
      </c>
      <c r="E372" s="3">
        <v>5.70056378619E11</v>
      </c>
      <c r="F372" s="2" t="s">
        <v>1166</v>
      </c>
      <c r="G372" s="2" t="s">
        <v>12</v>
      </c>
      <c r="H372" s="2" t="s">
        <v>286</v>
      </c>
      <c r="I372" s="2" t="s">
        <v>411</v>
      </c>
      <c r="J372" s="2" t="s">
        <v>14</v>
      </c>
      <c r="K372" s="2" t="s">
        <v>101</v>
      </c>
      <c r="L372" s="2"/>
    </row>
    <row r="373" ht="15.75" customHeight="1">
      <c r="A373" s="3">
        <v>371.0</v>
      </c>
      <c r="B373" s="2" t="s">
        <v>1167</v>
      </c>
      <c r="C373" s="2" t="s">
        <v>1168</v>
      </c>
      <c r="D373" s="2" t="s">
        <v>1169</v>
      </c>
      <c r="E373" s="3">
        <v>5.70056378622E11</v>
      </c>
      <c r="F373" s="2" t="s">
        <v>1170</v>
      </c>
      <c r="G373" s="2" t="s">
        <v>12</v>
      </c>
      <c r="H373" s="2" t="s">
        <v>286</v>
      </c>
      <c r="I373" s="2" t="s">
        <v>411</v>
      </c>
      <c r="J373" s="2" t="s">
        <v>14</v>
      </c>
      <c r="K373" s="2" t="s">
        <v>101</v>
      </c>
      <c r="L373" s="2"/>
    </row>
    <row r="374" ht="15.75" customHeight="1">
      <c r="A374" s="3">
        <v>372.0</v>
      </c>
      <c r="B374" s="2" t="s">
        <v>301</v>
      </c>
      <c r="C374" s="2" t="s">
        <v>21</v>
      </c>
      <c r="D374" s="2" t="s">
        <v>640</v>
      </c>
      <c r="E374" s="3">
        <v>5.70056378627E11</v>
      </c>
      <c r="F374" s="2" t="s">
        <v>1171</v>
      </c>
      <c r="G374" s="2" t="s">
        <v>12</v>
      </c>
      <c r="H374" s="2" t="s">
        <v>1172</v>
      </c>
      <c r="I374" s="2" t="s">
        <v>411</v>
      </c>
      <c r="J374" s="2" t="s">
        <v>14</v>
      </c>
      <c r="K374" s="2" t="s">
        <v>101</v>
      </c>
      <c r="L374" s="2"/>
    </row>
    <row r="375" ht="15.75" customHeight="1">
      <c r="A375" s="3">
        <v>373.0</v>
      </c>
      <c r="B375" s="2" t="s">
        <v>548</v>
      </c>
      <c r="C375" s="2" t="s">
        <v>1173</v>
      </c>
      <c r="D375" s="2" t="s">
        <v>1174</v>
      </c>
      <c r="E375" s="3">
        <v>5.70056378628E11</v>
      </c>
      <c r="F375" s="2" t="s">
        <v>1175</v>
      </c>
      <c r="G375" s="2" t="s">
        <v>12</v>
      </c>
      <c r="H375" s="2" t="s">
        <v>286</v>
      </c>
      <c r="I375" s="2" t="s">
        <v>411</v>
      </c>
      <c r="J375" s="2" t="s">
        <v>14</v>
      </c>
      <c r="K375" s="2" t="s">
        <v>101</v>
      </c>
      <c r="L375" s="2"/>
    </row>
    <row r="376" ht="15.75" customHeight="1">
      <c r="A376" s="3">
        <v>374.0</v>
      </c>
      <c r="B376" s="2" t="s">
        <v>1176</v>
      </c>
      <c r="C376" s="2" t="s">
        <v>1177</v>
      </c>
      <c r="D376" s="2" t="s">
        <v>638</v>
      </c>
      <c r="E376" s="3">
        <v>5.70056378629E11</v>
      </c>
      <c r="F376" s="2" t="s">
        <v>1178</v>
      </c>
      <c r="G376" s="2" t="s">
        <v>12</v>
      </c>
      <c r="H376" s="2" t="s">
        <v>286</v>
      </c>
      <c r="I376" s="2" t="s">
        <v>411</v>
      </c>
      <c r="J376" s="2" t="s">
        <v>14</v>
      </c>
      <c r="K376" s="2" t="s">
        <v>101</v>
      </c>
      <c r="L376" s="2"/>
    </row>
    <row r="377" ht="15.75" customHeight="1">
      <c r="A377" s="3">
        <v>375.0</v>
      </c>
      <c r="B377" s="2" t="s">
        <v>345</v>
      </c>
      <c r="C377" s="2" t="s">
        <v>1179</v>
      </c>
      <c r="D377" s="2" t="s">
        <v>151</v>
      </c>
      <c r="E377" s="3">
        <v>5.7005637863E11</v>
      </c>
      <c r="F377" s="2" t="s">
        <v>1180</v>
      </c>
      <c r="G377" s="2" t="s">
        <v>12</v>
      </c>
      <c r="H377" s="2" t="s">
        <v>286</v>
      </c>
      <c r="I377" s="2" t="s">
        <v>14</v>
      </c>
      <c r="J377" s="2" t="s">
        <v>101</v>
      </c>
      <c r="K377" s="2"/>
      <c r="L377" s="2"/>
    </row>
    <row r="378" ht="15.75" customHeight="1">
      <c r="A378" s="3">
        <v>376.0</v>
      </c>
      <c r="B378" s="2" t="s">
        <v>1181</v>
      </c>
      <c r="C378" s="2" t="s">
        <v>1182</v>
      </c>
      <c r="D378" s="2" t="s">
        <v>1183</v>
      </c>
      <c r="E378" s="3">
        <v>5.70056378636E11</v>
      </c>
      <c r="F378" s="2" t="s">
        <v>1184</v>
      </c>
      <c r="G378" s="2" t="s">
        <v>12</v>
      </c>
      <c r="H378" s="2" t="s">
        <v>286</v>
      </c>
      <c r="I378" s="2" t="s">
        <v>14</v>
      </c>
      <c r="J378" s="2" t="s">
        <v>101</v>
      </c>
      <c r="K378" s="2"/>
      <c r="L378" s="2"/>
    </row>
    <row r="379" ht="15.75" customHeight="1">
      <c r="A379" s="3">
        <v>377.0</v>
      </c>
      <c r="B379" s="2" t="s">
        <v>106</v>
      </c>
      <c r="C379" s="2" t="s">
        <v>67</v>
      </c>
      <c r="D379" s="2" t="s">
        <v>299</v>
      </c>
      <c r="E379" s="3">
        <v>5.70056378637E11</v>
      </c>
      <c r="F379" s="2" t="s">
        <v>1185</v>
      </c>
      <c r="G379" s="2" t="s">
        <v>12</v>
      </c>
      <c r="H379" s="2" t="s">
        <v>286</v>
      </c>
      <c r="I379" s="2" t="s">
        <v>411</v>
      </c>
      <c r="J379" s="2" t="s">
        <v>14</v>
      </c>
      <c r="K379" s="2" t="s">
        <v>101</v>
      </c>
      <c r="L379" s="2"/>
    </row>
    <row r="380" ht="15.75" customHeight="1">
      <c r="A380" s="3">
        <v>378.0</v>
      </c>
      <c r="B380" s="2" t="s">
        <v>1186</v>
      </c>
      <c r="C380" s="2" t="s">
        <v>1187</v>
      </c>
      <c r="D380" s="2" t="s">
        <v>345</v>
      </c>
      <c r="E380" s="5">
        <v>5.70056378638E11</v>
      </c>
      <c r="F380" s="2" t="s">
        <v>1188</v>
      </c>
      <c r="G380" s="2" t="s">
        <v>12</v>
      </c>
      <c r="H380" s="2" t="s">
        <v>286</v>
      </c>
      <c r="I380" s="2" t="s">
        <v>411</v>
      </c>
      <c r="J380" s="2" t="s">
        <v>14</v>
      </c>
      <c r="K380" s="2" t="s">
        <v>101</v>
      </c>
      <c r="L380" s="2"/>
    </row>
    <row r="381" ht="15.75" customHeight="1">
      <c r="A381" s="3">
        <v>379.0</v>
      </c>
      <c r="B381" s="2" t="s">
        <v>1189</v>
      </c>
      <c r="C381" s="2" t="s">
        <v>1190</v>
      </c>
      <c r="D381" s="2" t="s">
        <v>1191</v>
      </c>
      <c r="E381" s="3">
        <v>5.7005637864E11</v>
      </c>
      <c r="F381" s="2" t="s">
        <v>1192</v>
      </c>
      <c r="G381" s="2" t="s">
        <v>12</v>
      </c>
      <c r="H381" s="2" t="s">
        <v>286</v>
      </c>
      <c r="I381" s="2" t="s">
        <v>411</v>
      </c>
      <c r="J381" s="2" t="s">
        <v>14</v>
      </c>
      <c r="K381" s="2" t="s">
        <v>101</v>
      </c>
      <c r="L381" s="2"/>
    </row>
    <row r="382" ht="15.75" customHeight="1">
      <c r="A382" s="3">
        <v>380.0</v>
      </c>
      <c r="B382" s="2" t="s">
        <v>1189</v>
      </c>
      <c r="C382" s="2" t="s">
        <v>25</v>
      </c>
      <c r="D382" s="2" t="s">
        <v>1193</v>
      </c>
      <c r="E382" s="3">
        <v>5.70056378643E11</v>
      </c>
      <c r="F382" s="2" t="s">
        <v>1194</v>
      </c>
      <c r="G382" s="2" t="s">
        <v>12</v>
      </c>
      <c r="H382" s="2" t="s">
        <v>286</v>
      </c>
      <c r="I382" s="2" t="s">
        <v>411</v>
      </c>
      <c r="J382" s="2" t="s">
        <v>14</v>
      </c>
      <c r="K382" s="2" t="s">
        <v>101</v>
      </c>
      <c r="L382" s="2"/>
    </row>
    <row r="383" ht="15.75" customHeight="1">
      <c r="A383" s="3">
        <v>381.0</v>
      </c>
      <c r="B383" s="2" t="s">
        <v>672</v>
      </c>
      <c r="C383" s="2" t="s">
        <v>562</v>
      </c>
      <c r="D383" s="2" t="s">
        <v>56</v>
      </c>
      <c r="E383" s="3">
        <v>5.70056378644E11</v>
      </c>
      <c r="F383" s="2" t="s">
        <v>1195</v>
      </c>
      <c r="G383" s="2" t="s">
        <v>12</v>
      </c>
      <c r="H383" s="2" t="s">
        <v>13</v>
      </c>
      <c r="I383" s="2" t="s">
        <v>14</v>
      </c>
      <c r="J383" s="2" t="s">
        <v>101</v>
      </c>
      <c r="K383" s="2"/>
      <c r="L383" s="2"/>
    </row>
    <row r="384" ht="15.75" customHeight="1">
      <c r="A384" s="3">
        <v>382.0</v>
      </c>
      <c r="B384" s="2" t="s">
        <v>1196</v>
      </c>
      <c r="C384" s="2" t="s">
        <v>1197</v>
      </c>
      <c r="D384" s="2" t="s">
        <v>1198</v>
      </c>
      <c r="E384" s="5">
        <v>5.70056378646E11</v>
      </c>
      <c r="F384" s="2" t="s">
        <v>1199</v>
      </c>
      <c r="G384" s="2" t="s">
        <v>12</v>
      </c>
      <c r="H384" s="2" t="s">
        <v>286</v>
      </c>
      <c r="I384" s="2" t="s">
        <v>411</v>
      </c>
      <c r="J384" s="2" t="s">
        <v>14</v>
      </c>
      <c r="K384" s="2" t="s">
        <v>101</v>
      </c>
      <c r="L384" s="2"/>
    </row>
    <row r="385" ht="15.75" customHeight="1">
      <c r="A385" s="3">
        <v>383.0</v>
      </c>
      <c r="B385" s="2" t="s">
        <v>1200</v>
      </c>
      <c r="C385" s="2" t="s">
        <v>1201</v>
      </c>
      <c r="D385" s="2" t="s">
        <v>1202</v>
      </c>
      <c r="E385" s="3">
        <v>5.70056378648E11</v>
      </c>
      <c r="F385" s="2" t="s">
        <v>1203</v>
      </c>
      <c r="G385" s="2" t="s">
        <v>12</v>
      </c>
      <c r="H385" s="2" t="s">
        <v>286</v>
      </c>
      <c r="I385" s="2" t="s">
        <v>411</v>
      </c>
      <c r="J385" s="2" t="s">
        <v>14</v>
      </c>
      <c r="K385" s="2" t="s">
        <v>101</v>
      </c>
      <c r="L385" s="2"/>
    </row>
    <row r="386" ht="15.75" customHeight="1">
      <c r="A386" s="3">
        <v>384.0</v>
      </c>
      <c r="B386" s="2" t="s">
        <v>659</v>
      </c>
      <c r="C386" s="2" t="s">
        <v>1204</v>
      </c>
      <c r="D386" s="2" t="s">
        <v>1059</v>
      </c>
      <c r="E386" s="5">
        <v>5.7005637865E11</v>
      </c>
      <c r="F386" s="2" t="s">
        <v>1205</v>
      </c>
      <c r="G386" s="2" t="s">
        <v>12</v>
      </c>
      <c r="H386" s="2" t="s">
        <v>286</v>
      </c>
      <c r="I386" s="2" t="s">
        <v>411</v>
      </c>
      <c r="J386" s="2" t="s">
        <v>14</v>
      </c>
      <c r="K386" s="2" t="s">
        <v>101</v>
      </c>
      <c r="L386" s="2"/>
    </row>
    <row r="387" ht="15.75" customHeight="1">
      <c r="A387" s="3">
        <v>385.0</v>
      </c>
      <c r="B387" s="2" t="s">
        <v>146</v>
      </c>
      <c r="C387" s="2" t="s">
        <v>1206</v>
      </c>
      <c r="D387" s="2" t="s">
        <v>1207</v>
      </c>
      <c r="E387" s="5">
        <v>5.70056378651E11</v>
      </c>
      <c r="F387" s="2" t="s">
        <v>1208</v>
      </c>
      <c r="G387" s="2" t="s">
        <v>12</v>
      </c>
      <c r="H387" s="2" t="s">
        <v>286</v>
      </c>
      <c r="I387" s="2" t="s">
        <v>411</v>
      </c>
      <c r="J387" s="2" t="s">
        <v>14</v>
      </c>
      <c r="K387" s="2" t="s">
        <v>101</v>
      </c>
      <c r="L387" s="2"/>
    </row>
    <row r="388" ht="15.75" customHeight="1">
      <c r="A388" s="3">
        <v>386.0</v>
      </c>
      <c r="B388" s="2" t="s">
        <v>1209</v>
      </c>
      <c r="C388" s="2" t="s">
        <v>1210</v>
      </c>
      <c r="D388" s="2" t="s">
        <v>563</v>
      </c>
      <c r="E388" s="3">
        <v>5.70056378652E11</v>
      </c>
      <c r="F388" s="2" t="s">
        <v>1211</v>
      </c>
      <c r="G388" s="2" t="s">
        <v>12</v>
      </c>
      <c r="H388" s="2" t="s">
        <v>286</v>
      </c>
      <c r="I388" s="2" t="s">
        <v>14</v>
      </c>
      <c r="J388" s="2" t="s">
        <v>101</v>
      </c>
      <c r="K388" s="2"/>
      <c r="L388" s="2"/>
    </row>
    <row r="389" ht="15.75" customHeight="1">
      <c r="A389" s="3">
        <v>387.0</v>
      </c>
      <c r="B389" s="2" t="s">
        <v>558</v>
      </c>
      <c r="C389" s="2" t="s">
        <v>1212</v>
      </c>
      <c r="D389" s="2" t="s">
        <v>1198</v>
      </c>
      <c r="E389" s="5">
        <v>5.70056378653E11</v>
      </c>
      <c r="F389" s="2" t="s">
        <v>1213</v>
      </c>
      <c r="G389" s="2" t="s">
        <v>12</v>
      </c>
      <c r="H389" s="2" t="s">
        <v>1172</v>
      </c>
      <c r="I389" s="2" t="s">
        <v>13</v>
      </c>
      <c r="J389" s="2" t="s">
        <v>14</v>
      </c>
      <c r="K389" s="2" t="s">
        <v>101</v>
      </c>
      <c r="L389" s="2"/>
    </row>
    <row r="390" ht="15.75" customHeight="1">
      <c r="A390" s="3">
        <v>388.0</v>
      </c>
      <c r="B390" s="2" t="s">
        <v>1214</v>
      </c>
      <c r="C390" s="2" t="s">
        <v>1215</v>
      </c>
      <c r="D390" s="2" t="s">
        <v>1216</v>
      </c>
      <c r="E390" s="3">
        <v>5.70056378654E11</v>
      </c>
      <c r="F390" s="2" t="s">
        <v>1217</v>
      </c>
      <c r="G390" s="2" t="s">
        <v>12</v>
      </c>
      <c r="H390" s="2" t="s">
        <v>286</v>
      </c>
      <c r="I390" s="2" t="s">
        <v>411</v>
      </c>
      <c r="J390" s="2" t="s">
        <v>14</v>
      </c>
      <c r="K390" s="2" t="s">
        <v>101</v>
      </c>
      <c r="L390" s="2"/>
    </row>
    <row r="391" ht="15.75" customHeight="1">
      <c r="A391" s="3">
        <v>389.0</v>
      </c>
      <c r="B391" s="2" t="s">
        <v>52</v>
      </c>
      <c r="C391" s="2" t="s">
        <v>1218</v>
      </c>
      <c r="D391" s="2" t="s">
        <v>1219</v>
      </c>
      <c r="E391" s="3">
        <v>5.70056378655E11</v>
      </c>
      <c r="F391" s="2" t="s">
        <v>1220</v>
      </c>
      <c r="G391" s="2" t="s">
        <v>12</v>
      </c>
      <c r="H391" s="2" t="s">
        <v>286</v>
      </c>
      <c r="I391" s="2" t="s">
        <v>411</v>
      </c>
      <c r="J391" s="2" t="s">
        <v>14</v>
      </c>
      <c r="K391" s="2" t="s">
        <v>101</v>
      </c>
      <c r="L391" s="2"/>
    </row>
    <row r="392" ht="15.75" customHeight="1">
      <c r="A392" s="3">
        <v>390.0</v>
      </c>
      <c r="B392" s="2" t="s">
        <v>791</v>
      </c>
      <c r="C392" s="2" t="s">
        <v>1221</v>
      </c>
      <c r="D392" s="2" t="s">
        <v>120</v>
      </c>
      <c r="E392" s="5">
        <v>5.70056378656E11</v>
      </c>
      <c r="F392" s="2" t="s">
        <v>1222</v>
      </c>
      <c r="G392" s="2" t="s">
        <v>12</v>
      </c>
      <c r="H392" s="2" t="s">
        <v>286</v>
      </c>
      <c r="I392" s="2" t="s">
        <v>411</v>
      </c>
      <c r="J392" s="2" t="s">
        <v>14</v>
      </c>
      <c r="K392" s="2" t="s">
        <v>101</v>
      </c>
      <c r="L392" s="2"/>
    </row>
    <row r="393" ht="15.75" customHeight="1">
      <c r="A393" s="3">
        <v>391.0</v>
      </c>
      <c r="B393" s="2" t="s">
        <v>1223</v>
      </c>
      <c r="C393" s="2" t="s">
        <v>1224</v>
      </c>
      <c r="D393" s="2" t="s">
        <v>56</v>
      </c>
      <c r="E393" s="3">
        <v>5.70056378657E11</v>
      </c>
      <c r="F393" s="2" t="s">
        <v>1225</v>
      </c>
      <c r="G393" s="2" t="s">
        <v>12</v>
      </c>
      <c r="H393" s="2" t="s">
        <v>286</v>
      </c>
      <c r="I393" s="2" t="s">
        <v>411</v>
      </c>
      <c r="J393" s="2" t="s">
        <v>14</v>
      </c>
      <c r="K393" s="2" t="s">
        <v>101</v>
      </c>
      <c r="L393" s="2"/>
    </row>
    <row r="394" ht="15.75" customHeight="1">
      <c r="A394" s="3">
        <v>392.0</v>
      </c>
      <c r="B394" s="4" t="s">
        <v>1059</v>
      </c>
      <c r="C394" s="2" t="s">
        <v>1226</v>
      </c>
      <c r="D394" s="2" t="s">
        <v>1227</v>
      </c>
      <c r="E394" s="3">
        <v>5.70056378658E11</v>
      </c>
      <c r="F394" s="2" t="s">
        <v>1228</v>
      </c>
      <c r="G394" s="2" t="s">
        <v>12</v>
      </c>
      <c r="H394" s="2" t="s">
        <v>286</v>
      </c>
      <c r="I394" s="2" t="s">
        <v>14</v>
      </c>
      <c r="J394" s="2" t="s">
        <v>101</v>
      </c>
      <c r="K394" s="2"/>
      <c r="L394" s="2"/>
    </row>
    <row r="395" ht="15.75" customHeight="1">
      <c r="A395" s="3">
        <v>393.0</v>
      </c>
      <c r="B395" s="2" t="s">
        <v>1202</v>
      </c>
      <c r="C395" s="2" t="s">
        <v>1229</v>
      </c>
      <c r="D395" s="2" t="s">
        <v>1230</v>
      </c>
      <c r="E395" s="3">
        <v>5.70056378659E11</v>
      </c>
      <c r="F395" s="2" t="s">
        <v>1231</v>
      </c>
      <c r="G395" s="2" t="s">
        <v>12</v>
      </c>
      <c r="H395" s="2" t="s">
        <v>286</v>
      </c>
      <c r="I395" s="2" t="s">
        <v>411</v>
      </c>
      <c r="J395" s="2" t="s">
        <v>14</v>
      </c>
      <c r="K395" s="2" t="s">
        <v>101</v>
      </c>
      <c r="L395" s="2"/>
    </row>
    <row r="396" ht="15.75" customHeight="1">
      <c r="A396" s="3">
        <v>394.0</v>
      </c>
      <c r="B396" s="2" t="s">
        <v>988</v>
      </c>
      <c r="C396" s="2" t="s">
        <v>1232</v>
      </c>
      <c r="D396" s="2" t="s">
        <v>1233</v>
      </c>
      <c r="E396" s="5">
        <v>5.70056378661E11</v>
      </c>
      <c r="F396" s="2" t="s">
        <v>1203</v>
      </c>
      <c r="G396" s="2" t="s">
        <v>12</v>
      </c>
      <c r="H396" s="2" t="s">
        <v>286</v>
      </c>
      <c r="I396" s="2" t="s">
        <v>411</v>
      </c>
      <c r="J396" s="2" t="s">
        <v>14</v>
      </c>
      <c r="K396" s="2" t="s">
        <v>101</v>
      </c>
      <c r="L396" s="2"/>
    </row>
    <row r="397" ht="15.75" customHeight="1">
      <c r="A397" s="3">
        <v>395.0</v>
      </c>
      <c r="B397" s="2" t="s">
        <v>158</v>
      </c>
      <c r="C397" s="2" t="s">
        <v>1234</v>
      </c>
      <c r="D397" s="2" t="s">
        <v>1235</v>
      </c>
      <c r="E397" s="3">
        <v>5.70056378663E11</v>
      </c>
      <c r="F397" s="2" t="s">
        <v>1236</v>
      </c>
      <c r="G397" s="2" t="s">
        <v>12</v>
      </c>
      <c r="H397" s="2" t="s">
        <v>13</v>
      </c>
      <c r="I397" s="2" t="s">
        <v>14</v>
      </c>
      <c r="J397" s="2" t="s">
        <v>101</v>
      </c>
      <c r="K397" s="2"/>
      <c r="L397" s="2"/>
    </row>
    <row r="398" ht="15.75" customHeight="1">
      <c r="A398" s="3">
        <v>396.0</v>
      </c>
      <c r="B398" s="2" t="s">
        <v>1237</v>
      </c>
      <c r="C398" s="2" t="s">
        <v>1238</v>
      </c>
      <c r="D398" s="2" t="s">
        <v>1239</v>
      </c>
      <c r="E398" s="3">
        <v>5.70056378664E11</v>
      </c>
      <c r="F398" s="2" t="s">
        <v>1240</v>
      </c>
      <c r="G398" s="2" t="s">
        <v>12</v>
      </c>
      <c r="H398" s="2" t="s">
        <v>286</v>
      </c>
      <c r="I398" s="2" t="s">
        <v>411</v>
      </c>
      <c r="J398" s="2" t="s">
        <v>14</v>
      </c>
      <c r="K398" s="2" t="s">
        <v>101</v>
      </c>
      <c r="L398" s="2"/>
    </row>
    <row r="399" ht="15.75" customHeight="1">
      <c r="A399" s="3">
        <v>397.0</v>
      </c>
      <c r="B399" s="2" t="s">
        <v>988</v>
      </c>
      <c r="C399" s="2" t="s">
        <v>1241</v>
      </c>
      <c r="D399" s="2" t="s">
        <v>725</v>
      </c>
      <c r="E399" s="3">
        <v>5.70056378666E11</v>
      </c>
      <c r="F399" s="2" t="s">
        <v>1242</v>
      </c>
      <c r="G399" s="2" t="s">
        <v>12</v>
      </c>
      <c r="H399" s="2" t="s">
        <v>286</v>
      </c>
      <c r="I399" s="2" t="s">
        <v>411</v>
      </c>
      <c r="J399" s="2" t="s">
        <v>14</v>
      </c>
      <c r="K399" s="2" t="s">
        <v>101</v>
      </c>
      <c r="L399" s="2"/>
    </row>
    <row r="400" ht="15.75" customHeight="1">
      <c r="A400" s="3">
        <v>398.0</v>
      </c>
      <c r="B400" s="4" t="s">
        <v>333</v>
      </c>
      <c r="C400" s="2" t="s">
        <v>1243</v>
      </c>
      <c r="D400" s="2" t="s">
        <v>824</v>
      </c>
      <c r="E400" s="3">
        <v>5.70056378667E11</v>
      </c>
      <c r="F400" s="2" t="s">
        <v>505</v>
      </c>
      <c r="G400" s="2" t="s">
        <v>12</v>
      </c>
      <c r="H400" s="2" t="s">
        <v>286</v>
      </c>
      <c r="I400" s="2" t="s">
        <v>411</v>
      </c>
      <c r="J400" s="2" t="s">
        <v>14</v>
      </c>
      <c r="K400" s="2" t="s">
        <v>101</v>
      </c>
      <c r="L400" s="2"/>
    </row>
    <row r="401" ht="15.75" customHeight="1">
      <c r="A401" s="3">
        <v>399.0</v>
      </c>
      <c r="B401" s="2" t="s">
        <v>1198</v>
      </c>
      <c r="C401" s="2" t="s">
        <v>1244</v>
      </c>
      <c r="D401" s="2" t="s">
        <v>1245</v>
      </c>
      <c r="E401" s="3">
        <v>5.70056378669E11</v>
      </c>
      <c r="F401" s="2" t="s">
        <v>1246</v>
      </c>
      <c r="G401" s="2" t="s">
        <v>12</v>
      </c>
      <c r="H401" s="2" t="s">
        <v>286</v>
      </c>
      <c r="I401" s="2" t="s">
        <v>411</v>
      </c>
      <c r="J401" s="2" t="s">
        <v>14</v>
      </c>
      <c r="K401" s="2" t="s">
        <v>101</v>
      </c>
      <c r="L401" s="2"/>
    </row>
    <row r="402" ht="15.75" customHeight="1">
      <c r="A402" s="3">
        <v>400.0</v>
      </c>
      <c r="B402" s="2" t="s">
        <v>1094</v>
      </c>
      <c r="C402" s="2" t="s">
        <v>1247</v>
      </c>
      <c r="D402" s="2" t="s">
        <v>601</v>
      </c>
      <c r="E402" s="3">
        <v>5.7005637867E11</v>
      </c>
      <c r="F402" s="2" t="s">
        <v>1248</v>
      </c>
      <c r="G402" s="2" t="s">
        <v>12</v>
      </c>
      <c r="H402" s="2" t="s">
        <v>286</v>
      </c>
      <c r="I402" s="2" t="s">
        <v>411</v>
      </c>
      <c r="J402" s="2" t="s">
        <v>14</v>
      </c>
      <c r="K402" s="2" t="s">
        <v>101</v>
      </c>
      <c r="L402" s="2"/>
    </row>
    <row r="403" ht="15.75" customHeight="1">
      <c r="A403" s="3">
        <v>401.0</v>
      </c>
      <c r="B403" s="2" t="s">
        <v>1249</v>
      </c>
      <c r="C403" s="2" t="s">
        <v>1250</v>
      </c>
      <c r="D403" s="2" t="s">
        <v>117</v>
      </c>
      <c r="E403" s="3">
        <v>5.70056378671E11</v>
      </c>
      <c r="F403" s="2" t="s">
        <v>1251</v>
      </c>
      <c r="G403" s="2" t="s">
        <v>12</v>
      </c>
      <c r="H403" s="2" t="s">
        <v>286</v>
      </c>
      <c r="I403" s="2" t="s">
        <v>411</v>
      </c>
      <c r="J403" s="2" t="s">
        <v>14</v>
      </c>
      <c r="K403" s="2" t="s">
        <v>101</v>
      </c>
      <c r="L403" s="2"/>
    </row>
    <row r="404" ht="15.75" customHeight="1">
      <c r="A404" s="3">
        <v>402.0</v>
      </c>
      <c r="B404" s="2" t="s">
        <v>650</v>
      </c>
      <c r="C404" s="2" t="s">
        <v>1252</v>
      </c>
      <c r="D404" s="2" t="s">
        <v>1253</v>
      </c>
      <c r="E404" s="3">
        <v>5.70056378672E11</v>
      </c>
      <c r="F404" s="2" t="s">
        <v>1254</v>
      </c>
      <c r="G404" s="2" t="s">
        <v>12</v>
      </c>
      <c r="H404" s="2" t="s">
        <v>286</v>
      </c>
      <c r="I404" s="2" t="s">
        <v>411</v>
      </c>
      <c r="J404" s="2" t="s">
        <v>14</v>
      </c>
      <c r="K404" s="2" t="s">
        <v>101</v>
      </c>
      <c r="L404" s="2"/>
    </row>
    <row r="405" ht="15.75" customHeight="1">
      <c r="A405" s="3">
        <v>403.0</v>
      </c>
      <c r="B405" s="2" t="s">
        <v>1255</v>
      </c>
      <c r="C405" s="2" t="s">
        <v>1256</v>
      </c>
      <c r="D405" s="2" t="s">
        <v>1257</v>
      </c>
      <c r="E405" s="3">
        <v>5.70056378674E11</v>
      </c>
      <c r="F405" s="2" t="s">
        <v>1258</v>
      </c>
      <c r="G405" s="2" t="s">
        <v>12</v>
      </c>
      <c r="H405" s="2" t="s">
        <v>286</v>
      </c>
      <c r="I405" s="2" t="s">
        <v>411</v>
      </c>
      <c r="J405" s="2" t="s">
        <v>14</v>
      </c>
      <c r="K405" s="2" t="s">
        <v>101</v>
      </c>
      <c r="L405" s="2"/>
    </row>
    <row r="406" ht="15.75" customHeight="1">
      <c r="A406" s="3">
        <v>404.0</v>
      </c>
      <c r="B406" s="2" t="s">
        <v>306</v>
      </c>
      <c r="C406" s="2" t="s">
        <v>1259</v>
      </c>
      <c r="D406" s="2" t="s">
        <v>1260</v>
      </c>
      <c r="E406" s="3">
        <v>5.70056378675E11</v>
      </c>
      <c r="F406" s="2" t="s">
        <v>1261</v>
      </c>
      <c r="G406" s="2" t="s">
        <v>12</v>
      </c>
      <c r="H406" s="2" t="s">
        <v>286</v>
      </c>
      <c r="I406" s="2" t="s">
        <v>411</v>
      </c>
      <c r="J406" s="2" t="s">
        <v>14</v>
      </c>
      <c r="K406" s="2" t="s">
        <v>101</v>
      </c>
      <c r="L406" s="2"/>
    </row>
    <row r="407" ht="15.75" customHeight="1">
      <c r="A407" s="3">
        <v>405.0</v>
      </c>
      <c r="B407" s="2" t="s">
        <v>1262</v>
      </c>
      <c r="C407" s="2" t="s">
        <v>1263</v>
      </c>
      <c r="D407" s="2" t="s">
        <v>1264</v>
      </c>
      <c r="E407" s="3">
        <v>5.70056378676E11</v>
      </c>
      <c r="F407" s="2" t="s">
        <v>1265</v>
      </c>
      <c r="G407" s="2" t="s">
        <v>12</v>
      </c>
      <c r="H407" s="2" t="s">
        <v>286</v>
      </c>
      <c r="I407" s="2" t="s">
        <v>411</v>
      </c>
      <c r="J407" s="2" t="s">
        <v>14</v>
      </c>
      <c r="K407" s="2" t="s">
        <v>101</v>
      </c>
      <c r="L407" s="2"/>
    </row>
    <row r="408" ht="15.75" customHeight="1">
      <c r="A408" s="3">
        <v>406.0</v>
      </c>
      <c r="B408" s="2" t="s">
        <v>1266</v>
      </c>
      <c r="C408" s="2" t="s">
        <v>1267</v>
      </c>
      <c r="D408" s="2" t="s">
        <v>227</v>
      </c>
      <c r="E408" s="3">
        <v>5.70056378677E11</v>
      </c>
      <c r="F408" s="2" t="s">
        <v>1268</v>
      </c>
      <c r="G408" s="2" t="s">
        <v>12</v>
      </c>
      <c r="H408" s="2" t="s">
        <v>286</v>
      </c>
      <c r="I408" s="2" t="s">
        <v>411</v>
      </c>
      <c r="J408" s="2" t="s">
        <v>14</v>
      </c>
      <c r="K408" s="2" t="s">
        <v>101</v>
      </c>
      <c r="L408" s="2"/>
    </row>
    <row r="409" ht="15.75" customHeight="1">
      <c r="A409" s="3">
        <v>407.0</v>
      </c>
      <c r="B409" s="2" t="s">
        <v>480</v>
      </c>
      <c r="C409" s="2" t="s">
        <v>1269</v>
      </c>
      <c r="D409" s="2" t="s">
        <v>1260</v>
      </c>
      <c r="E409" s="3">
        <v>5.70056378679E11</v>
      </c>
      <c r="F409" s="2" t="s">
        <v>1270</v>
      </c>
      <c r="G409" s="2" t="s">
        <v>12</v>
      </c>
      <c r="H409" s="2" t="s">
        <v>286</v>
      </c>
      <c r="I409" s="2" t="s">
        <v>411</v>
      </c>
      <c r="J409" s="2" t="s">
        <v>14</v>
      </c>
      <c r="K409" s="2" t="s">
        <v>101</v>
      </c>
      <c r="L409" s="2"/>
    </row>
    <row r="410" ht="15.75" customHeight="1">
      <c r="A410" s="3">
        <v>408.0</v>
      </c>
      <c r="B410" s="2" t="s">
        <v>1271</v>
      </c>
      <c r="C410" s="2" t="s">
        <v>1272</v>
      </c>
      <c r="D410" s="2" t="s">
        <v>1273</v>
      </c>
      <c r="E410" s="5">
        <v>5.7005637868E11</v>
      </c>
      <c r="F410" s="2" t="s">
        <v>1274</v>
      </c>
      <c r="G410" s="2" t="s">
        <v>12</v>
      </c>
      <c r="H410" s="2" t="s">
        <v>286</v>
      </c>
      <c r="I410" s="2" t="s">
        <v>411</v>
      </c>
      <c r="J410" s="2" t="s">
        <v>14</v>
      </c>
      <c r="K410" s="2" t="s">
        <v>101</v>
      </c>
      <c r="L410" s="2"/>
    </row>
    <row r="411" ht="15.75" customHeight="1">
      <c r="A411" s="3">
        <v>409.0</v>
      </c>
      <c r="B411" s="2" t="s">
        <v>1275</v>
      </c>
      <c r="C411" s="2" t="s">
        <v>1276</v>
      </c>
      <c r="D411" s="2" t="s">
        <v>1277</v>
      </c>
      <c r="E411" s="3">
        <v>5.70056378681E11</v>
      </c>
      <c r="F411" s="2" t="s">
        <v>1278</v>
      </c>
      <c r="G411" s="2" t="s">
        <v>12</v>
      </c>
      <c r="H411" s="2" t="s">
        <v>286</v>
      </c>
      <c r="I411" s="2" t="s">
        <v>411</v>
      </c>
      <c r="J411" s="2" t="s">
        <v>14</v>
      </c>
      <c r="K411" s="2" t="s">
        <v>101</v>
      </c>
      <c r="L411" s="2"/>
    </row>
    <row r="412" ht="15.75" customHeight="1">
      <c r="A412" s="3">
        <v>410.0</v>
      </c>
      <c r="B412" s="2" t="s">
        <v>1279</v>
      </c>
      <c r="C412" s="2" t="s">
        <v>1280</v>
      </c>
      <c r="D412" s="2" t="s">
        <v>1281</v>
      </c>
      <c r="E412" s="3">
        <v>5.70056378705E11</v>
      </c>
      <c r="F412" s="2" t="s">
        <v>1282</v>
      </c>
      <c r="G412" s="2" t="s">
        <v>12</v>
      </c>
      <c r="H412" s="2" t="s">
        <v>286</v>
      </c>
      <c r="I412" s="2" t="s">
        <v>411</v>
      </c>
      <c r="J412" s="2" t="s">
        <v>14</v>
      </c>
      <c r="K412" s="2" t="s">
        <v>101</v>
      </c>
      <c r="L412" s="2"/>
    </row>
    <row r="413" ht="15.75" customHeight="1">
      <c r="A413" s="3">
        <v>411.0</v>
      </c>
      <c r="B413" s="2" t="s">
        <v>131</v>
      </c>
      <c r="C413" s="2" t="s">
        <v>1283</v>
      </c>
      <c r="D413" s="2" t="s">
        <v>560</v>
      </c>
      <c r="E413" s="3">
        <v>5.7005637871E11</v>
      </c>
      <c r="F413" s="2" t="s">
        <v>1284</v>
      </c>
      <c r="G413" s="2" t="s">
        <v>12</v>
      </c>
      <c r="H413" s="2" t="s">
        <v>286</v>
      </c>
      <c r="I413" s="2" t="s">
        <v>411</v>
      </c>
      <c r="J413" s="2" t="s">
        <v>14</v>
      </c>
      <c r="K413" s="2" t="s">
        <v>101</v>
      </c>
      <c r="L413" s="2"/>
    </row>
    <row r="414" ht="15.75" customHeight="1">
      <c r="A414" s="3">
        <v>412.0</v>
      </c>
      <c r="B414" s="2" t="s">
        <v>1285</v>
      </c>
      <c r="C414" s="2" t="s">
        <v>1286</v>
      </c>
      <c r="D414" s="2" t="s">
        <v>1287</v>
      </c>
      <c r="E414" s="3">
        <v>5.70056378711E11</v>
      </c>
      <c r="F414" s="2" t="s">
        <v>1288</v>
      </c>
      <c r="G414" s="2" t="s">
        <v>12</v>
      </c>
      <c r="H414" s="2" t="s">
        <v>286</v>
      </c>
      <c r="I414" s="2" t="s">
        <v>14</v>
      </c>
      <c r="J414" s="2" t="s">
        <v>101</v>
      </c>
      <c r="K414" s="2"/>
      <c r="L414" s="2"/>
    </row>
    <row r="415" ht="15.75" customHeight="1">
      <c r="A415" s="3">
        <v>413.0</v>
      </c>
      <c r="B415" s="2" t="s">
        <v>1289</v>
      </c>
      <c r="C415" s="2" t="s">
        <v>1290</v>
      </c>
      <c r="D415" s="2" t="s">
        <v>1291</v>
      </c>
      <c r="E415" s="3">
        <v>5.70056378713E11</v>
      </c>
      <c r="F415" s="2" t="s">
        <v>1292</v>
      </c>
      <c r="G415" s="2" t="s">
        <v>12</v>
      </c>
      <c r="H415" s="2" t="s">
        <v>286</v>
      </c>
      <c r="I415" s="2" t="s">
        <v>411</v>
      </c>
      <c r="J415" s="2" t="s">
        <v>14</v>
      </c>
      <c r="K415" s="2" t="s">
        <v>101</v>
      </c>
      <c r="L415" s="2"/>
    </row>
    <row r="416" ht="15.75" customHeight="1">
      <c r="A416" s="3">
        <v>414.0</v>
      </c>
      <c r="B416" s="2" t="s">
        <v>1293</v>
      </c>
      <c r="C416" s="2" t="s">
        <v>1294</v>
      </c>
      <c r="D416" s="2" t="s">
        <v>227</v>
      </c>
      <c r="E416" s="3">
        <v>5.70056378714E11</v>
      </c>
      <c r="F416" s="2" t="s">
        <v>1295</v>
      </c>
      <c r="G416" s="2" t="s">
        <v>12</v>
      </c>
      <c r="H416" s="2" t="s">
        <v>286</v>
      </c>
      <c r="I416" s="2" t="s">
        <v>411</v>
      </c>
      <c r="J416" s="2" t="s">
        <v>14</v>
      </c>
      <c r="K416" s="2" t="s">
        <v>101</v>
      </c>
      <c r="L416" s="2"/>
    </row>
    <row r="417" ht="15.75" customHeight="1">
      <c r="A417" s="3">
        <v>415.0</v>
      </c>
      <c r="B417" s="2" t="s">
        <v>1296</v>
      </c>
      <c r="C417" s="2" t="s">
        <v>1297</v>
      </c>
      <c r="D417" s="2" t="s">
        <v>1298</v>
      </c>
      <c r="E417" s="3">
        <v>5.70056378715E11</v>
      </c>
      <c r="F417" s="2" t="s">
        <v>1299</v>
      </c>
      <c r="G417" s="2" t="s">
        <v>12</v>
      </c>
      <c r="H417" s="2" t="s">
        <v>13</v>
      </c>
      <c r="I417" s="2" t="s">
        <v>411</v>
      </c>
      <c r="J417" s="2" t="s">
        <v>14</v>
      </c>
      <c r="K417" s="2" t="s">
        <v>101</v>
      </c>
      <c r="L417" s="2"/>
    </row>
    <row r="418" ht="15.75" customHeight="1">
      <c r="A418" s="3">
        <v>416.0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3">
        <v>417.0</v>
      </c>
      <c r="B419" s="2" t="s">
        <v>1300</v>
      </c>
      <c r="C419" s="2" t="s">
        <v>1301</v>
      </c>
      <c r="D419" s="2" t="s">
        <v>151</v>
      </c>
      <c r="E419" s="3">
        <v>5.70056378718E11</v>
      </c>
      <c r="F419" s="2" t="s">
        <v>1302</v>
      </c>
      <c r="G419" s="2" t="s">
        <v>12</v>
      </c>
      <c r="H419" s="2" t="s">
        <v>286</v>
      </c>
      <c r="I419" s="2" t="s">
        <v>411</v>
      </c>
      <c r="J419" s="2" t="s">
        <v>14</v>
      </c>
      <c r="K419" s="2" t="s">
        <v>101</v>
      </c>
      <c r="L419" s="2"/>
    </row>
    <row r="420" ht="15.75" customHeight="1">
      <c r="A420" s="3">
        <v>418.0</v>
      </c>
      <c r="B420" s="2" t="s">
        <v>1303</v>
      </c>
      <c r="C420" s="2" t="s">
        <v>1304</v>
      </c>
      <c r="D420" s="2" t="s">
        <v>162</v>
      </c>
      <c r="E420" s="3">
        <v>5.7005637872E11</v>
      </c>
      <c r="F420" s="2" t="s">
        <v>1305</v>
      </c>
      <c r="G420" s="2" t="s">
        <v>12</v>
      </c>
      <c r="H420" s="2" t="s">
        <v>13</v>
      </c>
      <c r="I420" s="2" t="s">
        <v>14</v>
      </c>
      <c r="J420" s="2" t="s">
        <v>101</v>
      </c>
      <c r="K420" s="2"/>
      <c r="L420" s="2"/>
    </row>
    <row r="421" ht="15.75" customHeight="1">
      <c r="A421" s="3">
        <v>419.0</v>
      </c>
      <c r="B421" s="2" t="s">
        <v>404</v>
      </c>
      <c r="C421" s="2" t="s">
        <v>1306</v>
      </c>
      <c r="D421" s="2" t="s">
        <v>1307</v>
      </c>
      <c r="E421" s="3">
        <v>5.70056378723E11</v>
      </c>
      <c r="F421" s="2" t="s">
        <v>1308</v>
      </c>
      <c r="G421" s="2" t="s">
        <v>12</v>
      </c>
      <c r="H421" s="2" t="s">
        <v>286</v>
      </c>
      <c r="I421" s="2" t="s">
        <v>411</v>
      </c>
      <c r="J421" s="2" t="s">
        <v>14</v>
      </c>
      <c r="K421" s="2" t="s">
        <v>101</v>
      </c>
      <c r="L421" s="2"/>
    </row>
    <row r="422" ht="15.75" customHeight="1">
      <c r="A422" s="3">
        <v>420.0</v>
      </c>
      <c r="B422" s="2" t="s">
        <v>162</v>
      </c>
      <c r="C422" s="2" t="s">
        <v>1309</v>
      </c>
      <c r="D422" s="2" t="s">
        <v>256</v>
      </c>
      <c r="E422" s="3">
        <v>5.70056378724E11</v>
      </c>
      <c r="F422" s="2" t="s">
        <v>1310</v>
      </c>
      <c r="G422" s="2" t="s">
        <v>12</v>
      </c>
      <c r="H422" s="2" t="s">
        <v>286</v>
      </c>
      <c r="I422" s="2" t="s">
        <v>13</v>
      </c>
      <c r="J422" s="2" t="s">
        <v>14</v>
      </c>
      <c r="K422" s="2" t="s">
        <v>101</v>
      </c>
      <c r="L422" s="2"/>
    </row>
    <row r="423" ht="15.75" customHeight="1">
      <c r="A423" s="3">
        <v>421.0</v>
      </c>
      <c r="B423" s="2" t="s">
        <v>789</v>
      </c>
      <c r="C423" s="2" t="s">
        <v>1311</v>
      </c>
      <c r="D423" s="2" t="s">
        <v>162</v>
      </c>
      <c r="E423" s="3">
        <v>5.70056378726E11</v>
      </c>
      <c r="F423" s="2" t="s">
        <v>1312</v>
      </c>
      <c r="G423" s="2" t="s">
        <v>12</v>
      </c>
      <c r="H423" s="2" t="s">
        <v>286</v>
      </c>
      <c r="I423" s="2" t="s">
        <v>411</v>
      </c>
      <c r="J423" s="2" t="s">
        <v>14</v>
      </c>
      <c r="K423" s="2" t="s">
        <v>101</v>
      </c>
      <c r="L423" s="2"/>
    </row>
    <row r="424" ht="15.75" customHeight="1">
      <c r="A424" s="3">
        <v>422.0</v>
      </c>
      <c r="B424" s="2" t="s">
        <v>66</v>
      </c>
      <c r="C424" s="2" t="s">
        <v>1313</v>
      </c>
      <c r="D424" s="2" t="s">
        <v>234</v>
      </c>
      <c r="E424" s="3">
        <v>5.70056378727E11</v>
      </c>
      <c r="F424" s="2" t="s">
        <v>1314</v>
      </c>
      <c r="G424" s="2" t="s">
        <v>12</v>
      </c>
      <c r="H424" s="2" t="s">
        <v>286</v>
      </c>
      <c r="I424" s="2" t="s">
        <v>411</v>
      </c>
      <c r="J424" s="2" t="s">
        <v>14</v>
      </c>
      <c r="K424" s="2" t="s">
        <v>101</v>
      </c>
      <c r="L424" s="2"/>
    </row>
    <row r="425" ht="15.75" customHeight="1">
      <c r="A425" s="3">
        <v>423.0</v>
      </c>
      <c r="B425" s="2" t="s">
        <v>337</v>
      </c>
      <c r="C425" s="2" t="s">
        <v>1315</v>
      </c>
      <c r="D425" s="2" t="s">
        <v>1316</v>
      </c>
      <c r="E425" s="3">
        <v>5.70056378728E11</v>
      </c>
      <c r="F425" s="2" t="s">
        <v>1317</v>
      </c>
      <c r="G425" s="2" t="s">
        <v>12</v>
      </c>
      <c r="H425" s="2" t="s">
        <v>286</v>
      </c>
      <c r="I425" s="2" t="s">
        <v>411</v>
      </c>
      <c r="J425" s="2" t="s">
        <v>14</v>
      </c>
      <c r="K425" s="2" t="s">
        <v>101</v>
      </c>
      <c r="L425" s="2"/>
    </row>
    <row r="426" ht="15.75" customHeight="1">
      <c r="A426" s="3">
        <v>424.0</v>
      </c>
      <c r="B426" s="2" t="s">
        <v>1318</v>
      </c>
      <c r="C426" s="2" t="s">
        <v>1319</v>
      </c>
      <c r="D426" s="2" t="s">
        <v>1320</v>
      </c>
      <c r="E426" s="3">
        <v>5.7005637873E11</v>
      </c>
      <c r="F426" s="2" t="s">
        <v>1321</v>
      </c>
      <c r="G426" s="2" t="s">
        <v>12</v>
      </c>
      <c r="H426" s="2" t="s">
        <v>286</v>
      </c>
      <c r="I426" s="2" t="s">
        <v>411</v>
      </c>
      <c r="J426" s="2" t="s">
        <v>14</v>
      </c>
      <c r="K426" s="2" t="s">
        <v>101</v>
      </c>
      <c r="L426" s="2"/>
    </row>
    <row r="427" ht="15.75" customHeight="1">
      <c r="A427" s="3">
        <v>425.0</v>
      </c>
      <c r="B427" s="2" t="s">
        <v>345</v>
      </c>
      <c r="C427" s="2" t="s">
        <v>1322</v>
      </c>
      <c r="D427" s="2" t="s">
        <v>1323</v>
      </c>
      <c r="E427" s="3">
        <v>5.70056378731E11</v>
      </c>
      <c r="F427" s="2" t="s">
        <v>1324</v>
      </c>
      <c r="G427" s="2" t="s">
        <v>12</v>
      </c>
      <c r="H427" s="2" t="s">
        <v>286</v>
      </c>
      <c r="I427" s="2" t="s">
        <v>411</v>
      </c>
      <c r="J427" s="2" t="s">
        <v>14</v>
      </c>
      <c r="K427" s="2" t="s">
        <v>101</v>
      </c>
      <c r="L427" s="2"/>
    </row>
    <row r="428" ht="15.75" customHeight="1">
      <c r="A428" s="3">
        <v>426.0</v>
      </c>
      <c r="B428" s="2" t="s">
        <v>335</v>
      </c>
      <c r="C428" s="2" t="s">
        <v>1325</v>
      </c>
      <c r="D428" s="2" t="s">
        <v>1326</v>
      </c>
      <c r="E428" s="3">
        <v>5.70056378733E11</v>
      </c>
      <c r="F428" s="2" t="s">
        <v>1327</v>
      </c>
      <c r="G428" s="2" t="s">
        <v>12</v>
      </c>
      <c r="H428" s="2" t="s">
        <v>286</v>
      </c>
      <c r="I428" s="2" t="s">
        <v>411</v>
      </c>
      <c r="J428" s="2" t="s">
        <v>14</v>
      </c>
      <c r="K428" s="2" t="s">
        <v>101</v>
      </c>
      <c r="L428" s="2"/>
    </row>
    <row r="429" ht="15.75" customHeight="1">
      <c r="A429" s="3">
        <v>427.0</v>
      </c>
      <c r="B429" s="2" t="s">
        <v>447</v>
      </c>
      <c r="C429" s="2" t="s">
        <v>1328</v>
      </c>
      <c r="D429" s="2" t="s">
        <v>1329</v>
      </c>
      <c r="E429" s="3">
        <v>5.70056378736E11</v>
      </c>
      <c r="F429" s="2" t="s">
        <v>1330</v>
      </c>
      <c r="G429" s="2" t="s">
        <v>12</v>
      </c>
      <c r="H429" s="2" t="s">
        <v>286</v>
      </c>
      <c r="I429" s="2" t="s">
        <v>411</v>
      </c>
      <c r="J429" s="2" t="s">
        <v>14</v>
      </c>
      <c r="K429" s="2" t="s">
        <v>101</v>
      </c>
      <c r="L429" s="2"/>
    </row>
    <row r="430" ht="15.75" customHeight="1">
      <c r="A430" s="3">
        <v>428.0</v>
      </c>
      <c r="B430" s="2" t="s">
        <v>335</v>
      </c>
      <c r="C430" s="2" t="s">
        <v>1331</v>
      </c>
      <c r="D430" s="2" t="s">
        <v>990</v>
      </c>
      <c r="E430" s="3">
        <v>5.70056378741E11</v>
      </c>
      <c r="F430" s="2" t="s">
        <v>1332</v>
      </c>
      <c r="G430" s="2" t="s">
        <v>12</v>
      </c>
      <c r="H430" s="2" t="s">
        <v>13</v>
      </c>
      <c r="I430" s="2" t="s">
        <v>14</v>
      </c>
      <c r="J430" s="2" t="s">
        <v>101</v>
      </c>
      <c r="K430" s="2"/>
      <c r="L430" s="2"/>
    </row>
    <row r="431" ht="15.75" customHeight="1">
      <c r="A431" s="3">
        <v>429.0</v>
      </c>
      <c r="B431" s="2" t="s">
        <v>672</v>
      </c>
      <c r="C431" s="2" t="s">
        <v>1333</v>
      </c>
      <c r="D431" s="2" t="s">
        <v>326</v>
      </c>
      <c r="E431" s="3">
        <v>5.70056378742E11</v>
      </c>
      <c r="F431" s="2" t="s">
        <v>1334</v>
      </c>
      <c r="G431" s="2" t="s">
        <v>12</v>
      </c>
      <c r="H431" s="2" t="s">
        <v>286</v>
      </c>
      <c r="I431" s="2" t="s">
        <v>411</v>
      </c>
      <c r="J431" s="2" t="s">
        <v>14</v>
      </c>
      <c r="K431" s="2" t="s">
        <v>101</v>
      </c>
      <c r="L431" s="2"/>
    </row>
    <row r="432" ht="15.75" customHeight="1">
      <c r="A432" s="3">
        <v>430.0</v>
      </c>
      <c r="B432" s="2" t="s">
        <v>1335</v>
      </c>
      <c r="C432" s="2" t="s">
        <v>184</v>
      </c>
      <c r="D432" s="2" t="s">
        <v>1336</v>
      </c>
      <c r="E432" s="3">
        <v>5.70056378745E11</v>
      </c>
      <c r="F432" s="2" t="s">
        <v>1337</v>
      </c>
      <c r="G432" s="2" t="s">
        <v>12</v>
      </c>
      <c r="H432" s="2" t="s">
        <v>286</v>
      </c>
      <c r="I432" s="2" t="s">
        <v>411</v>
      </c>
      <c r="J432" s="2" t="s">
        <v>14</v>
      </c>
      <c r="K432" s="2" t="s">
        <v>101</v>
      </c>
      <c r="L432" s="2"/>
    </row>
    <row r="433" ht="15.75" customHeight="1">
      <c r="A433" s="3">
        <v>431.0</v>
      </c>
      <c r="B433" s="4" t="s">
        <v>333</v>
      </c>
      <c r="C433" s="2" t="s">
        <v>1338</v>
      </c>
      <c r="D433" s="2" t="s">
        <v>1339</v>
      </c>
      <c r="E433" s="3">
        <v>5.70056378746E11</v>
      </c>
      <c r="F433" s="2" t="s">
        <v>1340</v>
      </c>
      <c r="G433" s="2" t="s">
        <v>12</v>
      </c>
      <c r="H433" s="2" t="s">
        <v>286</v>
      </c>
      <c r="I433" s="2" t="s">
        <v>411</v>
      </c>
      <c r="J433" s="2" t="s">
        <v>14</v>
      </c>
      <c r="K433" s="2" t="s">
        <v>101</v>
      </c>
      <c r="L433" s="2"/>
    </row>
    <row r="434" ht="15.75" customHeight="1">
      <c r="A434" s="3">
        <v>432.0</v>
      </c>
      <c r="B434" s="2" t="s">
        <v>676</v>
      </c>
      <c r="C434" s="2" t="s">
        <v>1341</v>
      </c>
      <c r="D434" s="2" t="s">
        <v>247</v>
      </c>
      <c r="E434" s="3">
        <v>5.70056378749E11</v>
      </c>
      <c r="F434" s="2" t="s">
        <v>1342</v>
      </c>
      <c r="G434" s="2" t="s">
        <v>12</v>
      </c>
      <c r="H434" s="2" t="s">
        <v>286</v>
      </c>
      <c r="I434" s="2" t="s">
        <v>411</v>
      </c>
      <c r="J434" s="2" t="s">
        <v>14</v>
      </c>
      <c r="K434" s="2" t="s">
        <v>101</v>
      </c>
      <c r="L434" s="2"/>
    </row>
    <row r="435" ht="15.75" customHeight="1">
      <c r="A435" s="3">
        <v>433.0</v>
      </c>
      <c r="B435" s="2" t="s">
        <v>1343</v>
      </c>
      <c r="C435" s="2" t="s">
        <v>1344</v>
      </c>
      <c r="D435" s="2" t="s">
        <v>1345</v>
      </c>
      <c r="E435" s="3">
        <v>5.70056378752E11</v>
      </c>
      <c r="F435" s="2" t="s">
        <v>1346</v>
      </c>
      <c r="G435" s="2" t="s">
        <v>12</v>
      </c>
      <c r="H435" s="2" t="s">
        <v>286</v>
      </c>
      <c r="I435" s="2" t="s">
        <v>14</v>
      </c>
      <c r="J435" s="2" t="s">
        <v>101</v>
      </c>
      <c r="K435" s="2"/>
      <c r="L435" s="2"/>
    </row>
    <row r="436" ht="15.75" customHeight="1">
      <c r="A436" s="3">
        <v>434.0</v>
      </c>
      <c r="B436" s="2" t="s">
        <v>306</v>
      </c>
      <c r="C436" s="2" t="s">
        <v>1347</v>
      </c>
      <c r="D436" s="2" t="s">
        <v>623</v>
      </c>
      <c r="E436" s="3">
        <v>5.70056378753E11</v>
      </c>
      <c r="F436" s="2" t="s">
        <v>1348</v>
      </c>
      <c r="G436" s="2" t="s">
        <v>12</v>
      </c>
      <c r="H436" s="2" t="s">
        <v>286</v>
      </c>
      <c r="I436" s="2" t="s">
        <v>411</v>
      </c>
      <c r="J436" s="2" t="s">
        <v>14</v>
      </c>
      <c r="K436" s="2" t="s">
        <v>101</v>
      </c>
      <c r="L436" s="2"/>
    </row>
    <row r="437" ht="15.75" customHeight="1">
      <c r="A437" s="3">
        <v>435.0</v>
      </c>
      <c r="B437" s="2" t="s">
        <v>1349</v>
      </c>
      <c r="C437" s="2" t="s">
        <v>1350</v>
      </c>
      <c r="D437" s="2" t="s">
        <v>1135</v>
      </c>
      <c r="E437" s="3">
        <v>5.70056378754E11</v>
      </c>
      <c r="F437" s="2" t="s">
        <v>1351</v>
      </c>
      <c r="G437" s="2" t="s">
        <v>12</v>
      </c>
      <c r="H437" s="2" t="s">
        <v>286</v>
      </c>
      <c r="I437" s="2" t="s">
        <v>14</v>
      </c>
      <c r="J437" s="2" t="s">
        <v>101</v>
      </c>
      <c r="K437" s="2"/>
      <c r="L437" s="2"/>
    </row>
    <row r="438" ht="15.75" customHeight="1">
      <c r="A438" s="3">
        <v>436.0</v>
      </c>
      <c r="B438" s="2" t="s">
        <v>516</v>
      </c>
      <c r="C438" s="2" t="s">
        <v>1352</v>
      </c>
      <c r="D438" s="2" t="s">
        <v>1353</v>
      </c>
      <c r="E438" s="3">
        <v>5.70056378756E11</v>
      </c>
      <c r="F438" s="2" t="s">
        <v>1354</v>
      </c>
      <c r="G438" s="2" t="s">
        <v>12</v>
      </c>
      <c r="H438" s="2" t="s">
        <v>286</v>
      </c>
      <c r="I438" s="2" t="s">
        <v>411</v>
      </c>
      <c r="J438" s="2" t="s">
        <v>14</v>
      </c>
      <c r="K438" s="2" t="s">
        <v>101</v>
      </c>
      <c r="L438" s="2"/>
    </row>
    <row r="439" ht="15.75" customHeight="1">
      <c r="A439" s="3">
        <v>437.0</v>
      </c>
      <c r="B439" s="2" t="s">
        <v>1355</v>
      </c>
      <c r="C439" s="2" t="s">
        <v>1356</v>
      </c>
      <c r="D439" s="2" t="s">
        <v>122</v>
      </c>
      <c r="E439" s="3">
        <v>5.70056378758E11</v>
      </c>
      <c r="F439" s="2" t="s">
        <v>1357</v>
      </c>
      <c r="G439" s="2" t="s">
        <v>12</v>
      </c>
      <c r="H439" s="2" t="s">
        <v>286</v>
      </c>
      <c r="I439" s="2" t="s">
        <v>411</v>
      </c>
      <c r="J439" s="2" t="s">
        <v>14</v>
      </c>
      <c r="K439" s="2" t="s">
        <v>101</v>
      </c>
      <c r="L439" s="2"/>
    </row>
    <row r="440" ht="15.75" customHeight="1">
      <c r="A440" s="3">
        <v>438.0</v>
      </c>
      <c r="B440" s="2" t="s">
        <v>1358</v>
      </c>
      <c r="C440" s="2" t="s">
        <v>1359</v>
      </c>
      <c r="D440" s="2" t="s">
        <v>1119</v>
      </c>
      <c r="E440" s="3">
        <v>5.70056378762E11</v>
      </c>
      <c r="F440" s="2" t="s">
        <v>1360</v>
      </c>
      <c r="G440" s="2" t="s">
        <v>12</v>
      </c>
      <c r="H440" s="2" t="s">
        <v>286</v>
      </c>
      <c r="I440" s="2" t="s">
        <v>411</v>
      </c>
      <c r="J440" s="2" t="s">
        <v>14</v>
      </c>
      <c r="K440" s="2" t="s">
        <v>101</v>
      </c>
      <c r="L440" s="2"/>
    </row>
    <row r="441" ht="15.75" customHeight="1">
      <c r="A441" s="3">
        <v>439.0</v>
      </c>
      <c r="B441" s="2" t="s">
        <v>1361</v>
      </c>
      <c r="C441" s="2" t="s">
        <v>1362</v>
      </c>
      <c r="D441" s="2" t="s">
        <v>437</v>
      </c>
      <c r="E441" s="3">
        <v>5.70056378763E11</v>
      </c>
      <c r="F441" s="2" t="s">
        <v>1363</v>
      </c>
      <c r="G441" s="2" t="s">
        <v>12</v>
      </c>
      <c r="H441" s="2" t="s">
        <v>286</v>
      </c>
      <c r="I441" s="2" t="s">
        <v>14</v>
      </c>
      <c r="J441" s="2" t="s">
        <v>101</v>
      </c>
      <c r="K441" s="2"/>
      <c r="L441" s="2"/>
    </row>
    <row r="442" ht="15.75" customHeight="1">
      <c r="A442" s="3">
        <v>440.0</v>
      </c>
      <c r="B442" s="2" t="s">
        <v>1364</v>
      </c>
      <c r="C442" s="2" t="s">
        <v>1365</v>
      </c>
      <c r="D442" s="2" t="s">
        <v>795</v>
      </c>
      <c r="E442" s="3">
        <v>5.70056378765E11</v>
      </c>
      <c r="F442" s="2" t="s">
        <v>1366</v>
      </c>
      <c r="G442" s="2" t="s">
        <v>12</v>
      </c>
      <c r="H442" s="2" t="s">
        <v>286</v>
      </c>
      <c r="I442" s="2" t="s">
        <v>411</v>
      </c>
      <c r="J442" s="2" t="s">
        <v>14</v>
      </c>
      <c r="K442" s="2" t="s">
        <v>101</v>
      </c>
      <c r="L442" s="2"/>
    </row>
    <row r="443" ht="15.75" customHeight="1">
      <c r="A443" s="3">
        <v>441.0</v>
      </c>
      <c r="B443" s="2" t="s">
        <v>192</v>
      </c>
      <c r="C443" s="2" t="s">
        <v>1367</v>
      </c>
      <c r="D443" s="2" t="s">
        <v>1368</v>
      </c>
      <c r="E443" s="3">
        <v>5.70056378766E11</v>
      </c>
      <c r="F443" s="2" t="s">
        <v>1369</v>
      </c>
      <c r="G443" s="2" t="s">
        <v>12</v>
      </c>
      <c r="H443" s="2" t="s">
        <v>286</v>
      </c>
      <c r="I443" s="2" t="s">
        <v>14</v>
      </c>
      <c r="J443" s="2" t="s">
        <v>101</v>
      </c>
      <c r="K443" s="2"/>
      <c r="L443" s="2"/>
    </row>
    <row r="444" ht="15.75" customHeight="1">
      <c r="A444" s="3">
        <v>442.0</v>
      </c>
      <c r="B444" s="2" t="s">
        <v>1370</v>
      </c>
      <c r="C444" s="2" t="s">
        <v>1315</v>
      </c>
      <c r="D444" s="2" t="s">
        <v>1371</v>
      </c>
      <c r="E444" s="3">
        <v>5.70056378767E11</v>
      </c>
      <c r="F444" s="2" t="s">
        <v>1372</v>
      </c>
      <c r="G444" s="2" t="s">
        <v>12</v>
      </c>
      <c r="H444" s="2" t="s">
        <v>286</v>
      </c>
      <c r="I444" s="2" t="s">
        <v>411</v>
      </c>
      <c r="J444" s="2" t="s">
        <v>14</v>
      </c>
      <c r="K444" s="2" t="s">
        <v>101</v>
      </c>
      <c r="L444" s="2"/>
    </row>
    <row r="445" ht="15.75" customHeight="1">
      <c r="A445" s="3">
        <v>443.0</v>
      </c>
      <c r="B445" s="2" t="s">
        <v>558</v>
      </c>
      <c r="C445" s="2" t="s">
        <v>1373</v>
      </c>
      <c r="D445" s="2" t="s">
        <v>1279</v>
      </c>
      <c r="E445" s="3">
        <v>5.70056378768E11</v>
      </c>
      <c r="F445" s="2" t="s">
        <v>1374</v>
      </c>
      <c r="G445" s="2" t="s">
        <v>12</v>
      </c>
      <c r="H445" s="2" t="s">
        <v>344</v>
      </c>
      <c r="I445" s="2" t="s">
        <v>14</v>
      </c>
      <c r="J445" s="2" t="s">
        <v>101</v>
      </c>
      <c r="K445" s="2"/>
      <c r="L445" s="2"/>
    </row>
    <row r="446" ht="15.75" customHeight="1">
      <c r="A446" s="3">
        <v>444.0</v>
      </c>
      <c r="B446" s="2" t="s">
        <v>1375</v>
      </c>
      <c r="C446" s="2" t="s">
        <v>426</v>
      </c>
      <c r="D446" s="2" t="s">
        <v>427</v>
      </c>
      <c r="E446" s="3">
        <v>5.70056378769E11</v>
      </c>
      <c r="F446" s="2" t="s">
        <v>1376</v>
      </c>
      <c r="G446" s="2" t="s">
        <v>12</v>
      </c>
      <c r="H446" s="2" t="s">
        <v>344</v>
      </c>
      <c r="I446" s="2" t="s">
        <v>13</v>
      </c>
      <c r="J446" s="2" t="s">
        <v>14</v>
      </c>
      <c r="K446" s="2" t="s">
        <v>101</v>
      </c>
      <c r="L446" s="2"/>
    </row>
    <row r="447" ht="15.75" customHeight="1">
      <c r="A447" s="3">
        <v>445.0</v>
      </c>
      <c r="B447" s="2" t="s">
        <v>106</v>
      </c>
      <c r="C447" s="2" t="s">
        <v>1313</v>
      </c>
      <c r="D447" s="2" t="s">
        <v>234</v>
      </c>
      <c r="E447" s="3">
        <v>5.7005637877E11</v>
      </c>
      <c r="F447" s="2" t="s">
        <v>1377</v>
      </c>
      <c r="G447" s="2" t="s">
        <v>12</v>
      </c>
      <c r="H447" s="2" t="s">
        <v>344</v>
      </c>
      <c r="I447" s="2" t="s">
        <v>13</v>
      </c>
      <c r="J447" s="2" t="s">
        <v>14</v>
      </c>
      <c r="K447" s="2" t="s">
        <v>101</v>
      </c>
      <c r="L447" s="2"/>
    </row>
    <row r="448" ht="15.75" customHeight="1">
      <c r="A448" s="3">
        <v>446.0</v>
      </c>
      <c r="B448" s="2" t="s">
        <v>946</v>
      </c>
      <c r="C448" s="2" t="s">
        <v>1378</v>
      </c>
      <c r="D448" s="2" t="s">
        <v>256</v>
      </c>
      <c r="E448" s="3">
        <v>5.70056378771E11</v>
      </c>
      <c r="F448" s="2" t="s">
        <v>1379</v>
      </c>
      <c r="G448" s="2" t="s">
        <v>12</v>
      </c>
      <c r="H448" s="2" t="s">
        <v>344</v>
      </c>
      <c r="I448" s="2" t="s">
        <v>13</v>
      </c>
      <c r="J448" s="2" t="s">
        <v>14</v>
      </c>
      <c r="K448" s="2" t="s">
        <v>101</v>
      </c>
      <c r="L448" s="2"/>
    </row>
    <row r="449" ht="15.75" customHeight="1">
      <c r="A449" s="3">
        <v>447.0</v>
      </c>
      <c r="B449" s="2" t="s">
        <v>1380</v>
      </c>
      <c r="C449" s="2" t="s">
        <v>1381</v>
      </c>
      <c r="D449" s="2" t="s">
        <v>514</v>
      </c>
      <c r="E449" s="3">
        <v>5.70056378772E11</v>
      </c>
      <c r="F449" s="2" t="s">
        <v>1382</v>
      </c>
      <c r="G449" s="2" t="s">
        <v>12</v>
      </c>
      <c r="H449" s="2" t="s">
        <v>344</v>
      </c>
      <c r="I449" s="2" t="s">
        <v>13</v>
      </c>
      <c r="J449" s="2" t="s">
        <v>14</v>
      </c>
      <c r="K449" s="2" t="s">
        <v>101</v>
      </c>
      <c r="L449" s="2"/>
    </row>
    <row r="450" ht="15.75" customHeight="1">
      <c r="A450" s="3">
        <v>448.0</v>
      </c>
      <c r="B450" s="2" t="s">
        <v>10</v>
      </c>
      <c r="C450" s="2" t="s">
        <v>1383</v>
      </c>
      <c r="D450" s="2" t="s">
        <v>1198</v>
      </c>
      <c r="E450" s="3">
        <v>5.70056378773E11</v>
      </c>
      <c r="F450" s="2" t="s">
        <v>1384</v>
      </c>
      <c r="G450" s="2" t="s">
        <v>12</v>
      </c>
      <c r="H450" s="2" t="s">
        <v>344</v>
      </c>
      <c r="I450" s="2" t="s">
        <v>13</v>
      </c>
      <c r="J450" s="2" t="s">
        <v>14</v>
      </c>
      <c r="K450" s="2" t="s">
        <v>101</v>
      </c>
      <c r="L450" s="2"/>
    </row>
    <row r="451" ht="15.75" customHeight="1">
      <c r="A451" s="3">
        <v>449.0</v>
      </c>
      <c r="B451" s="2" t="s">
        <v>1385</v>
      </c>
      <c r="C451" s="2" t="s">
        <v>385</v>
      </c>
      <c r="D451" s="2" t="s">
        <v>1386</v>
      </c>
      <c r="E451" s="3">
        <v>5.70056378774E11</v>
      </c>
      <c r="F451" s="2" t="s">
        <v>603</v>
      </c>
      <c r="G451" s="2" t="s">
        <v>12</v>
      </c>
      <c r="H451" s="2" t="s">
        <v>344</v>
      </c>
      <c r="I451" s="2" t="s">
        <v>13</v>
      </c>
      <c r="J451" s="2" t="s">
        <v>14</v>
      </c>
      <c r="K451" s="2" t="s">
        <v>101</v>
      </c>
      <c r="L451" s="2"/>
    </row>
    <row r="452" ht="15.75" customHeight="1">
      <c r="A452" s="3">
        <v>450.0</v>
      </c>
      <c r="B452" s="2" t="s">
        <v>1387</v>
      </c>
      <c r="C452" s="2" t="s">
        <v>1388</v>
      </c>
      <c r="D452" s="2" t="s">
        <v>679</v>
      </c>
      <c r="E452" s="3">
        <v>5.70056378775E11</v>
      </c>
      <c r="F452" s="2" t="s">
        <v>1389</v>
      </c>
      <c r="G452" s="2" t="s">
        <v>12</v>
      </c>
      <c r="H452" s="2" t="s">
        <v>344</v>
      </c>
      <c r="I452" s="2" t="s">
        <v>13</v>
      </c>
      <c r="J452" s="2" t="s">
        <v>14</v>
      </c>
      <c r="K452" s="2" t="s">
        <v>101</v>
      </c>
      <c r="L452" s="2"/>
    </row>
    <row r="453" ht="15.75" customHeight="1">
      <c r="A453" s="3">
        <v>451.0</v>
      </c>
      <c r="B453" s="2" t="s">
        <v>1318</v>
      </c>
      <c r="C453" s="2" t="s">
        <v>1390</v>
      </c>
      <c r="D453" s="2" t="s">
        <v>117</v>
      </c>
      <c r="E453" s="3">
        <v>5.70056378777E11</v>
      </c>
      <c r="F453" s="2" t="s">
        <v>1391</v>
      </c>
      <c r="G453" s="2" t="s">
        <v>12</v>
      </c>
      <c r="H453" s="2" t="s">
        <v>344</v>
      </c>
      <c r="I453" s="2" t="s">
        <v>13</v>
      </c>
      <c r="J453" s="2" t="s">
        <v>14</v>
      </c>
      <c r="K453" s="2" t="s">
        <v>101</v>
      </c>
      <c r="L453" s="2"/>
    </row>
    <row r="454" ht="15.75" customHeight="1">
      <c r="A454" s="3">
        <v>452.0</v>
      </c>
      <c r="B454" s="2" t="s">
        <v>1370</v>
      </c>
      <c r="C454" s="2" t="s">
        <v>1392</v>
      </c>
      <c r="D454" s="2" t="s">
        <v>1393</v>
      </c>
      <c r="E454" s="3">
        <v>5.70056378778E11</v>
      </c>
      <c r="F454" s="2" t="s">
        <v>1394</v>
      </c>
      <c r="G454" s="2" t="s">
        <v>12</v>
      </c>
      <c r="H454" s="2" t="s">
        <v>344</v>
      </c>
      <c r="I454" s="2" t="s">
        <v>13</v>
      </c>
      <c r="J454" s="2" t="s">
        <v>14</v>
      </c>
      <c r="K454" s="2" t="s">
        <v>101</v>
      </c>
      <c r="L454" s="2"/>
    </row>
    <row r="455" ht="15.75" customHeight="1">
      <c r="A455" s="3">
        <v>453.0</v>
      </c>
      <c r="B455" s="2" t="s">
        <v>66</v>
      </c>
      <c r="C455" s="2" t="s">
        <v>1395</v>
      </c>
      <c r="D455" s="2" t="s">
        <v>1396</v>
      </c>
      <c r="E455" s="3">
        <v>5.70056378779E11</v>
      </c>
      <c r="F455" s="2" t="s">
        <v>1397</v>
      </c>
      <c r="G455" s="2" t="s">
        <v>12</v>
      </c>
      <c r="H455" s="2" t="s">
        <v>344</v>
      </c>
      <c r="I455" s="2" t="s">
        <v>14</v>
      </c>
      <c r="J455" s="2" t="s">
        <v>101</v>
      </c>
      <c r="K455" s="2"/>
      <c r="L455" s="2"/>
    </row>
    <row r="456" ht="15.75" customHeight="1">
      <c r="A456" s="3">
        <v>454.0</v>
      </c>
      <c r="B456" s="2" t="s">
        <v>1393</v>
      </c>
      <c r="C456" s="2" t="s">
        <v>1398</v>
      </c>
      <c r="D456" s="2" t="s">
        <v>1399</v>
      </c>
      <c r="E456" s="3">
        <v>5.7005637878E11</v>
      </c>
      <c r="F456" s="2" t="s">
        <v>1400</v>
      </c>
      <c r="G456" s="2" t="s">
        <v>12</v>
      </c>
      <c r="H456" s="2" t="s">
        <v>344</v>
      </c>
      <c r="I456" s="2" t="s">
        <v>13</v>
      </c>
      <c r="J456" s="2" t="s">
        <v>14</v>
      </c>
      <c r="K456" s="2" t="s">
        <v>101</v>
      </c>
      <c r="L456" s="2"/>
    </row>
    <row r="457" ht="15.75" customHeight="1">
      <c r="A457" s="3">
        <v>455.0</v>
      </c>
      <c r="B457" s="2" t="s">
        <v>273</v>
      </c>
      <c r="C457" s="2" t="s">
        <v>1401</v>
      </c>
      <c r="D457" s="2" t="s">
        <v>1402</v>
      </c>
      <c r="E457" s="3">
        <v>5.70056378782E11</v>
      </c>
      <c r="F457" s="2" t="s">
        <v>1403</v>
      </c>
      <c r="G457" s="2" t="s">
        <v>12</v>
      </c>
      <c r="H457" s="2" t="s">
        <v>344</v>
      </c>
      <c r="I457" s="2" t="s">
        <v>14</v>
      </c>
      <c r="J457" s="2" t="s">
        <v>101</v>
      </c>
      <c r="K457" s="2"/>
      <c r="L457" s="2"/>
    </row>
    <row r="458" ht="15.75" customHeight="1">
      <c r="A458" s="3">
        <v>456.0</v>
      </c>
      <c r="B458" s="2" t="s">
        <v>227</v>
      </c>
      <c r="C458" s="2" t="s">
        <v>1404</v>
      </c>
      <c r="D458" s="2" t="s">
        <v>1405</v>
      </c>
      <c r="E458" s="3">
        <v>5.70056378783E11</v>
      </c>
      <c r="F458" s="2" t="s">
        <v>1406</v>
      </c>
      <c r="G458" s="2" t="s">
        <v>12</v>
      </c>
      <c r="H458" s="2" t="s">
        <v>344</v>
      </c>
      <c r="I458" s="2" t="s">
        <v>1407</v>
      </c>
      <c r="J458" s="2" t="s">
        <v>14</v>
      </c>
      <c r="K458" s="2" t="s">
        <v>101</v>
      </c>
      <c r="L458" s="2"/>
    </row>
    <row r="459" ht="15.75" customHeight="1">
      <c r="A459" s="3">
        <v>457.0</v>
      </c>
      <c r="B459" s="2" t="s">
        <v>10</v>
      </c>
      <c r="C459" s="2" t="s">
        <v>1408</v>
      </c>
      <c r="D459" s="2" t="s">
        <v>690</v>
      </c>
      <c r="E459" s="3">
        <v>5.70056378787E11</v>
      </c>
      <c r="F459" s="2" t="s">
        <v>1409</v>
      </c>
      <c r="G459" s="2" t="s">
        <v>12</v>
      </c>
      <c r="H459" s="2" t="s">
        <v>344</v>
      </c>
      <c r="I459" s="2" t="s">
        <v>13</v>
      </c>
      <c r="J459" s="2" t="s">
        <v>14</v>
      </c>
      <c r="K459" s="2" t="s">
        <v>101</v>
      </c>
      <c r="L459" s="2"/>
    </row>
    <row r="460" ht="15.75" customHeight="1">
      <c r="A460" s="3">
        <v>458.0</v>
      </c>
      <c r="B460" s="2" t="s">
        <v>1410</v>
      </c>
      <c r="C460" s="2" t="s">
        <v>1411</v>
      </c>
      <c r="D460" s="2" t="s">
        <v>971</v>
      </c>
      <c r="E460" s="3">
        <v>5.70056378796E11</v>
      </c>
      <c r="F460" s="2" t="s">
        <v>1412</v>
      </c>
      <c r="G460" s="2" t="s">
        <v>12</v>
      </c>
      <c r="H460" s="2" t="s">
        <v>344</v>
      </c>
      <c r="I460" s="2" t="s">
        <v>13</v>
      </c>
      <c r="J460" s="2" t="s">
        <v>14</v>
      </c>
      <c r="K460" s="2" t="s">
        <v>101</v>
      </c>
      <c r="L460" s="2"/>
    </row>
    <row r="461" ht="15.75" customHeight="1">
      <c r="A461" s="3">
        <v>459.0</v>
      </c>
      <c r="B461" s="2" t="s">
        <v>1413</v>
      </c>
      <c r="C461" s="2" t="s">
        <v>1414</v>
      </c>
      <c r="D461" s="2" t="s">
        <v>1415</v>
      </c>
      <c r="E461" s="3">
        <v>5.70056378799E11</v>
      </c>
      <c r="F461" s="2" t="s">
        <v>1416</v>
      </c>
      <c r="G461" s="2" t="s">
        <v>12</v>
      </c>
      <c r="H461" s="2" t="s">
        <v>286</v>
      </c>
      <c r="I461" s="2" t="s">
        <v>411</v>
      </c>
      <c r="J461" s="2" t="s">
        <v>14</v>
      </c>
      <c r="K461" s="2" t="s">
        <v>101</v>
      </c>
      <c r="L461" s="2"/>
    </row>
    <row r="462" ht="15.75" customHeight="1">
      <c r="A462" s="3">
        <v>460.0</v>
      </c>
      <c r="B462" s="2" t="s">
        <v>1417</v>
      </c>
      <c r="C462" s="2" t="s">
        <v>1418</v>
      </c>
      <c r="D462" s="2" t="s">
        <v>616</v>
      </c>
      <c r="E462" s="3">
        <v>5.70056378801E11</v>
      </c>
      <c r="F462" s="2" t="s">
        <v>1419</v>
      </c>
      <c r="G462" s="2" t="s">
        <v>12</v>
      </c>
      <c r="H462" s="2" t="s">
        <v>498</v>
      </c>
      <c r="I462" s="2" t="s">
        <v>13</v>
      </c>
      <c r="J462" s="2" t="s">
        <v>14</v>
      </c>
      <c r="K462" s="2" t="s">
        <v>101</v>
      </c>
      <c r="L462" s="2"/>
    </row>
    <row r="463" ht="15.75" customHeight="1">
      <c r="A463" s="3">
        <v>461.0</v>
      </c>
      <c r="B463" s="2" t="s">
        <v>1420</v>
      </c>
      <c r="C463" s="2" t="s">
        <v>1421</v>
      </c>
      <c r="D463" s="2" t="s">
        <v>1422</v>
      </c>
      <c r="E463" s="3">
        <v>5.70056378803E11</v>
      </c>
      <c r="F463" s="2" t="s">
        <v>1423</v>
      </c>
      <c r="G463" s="2" t="s">
        <v>12</v>
      </c>
      <c r="H463" s="2" t="s">
        <v>286</v>
      </c>
      <c r="I463" s="2" t="s">
        <v>13</v>
      </c>
      <c r="J463" s="2" t="s">
        <v>14</v>
      </c>
      <c r="K463" s="2" t="s">
        <v>101</v>
      </c>
      <c r="L463" s="2"/>
    </row>
    <row r="464" ht="15.75" customHeight="1">
      <c r="A464" s="3">
        <v>462.0</v>
      </c>
      <c r="B464" s="2" t="s">
        <v>1393</v>
      </c>
      <c r="C464" s="2" t="s">
        <v>1424</v>
      </c>
      <c r="D464" s="2" t="s">
        <v>1425</v>
      </c>
      <c r="E464" s="3">
        <v>5.70056378804E11</v>
      </c>
      <c r="F464" s="2" t="s">
        <v>1426</v>
      </c>
      <c r="G464" s="2" t="s">
        <v>12</v>
      </c>
      <c r="H464" s="2" t="s">
        <v>498</v>
      </c>
      <c r="I464" s="2" t="s">
        <v>14</v>
      </c>
      <c r="J464" s="2" t="s">
        <v>101</v>
      </c>
      <c r="K464" s="2"/>
      <c r="L464" s="2"/>
    </row>
    <row r="465" ht="15.75" customHeight="1">
      <c r="A465" s="3">
        <v>463.0</v>
      </c>
      <c r="B465" s="2" t="s">
        <v>306</v>
      </c>
      <c r="C465" s="2" t="s">
        <v>1427</v>
      </c>
      <c r="D465" s="2" t="s">
        <v>946</v>
      </c>
      <c r="E465" s="3">
        <v>5.70056378805E11</v>
      </c>
      <c r="F465" s="2" t="s">
        <v>1028</v>
      </c>
      <c r="G465" s="2" t="s">
        <v>12</v>
      </c>
      <c r="H465" s="2" t="s">
        <v>498</v>
      </c>
      <c r="I465" s="2" t="s">
        <v>13</v>
      </c>
      <c r="J465" s="2" t="s">
        <v>14</v>
      </c>
      <c r="K465" s="2" t="s">
        <v>101</v>
      </c>
      <c r="L465" s="2"/>
    </row>
    <row r="466" ht="15.75" customHeight="1">
      <c r="A466" s="3">
        <v>464.0</v>
      </c>
      <c r="B466" s="2" t="s">
        <v>676</v>
      </c>
      <c r="C466" s="2" t="s">
        <v>1428</v>
      </c>
      <c r="D466" s="2" t="s">
        <v>1429</v>
      </c>
      <c r="E466" s="5">
        <v>5.70056378806E11</v>
      </c>
      <c r="F466" s="2" t="s">
        <v>1430</v>
      </c>
      <c r="G466" s="2" t="s">
        <v>12</v>
      </c>
      <c r="H466" s="2" t="s">
        <v>498</v>
      </c>
      <c r="I466" s="2" t="s">
        <v>14</v>
      </c>
      <c r="J466" s="2" t="s">
        <v>101</v>
      </c>
      <c r="K466" s="2"/>
      <c r="L466" s="2"/>
    </row>
    <row r="467" ht="15.75" customHeight="1">
      <c r="A467" s="3">
        <v>465.0</v>
      </c>
      <c r="B467" s="2" t="s">
        <v>1431</v>
      </c>
      <c r="C467" s="2" t="s">
        <v>1432</v>
      </c>
      <c r="D467" s="2" t="s">
        <v>1425</v>
      </c>
      <c r="E467" s="3">
        <v>5.70056378809E11</v>
      </c>
      <c r="F467" s="2" t="s">
        <v>1433</v>
      </c>
      <c r="G467" s="2" t="s">
        <v>12</v>
      </c>
      <c r="H467" s="2" t="s">
        <v>498</v>
      </c>
      <c r="I467" s="2" t="s">
        <v>13</v>
      </c>
      <c r="J467" s="2" t="s">
        <v>14</v>
      </c>
      <c r="K467" s="2" t="s">
        <v>101</v>
      </c>
      <c r="L467" s="2"/>
    </row>
    <row r="468" ht="15.75" customHeight="1">
      <c r="A468" s="3">
        <v>466.0</v>
      </c>
      <c r="B468" s="2" t="s">
        <v>514</v>
      </c>
      <c r="C468" s="2" t="s">
        <v>226</v>
      </c>
      <c r="D468" s="2" t="s">
        <v>222</v>
      </c>
      <c r="E468" s="3">
        <v>5.70056378811E11</v>
      </c>
      <c r="F468" s="2" t="s">
        <v>1434</v>
      </c>
      <c r="G468" s="2" t="s">
        <v>12</v>
      </c>
      <c r="H468" s="2" t="s">
        <v>498</v>
      </c>
      <c r="I468" s="2" t="s">
        <v>14</v>
      </c>
      <c r="J468" s="2" t="s">
        <v>101</v>
      </c>
      <c r="K468" s="2"/>
      <c r="L468" s="2"/>
    </row>
    <row r="469" ht="15.75" customHeight="1">
      <c r="A469" s="3">
        <v>467.0</v>
      </c>
      <c r="B469" s="2" t="s">
        <v>1255</v>
      </c>
      <c r="C469" s="2" t="s">
        <v>1163</v>
      </c>
      <c r="D469" s="2" t="s">
        <v>1198</v>
      </c>
      <c r="E469" s="3">
        <v>5.70056378812E11</v>
      </c>
      <c r="F469" s="2" t="s">
        <v>1435</v>
      </c>
      <c r="G469" s="2" t="s">
        <v>12</v>
      </c>
      <c r="H469" s="2" t="s">
        <v>498</v>
      </c>
      <c r="I469" s="2" t="s">
        <v>13</v>
      </c>
      <c r="J469" s="2" t="s">
        <v>14</v>
      </c>
      <c r="K469" s="2" t="s">
        <v>101</v>
      </c>
      <c r="L469" s="2"/>
    </row>
    <row r="470" ht="15.75" customHeight="1">
      <c r="A470" s="3">
        <v>468.0</v>
      </c>
      <c r="B470" s="4" t="s">
        <v>1436</v>
      </c>
      <c r="C470" s="2" t="s">
        <v>1437</v>
      </c>
      <c r="D470" s="2" t="s">
        <v>768</v>
      </c>
      <c r="E470" s="3">
        <v>5.70056378817E11</v>
      </c>
      <c r="F470" s="2" t="s">
        <v>167</v>
      </c>
      <c r="G470" s="2" t="s">
        <v>12</v>
      </c>
      <c r="H470" s="2" t="s">
        <v>498</v>
      </c>
      <c r="I470" s="2" t="s">
        <v>13</v>
      </c>
      <c r="J470" s="2" t="s">
        <v>14</v>
      </c>
      <c r="K470" s="2" t="s">
        <v>101</v>
      </c>
      <c r="L470" s="2"/>
    </row>
    <row r="471" ht="15.75" customHeight="1">
      <c r="A471" s="3">
        <v>469.0</v>
      </c>
      <c r="B471" s="2" t="s">
        <v>1438</v>
      </c>
      <c r="C471" s="2" t="s">
        <v>1439</v>
      </c>
      <c r="D471" s="2" t="s">
        <v>308</v>
      </c>
      <c r="E471" s="5">
        <v>5.70056378818E11</v>
      </c>
      <c r="F471" s="2" t="s">
        <v>1440</v>
      </c>
      <c r="G471" s="2" t="s">
        <v>12</v>
      </c>
      <c r="H471" s="2" t="s">
        <v>498</v>
      </c>
      <c r="I471" s="2" t="s">
        <v>13</v>
      </c>
      <c r="J471" s="2" t="s">
        <v>14</v>
      </c>
      <c r="K471" s="2" t="s">
        <v>101</v>
      </c>
      <c r="L471" s="2"/>
    </row>
    <row r="472" ht="15.75" customHeight="1">
      <c r="A472" s="3">
        <v>470.0</v>
      </c>
      <c r="B472" s="2" t="s">
        <v>1441</v>
      </c>
      <c r="C472" s="2" t="s">
        <v>924</v>
      </c>
      <c r="D472" s="2" t="s">
        <v>1442</v>
      </c>
      <c r="E472" s="3">
        <v>5.7005637882E11</v>
      </c>
      <c r="F472" s="2" t="s">
        <v>1443</v>
      </c>
      <c r="G472" s="2" t="s">
        <v>12</v>
      </c>
      <c r="H472" s="2" t="s">
        <v>498</v>
      </c>
      <c r="I472" s="2" t="s">
        <v>13</v>
      </c>
      <c r="J472" s="2" t="s">
        <v>14</v>
      </c>
      <c r="K472" s="2" t="s">
        <v>101</v>
      </c>
      <c r="L472" s="2"/>
    </row>
    <row r="473" ht="15.75" customHeight="1">
      <c r="A473" s="3">
        <v>471.0</v>
      </c>
      <c r="B473" s="2" t="s">
        <v>106</v>
      </c>
      <c r="C473" s="2" t="s">
        <v>1444</v>
      </c>
      <c r="D473" s="2" t="s">
        <v>791</v>
      </c>
      <c r="E473" s="3">
        <v>5.70056378821E11</v>
      </c>
      <c r="F473" s="2" t="s">
        <v>1445</v>
      </c>
      <c r="G473" s="2" t="s">
        <v>12</v>
      </c>
      <c r="H473" s="2" t="s">
        <v>498</v>
      </c>
      <c r="I473" s="2" t="s">
        <v>13</v>
      </c>
      <c r="J473" s="2" t="s">
        <v>14</v>
      </c>
      <c r="K473" s="2" t="s">
        <v>101</v>
      </c>
      <c r="L473" s="2"/>
    </row>
    <row r="474" ht="15.75" customHeight="1">
      <c r="A474" s="3">
        <v>472.0</v>
      </c>
      <c r="B474" s="2" t="s">
        <v>1446</v>
      </c>
      <c r="C474" s="2" t="s">
        <v>1447</v>
      </c>
      <c r="D474" s="2" t="s">
        <v>1448</v>
      </c>
      <c r="E474" s="3">
        <v>5.70056378825E11</v>
      </c>
      <c r="F474" s="2" t="s">
        <v>1449</v>
      </c>
      <c r="G474" s="2" t="s">
        <v>12</v>
      </c>
      <c r="H474" s="2" t="s">
        <v>498</v>
      </c>
      <c r="I474" s="2" t="s">
        <v>14</v>
      </c>
      <c r="J474" s="2" t="s">
        <v>101</v>
      </c>
      <c r="K474" s="2"/>
      <c r="L474" s="2"/>
    </row>
    <row r="475" ht="15.75" customHeight="1">
      <c r="A475" s="3">
        <v>473.0</v>
      </c>
      <c r="B475" s="2" t="s">
        <v>1450</v>
      </c>
      <c r="C475" s="2" t="s">
        <v>1451</v>
      </c>
      <c r="D475" s="2" t="s">
        <v>692</v>
      </c>
      <c r="E475" s="3">
        <v>5.70056378839E11</v>
      </c>
      <c r="F475" s="2" t="s">
        <v>1452</v>
      </c>
      <c r="G475" s="2" t="s">
        <v>12</v>
      </c>
      <c r="H475" s="2" t="s">
        <v>498</v>
      </c>
      <c r="I475" s="2" t="s">
        <v>13</v>
      </c>
      <c r="J475" s="2" t="s">
        <v>14</v>
      </c>
      <c r="K475" s="2" t="s">
        <v>101</v>
      </c>
      <c r="L475" s="2"/>
    </row>
    <row r="476" ht="15.75" customHeight="1">
      <c r="A476" s="3">
        <v>474.0</v>
      </c>
      <c r="B476" s="2" t="s">
        <v>287</v>
      </c>
      <c r="C476" s="2" t="s">
        <v>1453</v>
      </c>
      <c r="D476" s="2" t="s">
        <v>1454</v>
      </c>
      <c r="E476" s="5">
        <v>5.70056378841E11</v>
      </c>
      <c r="F476" s="2" t="s">
        <v>1455</v>
      </c>
      <c r="G476" s="2" t="s">
        <v>12</v>
      </c>
      <c r="H476" s="2" t="s">
        <v>498</v>
      </c>
      <c r="I476" s="2" t="s">
        <v>14</v>
      </c>
      <c r="J476" s="2" t="s">
        <v>101</v>
      </c>
      <c r="K476" s="2"/>
      <c r="L476" s="2"/>
    </row>
    <row r="477" ht="15.75" customHeight="1">
      <c r="A477" s="3">
        <v>475.0</v>
      </c>
      <c r="B477" s="2" t="s">
        <v>162</v>
      </c>
      <c r="C477" s="2" t="s">
        <v>1456</v>
      </c>
      <c r="D477" s="2" t="s">
        <v>1457</v>
      </c>
      <c r="E477" s="3">
        <v>5.70056378843E11</v>
      </c>
      <c r="F477" s="2" t="s">
        <v>1458</v>
      </c>
      <c r="G477" s="2" t="s">
        <v>12</v>
      </c>
      <c r="H477" s="2" t="s">
        <v>498</v>
      </c>
      <c r="I477" s="2" t="s">
        <v>13</v>
      </c>
      <c r="J477" s="2" t="s">
        <v>14</v>
      </c>
      <c r="K477" s="2" t="s">
        <v>101</v>
      </c>
      <c r="L477" s="2"/>
    </row>
    <row r="478" ht="15.75" customHeight="1">
      <c r="A478" s="3">
        <v>476.0</v>
      </c>
      <c r="B478" s="2" t="s">
        <v>1459</v>
      </c>
      <c r="C478" s="2" t="s">
        <v>1460</v>
      </c>
      <c r="D478" s="2" t="s">
        <v>1097</v>
      </c>
      <c r="E478" s="3">
        <v>5.70056378844E11</v>
      </c>
      <c r="F478" s="2" t="s">
        <v>1461</v>
      </c>
      <c r="G478" s="2" t="s">
        <v>12</v>
      </c>
      <c r="H478" s="2" t="s">
        <v>13</v>
      </c>
      <c r="I478" s="2" t="s">
        <v>14</v>
      </c>
      <c r="J478" s="2" t="s">
        <v>101</v>
      </c>
      <c r="K478" s="2"/>
      <c r="L478" s="2"/>
    </row>
    <row r="479" ht="15.75" customHeight="1">
      <c r="A479" s="3">
        <v>477.0</v>
      </c>
      <c r="B479" s="2" t="s">
        <v>1462</v>
      </c>
      <c r="C479" s="2" t="s">
        <v>1463</v>
      </c>
      <c r="D479" s="2" t="s">
        <v>1464</v>
      </c>
      <c r="E479" s="3">
        <v>5.70056378846E11</v>
      </c>
      <c r="F479" s="2" t="s">
        <v>1465</v>
      </c>
      <c r="G479" s="2" t="s">
        <v>12</v>
      </c>
      <c r="H479" s="2" t="s">
        <v>498</v>
      </c>
      <c r="I479" s="2" t="s">
        <v>13</v>
      </c>
      <c r="J479" s="2" t="s">
        <v>14</v>
      </c>
      <c r="K479" s="2" t="s">
        <v>101</v>
      </c>
      <c r="L479" s="2"/>
    </row>
    <row r="480" ht="15.75" customHeight="1">
      <c r="A480" s="3">
        <v>478.0</v>
      </c>
      <c r="B480" s="2" t="s">
        <v>1454</v>
      </c>
      <c r="C480" s="2" t="s">
        <v>1466</v>
      </c>
      <c r="D480" s="2" t="s">
        <v>1467</v>
      </c>
      <c r="E480" s="3">
        <v>5.70056378848E11</v>
      </c>
      <c r="F480" s="2" t="s">
        <v>1468</v>
      </c>
      <c r="G480" s="2" t="s">
        <v>12</v>
      </c>
      <c r="H480" s="2" t="s">
        <v>498</v>
      </c>
      <c r="I480" s="2" t="s">
        <v>13</v>
      </c>
      <c r="J480" s="2" t="s">
        <v>14</v>
      </c>
      <c r="K480" s="2" t="s">
        <v>101</v>
      </c>
      <c r="L480" s="2"/>
    </row>
    <row r="481" ht="15.75" customHeight="1">
      <c r="A481" s="3">
        <v>479.0</v>
      </c>
      <c r="B481" s="2" t="s">
        <v>1469</v>
      </c>
      <c r="C481" s="2" t="s">
        <v>1250</v>
      </c>
      <c r="D481" s="2" t="s">
        <v>768</v>
      </c>
      <c r="E481" s="3">
        <v>5.70056378849E11</v>
      </c>
      <c r="F481" s="2" t="s">
        <v>1470</v>
      </c>
      <c r="G481" s="2" t="s">
        <v>12</v>
      </c>
      <c r="H481" s="2" t="s">
        <v>498</v>
      </c>
      <c r="I481" s="2" t="s">
        <v>14</v>
      </c>
      <c r="J481" s="2" t="s">
        <v>101</v>
      </c>
      <c r="K481" s="2"/>
      <c r="L481" s="2"/>
    </row>
    <row r="482" ht="15.75" customHeight="1">
      <c r="A482" s="3">
        <v>480.0</v>
      </c>
      <c r="B482" s="2" t="s">
        <v>898</v>
      </c>
      <c r="C482" s="2" t="s">
        <v>1471</v>
      </c>
      <c r="D482" s="2" t="s">
        <v>1472</v>
      </c>
      <c r="E482" s="3">
        <v>5.7005637885E11</v>
      </c>
      <c r="F482" s="2" t="s">
        <v>1473</v>
      </c>
      <c r="G482" s="2" t="s">
        <v>12</v>
      </c>
      <c r="H482" s="2" t="s">
        <v>498</v>
      </c>
      <c r="I482" s="2" t="s">
        <v>13</v>
      </c>
      <c r="J482" s="2" t="s">
        <v>14</v>
      </c>
      <c r="K482" s="2" t="s">
        <v>101</v>
      </c>
      <c r="L482" s="2"/>
    </row>
    <row r="483" ht="15.75" customHeight="1">
      <c r="A483" s="3">
        <v>481.0</v>
      </c>
      <c r="B483" s="2" t="s">
        <v>122</v>
      </c>
      <c r="C483" s="2" t="s">
        <v>1474</v>
      </c>
      <c r="D483" s="2" t="s">
        <v>1475</v>
      </c>
      <c r="E483" s="3">
        <v>5.70056378851E11</v>
      </c>
      <c r="F483" s="2" t="s">
        <v>1476</v>
      </c>
      <c r="G483" s="2" t="s">
        <v>12</v>
      </c>
      <c r="H483" s="2" t="s">
        <v>498</v>
      </c>
      <c r="I483" s="2" t="s">
        <v>13</v>
      </c>
      <c r="J483" s="2" t="s">
        <v>14</v>
      </c>
      <c r="K483" s="2" t="s">
        <v>101</v>
      </c>
      <c r="L483" s="2"/>
    </row>
    <row r="484" ht="15.75" customHeight="1">
      <c r="A484" s="3">
        <v>482.0</v>
      </c>
      <c r="B484" s="2" t="s">
        <v>1475</v>
      </c>
      <c r="C484" s="2" t="s">
        <v>1477</v>
      </c>
      <c r="D484" s="2" t="s">
        <v>1478</v>
      </c>
      <c r="E484" s="3">
        <v>5.70056378853E11</v>
      </c>
      <c r="F484" s="2" t="s">
        <v>1479</v>
      </c>
      <c r="G484" s="2" t="s">
        <v>12</v>
      </c>
      <c r="H484" s="2" t="s">
        <v>498</v>
      </c>
      <c r="I484" s="2" t="s">
        <v>13</v>
      </c>
      <c r="J484" s="2" t="s">
        <v>14</v>
      </c>
      <c r="K484" s="2" t="s">
        <v>101</v>
      </c>
      <c r="L484" s="2"/>
    </row>
    <row r="485" ht="15.75" customHeight="1">
      <c r="A485" s="3">
        <v>483.0</v>
      </c>
      <c r="B485" s="2" t="s">
        <v>227</v>
      </c>
      <c r="C485" s="2" t="s">
        <v>1480</v>
      </c>
      <c r="D485" s="2" t="s">
        <v>685</v>
      </c>
      <c r="E485" s="5">
        <v>5.70056378854E11</v>
      </c>
      <c r="F485" s="2" t="s">
        <v>1481</v>
      </c>
      <c r="G485" s="2" t="s">
        <v>12</v>
      </c>
      <c r="H485" s="2" t="s">
        <v>498</v>
      </c>
      <c r="I485" s="2" t="s">
        <v>14</v>
      </c>
      <c r="J485" s="2" t="s">
        <v>101</v>
      </c>
      <c r="K485" s="2"/>
      <c r="L485" s="2"/>
    </row>
    <row r="486" ht="15.75" customHeight="1">
      <c r="A486" s="3">
        <v>484.0</v>
      </c>
      <c r="B486" s="2" t="s">
        <v>1482</v>
      </c>
      <c r="C486" s="2" t="s">
        <v>1483</v>
      </c>
      <c r="D486" s="2" t="s">
        <v>1484</v>
      </c>
      <c r="E486" s="3">
        <v>5.70056378855E11</v>
      </c>
      <c r="F486" s="2" t="s">
        <v>1485</v>
      </c>
      <c r="G486" s="2" t="s">
        <v>12</v>
      </c>
      <c r="H486" s="2" t="s">
        <v>498</v>
      </c>
      <c r="I486" s="2" t="s">
        <v>13</v>
      </c>
      <c r="J486" s="2" t="s">
        <v>14</v>
      </c>
      <c r="K486" s="2" t="s">
        <v>101</v>
      </c>
      <c r="L486" s="2"/>
    </row>
    <row r="487" ht="15.75" customHeight="1">
      <c r="A487" s="3">
        <v>485.0</v>
      </c>
      <c r="B487" s="2" t="s">
        <v>102</v>
      </c>
      <c r="C487" s="2" t="s">
        <v>571</v>
      </c>
      <c r="D487" s="2" t="s">
        <v>1486</v>
      </c>
      <c r="E487" s="3">
        <v>5.70056378857E11</v>
      </c>
      <c r="F487" s="2" t="s">
        <v>1487</v>
      </c>
      <c r="G487" s="2" t="s">
        <v>12</v>
      </c>
      <c r="H487" s="2" t="s">
        <v>498</v>
      </c>
      <c r="I487" s="2" t="s">
        <v>13</v>
      </c>
      <c r="J487" s="2" t="s">
        <v>14</v>
      </c>
      <c r="K487" s="2" t="s">
        <v>101</v>
      </c>
      <c r="L487" s="2"/>
    </row>
    <row r="488" ht="15.75" customHeight="1">
      <c r="A488" s="3">
        <v>486.0</v>
      </c>
      <c r="B488" s="2" t="s">
        <v>1488</v>
      </c>
      <c r="C488" s="2" t="s">
        <v>1489</v>
      </c>
      <c r="D488" s="2" t="s">
        <v>1490</v>
      </c>
      <c r="E488" s="3">
        <v>5.70056378859E11</v>
      </c>
      <c r="F488" s="2" t="s">
        <v>1491</v>
      </c>
      <c r="G488" s="2" t="s">
        <v>12</v>
      </c>
      <c r="H488" s="2" t="s">
        <v>498</v>
      </c>
      <c r="I488" s="2" t="s">
        <v>14</v>
      </c>
      <c r="J488" s="2" t="s">
        <v>101</v>
      </c>
      <c r="K488" s="2"/>
      <c r="L488" s="2"/>
    </row>
    <row r="489" ht="15.75" customHeight="1">
      <c r="A489" s="3">
        <v>487.0</v>
      </c>
      <c r="B489" s="2" t="s">
        <v>1255</v>
      </c>
      <c r="C489" s="2" t="s">
        <v>1492</v>
      </c>
      <c r="D489" s="2" t="s">
        <v>1493</v>
      </c>
      <c r="E489" s="3">
        <v>5.7005637886E11</v>
      </c>
      <c r="F489" s="2" t="s">
        <v>1494</v>
      </c>
      <c r="G489" s="2" t="s">
        <v>12</v>
      </c>
      <c r="H489" s="2" t="s">
        <v>498</v>
      </c>
      <c r="I489" s="2" t="s">
        <v>14</v>
      </c>
      <c r="J489" s="2" t="s">
        <v>101</v>
      </c>
      <c r="K489" s="2"/>
      <c r="L489" s="2"/>
    </row>
    <row r="490" ht="15.75" customHeight="1">
      <c r="A490" s="3">
        <v>488.0</v>
      </c>
      <c r="B490" s="2" t="s">
        <v>91</v>
      </c>
      <c r="C490" s="2" t="s">
        <v>1495</v>
      </c>
      <c r="D490" s="2" t="s">
        <v>1496</v>
      </c>
      <c r="E490" s="5">
        <v>5.70056378862E11</v>
      </c>
      <c r="F490" s="2" t="s">
        <v>1497</v>
      </c>
      <c r="G490" s="2" t="s">
        <v>12</v>
      </c>
      <c r="H490" s="2" t="s">
        <v>498</v>
      </c>
      <c r="I490" s="2" t="s">
        <v>13</v>
      </c>
      <c r="J490" s="2" t="s">
        <v>14</v>
      </c>
      <c r="K490" s="2" t="s">
        <v>101</v>
      </c>
      <c r="L490" s="2"/>
    </row>
    <row r="491" ht="15.75" customHeight="1">
      <c r="A491" s="3">
        <v>489.0</v>
      </c>
      <c r="B491" s="2" t="s">
        <v>1498</v>
      </c>
      <c r="C491" s="2" t="s">
        <v>1499</v>
      </c>
      <c r="D491" s="2" t="s">
        <v>81</v>
      </c>
      <c r="E491" s="3">
        <v>5.70056378863E11</v>
      </c>
      <c r="F491" s="2" t="s">
        <v>1500</v>
      </c>
      <c r="G491" s="2" t="s">
        <v>12</v>
      </c>
      <c r="H491" s="2" t="s">
        <v>13</v>
      </c>
      <c r="I491" s="2" t="s">
        <v>14</v>
      </c>
      <c r="J491" s="2" t="s">
        <v>101</v>
      </c>
      <c r="K491" s="2"/>
      <c r="L491" s="2"/>
    </row>
    <row r="492" ht="15.75" customHeight="1">
      <c r="A492" s="3">
        <v>490.0</v>
      </c>
      <c r="B492" s="2" t="s">
        <v>1501</v>
      </c>
      <c r="C492" s="2" t="s">
        <v>509</v>
      </c>
      <c r="D492" s="2" t="s">
        <v>1502</v>
      </c>
      <c r="E492" s="3">
        <v>5.70056378864E11</v>
      </c>
      <c r="F492" s="2" t="s">
        <v>1503</v>
      </c>
      <c r="G492" s="2" t="s">
        <v>12</v>
      </c>
      <c r="H492" s="2" t="s">
        <v>498</v>
      </c>
      <c r="I492" s="2" t="s">
        <v>13</v>
      </c>
      <c r="J492" s="2" t="s">
        <v>14</v>
      </c>
      <c r="K492" s="2" t="s">
        <v>101</v>
      </c>
      <c r="L492" s="2"/>
    </row>
    <row r="493" ht="15.75" customHeight="1">
      <c r="A493" s="3">
        <v>491.0</v>
      </c>
      <c r="B493" s="2" t="s">
        <v>1504</v>
      </c>
      <c r="C493" s="2" t="s">
        <v>1505</v>
      </c>
      <c r="D493" s="2" t="s">
        <v>1506</v>
      </c>
      <c r="E493" s="3">
        <v>5.70056378865E11</v>
      </c>
      <c r="F493" s="2" t="s">
        <v>1507</v>
      </c>
      <c r="G493" s="2" t="s">
        <v>12</v>
      </c>
      <c r="H493" s="2" t="s">
        <v>498</v>
      </c>
      <c r="I493" s="2" t="s">
        <v>13</v>
      </c>
      <c r="J493" s="2" t="s">
        <v>14</v>
      </c>
      <c r="K493" s="2" t="s">
        <v>101</v>
      </c>
      <c r="L493" s="2"/>
    </row>
    <row r="494" ht="15.75" customHeight="1">
      <c r="A494" s="3">
        <v>492.0</v>
      </c>
      <c r="B494" s="2" t="s">
        <v>1508</v>
      </c>
      <c r="C494" s="2" t="s">
        <v>1509</v>
      </c>
      <c r="D494" s="2" t="s">
        <v>1510</v>
      </c>
      <c r="E494" s="3">
        <v>5.70056378868E11</v>
      </c>
      <c r="F494" s="2" t="s">
        <v>1511</v>
      </c>
      <c r="G494" s="2" t="s">
        <v>12</v>
      </c>
      <c r="H494" s="2" t="s">
        <v>498</v>
      </c>
      <c r="I494" s="2" t="s">
        <v>14</v>
      </c>
      <c r="J494" s="2" t="s">
        <v>101</v>
      </c>
      <c r="K494" s="2"/>
      <c r="L494" s="2"/>
    </row>
    <row r="495" ht="15.75" customHeight="1">
      <c r="A495" s="3">
        <v>493.0</v>
      </c>
      <c r="B495" s="2" t="s">
        <v>1512</v>
      </c>
      <c r="C495" s="2" t="s">
        <v>1392</v>
      </c>
      <c r="D495" s="2" t="s">
        <v>1513</v>
      </c>
      <c r="E495" s="3">
        <v>5.70056378869E11</v>
      </c>
      <c r="F495" s="2" t="s">
        <v>1514</v>
      </c>
      <c r="G495" s="2" t="s">
        <v>12</v>
      </c>
      <c r="H495" s="2" t="s">
        <v>498</v>
      </c>
      <c r="I495" s="2" t="s">
        <v>13</v>
      </c>
      <c r="J495" s="2" t="s">
        <v>14</v>
      </c>
      <c r="K495" s="2" t="s">
        <v>101</v>
      </c>
      <c r="L495" s="2"/>
    </row>
    <row r="496" ht="15.75" customHeight="1">
      <c r="A496" s="3">
        <v>494.0</v>
      </c>
      <c r="B496" s="2" t="s">
        <v>1515</v>
      </c>
      <c r="C496" s="2" t="s">
        <v>1516</v>
      </c>
      <c r="D496" s="2" t="s">
        <v>1068</v>
      </c>
      <c r="E496" s="3">
        <v>5.7005637887E11</v>
      </c>
      <c r="F496" s="2" t="s">
        <v>1517</v>
      </c>
      <c r="G496" s="2" t="s">
        <v>12</v>
      </c>
      <c r="H496" s="2" t="s">
        <v>498</v>
      </c>
      <c r="I496" s="2" t="s">
        <v>14</v>
      </c>
      <c r="J496" s="2" t="s">
        <v>101</v>
      </c>
      <c r="K496" s="2"/>
      <c r="L496" s="2"/>
    </row>
    <row r="497" ht="15.75" customHeight="1">
      <c r="A497" s="3">
        <v>495.0</v>
      </c>
      <c r="B497" s="2" t="s">
        <v>192</v>
      </c>
      <c r="C497" s="2" t="s">
        <v>1518</v>
      </c>
      <c r="D497" s="2" t="s">
        <v>1084</v>
      </c>
      <c r="E497" s="3">
        <v>5.70056378871E11</v>
      </c>
      <c r="F497" s="2" t="s">
        <v>1519</v>
      </c>
      <c r="G497" s="2" t="s">
        <v>12</v>
      </c>
      <c r="H497" s="2" t="s">
        <v>498</v>
      </c>
      <c r="I497" s="2" t="s">
        <v>13</v>
      </c>
      <c r="J497" s="2" t="s">
        <v>14</v>
      </c>
      <c r="K497" s="2" t="s">
        <v>101</v>
      </c>
      <c r="L497" s="2"/>
    </row>
    <row r="498" ht="15.75" customHeight="1">
      <c r="A498" s="3">
        <v>496.0</v>
      </c>
      <c r="B498" s="2" t="s">
        <v>1520</v>
      </c>
      <c r="C498" s="2" t="s">
        <v>509</v>
      </c>
      <c r="D498" s="2" t="s">
        <v>1521</v>
      </c>
      <c r="E498" s="3">
        <v>5.70056378873E11</v>
      </c>
      <c r="F498" s="2" t="s">
        <v>1522</v>
      </c>
      <c r="G498" s="2" t="s">
        <v>12</v>
      </c>
      <c r="H498" s="2" t="s">
        <v>498</v>
      </c>
      <c r="I498" s="2" t="s">
        <v>14</v>
      </c>
      <c r="J498" s="2" t="s">
        <v>101</v>
      </c>
      <c r="K498" s="2"/>
      <c r="L498" s="2"/>
    </row>
    <row r="499" ht="15.75" customHeight="1">
      <c r="A499" s="3">
        <v>497.0</v>
      </c>
      <c r="B499" s="2" t="s">
        <v>1523</v>
      </c>
      <c r="C499" s="2" t="s">
        <v>1524</v>
      </c>
      <c r="D499" s="2" t="s">
        <v>679</v>
      </c>
      <c r="E499" s="3">
        <v>5.70056378874E11</v>
      </c>
      <c r="F499" s="2" t="s">
        <v>1525</v>
      </c>
      <c r="G499" s="2" t="s">
        <v>12</v>
      </c>
      <c r="H499" s="2" t="s">
        <v>498</v>
      </c>
      <c r="I499" s="2" t="s">
        <v>13</v>
      </c>
      <c r="J499" s="2" t="s">
        <v>14</v>
      </c>
      <c r="K499" s="2" t="s">
        <v>101</v>
      </c>
      <c r="L499" s="2"/>
    </row>
    <row r="500" ht="15.75" customHeight="1">
      <c r="A500" s="3">
        <v>498.0</v>
      </c>
      <c r="B500" s="2" t="s">
        <v>553</v>
      </c>
      <c r="C500" s="2" t="s">
        <v>1526</v>
      </c>
      <c r="D500" s="2" t="s">
        <v>1527</v>
      </c>
      <c r="E500" s="3">
        <v>5.70056378876E11</v>
      </c>
      <c r="F500" s="2" t="s">
        <v>1528</v>
      </c>
      <c r="G500" s="2" t="s">
        <v>12</v>
      </c>
      <c r="H500" s="2" t="s">
        <v>498</v>
      </c>
      <c r="I500" s="2" t="s">
        <v>14</v>
      </c>
      <c r="J500" s="2" t="s">
        <v>101</v>
      </c>
      <c r="K500" s="2"/>
      <c r="L500" s="2"/>
    </row>
    <row r="501" ht="15.75" customHeight="1">
      <c r="A501" s="3">
        <v>499.0</v>
      </c>
      <c r="B501" s="2" t="s">
        <v>1529</v>
      </c>
      <c r="C501" s="2" t="s">
        <v>1530</v>
      </c>
      <c r="D501" s="2" t="s">
        <v>1119</v>
      </c>
      <c r="E501" s="3">
        <v>5.70056378877E11</v>
      </c>
      <c r="F501" s="2" t="s">
        <v>1531</v>
      </c>
      <c r="G501" s="2" t="s">
        <v>12</v>
      </c>
      <c r="H501" s="2" t="s">
        <v>498</v>
      </c>
      <c r="I501" s="2" t="s">
        <v>14</v>
      </c>
      <c r="J501" s="2" t="s">
        <v>101</v>
      </c>
      <c r="K501" s="2"/>
      <c r="L501" s="2"/>
    </row>
    <row r="502" ht="15.75" customHeight="1">
      <c r="A502" s="3">
        <v>500.0</v>
      </c>
      <c r="B502" s="2" t="s">
        <v>1532</v>
      </c>
      <c r="C502" s="2" t="s">
        <v>1533</v>
      </c>
      <c r="D502" s="2" t="s">
        <v>1059</v>
      </c>
      <c r="E502" s="3">
        <v>5.70056378878E11</v>
      </c>
      <c r="F502" s="2" t="s">
        <v>1534</v>
      </c>
      <c r="G502" s="2" t="s">
        <v>12</v>
      </c>
      <c r="H502" s="2" t="s">
        <v>498</v>
      </c>
      <c r="I502" s="2" t="s">
        <v>13</v>
      </c>
      <c r="J502" s="2" t="s">
        <v>14</v>
      </c>
      <c r="K502" s="2" t="s">
        <v>101</v>
      </c>
      <c r="L502" s="2"/>
    </row>
    <row r="503" ht="15.75" customHeight="1">
      <c r="A503" s="3">
        <v>501.0</v>
      </c>
      <c r="B503" s="2" t="s">
        <v>1535</v>
      </c>
      <c r="C503" s="2" t="s">
        <v>1536</v>
      </c>
      <c r="D503" s="2" t="s">
        <v>112</v>
      </c>
      <c r="E503" s="3">
        <v>5.7005637888E11</v>
      </c>
      <c r="F503" s="2" t="s">
        <v>1537</v>
      </c>
      <c r="G503" s="2" t="s">
        <v>12</v>
      </c>
      <c r="H503" s="2" t="s">
        <v>13</v>
      </c>
      <c r="I503" s="2" t="s">
        <v>14</v>
      </c>
      <c r="J503" s="2" t="s">
        <v>101</v>
      </c>
      <c r="K503" s="2"/>
      <c r="L503" s="2"/>
    </row>
    <row r="504" ht="15.75" customHeight="1">
      <c r="A504" s="3">
        <v>502.0</v>
      </c>
      <c r="B504" s="2" t="s">
        <v>456</v>
      </c>
      <c r="C504" s="2" t="s">
        <v>1538</v>
      </c>
      <c r="D504" s="2" t="s">
        <v>601</v>
      </c>
      <c r="E504" s="3">
        <v>5.70056378881E11</v>
      </c>
      <c r="F504" s="2" t="s">
        <v>1539</v>
      </c>
      <c r="G504" s="2" t="s">
        <v>12</v>
      </c>
      <c r="H504" s="2" t="s">
        <v>498</v>
      </c>
      <c r="I504" s="2" t="s">
        <v>13</v>
      </c>
      <c r="J504" s="2" t="s">
        <v>14</v>
      </c>
      <c r="K504" s="2" t="s">
        <v>101</v>
      </c>
      <c r="L504" s="2"/>
    </row>
    <row r="505" ht="15.75" customHeight="1">
      <c r="A505" s="3">
        <v>503.0</v>
      </c>
      <c r="B505" s="4" t="s">
        <v>1540</v>
      </c>
      <c r="C505" s="2" t="s">
        <v>1541</v>
      </c>
      <c r="D505" s="2" t="s">
        <v>1542</v>
      </c>
      <c r="E505" s="3">
        <v>5.70056378883E11</v>
      </c>
      <c r="F505" s="2" t="s">
        <v>1543</v>
      </c>
      <c r="G505" s="2" t="s">
        <v>12</v>
      </c>
      <c r="H505" s="2" t="s">
        <v>498</v>
      </c>
      <c r="I505" s="2" t="s">
        <v>14</v>
      </c>
      <c r="J505" s="2" t="s">
        <v>101</v>
      </c>
      <c r="K505" s="2"/>
      <c r="L505" s="2"/>
    </row>
    <row r="506" ht="15.75" customHeight="1">
      <c r="A506" s="3">
        <v>504.0</v>
      </c>
      <c r="B506" s="2" t="s">
        <v>1271</v>
      </c>
      <c r="C506" s="2" t="s">
        <v>1544</v>
      </c>
      <c r="D506" s="2" t="s">
        <v>1545</v>
      </c>
      <c r="E506" s="3">
        <v>5.70056378891E11</v>
      </c>
      <c r="F506" s="2" t="s">
        <v>1546</v>
      </c>
      <c r="G506" s="2" t="s">
        <v>12</v>
      </c>
      <c r="H506" s="2" t="s">
        <v>13</v>
      </c>
      <c r="I506" s="2" t="s">
        <v>14</v>
      </c>
      <c r="J506" s="2" t="s">
        <v>101</v>
      </c>
      <c r="K506" s="2"/>
      <c r="L506" s="2"/>
    </row>
    <row r="507" ht="15.75" customHeight="1">
      <c r="A507" s="3">
        <v>505.0</v>
      </c>
      <c r="B507" s="2" t="s">
        <v>1547</v>
      </c>
      <c r="C507" s="2" t="s">
        <v>1548</v>
      </c>
      <c r="D507" s="2" t="s">
        <v>638</v>
      </c>
      <c r="E507" s="3">
        <v>5.70056378893E11</v>
      </c>
      <c r="F507" s="2" t="s">
        <v>1549</v>
      </c>
      <c r="G507" s="2" t="s">
        <v>12</v>
      </c>
      <c r="H507" s="2" t="s">
        <v>498</v>
      </c>
      <c r="I507" s="2" t="s">
        <v>13</v>
      </c>
      <c r="J507" s="2" t="s">
        <v>14</v>
      </c>
      <c r="K507" s="2" t="s">
        <v>101</v>
      </c>
      <c r="L507" s="2"/>
    </row>
    <row r="508" ht="15.75" customHeight="1">
      <c r="A508" s="3">
        <v>506.0</v>
      </c>
      <c r="B508" s="2" t="s">
        <v>973</v>
      </c>
      <c r="C508" s="2" t="s">
        <v>1294</v>
      </c>
      <c r="D508" s="2" t="s">
        <v>1550</v>
      </c>
      <c r="E508" s="3">
        <v>5.70056378894E11</v>
      </c>
      <c r="F508" s="2" t="s">
        <v>1551</v>
      </c>
      <c r="G508" s="2" t="s">
        <v>12</v>
      </c>
      <c r="H508" s="2" t="s">
        <v>498</v>
      </c>
      <c r="I508" s="2" t="s">
        <v>13</v>
      </c>
      <c r="J508" s="2" t="s">
        <v>14</v>
      </c>
      <c r="K508" s="2" t="s">
        <v>101</v>
      </c>
      <c r="L508" s="2"/>
    </row>
    <row r="509" ht="15.75" customHeight="1">
      <c r="A509" s="3">
        <v>507.0</v>
      </c>
      <c r="B509" s="2" t="s">
        <v>1552</v>
      </c>
      <c r="C509" s="2" t="s">
        <v>1315</v>
      </c>
      <c r="D509" s="2" t="s">
        <v>1316</v>
      </c>
      <c r="E509" s="3">
        <v>5.70056378895E11</v>
      </c>
      <c r="F509" s="2" t="s">
        <v>1553</v>
      </c>
      <c r="G509" s="2" t="s">
        <v>12</v>
      </c>
      <c r="H509" s="2" t="s">
        <v>498</v>
      </c>
      <c r="I509" s="2" t="s">
        <v>13</v>
      </c>
      <c r="J509" s="2" t="s">
        <v>14</v>
      </c>
      <c r="K509" s="2" t="s">
        <v>101</v>
      </c>
      <c r="L509" s="2"/>
    </row>
    <row r="510" ht="15.75" customHeight="1">
      <c r="A510" s="3">
        <v>508.0</v>
      </c>
      <c r="B510" s="2" t="s">
        <v>601</v>
      </c>
      <c r="C510" s="2" t="s">
        <v>1524</v>
      </c>
      <c r="D510" s="2" t="s">
        <v>1554</v>
      </c>
      <c r="E510" s="3">
        <v>5.70056378896E11</v>
      </c>
      <c r="F510" s="2" t="s">
        <v>1555</v>
      </c>
      <c r="G510" s="2" t="s">
        <v>12</v>
      </c>
      <c r="H510" s="2" t="s">
        <v>13</v>
      </c>
      <c r="I510" s="2" t="s">
        <v>14</v>
      </c>
      <c r="J510" s="2" t="s">
        <v>101</v>
      </c>
      <c r="K510" s="2"/>
      <c r="L510" s="2"/>
    </row>
    <row r="511" ht="15.75" customHeight="1">
      <c r="A511" s="3">
        <v>509.0</v>
      </c>
      <c r="B511" s="2" t="s">
        <v>108</v>
      </c>
      <c r="C511" s="2" t="s">
        <v>1556</v>
      </c>
      <c r="D511" s="2" t="s">
        <v>1557</v>
      </c>
      <c r="E511" s="3">
        <v>5.70056378901E11</v>
      </c>
      <c r="F511" s="2" t="s">
        <v>962</v>
      </c>
      <c r="G511" s="2" t="s">
        <v>12</v>
      </c>
      <c r="H511" s="2" t="s">
        <v>13</v>
      </c>
      <c r="I511" s="2" t="s">
        <v>14</v>
      </c>
      <c r="J511" s="2" t="s">
        <v>101</v>
      </c>
      <c r="K511" s="2"/>
      <c r="L511" s="2"/>
    </row>
    <row r="512" ht="15.75" customHeight="1">
      <c r="A512" s="3">
        <v>510.0</v>
      </c>
      <c r="B512" s="2" t="s">
        <v>1558</v>
      </c>
      <c r="C512" s="2" t="s">
        <v>1559</v>
      </c>
      <c r="D512" s="2" t="s">
        <v>1560</v>
      </c>
      <c r="E512" s="3">
        <v>5.70056378903E11</v>
      </c>
      <c r="F512" s="2" t="s">
        <v>1561</v>
      </c>
      <c r="G512" s="2" t="s">
        <v>12</v>
      </c>
      <c r="H512" s="2" t="s">
        <v>13</v>
      </c>
      <c r="I512" s="2" t="s">
        <v>14</v>
      </c>
      <c r="J512" s="2" t="s">
        <v>101</v>
      </c>
      <c r="K512" s="2"/>
      <c r="L512" s="2"/>
    </row>
    <row r="513" ht="15.75" customHeight="1">
      <c r="A513" s="3">
        <v>511.0</v>
      </c>
      <c r="B513" s="2" t="s">
        <v>131</v>
      </c>
      <c r="C513" s="2" t="s">
        <v>1562</v>
      </c>
      <c r="D513" s="2" t="s">
        <v>1223</v>
      </c>
      <c r="E513" s="3">
        <v>5.70056378906E11</v>
      </c>
      <c r="F513" s="2" t="s">
        <v>1563</v>
      </c>
      <c r="G513" s="2" t="s">
        <v>12</v>
      </c>
      <c r="H513" s="2" t="s">
        <v>13</v>
      </c>
      <c r="I513" s="2" t="s">
        <v>14</v>
      </c>
      <c r="J513" s="2" t="s">
        <v>101</v>
      </c>
      <c r="K513" s="2"/>
      <c r="L513" s="2"/>
    </row>
    <row r="514" ht="15.75" customHeight="1">
      <c r="A514" s="3">
        <v>512.0</v>
      </c>
      <c r="B514" s="2" t="s">
        <v>26</v>
      </c>
      <c r="C514" s="2" t="s">
        <v>1564</v>
      </c>
      <c r="D514" s="2" t="s">
        <v>1565</v>
      </c>
      <c r="E514" s="3">
        <v>5.70056378907E11</v>
      </c>
      <c r="F514" s="2" t="s">
        <v>1566</v>
      </c>
      <c r="G514" s="2" t="s">
        <v>12</v>
      </c>
      <c r="H514" s="2" t="s">
        <v>13</v>
      </c>
      <c r="I514" s="2" t="s">
        <v>14</v>
      </c>
      <c r="J514" s="2" t="s">
        <v>101</v>
      </c>
      <c r="K514" s="2"/>
      <c r="L514" s="2"/>
    </row>
    <row r="515" ht="15.75" customHeight="1">
      <c r="A515" s="3">
        <v>513.0</v>
      </c>
      <c r="B515" s="2" t="s">
        <v>301</v>
      </c>
      <c r="C515" s="2" t="s">
        <v>1567</v>
      </c>
      <c r="D515" s="2" t="s">
        <v>48</v>
      </c>
      <c r="E515" s="3">
        <v>5.7005637891E11</v>
      </c>
      <c r="F515" s="2" t="s">
        <v>1568</v>
      </c>
      <c r="G515" s="2" t="s">
        <v>12</v>
      </c>
      <c r="H515" s="2" t="s">
        <v>13</v>
      </c>
      <c r="I515" s="2" t="s">
        <v>14</v>
      </c>
      <c r="J515" s="2" t="s">
        <v>101</v>
      </c>
      <c r="K515" s="2"/>
      <c r="L515" s="2"/>
    </row>
    <row r="516" ht="15.75" customHeight="1">
      <c r="A516" s="3">
        <v>514.0</v>
      </c>
      <c r="B516" s="2" t="s">
        <v>91</v>
      </c>
      <c r="C516" s="2" t="s">
        <v>1569</v>
      </c>
      <c r="D516" s="2" t="s">
        <v>1570</v>
      </c>
      <c r="E516" s="3">
        <v>5.70056378911E11</v>
      </c>
      <c r="F516" s="2" t="s">
        <v>1571</v>
      </c>
      <c r="G516" s="2" t="s">
        <v>12</v>
      </c>
      <c r="H516" s="2" t="s">
        <v>13</v>
      </c>
      <c r="I516" s="2" t="s">
        <v>14</v>
      </c>
      <c r="J516" s="2" t="s">
        <v>101</v>
      </c>
      <c r="K516" s="2"/>
      <c r="L516" s="2"/>
    </row>
    <row r="517" ht="15.75" customHeight="1">
      <c r="A517" s="3">
        <v>515.0</v>
      </c>
      <c r="B517" s="2" t="s">
        <v>205</v>
      </c>
      <c r="C517" s="2" t="s">
        <v>1572</v>
      </c>
      <c r="D517" s="2" t="s">
        <v>1573</v>
      </c>
      <c r="E517" s="3">
        <v>5.70056378912E11</v>
      </c>
      <c r="F517" s="2" t="s">
        <v>1574</v>
      </c>
      <c r="G517" s="2" t="s">
        <v>12</v>
      </c>
      <c r="H517" s="2" t="s">
        <v>13</v>
      </c>
      <c r="I517" s="2" t="s">
        <v>14</v>
      </c>
      <c r="J517" s="2" t="s">
        <v>101</v>
      </c>
      <c r="K517" s="2"/>
      <c r="L517" s="2"/>
    </row>
    <row r="518" ht="15.75" customHeight="1">
      <c r="A518" s="3">
        <v>516.0</v>
      </c>
      <c r="B518" s="2" t="s">
        <v>205</v>
      </c>
      <c r="C518" s="2" t="s">
        <v>1575</v>
      </c>
      <c r="D518" s="2" t="s">
        <v>1576</v>
      </c>
      <c r="E518" s="3">
        <v>5.70056378914E11</v>
      </c>
      <c r="F518" s="2" t="s">
        <v>991</v>
      </c>
      <c r="G518" s="2" t="s">
        <v>12</v>
      </c>
      <c r="H518" s="2" t="s">
        <v>13</v>
      </c>
      <c r="I518" s="2" t="s">
        <v>14</v>
      </c>
      <c r="J518" s="2" t="s">
        <v>101</v>
      </c>
      <c r="K518" s="2"/>
      <c r="L518" s="2"/>
    </row>
    <row r="519" ht="15.75" customHeight="1">
      <c r="A519" s="3">
        <v>517.0</v>
      </c>
      <c r="B519" s="2" t="s">
        <v>1577</v>
      </c>
      <c r="C519" s="2" t="s">
        <v>1578</v>
      </c>
      <c r="D519" s="2" t="s">
        <v>582</v>
      </c>
      <c r="E519" s="3">
        <v>5.70056378915E11</v>
      </c>
      <c r="F519" s="2" t="s">
        <v>1579</v>
      </c>
      <c r="G519" s="2" t="s">
        <v>12</v>
      </c>
      <c r="H519" s="2" t="s">
        <v>13</v>
      </c>
      <c r="I519" s="2" t="s">
        <v>14</v>
      </c>
      <c r="J519" s="2" t="s">
        <v>101</v>
      </c>
      <c r="K519" s="2"/>
      <c r="L519" s="2"/>
    </row>
    <row r="520" ht="15.75" customHeight="1">
      <c r="A520" s="3">
        <v>518.0</v>
      </c>
      <c r="B520" s="2" t="s">
        <v>1370</v>
      </c>
      <c r="C520" s="2" t="s">
        <v>1580</v>
      </c>
      <c r="D520" s="2" t="s">
        <v>91</v>
      </c>
      <c r="E520" s="3">
        <v>5.70056378916E11</v>
      </c>
      <c r="F520" s="2" t="s">
        <v>1581</v>
      </c>
      <c r="G520" s="2" t="s">
        <v>12</v>
      </c>
      <c r="H520" s="2" t="s">
        <v>13</v>
      </c>
      <c r="I520" s="2" t="s">
        <v>14</v>
      </c>
      <c r="J520" s="2" t="s">
        <v>101</v>
      </c>
      <c r="K520" s="2"/>
      <c r="L520" s="2"/>
    </row>
    <row r="521" ht="15.75" customHeight="1">
      <c r="A521" s="3">
        <v>519.0</v>
      </c>
      <c r="B521" s="2" t="s">
        <v>1582</v>
      </c>
      <c r="C521" s="2" t="s">
        <v>1583</v>
      </c>
      <c r="D521" s="2" t="s">
        <v>1584</v>
      </c>
      <c r="E521" s="3">
        <v>5.70056378919E11</v>
      </c>
      <c r="F521" s="2" t="s">
        <v>1585</v>
      </c>
      <c r="G521" s="2" t="s">
        <v>12</v>
      </c>
      <c r="H521" s="2" t="s">
        <v>13</v>
      </c>
      <c r="I521" s="2" t="s">
        <v>14</v>
      </c>
      <c r="J521" s="2" t="s">
        <v>101</v>
      </c>
      <c r="K521" s="2"/>
      <c r="L521" s="2"/>
    </row>
    <row r="522" ht="15.75" customHeight="1">
      <c r="A522" s="3">
        <v>520.0</v>
      </c>
      <c r="B522" s="2" t="s">
        <v>1586</v>
      </c>
      <c r="C522" s="2" t="s">
        <v>1134</v>
      </c>
      <c r="D522" s="2" t="s">
        <v>1154</v>
      </c>
      <c r="E522" s="3">
        <v>5.7005637892E11</v>
      </c>
      <c r="F522" s="2" t="s">
        <v>1587</v>
      </c>
      <c r="G522" s="2" t="s">
        <v>12</v>
      </c>
      <c r="H522" s="2" t="s">
        <v>13</v>
      </c>
      <c r="I522" s="2" t="s">
        <v>14</v>
      </c>
      <c r="J522" s="2" t="s">
        <v>101</v>
      </c>
      <c r="K522" s="2"/>
      <c r="L522" s="2"/>
    </row>
    <row r="523" ht="15.75" customHeight="1">
      <c r="A523" s="3">
        <v>521.0</v>
      </c>
      <c r="B523" s="2" t="s">
        <v>227</v>
      </c>
      <c r="C523" s="2" t="s">
        <v>1588</v>
      </c>
      <c r="D523" s="2" t="s">
        <v>1589</v>
      </c>
      <c r="E523" s="3">
        <v>5.70056378921E11</v>
      </c>
      <c r="F523" s="2" t="s">
        <v>1590</v>
      </c>
      <c r="G523" s="2" t="s">
        <v>12</v>
      </c>
      <c r="H523" s="2" t="s">
        <v>13</v>
      </c>
      <c r="I523" s="2" t="s">
        <v>14</v>
      </c>
      <c r="J523" s="2" t="s">
        <v>101</v>
      </c>
      <c r="K523" s="2"/>
      <c r="L523" s="2"/>
    </row>
    <row r="524" ht="15.75" customHeight="1">
      <c r="A524" s="3">
        <v>522.0</v>
      </c>
      <c r="B524" s="2" t="s">
        <v>1591</v>
      </c>
      <c r="C524" s="2" t="s">
        <v>1592</v>
      </c>
      <c r="D524" s="2" t="s">
        <v>1257</v>
      </c>
      <c r="E524" s="3">
        <v>5.70056378922E11</v>
      </c>
      <c r="F524" s="2" t="s">
        <v>1593</v>
      </c>
      <c r="G524" s="2" t="s">
        <v>12</v>
      </c>
      <c r="H524" s="2" t="s">
        <v>13</v>
      </c>
      <c r="I524" s="2" t="s">
        <v>14</v>
      </c>
      <c r="J524" s="2" t="s">
        <v>101</v>
      </c>
      <c r="K524" s="2"/>
      <c r="L524" s="2"/>
    </row>
    <row r="525" ht="15.75" customHeight="1">
      <c r="A525" s="3">
        <v>523.0</v>
      </c>
      <c r="B525" s="2" t="s">
        <v>262</v>
      </c>
      <c r="C525" s="2" t="s">
        <v>1594</v>
      </c>
      <c r="D525" s="2" t="s">
        <v>77</v>
      </c>
      <c r="E525" s="3">
        <v>5.70056378923E11</v>
      </c>
      <c r="F525" s="2" t="s">
        <v>1048</v>
      </c>
      <c r="G525" s="2" t="s">
        <v>12</v>
      </c>
      <c r="H525" s="2" t="s">
        <v>13</v>
      </c>
      <c r="I525" s="2" t="s">
        <v>14</v>
      </c>
      <c r="J525" s="2" t="s">
        <v>101</v>
      </c>
      <c r="K525" s="2"/>
      <c r="L525" s="2"/>
    </row>
    <row r="526" ht="15.75" customHeight="1">
      <c r="A526" s="3">
        <v>524.0</v>
      </c>
      <c r="B526" s="2" t="s">
        <v>1595</v>
      </c>
      <c r="C526" s="2" t="s">
        <v>165</v>
      </c>
      <c r="D526" s="2" t="s">
        <v>988</v>
      </c>
      <c r="E526" s="3">
        <v>5.70056378924E11</v>
      </c>
      <c r="F526" s="2" t="s">
        <v>1248</v>
      </c>
      <c r="G526" s="2" t="s">
        <v>12</v>
      </c>
      <c r="H526" s="2" t="s">
        <v>13</v>
      </c>
      <c r="I526" s="2" t="s">
        <v>14</v>
      </c>
      <c r="J526" s="2" t="s">
        <v>101</v>
      </c>
      <c r="K526" s="2"/>
      <c r="L526" s="2"/>
    </row>
    <row r="527" ht="15.75" customHeight="1">
      <c r="A527" s="3">
        <v>525.0</v>
      </c>
      <c r="B527" s="2" t="s">
        <v>10</v>
      </c>
      <c r="C527" s="2" t="s">
        <v>1596</v>
      </c>
      <c r="D527" s="2" t="s">
        <v>1597</v>
      </c>
      <c r="E527" s="3">
        <v>5.70056378925E11</v>
      </c>
      <c r="F527" s="2" t="s">
        <v>1598</v>
      </c>
      <c r="G527" s="2" t="s">
        <v>12</v>
      </c>
      <c r="H527" s="2" t="s">
        <v>13</v>
      </c>
      <c r="I527" s="2" t="s">
        <v>14</v>
      </c>
      <c r="J527" s="2" t="s">
        <v>101</v>
      </c>
      <c r="K527" s="2"/>
      <c r="L527" s="2"/>
    </row>
    <row r="528" ht="15.75" customHeight="1">
      <c r="A528" s="3">
        <v>526.0</v>
      </c>
      <c r="B528" s="2" t="s">
        <v>77</v>
      </c>
      <c r="C528" s="2" t="s">
        <v>1599</v>
      </c>
      <c r="D528" s="2" t="s">
        <v>1600</v>
      </c>
      <c r="E528" s="3">
        <v>5.70056378926E11</v>
      </c>
      <c r="F528" s="2" t="s">
        <v>1601</v>
      </c>
      <c r="G528" s="2" t="s">
        <v>12</v>
      </c>
      <c r="H528" s="2" t="s">
        <v>13</v>
      </c>
      <c r="I528" s="2" t="s">
        <v>14</v>
      </c>
      <c r="J528" s="2" t="s">
        <v>101</v>
      </c>
      <c r="K528" s="2"/>
      <c r="L528" s="2"/>
    </row>
    <row r="529" ht="15.75" customHeight="1">
      <c r="A529" s="3">
        <v>527.0</v>
      </c>
      <c r="B529" s="2" t="s">
        <v>1602</v>
      </c>
      <c r="C529" s="2" t="s">
        <v>1603</v>
      </c>
      <c r="D529" s="2" t="s">
        <v>893</v>
      </c>
      <c r="E529" s="3">
        <v>5.70056378927E11</v>
      </c>
      <c r="F529" s="2" t="s">
        <v>1604</v>
      </c>
      <c r="G529" s="2" t="s">
        <v>12</v>
      </c>
      <c r="H529" s="2" t="s">
        <v>13</v>
      </c>
      <c r="I529" s="2" t="s">
        <v>14</v>
      </c>
      <c r="J529" s="2" t="s">
        <v>101</v>
      </c>
      <c r="K529" s="2"/>
      <c r="L529" s="2"/>
    </row>
    <row r="530" ht="15.75" customHeight="1">
      <c r="A530" s="3">
        <v>528.0</v>
      </c>
      <c r="B530" s="2" t="s">
        <v>122</v>
      </c>
      <c r="C530" s="2" t="s">
        <v>739</v>
      </c>
      <c r="D530" s="2" t="s">
        <v>205</v>
      </c>
      <c r="E530" s="3">
        <v>5.70056378928E11</v>
      </c>
      <c r="F530" s="2" t="s">
        <v>1605</v>
      </c>
      <c r="G530" s="2" t="s">
        <v>12</v>
      </c>
      <c r="H530" s="2" t="s">
        <v>13</v>
      </c>
      <c r="I530" s="2" t="s">
        <v>14</v>
      </c>
      <c r="J530" s="2" t="s">
        <v>101</v>
      </c>
      <c r="K530" s="2"/>
      <c r="L530" s="2"/>
    </row>
    <row r="531" ht="15.75" customHeight="1">
      <c r="A531" s="3">
        <v>529.0</v>
      </c>
      <c r="B531" s="2" t="s">
        <v>192</v>
      </c>
      <c r="C531" s="2" t="s">
        <v>1606</v>
      </c>
      <c r="D531" s="2" t="s">
        <v>616</v>
      </c>
      <c r="E531" s="5">
        <v>5.7005637893E11</v>
      </c>
      <c r="F531" s="2" t="s">
        <v>1607</v>
      </c>
      <c r="G531" s="2" t="s">
        <v>12</v>
      </c>
      <c r="H531" s="2" t="s">
        <v>13</v>
      </c>
      <c r="I531" s="2" t="s">
        <v>14</v>
      </c>
      <c r="J531" s="2" t="s">
        <v>101</v>
      </c>
      <c r="K531" s="2"/>
      <c r="L531" s="2"/>
    </row>
    <row r="532" ht="15.75" customHeight="1">
      <c r="A532" s="3">
        <v>530.0</v>
      </c>
      <c r="B532" s="2" t="s">
        <v>1608</v>
      </c>
      <c r="C532" s="2" t="s">
        <v>1609</v>
      </c>
      <c r="D532" s="2" t="s">
        <v>66</v>
      </c>
      <c r="E532" s="3">
        <v>5.70056378931E11</v>
      </c>
      <c r="F532" s="2" t="s">
        <v>771</v>
      </c>
      <c r="G532" s="2" t="s">
        <v>12</v>
      </c>
      <c r="H532" s="2" t="s">
        <v>13</v>
      </c>
      <c r="I532" s="2" t="s">
        <v>14</v>
      </c>
      <c r="J532" s="2" t="s">
        <v>101</v>
      </c>
      <c r="K532" s="2"/>
      <c r="L532" s="2"/>
    </row>
    <row r="533" ht="15.75" customHeight="1">
      <c r="A533" s="3">
        <v>531.0</v>
      </c>
      <c r="B533" s="2" t="s">
        <v>944</v>
      </c>
      <c r="C533" s="2" t="s">
        <v>1610</v>
      </c>
      <c r="D533" s="2" t="s">
        <v>1611</v>
      </c>
      <c r="E533" s="3">
        <v>5.70056378933E11</v>
      </c>
      <c r="F533" s="2" t="s">
        <v>1612</v>
      </c>
      <c r="G533" s="2" t="s">
        <v>12</v>
      </c>
      <c r="H533" s="2" t="s">
        <v>13</v>
      </c>
      <c r="I533" s="2" t="s">
        <v>14</v>
      </c>
      <c r="J533" s="2" t="s">
        <v>101</v>
      </c>
      <c r="K533" s="2"/>
      <c r="L533" s="2"/>
    </row>
    <row r="534" ht="15.75" customHeight="1">
      <c r="A534" s="3">
        <v>532.0</v>
      </c>
      <c r="B534" s="2" t="s">
        <v>1613</v>
      </c>
      <c r="C534" s="2" t="s">
        <v>78</v>
      </c>
      <c r="D534" s="2" t="s">
        <v>944</v>
      </c>
      <c r="E534" s="3">
        <v>5.70056378934E11</v>
      </c>
      <c r="F534" s="2" t="s">
        <v>1614</v>
      </c>
      <c r="G534" s="2" t="s">
        <v>1615</v>
      </c>
      <c r="H534" s="2" t="s">
        <v>13</v>
      </c>
      <c r="I534" s="2" t="s">
        <v>14</v>
      </c>
      <c r="J534" s="2" t="s">
        <v>101</v>
      </c>
      <c r="K534" s="2"/>
      <c r="L534" s="2"/>
    </row>
    <row r="535" ht="15.75" customHeight="1">
      <c r="A535" s="3">
        <v>533.0</v>
      </c>
      <c r="B535" s="2" t="s">
        <v>655</v>
      </c>
      <c r="C535" s="2" t="s">
        <v>1616</v>
      </c>
      <c r="D535" s="2" t="s">
        <v>1617</v>
      </c>
      <c r="E535" s="5">
        <v>5.70056378937E11</v>
      </c>
      <c r="F535" s="2" t="s">
        <v>1618</v>
      </c>
      <c r="G535" s="2" t="s">
        <v>12</v>
      </c>
      <c r="H535" s="2" t="s">
        <v>13</v>
      </c>
      <c r="I535" s="2" t="s">
        <v>14</v>
      </c>
      <c r="J535" s="2" t="s">
        <v>101</v>
      </c>
      <c r="K535" s="2"/>
      <c r="L535" s="2"/>
    </row>
    <row r="536" ht="15.75" customHeight="1">
      <c r="A536" s="3">
        <v>534.0</v>
      </c>
      <c r="B536" s="2" t="s">
        <v>1619</v>
      </c>
      <c r="C536" s="2" t="s">
        <v>1620</v>
      </c>
      <c r="D536" s="2" t="s">
        <v>104</v>
      </c>
      <c r="E536" s="3">
        <v>5.70056378939E11</v>
      </c>
      <c r="F536" s="2" t="s">
        <v>1621</v>
      </c>
      <c r="G536" s="2" t="s">
        <v>12</v>
      </c>
      <c r="H536" s="2" t="s">
        <v>13</v>
      </c>
      <c r="I536" s="2" t="s">
        <v>14</v>
      </c>
      <c r="J536" s="2" t="s">
        <v>101</v>
      </c>
      <c r="K536" s="2"/>
      <c r="L536" s="2"/>
    </row>
    <row r="537" ht="15.75" customHeight="1">
      <c r="A537" s="3">
        <v>535.0</v>
      </c>
      <c r="B537" s="2" t="s">
        <v>1622</v>
      </c>
      <c r="C537" s="2" t="s">
        <v>1623</v>
      </c>
      <c r="D537" s="2" t="s">
        <v>179</v>
      </c>
      <c r="E537" s="3">
        <v>5.7005637894E11</v>
      </c>
      <c r="F537" s="2" t="s">
        <v>564</v>
      </c>
      <c r="G537" s="2" t="s">
        <v>12</v>
      </c>
      <c r="H537" s="2" t="s">
        <v>13</v>
      </c>
      <c r="I537" s="2" t="s">
        <v>14</v>
      </c>
      <c r="J537" s="2" t="s">
        <v>101</v>
      </c>
      <c r="K537" s="2"/>
      <c r="L537" s="2"/>
    </row>
    <row r="538" ht="15.75" customHeight="1">
      <c r="A538" s="3">
        <v>536.0</v>
      </c>
      <c r="B538" s="2" t="s">
        <v>640</v>
      </c>
      <c r="C538" s="2" t="s">
        <v>1624</v>
      </c>
      <c r="D538" s="2" t="s">
        <v>1625</v>
      </c>
      <c r="E538" s="3">
        <v>5.70056378941E11</v>
      </c>
      <c r="F538" s="2" t="s">
        <v>1626</v>
      </c>
      <c r="G538" s="2" t="s">
        <v>12</v>
      </c>
      <c r="H538" s="2" t="s">
        <v>13</v>
      </c>
      <c r="I538" s="2" t="s">
        <v>14</v>
      </c>
      <c r="J538" s="2" t="s">
        <v>101</v>
      </c>
      <c r="K538" s="2"/>
      <c r="L538" s="2"/>
    </row>
    <row r="539" ht="15.75" customHeight="1">
      <c r="A539" s="3">
        <v>537.0</v>
      </c>
      <c r="B539" s="2" t="s">
        <v>1520</v>
      </c>
      <c r="C539" s="2" t="s">
        <v>1627</v>
      </c>
      <c r="D539" s="2" t="s">
        <v>1628</v>
      </c>
      <c r="E539" s="3">
        <v>5.70056378943E11</v>
      </c>
      <c r="F539" s="2" t="s">
        <v>1629</v>
      </c>
      <c r="G539" s="2" t="s">
        <v>12</v>
      </c>
      <c r="H539" s="2" t="s">
        <v>13</v>
      </c>
      <c r="I539" s="2" t="s">
        <v>14</v>
      </c>
      <c r="J539" s="2" t="s">
        <v>101</v>
      </c>
      <c r="K539" s="2"/>
      <c r="L539" s="2"/>
    </row>
    <row r="540" ht="15.75" customHeight="1">
      <c r="A540" s="3">
        <v>538.0</v>
      </c>
      <c r="B540" s="2" t="s">
        <v>52</v>
      </c>
      <c r="C540" s="2" t="s">
        <v>1630</v>
      </c>
      <c r="D540" s="2" t="s">
        <v>596</v>
      </c>
      <c r="E540" s="3">
        <v>5.70056378944E11</v>
      </c>
      <c r="F540" s="2" t="s">
        <v>1631</v>
      </c>
      <c r="G540" s="2" t="s">
        <v>12</v>
      </c>
      <c r="H540" s="2" t="s">
        <v>13</v>
      </c>
      <c r="I540" s="2" t="s">
        <v>14</v>
      </c>
      <c r="J540" s="2" t="s">
        <v>101</v>
      </c>
      <c r="K540" s="2"/>
      <c r="L540" s="2"/>
    </row>
    <row r="541" ht="15.75" customHeight="1">
      <c r="A541" s="3">
        <v>539.0</v>
      </c>
      <c r="B541" s="4" t="s">
        <v>256</v>
      </c>
      <c r="C541" s="2" t="s">
        <v>566</v>
      </c>
      <c r="D541" s="2" t="s">
        <v>326</v>
      </c>
      <c r="E541" s="3">
        <v>5.70056378946E11</v>
      </c>
      <c r="F541" s="2" t="s">
        <v>1054</v>
      </c>
      <c r="G541" s="2" t="s">
        <v>12</v>
      </c>
      <c r="H541" s="2" t="s">
        <v>13</v>
      </c>
      <c r="I541" s="2" t="s">
        <v>14</v>
      </c>
      <c r="J541" s="2" t="s">
        <v>101</v>
      </c>
      <c r="K541" s="2"/>
      <c r="L541" s="2"/>
    </row>
    <row r="542" ht="15.75" customHeight="1">
      <c r="A542" s="3">
        <v>540.0</v>
      </c>
      <c r="B542" s="2" t="s">
        <v>1632</v>
      </c>
      <c r="C542" s="2" t="s">
        <v>1633</v>
      </c>
      <c r="D542" s="2" t="s">
        <v>705</v>
      </c>
      <c r="E542" s="3">
        <v>5.70056378947E11</v>
      </c>
      <c r="F542" s="2" t="s">
        <v>1324</v>
      </c>
      <c r="G542" s="2" t="s">
        <v>12</v>
      </c>
      <c r="H542" s="2" t="s">
        <v>13</v>
      </c>
      <c r="I542" s="2" t="s">
        <v>14</v>
      </c>
      <c r="J542" s="2" t="s">
        <v>101</v>
      </c>
      <c r="K542" s="2"/>
      <c r="L542" s="2"/>
    </row>
    <row r="543" ht="15.75" customHeight="1">
      <c r="A543" s="3">
        <v>541.0</v>
      </c>
      <c r="B543" s="2" t="s">
        <v>89</v>
      </c>
      <c r="C543" s="2" t="s">
        <v>1315</v>
      </c>
      <c r="D543" s="2" t="s">
        <v>133</v>
      </c>
      <c r="E543" s="3">
        <v>5.70056378948E11</v>
      </c>
      <c r="F543" s="2" t="s">
        <v>414</v>
      </c>
      <c r="G543" s="2" t="s">
        <v>12</v>
      </c>
      <c r="H543" s="2" t="s">
        <v>13</v>
      </c>
      <c r="I543" s="2" t="s">
        <v>14</v>
      </c>
      <c r="J543" s="2" t="s">
        <v>101</v>
      </c>
      <c r="K543" s="2"/>
      <c r="L543" s="2"/>
    </row>
    <row r="544" ht="15.75" customHeight="1">
      <c r="A544" s="3">
        <v>542.0</v>
      </c>
      <c r="B544" s="4" t="s">
        <v>984</v>
      </c>
      <c r="C544" s="2" t="s">
        <v>1634</v>
      </c>
      <c r="D544" s="2" t="s">
        <v>1040</v>
      </c>
      <c r="E544" s="3">
        <v>5.70056378949E11</v>
      </c>
      <c r="F544" s="2" t="s">
        <v>1635</v>
      </c>
      <c r="G544" s="2" t="s">
        <v>12</v>
      </c>
      <c r="H544" s="2" t="s">
        <v>13</v>
      </c>
      <c r="I544" s="2" t="s">
        <v>14</v>
      </c>
      <c r="J544" s="2" t="s">
        <v>101</v>
      </c>
      <c r="K544" s="2"/>
      <c r="L544" s="2"/>
    </row>
    <row r="545" ht="15.75" customHeight="1">
      <c r="A545" s="3">
        <v>543.0</v>
      </c>
      <c r="B545" s="2" t="s">
        <v>1636</v>
      </c>
      <c r="C545" s="2" t="s">
        <v>1637</v>
      </c>
      <c r="D545" s="2" t="s">
        <v>1638</v>
      </c>
      <c r="E545" s="3">
        <v>5.70056378953E11</v>
      </c>
      <c r="F545" s="2" t="s">
        <v>547</v>
      </c>
      <c r="G545" s="2" t="s">
        <v>12</v>
      </c>
      <c r="H545" s="2" t="s">
        <v>13</v>
      </c>
      <c r="I545" s="2" t="s">
        <v>14</v>
      </c>
      <c r="J545" s="2" t="s">
        <v>101</v>
      </c>
      <c r="K545" s="2"/>
      <c r="L545" s="2"/>
    </row>
    <row r="546" ht="15.75" customHeight="1">
      <c r="A546" s="3">
        <v>544.0</v>
      </c>
      <c r="B546" s="2" t="s">
        <v>195</v>
      </c>
      <c r="C546" s="2" t="s">
        <v>1639</v>
      </c>
      <c r="D546" s="2" t="s">
        <v>1640</v>
      </c>
      <c r="E546" s="3">
        <v>5.70056378962E11</v>
      </c>
      <c r="F546" s="2" t="s">
        <v>1641</v>
      </c>
      <c r="G546" s="2" t="s">
        <v>12</v>
      </c>
      <c r="H546" s="2" t="s">
        <v>13</v>
      </c>
      <c r="I546" s="2" t="s">
        <v>14</v>
      </c>
      <c r="J546" s="2" t="s">
        <v>101</v>
      </c>
      <c r="K546" s="2"/>
      <c r="L546" s="2"/>
    </row>
    <row r="547" ht="15.75" customHeight="1">
      <c r="A547" s="3">
        <v>545.0</v>
      </c>
      <c r="B547" s="2" t="s">
        <v>205</v>
      </c>
      <c r="C547" s="2" t="s">
        <v>1642</v>
      </c>
      <c r="D547" s="2" t="s">
        <v>44</v>
      </c>
      <c r="E547" s="3">
        <v>5.70056378967E11</v>
      </c>
      <c r="F547" s="2" t="s">
        <v>1643</v>
      </c>
      <c r="G547" s="2" t="s">
        <v>12</v>
      </c>
      <c r="H547" s="2" t="s">
        <v>13</v>
      </c>
      <c r="I547" s="2" t="s">
        <v>14</v>
      </c>
      <c r="J547" s="2" t="s">
        <v>101</v>
      </c>
      <c r="K547" s="2"/>
      <c r="L547" s="2"/>
    </row>
    <row r="548" ht="15.75" customHeight="1">
      <c r="A548" s="3">
        <v>546.0</v>
      </c>
      <c r="B548" s="2" t="s">
        <v>1644</v>
      </c>
      <c r="C548" s="2" t="s">
        <v>1645</v>
      </c>
      <c r="D548" s="2" t="s">
        <v>1520</v>
      </c>
      <c r="E548" s="3">
        <v>5.70056378968E11</v>
      </c>
      <c r="F548" s="2" t="s">
        <v>1646</v>
      </c>
      <c r="G548" s="2" t="s">
        <v>12</v>
      </c>
      <c r="H548" s="2" t="s">
        <v>13</v>
      </c>
      <c r="I548" s="2" t="s">
        <v>14</v>
      </c>
      <c r="J548" s="2" t="s">
        <v>101</v>
      </c>
      <c r="K548" s="2"/>
      <c r="L548" s="2"/>
    </row>
    <row r="549" ht="15.75" customHeight="1">
      <c r="A549" s="3">
        <v>547.0</v>
      </c>
      <c r="B549" s="4" t="s">
        <v>1647</v>
      </c>
      <c r="C549" s="2" t="s">
        <v>1648</v>
      </c>
      <c r="D549" s="2" t="s">
        <v>1393</v>
      </c>
      <c r="E549" s="3">
        <v>5.70056378969E11</v>
      </c>
      <c r="F549" s="2" t="s">
        <v>1649</v>
      </c>
      <c r="G549" s="2" t="s">
        <v>12</v>
      </c>
      <c r="H549" s="2" t="s">
        <v>13</v>
      </c>
      <c r="I549" s="2" t="s">
        <v>14</v>
      </c>
      <c r="J549" s="2" t="s">
        <v>101</v>
      </c>
      <c r="K549" s="2"/>
      <c r="L549" s="2"/>
    </row>
    <row r="550" ht="15.75" customHeight="1">
      <c r="A550" s="3">
        <v>548.0</v>
      </c>
      <c r="B550" s="2" t="s">
        <v>388</v>
      </c>
      <c r="C550" s="2" t="s">
        <v>1650</v>
      </c>
      <c r="D550" s="2" t="s">
        <v>939</v>
      </c>
      <c r="E550" s="3">
        <v>5.70056378971E11</v>
      </c>
      <c r="F550" s="2" t="s">
        <v>1651</v>
      </c>
      <c r="G550" s="2" t="s">
        <v>12</v>
      </c>
      <c r="H550" s="2" t="s">
        <v>13</v>
      </c>
      <c r="I550" s="2" t="s">
        <v>14</v>
      </c>
      <c r="J550" s="2" t="s">
        <v>101</v>
      </c>
      <c r="K550" s="2"/>
      <c r="L550" s="2"/>
    </row>
    <row r="551" ht="15.75" customHeight="1">
      <c r="A551" s="3">
        <v>549.0</v>
      </c>
      <c r="B551" s="2" t="s">
        <v>52</v>
      </c>
      <c r="C551" s="2" t="s">
        <v>348</v>
      </c>
      <c r="D551" s="2" t="s">
        <v>1652</v>
      </c>
      <c r="E551" s="5">
        <v>5.70056378973E11</v>
      </c>
      <c r="F551" s="2" t="s">
        <v>1653</v>
      </c>
      <c r="G551" s="2" t="s">
        <v>12</v>
      </c>
      <c r="H551" s="2" t="s">
        <v>13</v>
      </c>
      <c r="I551" s="2" t="s">
        <v>14</v>
      </c>
      <c r="J551" s="2" t="s">
        <v>101</v>
      </c>
      <c r="K551" s="2"/>
      <c r="L551" s="2"/>
    </row>
    <row r="552" ht="15.75" customHeight="1">
      <c r="A552" s="3">
        <v>550.0</v>
      </c>
      <c r="B552" s="2" t="s">
        <v>1654</v>
      </c>
      <c r="C552" s="2" t="s">
        <v>1655</v>
      </c>
      <c r="D552" s="2" t="s">
        <v>1656</v>
      </c>
      <c r="E552" s="3">
        <v>5.70056378974E11</v>
      </c>
      <c r="F552" s="2" t="s">
        <v>1657</v>
      </c>
      <c r="G552" s="2" t="s">
        <v>12</v>
      </c>
      <c r="H552" s="2" t="s">
        <v>13</v>
      </c>
      <c r="I552" s="2" t="s">
        <v>14</v>
      </c>
      <c r="J552" s="2" t="s">
        <v>101</v>
      </c>
      <c r="K552" s="2"/>
      <c r="L552" s="2"/>
    </row>
    <row r="553" ht="15.75" customHeight="1">
      <c r="A553" s="3">
        <v>551.0</v>
      </c>
      <c r="B553" s="2" t="s">
        <v>203</v>
      </c>
      <c r="C553" s="2" t="s">
        <v>1658</v>
      </c>
      <c r="D553" s="2" t="s">
        <v>1659</v>
      </c>
      <c r="E553" s="3">
        <v>5.70056378975E11</v>
      </c>
      <c r="F553" s="2" t="s">
        <v>1660</v>
      </c>
      <c r="G553" s="2" t="s">
        <v>12</v>
      </c>
      <c r="H553" s="2" t="s">
        <v>13</v>
      </c>
      <c r="I553" s="2" t="s">
        <v>14</v>
      </c>
      <c r="J553" s="2" t="s">
        <v>101</v>
      </c>
      <c r="K553" s="2"/>
      <c r="L553" s="2"/>
    </row>
    <row r="554" ht="15.75" customHeight="1">
      <c r="A554" s="3">
        <v>552.0</v>
      </c>
      <c r="B554" s="2" t="s">
        <v>1661</v>
      </c>
      <c r="C554" s="2" t="s">
        <v>1662</v>
      </c>
      <c r="D554" s="2" t="s">
        <v>48</v>
      </c>
      <c r="E554" s="3">
        <v>5.70056378976E11</v>
      </c>
      <c r="F554" s="2" t="s">
        <v>1663</v>
      </c>
      <c r="G554" s="2" t="s">
        <v>12</v>
      </c>
      <c r="H554" s="7" t="s">
        <v>1664</v>
      </c>
      <c r="I554" s="2"/>
      <c r="J554" s="2"/>
      <c r="K554" s="2"/>
      <c r="L554" s="2"/>
    </row>
    <row r="555" ht="15.75" customHeight="1">
      <c r="A555" s="3">
        <v>553.0</v>
      </c>
      <c r="B555" s="2" t="s">
        <v>1665</v>
      </c>
      <c r="C555" s="2" t="s">
        <v>1666</v>
      </c>
      <c r="D555" s="2" t="s">
        <v>1619</v>
      </c>
      <c r="E555" s="3">
        <v>5.70056378978E11</v>
      </c>
      <c r="F555" s="2" t="s">
        <v>1667</v>
      </c>
      <c r="G555" s="2" t="s">
        <v>12</v>
      </c>
      <c r="H555" s="7" t="s">
        <v>1664</v>
      </c>
      <c r="I555" s="2"/>
      <c r="J555" s="2"/>
      <c r="K555" s="2"/>
      <c r="L555" s="2"/>
    </row>
    <row r="556" ht="15.75" customHeight="1">
      <c r="A556" s="3">
        <v>554.0</v>
      </c>
      <c r="B556" s="2" t="s">
        <v>1668</v>
      </c>
      <c r="C556" s="2" t="s">
        <v>1669</v>
      </c>
      <c r="D556" s="2" t="s">
        <v>1670</v>
      </c>
      <c r="E556" s="3">
        <v>5.70056378982E11</v>
      </c>
      <c r="F556" s="2" t="s">
        <v>1671</v>
      </c>
      <c r="G556" s="2" t="s">
        <v>12</v>
      </c>
      <c r="H556" s="7" t="s">
        <v>1672</v>
      </c>
      <c r="I556" s="2"/>
      <c r="J556" s="2"/>
      <c r="K556" s="2"/>
      <c r="L556" s="2"/>
    </row>
    <row r="557" ht="15.75" customHeight="1">
      <c r="A557" s="8">
        <v>555.0</v>
      </c>
      <c r="B557" s="2"/>
      <c r="C557" s="2"/>
      <c r="D557" s="2"/>
      <c r="E557" s="3"/>
      <c r="F557" s="2"/>
      <c r="G557" s="2"/>
      <c r="H557" s="7"/>
      <c r="I557" s="2"/>
      <c r="J557" s="2"/>
      <c r="K557" s="2"/>
      <c r="L557" s="2"/>
    </row>
    <row r="558" ht="15.75" customHeight="1">
      <c r="A558" s="3">
        <v>556.0</v>
      </c>
      <c r="B558" s="2" t="s">
        <v>1673</v>
      </c>
      <c r="C558" s="2" t="s">
        <v>1674</v>
      </c>
      <c r="D558" s="2" t="s">
        <v>1675</v>
      </c>
      <c r="E558" s="3">
        <v>5.70056378984E11</v>
      </c>
      <c r="F558" s="2" t="s">
        <v>1676</v>
      </c>
      <c r="G558" s="2" t="s">
        <v>12</v>
      </c>
      <c r="H558" s="7" t="s">
        <v>1664</v>
      </c>
      <c r="I558" s="2"/>
      <c r="J558" s="2"/>
      <c r="K558" s="2"/>
      <c r="L558" s="2"/>
    </row>
    <row r="559" ht="15.75" customHeight="1">
      <c r="A559" s="3">
        <v>557.0</v>
      </c>
      <c r="B559" s="2" t="s">
        <v>328</v>
      </c>
      <c r="C559" s="2" t="s">
        <v>1677</v>
      </c>
      <c r="D559" s="2" t="s">
        <v>1678</v>
      </c>
      <c r="E559" s="3">
        <v>5.70056378985E11</v>
      </c>
      <c r="F559" s="2" t="s">
        <v>1679</v>
      </c>
      <c r="G559" s="2" t="s">
        <v>12</v>
      </c>
      <c r="H559" s="7" t="s">
        <v>1672</v>
      </c>
      <c r="I559" s="2"/>
      <c r="J559" s="2"/>
      <c r="K559" s="2"/>
      <c r="L559" s="2"/>
    </row>
    <row r="560" ht="15.75" customHeight="1">
      <c r="A560" s="3">
        <v>558.0</v>
      </c>
      <c r="B560" s="2" t="s">
        <v>81</v>
      </c>
      <c r="C560" s="2" t="s">
        <v>1680</v>
      </c>
      <c r="D560" s="2" t="s">
        <v>119</v>
      </c>
      <c r="E560" s="3">
        <v>5.70056378986E11</v>
      </c>
      <c r="F560" s="2" t="s">
        <v>1681</v>
      </c>
      <c r="G560" s="2" t="s">
        <v>12</v>
      </c>
      <c r="H560" s="7" t="s">
        <v>1672</v>
      </c>
      <c r="I560" s="2"/>
      <c r="J560" s="2"/>
      <c r="K560" s="2"/>
      <c r="L560" s="2"/>
    </row>
    <row r="561" ht="15.75" customHeight="1">
      <c r="A561" s="3">
        <v>559.0</v>
      </c>
      <c r="B561" s="2" t="s">
        <v>18</v>
      </c>
      <c r="C561" s="2" t="s">
        <v>1682</v>
      </c>
      <c r="D561" s="2" t="s">
        <v>1683</v>
      </c>
      <c r="E561" s="3">
        <v>5.70056378988E11</v>
      </c>
      <c r="F561" s="2" t="s">
        <v>528</v>
      </c>
      <c r="G561" s="2" t="s">
        <v>187</v>
      </c>
      <c r="H561" s="7" t="s">
        <v>1672</v>
      </c>
      <c r="I561" s="2"/>
      <c r="J561" s="2"/>
      <c r="K561" s="2"/>
      <c r="L561" s="2"/>
    </row>
    <row r="562" ht="15.75" customHeight="1">
      <c r="A562" s="3">
        <v>560.0</v>
      </c>
      <c r="B562" s="2" t="s">
        <v>1557</v>
      </c>
      <c r="C562" s="2" t="s">
        <v>1684</v>
      </c>
      <c r="D562" s="2" t="s">
        <v>1685</v>
      </c>
      <c r="E562" s="3">
        <v>5.70056378992E11</v>
      </c>
      <c r="F562" s="2" t="s">
        <v>1686</v>
      </c>
      <c r="G562" s="2" t="s">
        <v>12</v>
      </c>
      <c r="H562" s="7" t="s">
        <v>1672</v>
      </c>
      <c r="I562" s="2"/>
      <c r="J562" s="2"/>
      <c r="K562" s="2"/>
      <c r="L562" s="2"/>
    </row>
    <row r="563" ht="15.75" customHeight="1">
      <c r="A563" s="3">
        <v>561.0</v>
      </c>
      <c r="B563" s="2" t="s">
        <v>1600</v>
      </c>
      <c r="C563" s="2" t="s">
        <v>1687</v>
      </c>
      <c r="D563" s="2" t="s">
        <v>60</v>
      </c>
      <c r="E563" s="3">
        <v>5.70056378994E11</v>
      </c>
      <c r="F563" s="2" t="s">
        <v>1688</v>
      </c>
      <c r="G563" s="2" t="s">
        <v>12</v>
      </c>
      <c r="H563" s="7" t="s">
        <v>1672</v>
      </c>
      <c r="I563" s="2"/>
      <c r="J563" s="2"/>
      <c r="K563" s="2"/>
      <c r="L563" s="2"/>
    </row>
    <row r="564" ht="15.75" customHeight="1">
      <c r="A564" s="3">
        <v>562.0</v>
      </c>
      <c r="B564" s="2" t="s">
        <v>1689</v>
      </c>
      <c r="C564" s="2" t="s">
        <v>1690</v>
      </c>
      <c r="D564" s="2" t="s">
        <v>1198</v>
      </c>
      <c r="E564" s="3">
        <v>5.70056378996E11</v>
      </c>
      <c r="F564" s="2" t="s">
        <v>1691</v>
      </c>
      <c r="G564" s="2" t="s">
        <v>12</v>
      </c>
      <c r="H564" s="7" t="s">
        <v>1672</v>
      </c>
      <c r="I564" s="2"/>
      <c r="J564" s="2"/>
      <c r="K564" s="2"/>
      <c r="L564" s="2"/>
    </row>
    <row r="565" ht="15.75" customHeight="1">
      <c r="A565" s="3">
        <v>563.0</v>
      </c>
      <c r="B565" s="2" t="s">
        <v>1692</v>
      </c>
      <c r="C565" s="2" t="s">
        <v>1693</v>
      </c>
      <c r="D565" s="2" t="s">
        <v>374</v>
      </c>
      <c r="E565" s="5">
        <v>5.70056378997E11</v>
      </c>
      <c r="F565" s="2" t="s">
        <v>1694</v>
      </c>
      <c r="G565" s="2" t="s">
        <v>12</v>
      </c>
      <c r="H565" s="7" t="s">
        <v>1672</v>
      </c>
      <c r="I565" s="2"/>
      <c r="J565" s="2"/>
      <c r="K565" s="2"/>
      <c r="L565" s="2"/>
    </row>
    <row r="566" ht="15.75" customHeight="1">
      <c r="A566" s="3">
        <v>564.0</v>
      </c>
      <c r="B566" s="2" t="s">
        <v>251</v>
      </c>
      <c r="C566" s="2" t="s">
        <v>1695</v>
      </c>
      <c r="D566" s="2" t="s">
        <v>374</v>
      </c>
      <c r="E566" s="5">
        <v>5.70056378998E11</v>
      </c>
      <c r="F566" s="2" t="s">
        <v>744</v>
      </c>
      <c r="G566" s="2" t="s">
        <v>12</v>
      </c>
      <c r="H566" s="7" t="s">
        <v>1672</v>
      </c>
      <c r="I566" s="2"/>
      <c r="J566" s="2"/>
      <c r="K566" s="2"/>
      <c r="L566" s="2"/>
    </row>
    <row r="567" ht="15.75" customHeight="1">
      <c r="A567" s="3">
        <v>565.0</v>
      </c>
      <c r="B567" s="2" t="s">
        <v>1696</v>
      </c>
      <c r="C567" s="2" t="s">
        <v>1697</v>
      </c>
      <c r="D567" s="2" t="s">
        <v>1698</v>
      </c>
      <c r="E567" s="3">
        <v>5.70056544633E11</v>
      </c>
      <c r="F567" s="2" t="s">
        <v>1699</v>
      </c>
      <c r="G567" s="2" t="s">
        <v>12</v>
      </c>
      <c r="H567" s="7" t="s">
        <v>1672</v>
      </c>
      <c r="I567" s="2"/>
      <c r="J567" s="2"/>
      <c r="K567" s="2"/>
      <c r="L567" s="2"/>
    </row>
    <row r="568" ht="15.75" customHeight="1">
      <c r="A568" s="3">
        <v>566.0</v>
      </c>
      <c r="B568" s="2" t="s">
        <v>529</v>
      </c>
      <c r="C568" s="2" t="s">
        <v>1700</v>
      </c>
      <c r="D568" s="2" t="s">
        <v>46</v>
      </c>
      <c r="E568" s="3">
        <v>5.70056000002E11</v>
      </c>
      <c r="F568" s="2" t="s">
        <v>1701</v>
      </c>
      <c r="G568" s="2" t="s">
        <v>12</v>
      </c>
      <c r="H568" s="7" t="s">
        <v>1672</v>
      </c>
      <c r="I568" s="2"/>
      <c r="J568" s="2"/>
      <c r="K568" s="2"/>
      <c r="L568" s="2"/>
    </row>
    <row r="569" ht="15.75" customHeight="1">
      <c r="A569" s="3">
        <v>567.0</v>
      </c>
      <c r="B569" s="2" t="s">
        <v>117</v>
      </c>
      <c r="C569" s="2" t="s">
        <v>1702</v>
      </c>
      <c r="D569" s="2" t="s">
        <v>666</v>
      </c>
      <c r="E569" s="3">
        <v>5.70056000003E11</v>
      </c>
      <c r="F569" s="2" t="s">
        <v>1703</v>
      </c>
      <c r="G569" s="2" t="s">
        <v>12</v>
      </c>
      <c r="H569" s="7" t="s">
        <v>1672</v>
      </c>
      <c r="I569" s="2"/>
      <c r="J569" s="2"/>
      <c r="K569" s="2"/>
      <c r="L569" s="2"/>
    </row>
    <row r="570" ht="15.75" customHeight="1">
      <c r="A570" s="3">
        <v>568.0</v>
      </c>
      <c r="B570" s="2" t="s">
        <v>1704</v>
      </c>
      <c r="C570" s="2" t="s">
        <v>263</v>
      </c>
      <c r="D570" s="2" t="s">
        <v>217</v>
      </c>
      <c r="E570" s="3">
        <v>5.70056000004E11</v>
      </c>
      <c r="F570" s="2" t="s">
        <v>1006</v>
      </c>
      <c r="G570" s="2" t="s">
        <v>12</v>
      </c>
      <c r="H570" s="7" t="s">
        <v>1672</v>
      </c>
      <c r="I570" s="2"/>
      <c r="J570" s="2"/>
      <c r="K570" s="2"/>
      <c r="L570" s="2"/>
    </row>
    <row r="571" ht="15.75" customHeight="1">
      <c r="A571" s="3">
        <v>569.0</v>
      </c>
      <c r="B571" s="2" t="s">
        <v>18</v>
      </c>
      <c r="C571" s="2" t="s">
        <v>1705</v>
      </c>
      <c r="D571" s="2" t="s">
        <v>518</v>
      </c>
      <c r="E571" s="5">
        <v>5.70056000005E11</v>
      </c>
      <c r="F571" s="2" t="s">
        <v>1706</v>
      </c>
      <c r="G571" s="2" t="s">
        <v>187</v>
      </c>
      <c r="H571" s="7" t="s">
        <v>1672</v>
      </c>
      <c r="I571" s="2"/>
      <c r="J571" s="2"/>
      <c r="K571" s="2"/>
      <c r="L571" s="2"/>
    </row>
    <row r="572" ht="15.75" customHeight="1">
      <c r="A572" s="3">
        <v>570.0</v>
      </c>
      <c r="B572" s="2" t="s">
        <v>1707</v>
      </c>
      <c r="C572" s="2" t="s">
        <v>1708</v>
      </c>
      <c r="D572" s="2" t="s">
        <v>1709</v>
      </c>
      <c r="E572" s="3">
        <v>5.70056000006E11</v>
      </c>
      <c r="F572" s="2" t="s">
        <v>1710</v>
      </c>
      <c r="G572" s="2" t="s">
        <v>12</v>
      </c>
      <c r="H572" s="7" t="s">
        <v>1672</v>
      </c>
      <c r="I572" s="2"/>
      <c r="J572" s="2"/>
      <c r="K572" s="2"/>
      <c r="L572" s="2"/>
    </row>
    <row r="573" ht="15.75" customHeight="1">
      <c r="A573" s="8">
        <v>571.0</v>
      </c>
      <c r="B573" s="2"/>
      <c r="C573" s="2"/>
      <c r="D573" s="2"/>
      <c r="E573" s="3"/>
      <c r="F573" s="2"/>
      <c r="G573" s="2"/>
      <c r="H573" s="7"/>
      <c r="I573" s="2"/>
      <c r="J573" s="2"/>
      <c r="K573" s="2"/>
      <c r="L573" s="2"/>
    </row>
    <row r="574" ht="15.75" customHeight="1">
      <c r="A574" s="3">
        <v>572.0</v>
      </c>
      <c r="B574" s="2" t="s">
        <v>601</v>
      </c>
      <c r="C574" s="2" t="s">
        <v>165</v>
      </c>
      <c r="D574" s="2" t="s">
        <v>988</v>
      </c>
      <c r="E574" s="3">
        <v>5.70056000008E11</v>
      </c>
      <c r="F574" s="2" t="s">
        <v>901</v>
      </c>
      <c r="G574" s="2" t="s">
        <v>12</v>
      </c>
      <c r="H574" s="7" t="s">
        <v>1672</v>
      </c>
      <c r="I574" s="2"/>
      <c r="J574" s="2"/>
      <c r="K574" s="2"/>
      <c r="L574" s="2"/>
    </row>
    <row r="575" ht="15.75" customHeight="1">
      <c r="A575" s="3">
        <v>573.0</v>
      </c>
      <c r="B575" s="2" t="s">
        <v>456</v>
      </c>
      <c r="C575" s="2" t="s">
        <v>263</v>
      </c>
      <c r="D575" s="2" t="s">
        <v>46</v>
      </c>
      <c r="E575" s="3">
        <v>5.70056000011E11</v>
      </c>
      <c r="F575" s="2" t="s">
        <v>1711</v>
      </c>
      <c r="G575" s="2" t="s">
        <v>12</v>
      </c>
      <c r="H575" s="7" t="s">
        <v>1672</v>
      </c>
      <c r="I575" s="2"/>
      <c r="J575" s="2"/>
      <c r="K575" s="2"/>
      <c r="L575" s="2"/>
    </row>
    <row r="576" ht="15.75" customHeight="1">
      <c r="A576" s="3">
        <v>574.0</v>
      </c>
      <c r="B576" s="2" t="s">
        <v>1712</v>
      </c>
      <c r="C576" s="2" t="s">
        <v>1713</v>
      </c>
      <c r="D576" s="2" t="s">
        <v>131</v>
      </c>
      <c r="E576" s="3">
        <v>5.70056000015E11</v>
      </c>
      <c r="F576" s="2" t="s">
        <v>541</v>
      </c>
      <c r="G576" s="2" t="s">
        <v>12</v>
      </c>
      <c r="H576" s="7" t="s">
        <v>1672</v>
      </c>
      <c r="I576" s="2"/>
      <c r="J576" s="2"/>
      <c r="K576" s="2"/>
      <c r="L576" s="2"/>
    </row>
    <row r="577" ht="15.75" customHeight="1">
      <c r="A577" s="3">
        <v>575.0</v>
      </c>
      <c r="B577" s="2" t="s">
        <v>1714</v>
      </c>
      <c r="C577" s="2" t="s">
        <v>1715</v>
      </c>
      <c r="D577" s="2" t="s">
        <v>1716</v>
      </c>
      <c r="E577" s="3">
        <v>5.70056000016E11</v>
      </c>
      <c r="F577" s="2" t="s">
        <v>1006</v>
      </c>
      <c r="G577" s="2" t="s">
        <v>12</v>
      </c>
      <c r="H577" s="7" t="s">
        <v>1672</v>
      </c>
      <c r="I577" s="2"/>
      <c r="J577" s="2"/>
      <c r="K577" s="2"/>
      <c r="L577" s="2"/>
    </row>
    <row r="578" ht="15.75" customHeight="1">
      <c r="A578" s="3">
        <v>576.0</v>
      </c>
      <c r="B578" s="2" t="s">
        <v>1717</v>
      </c>
      <c r="C578" s="2" t="s">
        <v>1718</v>
      </c>
      <c r="D578" s="2" t="s">
        <v>18</v>
      </c>
      <c r="E578" s="3">
        <v>5.70056000022E11</v>
      </c>
      <c r="F578" s="2" t="s">
        <v>1719</v>
      </c>
      <c r="G578" s="2" t="s">
        <v>12</v>
      </c>
      <c r="H578" s="7" t="s">
        <v>1672</v>
      </c>
      <c r="I578" s="2"/>
      <c r="J578" s="2"/>
      <c r="K578" s="2"/>
      <c r="L578" s="2"/>
    </row>
    <row r="579" ht="15.75" customHeight="1">
      <c r="A579" s="3">
        <v>577.0</v>
      </c>
      <c r="B579" s="2" t="s">
        <v>162</v>
      </c>
      <c r="C579" s="2" t="s">
        <v>1720</v>
      </c>
      <c r="D579" s="2" t="s">
        <v>1721</v>
      </c>
      <c r="E579" s="3">
        <v>5.70056000029E11</v>
      </c>
      <c r="F579" s="2" t="s">
        <v>1722</v>
      </c>
      <c r="G579" s="2" t="s">
        <v>12</v>
      </c>
      <c r="H579" s="7" t="s">
        <v>1672</v>
      </c>
      <c r="I579" s="2"/>
      <c r="J579" s="2"/>
      <c r="K579" s="2"/>
      <c r="L579" s="2"/>
    </row>
    <row r="580" ht="15.75" customHeight="1">
      <c r="A580" s="3">
        <v>578.0</v>
      </c>
      <c r="B580" s="2" t="s">
        <v>1723</v>
      </c>
      <c r="C580" s="2" t="s">
        <v>1724</v>
      </c>
      <c r="D580" s="2" t="s">
        <v>514</v>
      </c>
      <c r="E580" s="3">
        <v>5.70056000033E11</v>
      </c>
      <c r="F580" s="2" t="s">
        <v>1725</v>
      </c>
      <c r="G580" s="2" t="s">
        <v>12</v>
      </c>
      <c r="H580" s="7" t="s">
        <v>1672</v>
      </c>
      <c r="I580" s="2"/>
      <c r="J580" s="2"/>
      <c r="K580" s="2"/>
      <c r="L580" s="2"/>
    </row>
    <row r="581" ht="15.75" customHeight="1">
      <c r="A581" s="3">
        <v>579.0</v>
      </c>
      <c r="B581" s="2" t="s">
        <v>1726</v>
      </c>
      <c r="C581" s="2" t="s">
        <v>1727</v>
      </c>
      <c r="D581" s="2" t="s">
        <v>1728</v>
      </c>
      <c r="E581" s="3">
        <v>5.70056000037E11</v>
      </c>
      <c r="F581" s="2" t="s">
        <v>1729</v>
      </c>
      <c r="G581" s="2" t="s">
        <v>12</v>
      </c>
      <c r="H581" s="7" t="s">
        <v>1672</v>
      </c>
      <c r="I581" s="2"/>
      <c r="J581" s="2"/>
      <c r="K581" s="2"/>
      <c r="L581" s="2"/>
    </row>
    <row r="582" ht="15.75" customHeight="1">
      <c r="A582" s="3">
        <v>580.0</v>
      </c>
      <c r="B582" s="2" t="s">
        <v>1730</v>
      </c>
      <c r="C582" s="2" t="s">
        <v>1731</v>
      </c>
      <c r="D582" s="2" t="s">
        <v>1732</v>
      </c>
      <c r="E582" s="3">
        <v>5.70056000039E11</v>
      </c>
      <c r="F582" s="2" t="s">
        <v>1733</v>
      </c>
      <c r="G582" s="2" t="s">
        <v>12</v>
      </c>
      <c r="H582" s="7" t="s">
        <v>1672</v>
      </c>
      <c r="I582" s="2"/>
      <c r="J582" s="2"/>
      <c r="K582" s="2"/>
      <c r="L582" s="2"/>
    </row>
    <row r="583" ht="15.75" customHeight="1">
      <c r="A583" s="3">
        <v>581.0</v>
      </c>
      <c r="B583" s="2" t="s">
        <v>1734</v>
      </c>
      <c r="C583" s="2" t="s">
        <v>1735</v>
      </c>
      <c r="D583" s="2" t="s">
        <v>1736</v>
      </c>
      <c r="E583" s="3">
        <v>5.7005600004E11</v>
      </c>
      <c r="F583" s="2" t="s">
        <v>1737</v>
      </c>
      <c r="G583" s="2" t="s">
        <v>12</v>
      </c>
      <c r="H583" s="7" t="s">
        <v>1672</v>
      </c>
      <c r="I583" s="2"/>
      <c r="J583" s="2"/>
      <c r="K583" s="2"/>
      <c r="L583" s="2"/>
    </row>
    <row r="584" ht="15.75" customHeight="1">
      <c r="A584" s="3">
        <v>582.0</v>
      </c>
      <c r="B584" s="2" t="s">
        <v>1738</v>
      </c>
      <c r="C584" s="2" t="s">
        <v>1739</v>
      </c>
      <c r="D584" s="2" t="s">
        <v>1740</v>
      </c>
      <c r="E584" s="3">
        <v>5.70056000048E11</v>
      </c>
      <c r="F584" s="2" t="s">
        <v>1741</v>
      </c>
      <c r="G584" s="2" t="s">
        <v>12</v>
      </c>
      <c r="H584" s="7" t="s">
        <v>1672</v>
      </c>
      <c r="I584" s="2"/>
      <c r="J584" s="2"/>
      <c r="K584" s="2"/>
      <c r="L584" s="2"/>
    </row>
    <row r="585" ht="15.75" customHeight="1">
      <c r="A585" s="3">
        <v>583.0</v>
      </c>
      <c r="B585" s="2" t="s">
        <v>1742</v>
      </c>
      <c r="C585" s="2" t="s">
        <v>1322</v>
      </c>
      <c r="D585" s="2" t="s">
        <v>162</v>
      </c>
      <c r="E585" s="5">
        <v>5.70056000055E11</v>
      </c>
      <c r="F585" s="2" t="s">
        <v>1743</v>
      </c>
      <c r="G585" s="2" t="s">
        <v>12</v>
      </c>
      <c r="H585" s="7" t="s">
        <v>1672</v>
      </c>
      <c r="I585" s="2"/>
      <c r="J585" s="2"/>
      <c r="K585" s="2"/>
      <c r="L585" s="2"/>
    </row>
    <row r="586" ht="15.75" customHeight="1">
      <c r="A586" s="3">
        <v>584.0</v>
      </c>
      <c r="B586" s="2" t="s">
        <v>1744</v>
      </c>
      <c r="C586" s="2" t="s">
        <v>1745</v>
      </c>
      <c r="D586" s="2" t="s">
        <v>1746</v>
      </c>
      <c r="E586" s="3">
        <v>5.70056000062E11</v>
      </c>
      <c r="F586" s="2" t="s">
        <v>1747</v>
      </c>
      <c r="G586" s="2" t="s">
        <v>12</v>
      </c>
      <c r="H586" s="7" t="s">
        <v>1672</v>
      </c>
      <c r="I586" s="2"/>
      <c r="J586" s="2"/>
      <c r="K586" s="2"/>
      <c r="L586" s="2"/>
    </row>
    <row r="587" ht="15.75" customHeight="1">
      <c r="A587" s="3">
        <v>585.0</v>
      </c>
      <c r="B587" s="4" t="s">
        <v>1748</v>
      </c>
      <c r="C587" s="2" t="s">
        <v>193</v>
      </c>
      <c r="D587" s="2" t="s">
        <v>1749</v>
      </c>
      <c r="E587" s="3">
        <v>5.70056000065E11</v>
      </c>
      <c r="F587" s="2" t="s">
        <v>1750</v>
      </c>
      <c r="G587" s="2" t="s">
        <v>12</v>
      </c>
      <c r="H587" s="7" t="s">
        <v>1751</v>
      </c>
      <c r="I587" s="2"/>
      <c r="J587" s="2"/>
      <c r="K587" s="2"/>
      <c r="L587" s="2"/>
    </row>
    <row r="588" ht="15.75" customHeight="1">
      <c r="A588" s="3">
        <v>586.0</v>
      </c>
      <c r="B588" s="2" t="s">
        <v>1752</v>
      </c>
      <c r="C588" s="2" t="s">
        <v>1753</v>
      </c>
      <c r="D588" s="2" t="s">
        <v>1754</v>
      </c>
      <c r="E588" s="3">
        <v>5.70056000067E11</v>
      </c>
      <c r="F588" s="2" t="s">
        <v>1755</v>
      </c>
      <c r="G588" s="2" t="s">
        <v>12</v>
      </c>
      <c r="H588" s="7" t="s">
        <v>1672</v>
      </c>
      <c r="I588" s="2"/>
      <c r="J588" s="2"/>
      <c r="K588" s="2"/>
      <c r="L588" s="2"/>
    </row>
    <row r="589" ht="15.75" customHeight="1">
      <c r="A589" s="3">
        <v>587.0</v>
      </c>
      <c r="B589" s="2" t="s">
        <v>1756</v>
      </c>
      <c r="C589" s="2" t="s">
        <v>1757</v>
      </c>
      <c r="D589" s="2" t="s">
        <v>893</v>
      </c>
      <c r="E589" s="3">
        <v>5.70056000073E11</v>
      </c>
      <c r="F589" s="2" t="s">
        <v>1758</v>
      </c>
      <c r="G589" s="2" t="s">
        <v>12</v>
      </c>
      <c r="H589" s="7" t="s">
        <v>1672</v>
      </c>
      <c r="I589" s="2"/>
      <c r="J589" s="2"/>
      <c r="K589" s="2"/>
      <c r="L589" s="2"/>
    </row>
    <row r="590" ht="15.75" customHeight="1">
      <c r="A590" s="3">
        <v>588.0</v>
      </c>
      <c r="B590" s="2" t="s">
        <v>1759</v>
      </c>
      <c r="C590" s="2" t="s">
        <v>1760</v>
      </c>
      <c r="D590" s="2" t="s">
        <v>1761</v>
      </c>
      <c r="E590" s="3">
        <v>5.70056000074E11</v>
      </c>
      <c r="F590" s="2" t="s">
        <v>1762</v>
      </c>
      <c r="G590" s="2" t="s">
        <v>12</v>
      </c>
      <c r="H590" s="7" t="s">
        <v>1672</v>
      </c>
      <c r="I590" s="2"/>
      <c r="J590" s="2"/>
      <c r="K590" s="2"/>
      <c r="L590" s="2"/>
    </row>
    <row r="591" ht="15.75" customHeight="1">
      <c r="A591" s="3">
        <v>589.0</v>
      </c>
      <c r="B591" s="2" t="s">
        <v>1763</v>
      </c>
      <c r="C591" s="2" t="s">
        <v>1764</v>
      </c>
      <c r="D591" s="2" t="s">
        <v>1765</v>
      </c>
      <c r="E591" s="3">
        <v>5.70056000075E11</v>
      </c>
      <c r="F591" s="2" t="s">
        <v>1093</v>
      </c>
      <c r="G591" s="2" t="s">
        <v>12</v>
      </c>
      <c r="H591" s="7" t="s">
        <v>1672</v>
      </c>
      <c r="I591" s="2"/>
      <c r="J591" s="2"/>
      <c r="K591" s="2"/>
      <c r="L591" s="2"/>
    </row>
    <row r="592" ht="15.75" customHeight="1">
      <c r="A592" s="3">
        <v>590.0</v>
      </c>
      <c r="B592" s="2" t="s">
        <v>20</v>
      </c>
      <c r="C592" s="2" t="s">
        <v>1766</v>
      </c>
      <c r="D592" s="2" t="s">
        <v>1767</v>
      </c>
      <c r="E592" s="3">
        <v>5.70056000076E11</v>
      </c>
      <c r="F592" s="2" t="s">
        <v>1768</v>
      </c>
      <c r="G592" s="2" t="s">
        <v>12</v>
      </c>
      <c r="H592" s="7" t="s">
        <v>1672</v>
      </c>
      <c r="I592" s="2"/>
      <c r="J592" s="2"/>
      <c r="K592" s="2"/>
      <c r="L592" s="2"/>
    </row>
    <row r="593" ht="15.75" customHeight="1">
      <c r="A593" s="3">
        <v>591.0</v>
      </c>
      <c r="B593" s="2" t="s">
        <v>1769</v>
      </c>
      <c r="C593" s="2" t="s">
        <v>1770</v>
      </c>
      <c r="D593" s="2" t="s">
        <v>1771</v>
      </c>
      <c r="E593" s="3">
        <v>5.70056000081E11</v>
      </c>
      <c r="F593" s="2" t="s">
        <v>1772</v>
      </c>
      <c r="G593" s="2" t="s">
        <v>12</v>
      </c>
      <c r="H593" s="7" t="s">
        <v>1672</v>
      </c>
      <c r="I593" s="2"/>
      <c r="J593" s="2"/>
      <c r="K593" s="2"/>
      <c r="L593" s="2"/>
    </row>
    <row r="594" ht="15.75" customHeight="1">
      <c r="A594" s="3">
        <v>592.0</v>
      </c>
      <c r="B594" s="2" t="s">
        <v>1565</v>
      </c>
      <c r="C594" s="2" t="s">
        <v>1516</v>
      </c>
      <c r="D594" s="2" t="s">
        <v>1773</v>
      </c>
      <c r="E594" s="3">
        <v>5.70056000082E11</v>
      </c>
      <c r="F594" s="2" t="s">
        <v>1774</v>
      </c>
      <c r="G594" s="2" t="s">
        <v>12</v>
      </c>
      <c r="H594" s="7" t="s">
        <v>1672</v>
      </c>
      <c r="I594" s="2"/>
      <c r="J594" s="2"/>
      <c r="K594" s="2"/>
      <c r="L594" s="2"/>
    </row>
    <row r="595" ht="15.75" customHeight="1">
      <c r="A595" s="3">
        <v>593.0</v>
      </c>
      <c r="B595" s="2" t="s">
        <v>1775</v>
      </c>
      <c r="C595" s="2" t="s">
        <v>1776</v>
      </c>
      <c r="D595" s="2" t="s">
        <v>1777</v>
      </c>
      <c r="E595" s="3">
        <v>5.70056000085E11</v>
      </c>
      <c r="F595" s="2" t="s">
        <v>1778</v>
      </c>
      <c r="G595" s="2" t="s">
        <v>12</v>
      </c>
      <c r="H595" s="7" t="s">
        <v>1672</v>
      </c>
      <c r="I595" s="2"/>
      <c r="J595" s="2"/>
      <c r="K595" s="2"/>
      <c r="L595" s="2"/>
    </row>
    <row r="596" ht="15.75" customHeight="1">
      <c r="A596" s="3">
        <v>594.0</v>
      </c>
      <c r="B596" s="2" t="s">
        <v>1779</v>
      </c>
      <c r="C596" s="2" t="s">
        <v>1780</v>
      </c>
      <c r="D596" s="2" t="s">
        <v>1781</v>
      </c>
      <c r="E596" s="3">
        <v>5.70056000089E11</v>
      </c>
      <c r="F596" s="2" t="s">
        <v>1782</v>
      </c>
      <c r="G596" s="2" t="s">
        <v>12</v>
      </c>
      <c r="H596" s="7" t="s">
        <v>1672</v>
      </c>
      <c r="I596" s="2"/>
      <c r="J596" s="2"/>
      <c r="K596" s="2"/>
      <c r="L596" s="2"/>
    </row>
    <row r="597" ht="15.75" customHeight="1">
      <c r="A597" s="3">
        <v>595.0</v>
      </c>
      <c r="B597" s="2" t="s">
        <v>1783</v>
      </c>
      <c r="C597" s="2" t="s">
        <v>1784</v>
      </c>
      <c r="D597" s="2" t="s">
        <v>1550</v>
      </c>
      <c r="E597" s="3">
        <v>5.70056000104E11</v>
      </c>
      <c r="F597" s="2" t="s">
        <v>1785</v>
      </c>
      <c r="G597" s="2" t="s">
        <v>12</v>
      </c>
      <c r="H597" s="7" t="s">
        <v>1672</v>
      </c>
      <c r="I597" s="2"/>
      <c r="J597" s="2"/>
      <c r="K597" s="2"/>
      <c r="L597" s="2"/>
    </row>
    <row r="598" ht="15.75" customHeight="1">
      <c r="A598" s="3">
        <v>596.0</v>
      </c>
      <c r="B598" s="2" t="s">
        <v>89</v>
      </c>
      <c r="C598" s="2" t="s">
        <v>1786</v>
      </c>
      <c r="D598" s="2" t="s">
        <v>1787</v>
      </c>
      <c r="E598" s="3">
        <v>5.70056000105E11</v>
      </c>
      <c r="F598" s="2" t="s">
        <v>1788</v>
      </c>
      <c r="G598" s="2" t="s">
        <v>12</v>
      </c>
      <c r="H598" s="7" t="s">
        <v>1672</v>
      </c>
      <c r="I598" s="2"/>
      <c r="J598" s="2"/>
      <c r="K598" s="2"/>
      <c r="L598" s="2"/>
    </row>
    <row r="599" ht="15.75" customHeight="1">
      <c r="A599" s="3">
        <v>597.0</v>
      </c>
      <c r="B599" s="2" t="s">
        <v>1689</v>
      </c>
      <c r="C599" s="2" t="s">
        <v>1789</v>
      </c>
      <c r="D599" s="2" t="s">
        <v>1429</v>
      </c>
      <c r="E599" s="3">
        <v>5.70056000106E11</v>
      </c>
      <c r="F599" s="2" t="s">
        <v>1790</v>
      </c>
      <c r="G599" s="2" t="s">
        <v>12</v>
      </c>
      <c r="H599" s="7" t="s">
        <v>1672</v>
      </c>
      <c r="I599" s="2"/>
      <c r="J599" s="2"/>
      <c r="K599" s="2"/>
      <c r="L599" s="2"/>
    </row>
    <row r="600" ht="15.75" customHeight="1">
      <c r="A600" s="3">
        <v>598.0</v>
      </c>
      <c r="B600" s="2" t="s">
        <v>1791</v>
      </c>
      <c r="C600" s="2" t="s">
        <v>1789</v>
      </c>
      <c r="D600" s="2" t="s">
        <v>1429</v>
      </c>
      <c r="E600" s="3">
        <v>5.7005600011E11</v>
      </c>
      <c r="F600" s="2" t="s">
        <v>1792</v>
      </c>
      <c r="G600" s="2" t="s">
        <v>12</v>
      </c>
      <c r="H600" s="7" t="s">
        <v>1672</v>
      </c>
      <c r="I600" s="2"/>
      <c r="J600" s="2"/>
      <c r="K600" s="2"/>
      <c r="L600" s="2"/>
    </row>
    <row r="601" ht="15.75" customHeight="1">
      <c r="A601" s="3">
        <v>599.0</v>
      </c>
      <c r="B601" s="2" t="s">
        <v>1791</v>
      </c>
      <c r="C601" s="2" t="s">
        <v>1793</v>
      </c>
      <c r="D601" s="2" t="s">
        <v>1794</v>
      </c>
      <c r="E601" s="3">
        <v>5.70056000115E11</v>
      </c>
      <c r="F601" s="2" t="s">
        <v>1795</v>
      </c>
      <c r="G601" s="2" t="s">
        <v>12</v>
      </c>
      <c r="H601" s="7" t="s">
        <v>1672</v>
      </c>
      <c r="I601" s="2"/>
      <c r="J601" s="2"/>
      <c r="K601" s="2"/>
      <c r="L601" s="2"/>
    </row>
    <row r="602" ht="15.75" customHeight="1">
      <c r="A602" s="3">
        <v>600.0</v>
      </c>
      <c r="B602" s="2" t="s">
        <v>898</v>
      </c>
      <c r="C602" s="2" t="s">
        <v>1796</v>
      </c>
      <c r="D602" s="2" t="s">
        <v>1797</v>
      </c>
      <c r="E602" s="3">
        <v>5.70056000118E11</v>
      </c>
      <c r="F602" s="2" t="s">
        <v>1798</v>
      </c>
      <c r="G602" s="2" t="s">
        <v>12</v>
      </c>
      <c r="H602" s="7" t="s">
        <v>1672</v>
      </c>
      <c r="I602" s="2"/>
      <c r="J602" s="2"/>
      <c r="K602" s="2"/>
      <c r="L602" s="2"/>
    </row>
    <row r="603" ht="15.75" customHeight="1">
      <c r="A603" s="3">
        <v>601.0</v>
      </c>
      <c r="B603" s="2" t="s">
        <v>1799</v>
      </c>
      <c r="C603" s="2" t="s">
        <v>1800</v>
      </c>
      <c r="D603" s="2" t="s">
        <v>1748</v>
      </c>
      <c r="E603" s="3">
        <v>5.7005600012E11</v>
      </c>
      <c r="F603" s="2" t="s">
        <v>1801</v>
      </c>
      <c r="G603" s="2" t="s">
        <v>187</v>
      </c>
      <c r="H603" s="7" t="s">
        <v>1672</v>
      </c>
      <c r="I603" s="2"/>
      <c r="J603" s="2"/>
      <c r="K603" s="2"/>
      <c r="L603" s="2"/>
    </row>
    <row r="604" ht="15.75" customHeight="1">
      <c r="A604" s="3">
        <v>602.0</v>
      </c>
      <c r="B604" s="2" t="s">
        <v>1094</v>
      </c>
      <c r="C604" s="2" t="s">
        <v>1745</v>
      </c>
      <c r="D604" s="2" t="s">
        <v>1802</v>
      </c>
      <c r="E604" s="3">
        <v>5.70056000122E11</v>
      </c>
      <c r="F604" s="2" t="s">
        <v>1803</v>
      </c>
      <c r="G604" s="2" t="s">
        <v>12</v>
      </c>
      <c r="H604" s="7" t="s">
        <v>1672</v>
      </c>
      <c r="I604" s="2"/>
      <c r="J604" s="2"/>
      <c r="K604" s="2"/>
      <c r="L604" s="2"/>
    </row>
    <row r="605" ht="15.75" customHeight="1">
      <c r="A605" s="3">
        <v>603.0</v>
      </c>
      <c r="B605" s="2" t="s">
        <v>898</v>
      </c>
      <c r="C605" s="2" t="s">
        <v>1804</v>
      </c>
      <c r="D605" s="2" t="s">
        <v>1805</v>
      </c>
      <c r="E605" s="3">
        <v>5.70056000123E11</v>
      </c>
      <c r="F605" s="2" t="s">
        <v>1806</v>
      </c>
      <c r="G605" s="2" t="s">
        <v>12</v>
      </c>
      <c r="H605" s="7" t="s">
        <v>1672</v>
      </c>
      <c r="I605" s="2"/>
      <c r="J605" s="2"/>
      <c r="K605" s="2"/>
      <c r="L605" s="2"/>
    </row>
    <row r="606" ht="15.75" customHeight="1">
      <c r="A606" s="3">
        <v>604.0</v>
      </c>
      <c r="B606" s="2" t="s">
        <v>1807</v>
      </c>
      <c r="C606" s="2" t="s">
        <v>1808</v>
      </c>
      <c r="D606" s="2" t="s">
        <v>1809</v>
      </c>
      <c r="E606" s="3">
        <v>5.70056000124E11</v>
      </c>
      <c r="F606" s="2" t="s">
        <v>1810</v>
      </c>
      <c r="G606" s="2" t="s">
        <v>1811</v>
      </c>
      <c r="H606" s="7" t="s">
        <v>1672</v>
      </c>
      <c r="I606" s="2"/>
      <c r="J606" s="2"/>
      <c r="K606" s="2"/>
      <c r="L606" s="2"/>
    </row>
    <row r="607" ht="15.75" customHeight="1">
      <c r="A607" s="3">
        <v>605.0</v>
      </c>
      <c r="B607" s="2" t="s">
        <v>1812</v>
      </c>
      <c r="C607" s="2" t="s">
        <v>1813</v>
      </c>
      <c r="D607" s="2" t="s">
        <v>1814</v>
      </c>
      <c r="E607" s="3">
        <v>5.70056000133E11</v>
      </c>
      <c r="F607" s="2" t="s">
        <v>1815</v>
      </c>
      <c r="G607" s="2" t="s">
        <v>12</v>
      </c>
      <c r="H607" s="7" t="s">
        <v>1672</v>
      </c>
      <c r="I607" s="2"/>
      <c r="J607" s="2"/>
      <c r="K607" s="2"/>
      <c r="L607" s="2"/>
    </row>
    <row r="608" ht="15.75" customHeight="1">
      <c r="A608" s="3">
        <v>606.0</v>
      </c>
      <c r="B608" s="2" t="s">
        <v>1816</v>
      </c>
      <c r="C608" s="2" t="s">
        <v>1817</v>
      </c>
      <c r="D608" s="2" t="s">
        <v>1818</v>
      </c>
      <c r="E608" s="3">
        <v>5.70056000137E11</v>
      </c>
      <c r="F608" s="2" t="s">
        <v>901</v>
      </c>
      <c r="G608" s="2" t="s">
        <v>12</v>
      </c>
      <c r="H608" s="7" t="s">
        <v>1672</v>
      </c>
      <c r="I608" s="2"/>
      <c r="J608" s="2"/>
      <c r="K608" s="2"/>
      <c r="L608" s="2"/>
    </row>
    <row r="609" ht="15.75" customHeight="1">
      <c r="A609" s="3">
        <v>607.0</v>
      </c>
      <c r="B609" s="2" t="s">
        <v>1819</v>
      </c>
      <c r="C609" s="2" t="s">
        <v>1820</v>
      </c>
      <c r="D609" s="2" t="s">
        <v>1821</v>
      </c>
      <c r="E609" s="3">
        <v>5.70056000141E11</v>
      </c>
      <c r="F609" s="2" t="s">
        <v>1822</v>
      </c>
      <c r="G609" s="2" t="s">
        <v>12</v>
      </c>
      <c r="H609" s="7" t="s">
        <v>1672</v>
      </c>
      <c r="I609" s="2"/>
      <c r="J609" s="2"/>
      <c r="K609" s="2"/>
      <c r="L609" s="2"/>
    </row>
    <row r="610" ht="15.75" customHeight="1">
      <c r="A610" s="3">
        <v>608.0</v>
      </c>
      <c r="B610" s="2" t="s">
        <v>1823</v>
      </c>
      <c r="C610" s="2" t="s">
        <v>717</v>
      </c>
      <c r="D610" s="2" t="s">
        <v>122</v>
      </c>
      <c r="E610" s="3">
        <v>5.70056000145E11</v>
      </c>
      <c r="F610" s="2" t="s">
        <v>1824</v>
      </c>
      <c r="G610" s="2" t="s">
        <v>12</v>
      </c>
      <c r="H610" s="7" t="s">
        <v>1672</v>
      </c>
      <c r="I610" s="2"/>
      <c r="J610" s="2"/>
      <c r="K610" s="2"/>
      <c r="L610" s="2"/>
    </row>
    <row r="611" ht="15.75" customHeight="1">
      <c r="A611" s="3">
        <v>609.0</v>
      </c>
      <c r="B611" s="2" t="s">
        <v>1689</v>
      </c>
      <c r="C611" s="2" t="s">
        <v>1825</v>
      </c>
      <c r="D611" s="2" t="s">
        <v>1826</v>
      </c>
      <c r="E611" s="3">
        <v>5.70056000147E11</v>
      </c>
      <c r="F611" s="2" t="s">
        <v>1827</v>
      </c>
      <c r="G611" s="2" t="s">
        <v>12</v>
      </c>
      <c r="H611" s="7" t="s">
        <v>1672</v>
      </c>
      <c r="I611" s="2"/>
      <c r="J611" s="2"/>
      <c r="K611" s="2"/>
      <c r="L611" s="2"/>
    </row>
    <row r="612" ht="15.75" customHeight="1">
      <c r="A612" s="3">
        <v>610.0</v>
      </c>
      <c r="B612" s="2" t="s">
        <v>1828</v>
      </c>
      <c r="C612" s="2" t="s">
        <v>1829</v>
      </c>
      <c r="D612" s="2" t="s">
        <v>337</v>
      </c>
      <c r="E612" s="3">
        <v>5.70056000148E11</v>
      </c>
      <c r="F612" s="2" t="s">
        <v>1830</v>
      </c>
      <c r="G612" s="2" t="s">
        <v>187</v>
      </c>
      <c r="H612" s="7" t="s">
        <v>1672</v>
      </c>
      <c r="I612" s="2"/>
      <c r="J612" s="2"/>
      <c r="K612" s="2"/>
      <c r="L612" s="2"/>
    </row>
    <row r="613" ht="15.75" customHeight="1">
      <c r="A613" s="3">
        <v>611.0</v>
      </c>
      <c r="B613" s="4" t="s">
        <v>1831</v>
      </c>
      <c r="C613" s="2" t="s">
        <v>1832</v>
      </c>
      <c r="D613" s="2" t="s">
        <v>89</v>
      </c>
      <c r="E613" s="3">
        <v>5.70056000151E11</v>
      </c>
      <c r="F613" s="2" t="s">
        <v>1833</v>
      </c>
      <c r="G613" s="2" t="s">
        <v>12</v>
      </c>
      <c r="H613" s="7" t="s">
        <v>1672</v>
      </c>
      <c r="I613" s="2"/>
      <c r="J613" s="2"/>
      <c r="K613" s="2"/>
      <c r="L613" s="2"/>
    </row>
    <row r="614" ht="15.75" customHeight="1">
      <c r="A614" s="3">
        <v>612.0</v>
      </c>
      <c r="B614" s="2" t="s">
        <v>1834</v>
      </c>
      <c r="C614" s="2" t="s">
        <v>1700</v>
      </c>
      <c r="D614" s="2" t="s">
        <v>46</v>
      </c>
      <c r="E614" s="3">
        <v>5.70056000156E11</v>
      </c>
      <c r="F614" s="2" t="s">
        <v>1701</v>
      </c>
      <c r="G614" s="2" t="s">
        <v>12</v>
      </c>
      <c r="H614" s="7" t="s">
        <v>1672</v>
      </c>
      <c r="I614" s="2"/>
      <c r="J614" s="2"/>
      <c r="K614" s="2"/>
      <c r="L614" s="2"/>
    </row>
    <row r="615" ht="15.75" customHeight="1">
      <c r="A615" s="3">
        <v>613.0</v>
      </c>
      <c r="B615" s="2" t="s">
        <v>1835</v>
      </c>
      <c r="C615" s="2" t="s">
        <v>1836</v>
      </c>
      <c r="D615" s="2" t="s">
        <v>601</v>
      </c>
      <c r="E615" s="3">
        <v>5.70056000157E11</v>
      </c>
      <c r="F615" s="2" t="s">
        <v>1837</v>
      </c>
      <c r="G615" s="2" t="s">
        <v>12</v>
      </c>
      <c r="H615" s="7" t="s">
        <v>1672</v>
      </c>
      <c r="I615" s="2"/>
      <c r="J615" s="2"/>
      <c r="K615" s="2"/>
      <c r="L615" s="2"/>
    </row>
    <row r="616" ht="15.75" customHeight="1">
      <c r="A616" s="3">
        <v>614.0</v>
      </c>
      <c r="B616" s="2" t="s">
        <v>1838</v>
      </c>
      <c r="C616" s="2" t="s">
        <v>1839</v>
      </c>
      <c r="D616" s="2" t="s">
        <v>77</v>
      </c>
      <c r="E616" s="3">
        <v>5.70056000163E11</v>
      </c>
      <c r="F616" s="2" t="s">
        <v>1840</v>
      </c>
      <c r="G616" s="2" t="s">
        <v>12</v>
      </c>
      <c r="H616" s="7" t="s">
        <v>1672</v>
      </c>
      <c r="I616" s="2"/>
      <c r="J616" s="2"/>
      <c r="K616" s="2"/>
      <c r="L616" s="2"/>
    </row>
    <row r="617" ht="15.75" customHeight="1">
      <c r="A617" s="3">
        <v>615.0</v>
      </c>
      <c r="B617" s="2" t="s">
        <v>703</v>
      </c>
      <c r="C617" s="2" t="s">
        <v>51</v>
      </c>
      <c r="D617" s="2" t="s">
        <v>52</v>
      </c>
      <c r="E617" s="3">
        <v>5.70056000168E11</v>
      </c>
      <c r="F617" s="2" t="s">
        <v>1841</v>
      </c>
      <c r="G617" s="2" t="s">
        <v>187</v>
      </c>
      <c r="H617" s="7" t="s">
        <v>1672</v>
      </c>
      <c r="I617" s="2"/>
      <c r="J617" s="2"/>
      <c r="K617" s="2"/>
      <c r="L617" s="2"/>
    </row>
    <row r="618" ht="15.75" customHeight="1">
      <c r="A618" s="3">
        <v>616.0</v>
      </c>
      <c r="B618" s="2" t="s">
        <v>249</v>
      </c>
      <c r="C618" s="2" t="s">
        <v>1842</v>
      </c>
      <c r="D618" s="2" t="s">
        <v>81</v>
      </c>
      <c r="E618" s="3">
        <v>5.70056000171E11</v>
      </c>
      <c r="F618" s="2" t="s">
        <v>1843</v>
      </c>
      <c r="G618" s="2" t="s">
        <v>1615</v>
      </c>
      <c r="H618" s="7" t="s">
        <v>1672</v>
      </c>
      <c r="I618" s="2"/>
      <c r="J618" s="2"/>
      <c r="K618" s="2"/>
      <c r="L618" s="2"/>
    </row>
    <row r="619" ht="15.75" customHeight="1">
      <c r="A619" s="3">
        <v>617.0</v>
      </c>
      <c r="B619" s="2" t="s">
        <v>1844</v>
      </c>
      <c r="C619" s="2" t="s">
        <v>1845</v>
      </c>
      <c r="D619" s="2" t="s">
        <v>701</v>
      </c>
      <c r="E619" s="3">
        <v>5.70056000177E11</v>
      </c>
      <c r="F619" s="2" t="s">
        <v>1846</v>
      </c>
      <c r="G619" s="2" t="s">
        <v>12</v>
      </c>
      <c r="H619" s="7" t="s">
        <v>1672</v>
      </c>
      <c r="I619" s="2"/>
      <c r="J619" s="2"/>
      <c r="K619" s="2"/>
      <c r="L619" s="2"/>
    </row>
    <row r="620" ht="15.75" customHeight="1">
      <c r="A620" s="3">
        <v>618.0</v>
      </c>
      <c r="B620" s="4" t="s">
        <v>1847</v>
      </c>
      <c r="C620" s="2" t="s">
        <v>1848</v>
      </c>
      <c r="D620" s="2" t="s">
        <v>1849</v>
      </c>
      <c r="E620" s="3">
        <v>5.70056000178E11</v>
      </c>
      <c r="F620" s="2" t="s">
        <v>1850</v>
      </c>
      <c r="G620" s="2" t="s">
        <v>12</v>
      </c>
      <c r="H620" s="7" t="s">
        <v>1672</v>
      </c>
      <c r="I620" s="2"/>
      <c r="J620" s="2"/>
      <c r="K620" s="2"/>
      <c r="L620" s="2"/>
    </row>
    <row r="621" ht="15.75" customHeight="1">
      <c r="A621" s="3">
        <v>619.0</v>
      </c>
      <c r="B621" s="2" t="s">
        <v>1851</v>
      </c>
      <c r="C621" s="2" t="s">
        <v>1524</v>
      </c>
      <c r="D621" s="2" t="s">
        <v>335</v>
      </c>
      <c r="E621" s="3">
        <v>5.7005600018E11</v>
      </c>
      <c r="F621" s="2" t="s">
        <v>1852</v>
      </c>
      <c r="G621" s="2" t="s">
        <v>12</v>
      </c>
      <c r="H621" s="7" t="s">
        <v>1672</v>
      </c>
      <c r="I621" s="2"/>
      <c r="J621" s="2"/>
      <c r="K621" s="2"/>
      <c r="L621" s="2"/>
    </row>
    <row r="622" ht="15.75" customHeight="1">
      <c r="A622" s="3">
        <v>620.0</v>
      </c>
      <c r="B622" s="4" t="s">
        <v>1853</v>
      </c>
      <c r="C622" s="2" t="s">
        <v>1854</v>
      </c>
      <c r="D622" s="2" t="s">
        <v>203</v>
      </c>
      <c r="E622" s="3">
        <v>5.70056000183E11</v>
      </c>
      <c r="F622" s="2" t="s">
        <v>1855</v>
      </c>
      <c r="G622" s="2" t="s">
        <v>12</v>
      </c>
      <c r="H622" s="7" t="s">
        <v>1672</v>
      </c>
      <c r="I622" s="2"/>
      <c r="J622" s="2"/>
      <c r="K622" s="2"/>
      <c r="L622" s="2"/>
    </row>
    <row r="623" ht="15.75" customHeight="1">
      <c r="A623" s="3">
        <v>621.0</v>
      </c>
      <c r="B623" s="2" t="s">
        <v>1856</v>
      </c>
      <c r="C623" s="2" t="s">
        <v>1813</v>
      </c>
      <c r="D623" s="2" t="s">
        <v>1370</v>
      </c>
      <c r="E623" s="3">
        <v>5.70056000184E11</v>
      </c>
      <c r="F623" s="2" t="s">
        <v>1857</v>
      </c>
      <c r="G623" s="2" t="s">
        <v>12</v>
      </c>
      <c r="H623" s="7" t="s">
        <v>1672</v>
      </c>
      <c r="I623" s="2"/>
      <c r="J623" s="2"/>
      <c r="K623" s="2"/>
      <c r="L623" s="2"/>
    </row>
    <row r="624" ht="15.75" customHeight="1">
      <c r="A624" s="3">
        <v>622.0</v>
      </c>
      <c r="B624" s="2" t="s">
        <v>1858</v>
      </c>
      <c r="C624" s="2" t="s">
        <v>1859</v>
      </c>
      <c r="D624" s="2" t="s">
        <v>278</v>
      </c>
      <c r="E624" s="3">
        <v>5.70056000185E11</v>
      </c>
      <c r="F624" s="2" t="s">
        <v>1860</v>
      </c>
      <c r="G624" s="2" t="s">
        <v>12</v>
      </c>
      <c r="H624" s="7" t="s">
        <v>1672</v>
      </c>
      <c r="I624" s="2"/>
      <c r="J624" s="2"/>
      <c r="K624" s="2"/>
      <c r="L624" s="2"/>
    </row>
    <row r="625" ht="15.75" customHeight="1">
      <c r="A625" s="3">
        <v>623.0</v>
      </c>
      <c r="B625" s="2" t="s">
        <v>162</v>
      </c>
      <c r="C625" s="2" t="s">
        <v>1861</v>
      </c>
      <c r="D625" s="2" t="s">
        <v>247</v>
      </c>
      <c r="E625" s="3">
        <v>5.70056000186E11</v>
      </c>
      <c r="F625" s="2" t="s">
        <v>1862</v>
      </c>
      <c r="G625" s="2" t="s">
        <v>12</v>
      </c>
      <c r="H625" s="7" t="s">
        <v>1672</v>
      </c>
      <c r="I625" s="2"/>
      <c r="J625" s="2"/>
      <c r="K625" s="2"/>
      <c r="L625" s="2"/>
    </row>
    <row r="626" ht="15.75" customHeight="1">
      <c r="A626" s="3">
        <v>624.0</v>
      </c>
      <c r="B626" s="2" t="s">
        <v>1863</v>
      </c>
      <c r="C626" s="2" t="s">
        <v>1864</v>
      </c>
      <c r="D626" s="2" t="s">
        <v>162</v>
      </c>
      <c r="E626" s="3">
        <v>5.70056000187E11</v>
      </c>
      <c r="F626" s="2" t="s">
        <v>1865</v>
      </c>
      <c r="G626" s="2" t="s">
        <v>12</v>
      </c>
      <c r="H626" s="7" t="s">
        <v>1672</v>
      </c>
      <c r="I626" s="2"/>
      <c r="J626" s="2"/>
      <c r="K626" s="2"/>
      <c r="L626" s="2"/>
    </row>
    <row r="627" ht="15.75" customHeight="1">
      <c r="A627" s="3">
        <v>625.0</v>
      </c>
      <c r="B627" s="2" t="s">
        <v>1488</v>
      </c>
      <c r="C627" s="2" t="s">
        <v>1866</v>
      </c>
      <c r="D627" s="2" t="s">
        <v>192</v>
      </c>
      <c r="E627" s="3">
        <v>5.70056000191E11</v>
      </c>
      <c r="F627" s="2" t="s">
        <v>1867</v>
      </c>
      <c r="G627" s="2" t="s">
        <v>12</v>
      </c>
      <c r="H627" s="7" t="s">
        <v>1672</v>
      </c>
      <c r="I627" s="2"/>
      <c r="J627" s="2"/>
      <c r="K627" s="2"/>
      <c r="L627" s="2"/>
    </row>
    <row r="628" ht="15.75" customHeight="1">
      <c r="A628" s="3">
        <v>626.0</v>
      </c>
      <c r="B628" s="2" t="s">
        <v>1868</v>
      </c>
      <c r="C628" s="2" t="s">
        <v>1869</v>
      </c>
      <c r="D628" s="2" t="s">
        <v>236</v>
      </c>
      <c r="E628" s="3">
        <v>5.70056000192E11</v>
      </c>
      <c r="F628" s="2" t="s">
        <v>1870</v>
      </c>
      <c r="G628" s="2" t="s">
        <v>12</v>
      </c>
      <c r="H628" s="7" t="s">
        <v>1672</v>
      </c>
      <c r="I628" s="2"/>
      <c r="J628" s="2"/>
      <c r="K628" s="2"/>
      <c r="L628" s="2"/>
    </row>
    <row r="629" ht="15.75" customHeight="1">
      <c r="A629" s="3">
        <v>627.0</v>
      </c>
      <c r="B629" s="2" t="s">
        <v>1871</v>
      </c>
      <c r="C629" s="2" t="s">
        <v>1872</v>
      </c>
      <c r="D629" s="2" t="s">
        <v>1591</v>
      </c>
      <c r="E629" s="3">
        <v>5.70056000195E11</v>
      </c>
      <c r="F629" s="2" t="s">
        <v>1873</v>
      </c>
      <c r="G629" s="2" t="s">
        <v>187</v>
      </c>
      <c r="H629" s="7" t="s">
        <v>1672</v>
      </c>
      <c r="I629" s="2"/>
      <c r="J629" s="2"/>
      <c r="K629" s="2"/>
      <c r="L629" s="2"/>
    </row>
    <row r="630" ht="15.75" customHeight="1">
      <c r="A630" s="3">
        <v>628.0</v>
      </c>
      <c r="B630" s="2" t="s">
        <v>1874</v>
      </c>
      <c r="C630" s="2" t="s">
        <v>1875</v>
      </c>
      <c r="D630" s="2" t="s">
        <v>1876</v>
      </c>
      <c r="E630" s="5">
        <v>5.70056000038E11</v>
      </c>
      <c r="F630" s="2" t="s">
        <v>1877</v>
      </c>
      <c r="G630" s="2" t="s">
        <v>12</v>
      </c>
      <c r="H630" s="7" t="s">
        <v>1672</v>
      </c>
      <c r="I630" s="2"/>
      <c r="J630" s="2"/>
      <c r="K630" s="2"/>
      <c r="L630" s="2"/>
    </row>
    <row r="631" ht="15.75" customHeight="1">
      <c r="A631" s="3">
        <v>629.0</v>
      </c>
      <c r="B631" s="2" t="s">
        <v>1878</v>
      </c>
      <c r="C631" s="2" t="s">
        <v>1879</v>
      </c>
      <c r="D631" s="2" t="s">
        <v>66</v>
      </c>
      <c r="E631" s="3">
        <v>5.70056000043E11</v>
      </c>
      <c r="F631" s="2" t="s">
        <v>1880</v>
      </c>
      <c r="G631" s="2" t="s">
        <v>12</v>
      </c>
      <c r="H631" s="7" t="s">
        <v>1672</v>
      </c>
      <c r="I631" s="2"/>
      <c r="J631" s="2"/>
      <c r="K631" s="2"/>
      <c r="L631" s="2"/>
    </row>
    <row r="632" ht="15.75" customHeight="1">
      <c r="A632" s="3">
        <v>630.0</v>
      </c>
      <c r="B632" s="2" t="s">
        <v>558</v>
      </c>
      <c r="C632" s="2" t="s">
        <v>1460</v>
      </c>
      <c r="D632" s="2" t="s">
        <v>1881</v>
      </c>
      <c r="E632" s="3">
        <v>5.70056000066E11</v>
      </c>
      <c r="F632" s="2" t="s">
        <v>1882</v>
      </c>
      <c r="G632" s="2" t="s">
        <v>1811</v>
      </c>
      <c r="H632" s="7" t="s">
        <v>1672</v>
      </c>
      <c r="I632" s="2"/>
      <c r="J632" s="2"/>
      <c r="K632" s="2"/>
      <c r="L632" s="2"/>
    </row>
    <row r="633" ht="15.75" customHeight="1">
      <c r="A633" s="3">
        <v>631.0</v>
      </c>
      <c r="B633" s="2" t="s">
        <v>1883</v>
      </c>
      <c r="C633" s="2" t="s">
        <v>1859</v>
      </c>
      <c r="D633" s="2" t="s">
        <v>1884</v>
      </c>
      <c r="E633" s="3">
        <v>5.70056000083E11</v>
      </c>
      <c r="F633" s="2" t="s">
        <v>1885</v>
      </c>
      <c r="G633" s="2" t="s">
        <v>12</v>
      </c>
      <c r="H633" s="7" t="s">
        <v>1672</v>
      </c>
      <c r="I633" s="2"/>
      <c r="J633" s="2"/>
      <c r="K633" s="2"/>
      <c r="L633" s="2"/>
    </row>
    <row r="634" ht="15.75" customHeight="1">
      <c r="A634" s="3">
        <v>632.0</v>
      </c>
      <c r="B634" s="2" t="s">
        <v>1886</v>
      </c>
      <c r="C634" s="2" t="s">
        <v>165</v>
      </c>
      <c r="D634" s="2" t="s">
        <v>1887</v>
      </c>
      <c r="E634" s="3">
        <v>5.70056000084E11</v>
      </c>
      <c r="F634" s="2" t="s">
        <v>1888</v>
      </c>
      <c r="G634" s="2" t="s">
        <v>187</v>
      </c>
      <c r="H634" s="7" t="s">
        <v>1672</v>
      </c>
      <c r="I634" s="2"/>
      <c r="J634" s="2"/>
      <c r="K634" s="2"/>
      <c r="L634" s="2"/>
    </row>
    <row r="635" ht="15.75" customHeight="1">
      <c r="A635" s="3">
        <v>633.0</v>
      </c>
      <c r="B635" s="2" t="s">
        <v>1742</v>
      </c>
      <c r="C635" s="2" t="s">
        <v>1889</v>
      </c>
      <c r="D635" s="2" t="s">
        <v>1890</v>
      </c>
      <c r="E635" s="5">
        <v>5.70056000095E11</v>
      </c>
      <c r="F635" s="2" t="s">
        <v>1891</v>
      </c>
      <c r="G635" s="2" t="s">
        <v>12</v>
      </c>
      <c r="H635" s="7" t="s">
        <v>1672</v>
      </c>
      <c r="I635" s="2"/>
      <c r="J635" s="2"/>
      <c r="K635" s="2"/>
      <c r="L635" s="2"/>
    </row>
    <row r="636" ht="15.75" customHeight="1">
      <c r="A636" s="3">
        <v>634.0</v>
      </c>
      <c r="B636" s="2" t="s">
        <v>988</v>
      </c>
      <c r="C636" s="2" t="s">
        <v>1892</v>
      </c>
      <c r="D636" s="2" t="s">
        <v>1893</v>
      </c>
      <c r="E636" s="3">
        <v>5.70056000119E11</v>
      </c>
      <c r="F636" s="2" t="s">
        <v>1894</v>
      </c>
      <c r="G636" s="2" t="s">
        <v>12</v>
      </c>
      <c r="H636" s="7" t="s">
        <v>1672</v>
      </c>
      <c r="I636" s="2"/>
      <c r="J636" s="2"/>
      <c r="K636" s="2"/>
      <c r="L636" s="2"/>
    </row>
    <row r="637" ht="15.75" customHeight="1">
      <c r="A637" s="3">
        <v>635.0</v>
      </c>
      <c r="B637" s="2" t="s">
        <v>1895</v>
      </c>
      <c r="C637" s="2" t="s">
        <v>1896</v>
      </c>
      <c r="D637" s="2" t="s">
        <v>1897</v>
      </c>
      <c r="E637" s="3">
        <v>5.7005600014E11</v>
      </c>
      <c r="F637" s="2" t="s">
        <v>1898</v>
      </c>
      <c r="G637" s="2" t="s">
        <v>12</v>
      </c>
      <c r="H637" s="7" t="s">
        <v>1672</v>
      </c>
      <c r="I637" s="2"/>
      <c r="J637" s="2"/>
      <c r="K637" s="2"/>
      <c r="L637" s="2"/>
    </row>
    <row r="638" ht="15.75" customHeight="1">
      <c r="A638" s="3">
        <v>636.0</v>
      </c>
      <c r="B638" s="2" t="s">
        <v>611</v>
      </c>
      <c r="C638" s="2" t="s">
        <v>1899</v>
      </c>
      <c r="D638" s="2" t="s">
        <v>117</v>
      </c>
      <c r="E638" s="3">
        <v>5.70056000167E11</v>
      </c>
      <c r="F638" s="2" t="s">
        <v>1900</v>
      </c>
      <c r="G638" s="2" t="s">
        <v>12</v>
      </c>
      <c r="H638" s="7" t="s">
        <v>1672</v>
      </c>
      <c r="I638" s="2"/>
      <c r="J638" s="2"/>
      <c r="K638" s="2"/>
      <c r="L638" s="2"/>
    </row>
    <row r="639" ht="15.75" customHeight="1">
      <c r="A639" s="3">
        <v>637.0</v>
      </c>
      <c r="B639" s="2" t="s">
        <v>18</v>
      </c>
      <c r="C639" s="2" t="s">
        <v>1901</v>
      </c>
      <c r="D639" s="2" t="s">
        <v>106</v>
      </c>
      <c r="E639" s="3">
        <v>5.7005600017E11</v>
      </c>
      <c r="F639" s="2" t="s">
        <v>1902</v>
      </c>
      <c r="G639" s="2" t="s">
        <v>187</v>
      </c>
      <c r="H639" s="7" t="s">
        <v>1672</v>
      </c>
      <c r="I639" s="2"/>
      <c r="J639" s="2"/>
      <c r="K639" s="2"/>
      <c r="L639" s="2"/>
    </row>
    <row r="640" ht="15.75" customHeight="1">
      <c r="A640" s="3">
        <v>638.0</v>
      </c>
      <c r="B640" s="2" t="s">
        <v>1903</v>
      </c>
      <c r="C640" s="2" t="s">
        <v>1904</v>
      </c>
      <c r="D640" s="2" t="s">
        <v>1728</v>
      </c>
      <c r="E640" s="3">
        <v>5.70056000035E11</v>
      </c>
      <c r="F640" s="2" t="s">
        <v>1905</v>
      </c>
      <c r="G640" s="2" t="s">
        <v>12</v>
      </c>
      <c r="H640" s="7" t="s">
        <v>1672</v>
      </c>
      <c r="I640" s="2"/>
      <c r="J640" s="2"/>
      <c r="K640" s="2"/>
      <c r="L640" s="2"/>
    </row>
    <row r="641" ht="15.75" customHeight="1">
      <c r="A641" s="3">
        <v>639.0</v>
      </c>
      <c r="B641" s="2" t="s">
        <v>1906</v>
      </c>
      <c r="C641" s="2" t="s">
        <v>1907</v>
      </c>
      <c r="D641" s="2" t="s">
        <v>1908</v>
      </c>
      <c r="E641" s="3">
        <v>5.70056000042E11</v>
      </c>
      <c r="F641" s="2" t="s">
        <v>1909</v>
      </c>
      <c r="G641" s="2" t="s">
        <v>12</v>
      </c>
      <c r="H641" s="7" t="s">
        <v>1672</v>
      </c>
      <c r="I641" s="2"/>
      <c r="J641" s="2"/>
      <c r="K641" s="2"/>
      <c r="L641" s="2"/>
    </row>
    <row r="642" ht="15.75" customHeight="1">
      <c r="A642" s="3">
        <v>640.0</v>
      </c>
      <c r="B642" s="2" t="s">
        <v>1910</v>
      </c>
      <c r="C642" s="2" t="s">
        <v>1911</v>
      </c>
      <c r="D642" s="2" t="s">
        <v>1912</v>
      </c>
      <c r="E642" s="3">
        <v>5.70056000046E11</v>
      </c>
      <c r="F642" s="2" t="s">
        <v>1909</v>
      </c>
      <c r="G642" s="2" t="s">
        <v>12</v>
      </c>
      <c r="H642" s="7" t="s">
        <v>1672</v>
      </c>
      <c r="I642" s="2"/>
      <c r="J642" s="2"/>
      <c r="K642" s="2"/>
      <c r="L642" s="2"/>
    </row>
    <row r="643" ht="15.75" customHeight="1">
      <c r="A643" s="3">
        <v>641.0</v>
      </c>
      <c r="B643" s="2" t="s">
        <v>1913</v>
      </c>
      <c r="C643" s="2" t="s">
        <v>1914</v>
      </c>
      <c r="D643" s="2" t="s">
        <v>1915</v>
      </c>
      <c r="E643" s="3">
        <v>5.70056000051E11</v>
      </c>
      <c r="F643" s="2" t="s">
        <v>1916</v>
      </c>
      <c r="G643" s="2" t="s">
        <v>12</v>
      </c>
      <c r="H643" s="7" t="s">
        <v>1672</v>
      </c>
      <c r="I643" s="2"/>
      <c r="J643" s="2"/>
      <c r="K643" s="2"/>
      <c r="L643" s="2"/>
    </row>
    <row r="644" ht="15.75" customHeight="1">
      <c r="A644" s="3">
        <v>642.0</v>
      </c>
      <c r="B644" s="2" t="s">
        <v>1917</v>
      </c>
      <c r="C644" s="2" t="s">
        <v>1918</v>
      </c>
      <c r="D644" s="2" t="s">
        <v>115</v>
      </c>
      <c r="E644" s="3">
        <v>5.70056000056E11</v>
      </c>
      <c r="F644" s="2" t="s">
        <v>1919</v>
      </c>
      <c r="G644" s="2" t="s">
        <v>12</v>
      </c>
      <c r="H644" s="7" t="s">
        <v>1672</v>
      </c>
      <c r="I644" s="2"/>
      <c r="J644" s="2"/>
      <c r="K644" s="2"/>
      <c r="L644" s="2"/>
    </row>
    <row r="645" ht="15.75" customHeight="1">
      <c r="A645" s="3">
        <v>643.0</v>
      </c>
      <c r="B645" s="2" t="s">
        <v>1920</v>
      </c>
      <c r="C645" s="2" t="s">
        <v>1921</v>
      </c>
      <c r="D645" s="2" t="s">
        <v>1922</v>
      </c>
      <c r="E645" s="3">
        <v>5.70056000063E11</v>
      </c>
      <c r="F645" s="2" t="s">
        <v>1923</v>
      </c>
      <c r="G645" s="2" t="s">
        <v>12</v>
      </c>
      <c r="H645" s="7" t="s">
        <v>1672</v>
      </c>
      <c r="I645" s="2"/>
      <c r="J645" s="2"/>
      <c r="K645" s="2"/>
      <c r="L645" s="2"/>
    </row>
    <row r="646" ht="15.75" customHeight="1">
      <c r="A646" s="3">
        <v>644.0</v>
      </c>
      <c r="B646" s="2" t="s">
        <v>1924</v>
      </c>
      <c r="C646" s="2" t="s">
        <v>1925</v>
      </c>
      <c r="D646" s="2" t="s">
        <v>1926</v>
      </c>
      <c r="E646" s="3">
        <v>5.70056000068E11</v>
      </c>
      <c r="F646" s="2" t="s">
        <v>1927</v>
      </c>
      <c r="G646" s="2" t="s">
        <v>12</v>
      </c>
      <c r="H646" s="7" t="s">
        <v>1672</v>
      </c>
      <c r="I646" s="2"/>
      <c r="J646" s="2"/>
      <c r="K646" s="2"/>
      <c r="L646" s="2"/>
    </row>
    <row r="647" ht="15.75" customHeight="1">
      <c r="A647" s="3">
        <v>645.0</v>
      </c>
      <c r="B647" s="2" t="s">
        <v>1928</v>
      </c>
      <c r="C647" s="2" t="s">
        <v>1929</v>
      </c>
      <c r="D647" s="2" t="s">
        <v>1930</v>
      </c>
      <c r="E647" s="3">
        <v>5.70056000114E11</v>
      </c>
      <c r="F647" s="2" t="s">
        <v>1931</v>
      </c>
      <c r="G647" s="2" t="s">
        <v>187</v>
      </c>
      <c r="H647" s="7" t="s">
        <v>1672</v>
      </c>
      <c r="I647" s="2"/>
      <c r="J647" s="2"/>
      <c r="K647" s="2"/>
      <c r="L647" s="2"/>
    </row>
    <row r="648" ht="15.75" customHeight="1">
      <c r="A648" s="3">
        <v>646.0</v>
      </c>
      <c r="B648" s="2" t="s">
        <v>1932</v>
      </c>
      <c r="C648" s="2" t="s">
        <v>1933</v>
      </c>
      <c r="D648" s="2" t="s">
        <v>776</v>
      </c>
      <c r="E648" s="3">
        <v>5.70056000117E11</v>
      </c>
      <c r="F648" s="2" t="s">
        <v>1934</v>
      </c>
      <c r="G648" s="2" t="s">
        <v>187</v>
      </c>
      <c r="H648" s="7" t="s">
        <v>1672</v>
      </c>
      <c r="I648" s="2"/>
      <c r="J648" s="2"/>
      <c r="K648" s="2"/>
      <c r="L648" s="2"/>
    </row>
    <row r="649" ht="15.75" customHeight="1">
      <c r="A649" s="3">
        <v>647.0</v>
      </c>
      <c r="B649" s="2" t="s">
        <v>456</v>
      </c>
      <c r="C649" s="2" t="s">
        <v>1935</v>
      </c>
      <c r="D649" s="2" t="s">
        <v>1936</v>
      </c>
      <c r="E649" s="3">
        <v>5.70056000131E11</v>
      </c>
      <c r="F649" s="2" t="s">
        <v>1937</v>
      </c>
      <c r="G649" s="2" t="s">
        <v>12</v>
      </c>
      <c r="H649" s="7" t="s">
        <v>1672</v>
      </c>
      <c r="I649" s="2"/>
      <c r="J649" s="2"/>
      <c r="K649" s="2"/>
      <c r="L649" s="2"/>
    </row>
    <row r="650" ht="15.75" customHeight="1">
      <c r="A650" s="3">
        <v>648.0</v>
      </c>
      <c r="B650" s="2" t="s">
        <v>278</v>
      </c>
      <c r="C650" s="2" t="s">
        <v>1938</v>
      </c>
      <c r="D650" s="2" t="s">
        <v>1939</v>
      </c>
      <c r="E650" s="3">
        <v>5.70056000134E11</v>
      </c>
      <c r="F650" s="2" t="s">
        <v>1940</v>
      </c>
      <c r="G650" s="2" t="s">
        <v>12</v>
      </c>
      <c r="H650" s="7" t="s">
        <v>1672</v>
      </c>
      <c r="I650" s="2"/>
      <c r="J650" s="2"/>
      <c r="K650" s="2"/>
      <c r="L650" s="2"/>
    </row>
    <row r="651" ht="15.75" customHeight="1">
      <c r="A651" s="3">
        <v>649.0</v>
      </c>
      <c r="B651" s="2" t="s">
        <v>1941</v>
      </c>
      <c r="C651" s="2" t="s">
        <v>1942</v>
      </c>
      <c r="D651" s="2" t="s">
        <v>205</v>
      </c>
      <c r="E651" s="3">
        <v>5.70056000036E11</v>
      </c>
      <c r="F651" s="2" t="s">
        <v>1943</v>
      </c>
      <c r="G651" s="2" t="s">
        <v>12</v>
      </c>
      <c r="H651" s="7" t="s">
        <v>1672</v>
      </c>
      <c r="I651" s="2"/>
      <c r="J651" s="2"/>
      <c r="K651" s="2"/>
      <c r="L651" s="2"/>
    </row>
    <row r="652" ht="15.75" customHeight="1">
      <c r="A652" s="3">
        <v>650.0</v>
      </c>
      <c r="B652" s="2" t="s">
        <v>1944</v>
      </c>
      <c r="C652" s="2" t="s">
        <v>1945</v>
      </c>
      <c r="D652" s="2" t="s">
        <v>1946</v>
      </c>
      <c r="E652" s="3">
        <v>5.70056000044E11</v>
      </c>
      <c r="F652" s="2" t="s">
        <v>1947</v>
      </c>
      <c r="G652" s="2" t="s">
        <v>12</v>
      </c>
      <c r="H652" s="7" t="s">
        <v>1672</v>
      </c>
      <c r="I652" s="2"/>
      <c r="J652" s="2"/>
      <c r="K652" s="2"/>
      <c r="L652" s="2"/>
    </row>
    <row r="653" ht="15.75" customHeight="1">
      <c r="A653" s="3">
        <v>651.0</v>
      </c>
      <c r="B653" s="2" t="s">
        <v>1948</v>
      </c>
      <c r="C653" s="2" t="s">
        <v>1210</v>
      </c>
      <c r="D653" s="2" t="s">
        <v>1949</v>
      </c>
      <c r="E653" s="3">
        <v>5.70056000052E11</v>
      </c>
      <c r="F653" s="2" t="s">
        <v>1950</v>
      </c>
      <c r="G653" s="2" t="s">
        <v>12</v>
      </c>
      <c r="H653" s="7" t="s">
        <v>1672</v>
      </c>
      <c r="I653" s="2"/>
      <c r="J653" s="2"/>
      <c r="K653" s="2"/>
      <c r="L653" s="2"/>
    </row>
    <row r="654" ht="15.75" customHeight="1">
      <c r="A654" s="3">
        <v>652.0</v>
      </c>
      <c r="B654" s="2" t="s">
        <v>1951</v>
      </c>
      <c r="C654" s="2" t="s">
        <v>1700</v>
      </c>
      <c r="D654" s="2" t="s">
        <v>106</v>
      </c>
      <c r="E654" s="3">
        <v>5.70056000058E11</v>
      </c>
      <c r="F654" s="2" t="s">
        <v>1952</v>
      </c>
      <c r="G654" s="2" t="s">
        <v>187</v>
      </c>
      <c r="H654" s="7" t="s">
        <v>1672</v>
      </c>
      <c r="I654" s="2"/>
      <c r="J654" s="2"/>
      <c r="K654" s="2"/>
      <c r="L654" s="2"/>
    </row>
    <row r="655" ht="15.75" customHeight="1">
      <c r="A655" s="3">
        <v>653.0</v>
      </c>
      <c r="B655" s="2" t="s">
        <v>1953</v>
      </c>
      <c r="C655" s="2" t="s">
        <v>559</v>
      </c>
      <c r="D655" s="2" t="s">
        <v>1954</v>
      </c>
      <c r="E655" s="3">
        <v>5.7005600006E11</v>
      </c>
      <c r="F655" s="2" t="s">
        <v>1955</v>
      </c>
      <c r="G655" s="2" t="s">
        <v>12</v>
      </c>
      <c r="H655" s="7" t="s">
        <v>1672</v>
      </c>
      <c r="I655" s="2"/>
      <c r="J655" s="2"/>
      <c r="K655" s="2"/>
      <c r="L655" s="2"/>
    </row>
    <row r="656" ht="15.75" customHeight="1">
      <c r="A656" s="3">
        <v>654.0</v>
      </c>
      <c r="B656" s="2" t="s">
        <v>249</v>
      </c>
      <c r="C656" s="2" t="s">
        <v>1956</v>
      </c>
      <c r="D656" s="2" t="s">
        <v>946</v>
      </c>
      <c r="E656" s="3">
        <v>5.70056000069E11</v>
      </c>
      <c r="F656" s="2" t="s">
        <v>1957</v>
      </c>
      <c r="G656" s="2" t="s">
        <v>187</v>
      </c>
      <c r="H656" s="7" t="s">
        <v>1672</v>
      </c>
      <c r="I656" s="2"/>
      <c r="J656" s="2"/>
      <c r="K656" s="2"/>
      <c r="L656" s="2"/>
    </row>
    <row r="657" ht="15.75" customHeight="1">
      <c r="A657" s="3">
        <v>655.0</v>
      </c>
      <c r="B657" s="2" t="s">
        <v>1958</v>
      </c>
      <c r="C657" s="2" t="s">
        <v>1959</v>
      </c>
      <c r="D657" s="2" t="s">
        <v>117</v>
      </c>
      <c r="E657" s="3">
        <v>5.70056000071E11</v>
      </c>
      <c r="F657" s="2" t="s">
        <v>1955</v>
      </c>
      <c r="G657" s="2" t="s">
        <v>187</v>
      </c>
      <c r="H657" s="7" t="s">
        <v>1672</v>
      </c>
      <c r="I657" s="2"/>
      <c r="J657" s="2"/>
      <c r="K657" s="2"/>
      <c r="L657" s="2"/>
    </row>
    <row r="658" ht="15.75" customHeight="1">
      <c r="A658" s="3">
        <v>656.0</v>
      </c>
      <c r="B658" s="2" t="s">
        <v>179</v>
      </c>
      <c r="C658" s="2" t="s">
        <v>1960</v>
      </c>
      <c r="D658" s="2" t="s">
        <v>1961</v>
      </c>
      <c r="E658" s="3">
        <v>5.70056000092E11</v>
      </c>
      <c r="F658" s="2" t="s">
        <v>1962</v>
      </c>
      <c r="G658" s="2" t="s">
        <v>12</v>
      </c>
      <c r="H658" s="7" t="s">
        <v>1672</v>
      </c>
      <c r="I658" s="2"/>
      <c r="J658" s="2"/>
      <c r="K658" s="2"/>
      <c r="L658" s="2"/>
    </row>
    <row r="659" ht="15.75" customHeight="1">
      <c r="A659" s="3">
        <v>657.0</v>
      </c>
      <c r="B659" s="2" t="s">
        <v>437</v>
      </c>
      <c r="C659" s="2" t="s">
        <v>1963</v>
      </c>
      <c r="D659" s="2" t="s">
        <v>1964</v>
      </c>
      <c r="E659" s="3">
        <v>5.70056000094E11</v>
      </c>
      <c r="F659" s="2" t="s">
        <v>1965</v>
      </c>
      <c r="G659" s="2" t="s">
        <v>12</v>
      </c>
      <c r="H659" s="7" t="s">
        <v>1672</v>
      </c>
      <c r="I659" s="2"/>
      <c r="J659" s="2"/>
      <c r="K659" s="2"/>
      <c r="L659" s="2"/>
    </row>
    <row r="660" ht="15.75" customHeight="1">
      <c r="A660" s="3">
        <v>658.0</v>
      </c>
      <c r="B660" s="2" t="s">
        <v>650</v>
      </c>
      <c r="C660" s="2" t="s">
        <v>1460</v>
      </c>
      <c r="D660" s="2" t="s">
        <v>1966</v>
      </c>
      <c r="E660" s="3">
        <v>5.70056000138E11</v>
      </c>
      <c r="F660" s="2" t="s">
        <v>1967</v>
      </c>
      <c r="G660" s="2" t="s">
        <v>12</v>
      </c>
      <c r="H660" s="7" t="s">
        <v>1672</v>
      </c>
      <c r="I660" s="2"/>
      <c r="J660" s="2"/>
      <c r="K660" s="2"/>
      <c r="L660" s="2"/>
    </row>
    <row r="661" ht="15.75" customHeight="1">
      <c r="A661" s="3">
        <v>659.0</v>
      </c>
      <c r="B661" s="2" t="s">
        <v>345</v>
      </c>
      <c r="C661" s="2" t="s">
        <v>1968</v>
      </c>
      <c r="D661" s="2" t="s">
        <v>1969</v>
      </c>
      <c r="E661" s="3">
        <v>5.70056000158E11</v>
      </c>
      <c r="F661" s="2" t="s">
        <v>1970</v>
      </c>
      <c r="G661" s="2" t="s">
        <v>12</v>
      </c>
      <c r="H661" s="7" t="s">
        <v>1672</v>
      </c>
      <c r="I661" s="2"/>
      <c r="J661" s="2"/>
      <c r="K661" s="2"/>
      <c r="L661" s="2"/>
    </row>
    <row r="662" ht="15.75" customHeight="1">
      <c r="A662" s="3">
        <v>660.0</v>
      </c>
      <c r="B662" s="2" t="s">
        <v>1971</v>
      </c>
      <c r="C662" s="2" t="s">
        <v>1972</v>
      </c>
      <c r="D662" s="2" t="s">
        <v>217</v>
      </c>
      <c r="E662" s="3">
        <v>5.70056000169E11</v>
      </c>
      <c r="F662" s="2" t="s">
        <v>1973</v>
      </c>
      <c r="G662" s="2" t="s">
        <v>187</v>
      </c>
      <c r="H662" s="7" t="s">
        <v>1672</v>
      </c>
      <c r="I662" s="2"/>
      <c r="J662" s="2"/>
      <c r="K662" s="2"/>
      <c r="L662" s="2"/>
    </row>
    <row r="663" ht="15.75" customHeight="1">
      <c r="A663" s="3">
        <v>661.0</v>
      </c>
      <c r="B663" s="2" t="s">
        <v>1974</v>
      </c>
      <c r="C663" s="2" t="s">
        <v>1956</v>
      </c>
      <c r="D663" s="2" t="s">
        <v>898</v>
      </c>
      <c r="E663" s="3">
        <v>5.70056000201E11</v>
      </c>
      <c r="F663" s="2" t="s">
        <v>1975</v>
      </c>
      <c r="G663" s="2" t="s">
        <v>12</v>
      </c>
      <c r="H663" s="7" t="s">
        <v>1672</v>
      </c>
      <c r="I663" s="2"/>
      <c r="J663" s="2"/>
      <c r="K663" s="2"/>
      <c r="L663" s="2"/>
    </row>
    <row r="664" ht="15.75" customHeight="1">
      <c r="A664" s="3">
        <v>662.0</v>
      </c>
      <c r="B664" s="2" t="s">
        <v>1976</v>
      </c>
      <c r="C664" s="2" t="s">
        <v>1977</v>
      </c>
      <c r="D664" s="2" t="s">
        <v>1181</v>
      </c>
      <c r="E664" s="3">
        <v>5.70056000206E11</v>
      </c>
      <c r="F664" s="2" t="s">
        <v>1978</v>
      </c>
      <c r="G664" s="2" t="s">
        <v>12</v>
      </c>
      <c r="H664" s="7" t="s">
        <v>1979</v>
      </c>
      <c r="I664" s="2"/>
      <c r="J664" s="2"/>
      <c r="K664" s="2" t="s">
        <v>101</v>
      </c>
      <c r="L664" s="2"/>
    </row>
    <row r="665" ht="15.75" customHeight="1">
      <c r="A665" s="3">
        <v>663.0</v>
      </c>
      <c r="B665" s="2" t="s">
        <v>1980</v>
      </c>
      <c r="C665" s="2" t="s">
        <v>1981</v>
      </c>
      <c r="D665" s="2" t="s">
        <v>584</v>
      </c>
      <c r="E665" s="3">
        <v>5.70056000208E11</v>
      </c>
      <c r="F665" s="2" t="s">
        <v>1982</v>
      </c>
      <c r="G665" s="2" t="s">
        <v>12</v>
      </c>
      <c r="H665" s="7" t="s">
        <v>1672</v>
      </c>
      <c r="I665" s="2"/>
      <c r="J665" s="2"/>
      <c r="K665" s="2"/>
      <c r="L665" s="2"/>
    </row>
    <row r="666" ht="15.75" customHeight="1">
      <c r="A666" s="3">
        <v>664.0</v>
      </c>
      <c r="B666" s="2" t="s">
        <v>1983</v>
      </c>
      <c r="C666" s="2" t="s">
        <v>1984</v>
      </c>
      <c r="D666" s="2" t="s">
        <v>1985</v>
      </c>
      <c r="E666" s="3">
        <v>5.7005600021E11</v>
      </c>
      <c r="F666" s="2" t="s">
        <v>1986</v>
      </c>
      <c r="G666" s="2" t="s">
        <v>12</v>
      </c>
      <c r="H666" s="7" t="s">
        <v>1672</v>
      </c>
      <c r="I666" s="2"/>
      <c r="J666" s="2"/>
      <c r="K666" s="2"/>
      <c r="L666" s="2"/>
    </row>
    <row r="667" ht="15.75" customHeight="1">
      <c r="A667" s="3">
        <v>665.0</v>
      </c>
      <c r="B667" s="2" t="s">
        <v>1987</v>
      </c>
      <c r="C667" s="2" t="s">
        <v>1988</v>
      </c>
      <c r="D667" s="2" t="s">
        <v>1989</v>
      </c>
      <c r="E667" s="3">
        <v>5.70056000212E11</v>
      </c>
      <c r="F667" s="2" t="s">
        <v>1990</v>
      </c>
      <c r="G667" s="2" t="s">
        <v>12</v>
      </c>
      <c r="H667" s="7" t="s">
        <v>1672</v>
      </c>
      <c r="I667" s="2"/>
      <c r="J667" s="2"/>
      <c r="K667" s="2"/>
      <c r="L667" s="2"/>
    </row>
    <row r="668" ht="15.75" customHeight="1">
      <c r="A668" s="3">
        <v>666.0</v>
      </c>
      <c r="B668" s="2" t="s">
        <v>1991</v>
      </c>
      <c r="C668" s="2" t="s">
        <v>1992</v>
      </c>
      <c r="D668" s="2" t="s">
        <v>984</v>
      </c>
      <c r="E668" s="3">
        <v>5.70056000219E11</v>
      </c>
      <c r="F668" s="2" t="s">
        <v>1993</v>
      </c>
      <c r="G668" s="2" t="s">
        <v>12</v>
      </c>
      <c r="H668" s="7" t="s">
        <v>1672</v>
      </c>
      <c r="I668" s="2"/>
      <c r="J668" s="2"/>
      <c r="K668" s="2"/>
      <c r="L668" s="2"/>
    </row>
    <row r="669" ht="15.75" customHeight="1">
      <c r="A669" s="3">
        <v>667.0</v>
      </c>
      <c r="B669" s="2" t="s">
        <v>1994</v>
      </c>
      <c r="C669" s="2" t="s">
        <v>1995</v>
      </c>
      <c r="D669" s="2" t="s">
        <v>1996</v>
      </c>
      <c r="E669" s="3">
        <v>5.7005600022E11</v>
      </c>
      <c r="F669" s="2" t="s">
        <v>1997</v>
      </c>
      <c r="G669" s="2" t="s">
        <v>12</v>
      </c>
      <c r="H669" s="7" t="s">
        <v>1672</v>
      </c>
      <c r="I669" s="2"/>
      <c r="J669" s="2"/>
      <c r="K669" s="2"/>
      <c r="L669" s="2"/>
    </row>
    <row r="670" ht="15.75" customHeight="1">
      <c r="A670" s="3">
        <v>668.0</v>
      </c>
      <c r="B670" s="2" t="s">
        <v>1370</v>
      </c>
      <c r="C670" s="2" t="s">
        <v>1998</v>
      </c>
      <c r="D670" s="2" t="s">
        <v>1999</v>
      </c>
      <c r="E670" s="3">
        <v>5.70056000222E11</v>
      </c>
      <c r="F670" s="2" t="s">
        <v>1940</v>
      </c>
      <c r="G670" s="2" t="s">
        <v>12</v>
      </c>
      <c r="H670" s="7" t="s">
        <v>1979</v>
      </c>
      <c r="I670" s="2"/>
      <c r="J670" s="2"/>
      <c r="K670" s="2" t="s">
        <v>101</v>
      </c>
      <c r="L670" s="2"/>
    </row>
    <row r="671" ht="15.75" customHeight="1">
      <c r="A671" s="3">
        <v>669.0</v>
      </c>
      <c r="B671" s="2" t="s">
        <v>1665</v>
      </c>
      <c r="C671" s="2" t="s">
        <v>2000</v>
      </c>
      <c r="D671" s="2" t="s">
        <v>2001</v>
      </c>
      <c r="E671" s="3">
        <v>5.70056000223E11</v>
      </c>
      <c r="F671" s="2" t="s">
        <v>2002</v>
      </c>
      <c r="G671" s="2" t="s">
        <v>187</v>
      </c>
      <c r="H671" s="7" t="s">
        <v>1979</v>
      </c>
      <c r="I671" s="2"/>
      <c r="J671" s="2"/>
      <c r="K671" s="2" t="s">
        <v>101</v>
      </c>
      <c r="L671" s="2"/>
    </row>
    <row r="672" ht="15.75" customHeight="1">
      <c r="A672" s="3">
        <v>670.0</v>
      </c>
      <c r="B672" s="2" t="s">
        <v>627</v>
      </c>
      <c r="C672" s="2" t="s">
        <v>2003</v>
      </c>
      <c r="D672" s="2" t="s">
        <v>1154</v>
      </c>
      <c r="E672" s="3">
        <v>5.70056000224E11</v>
      </c>
      <c r="F672" s="2" t="s">
        <v>2004</v>
      </c>
      <c r="G672" s="2" t="s">
        <v>12</v>
      </c>
      <c r="H672" s="7" t="s">
        <v>1979</v>
      </c>
      <c r="I672" s="2"/>
      <c r="J672" s="2"/>
      <c r="K672" s="2" t="s">
        <v>101</v>
      </c>
      <c r="L672" s="2"/>
    </row>
    <row r="673" ht="15.75" customHeight="1">
      <c r="A673" s="3">
        <v>671.0</v>
      </c>
      <c r="B673" s="2" t="s">
        <v>1953</v>
      </c>
      <c r="C673" s="2" t="s">
        <v>2005</v>
      </c>
      <c r="D673" s="2" t="s">
        <v>2006</v>
      </c>
      <c r="E673" s="3">
        <v>5.70056000225E11</v>
      </c>
      <c r="F673" s="2" t="s">
        <v>2007</v>
      </c>
      <c r="G673" s="2" t="s">
        <v>12</v>
      </c>
      <c r="H673" s="7" t="s">
        <v>1979</v>
      </c>
      <c r="I673" s="2"/>
      <c r="J673" s="2"/>
      <c r="K673" s="2" t="s">
        <v>101</v>
      </c>
      <c r="L673" s="2"/>
    </row>
    <row r="674" ht="15.75" customHeight="1">
      <c r="A674" s="3">
        <v>672.0</v>
      </c>
      <c r="B674" s="2" t="s">
        <v>2008</v>
      </c>
      <c r="C674" s="2" t="s">
        <v>2009</v>
      </c>
      <c r="D674" s="2" t="s">
        <v>2010</v>
      </c>
      <c r="E674" s="3">
        <v>5.70056000226E11</v>
      </c>
      <c r="F674" s="2" t="s">
        <v>2011</v>
      </c>
      <c r="G674" s="2" t="s">
        <v>2012</v>
      </c>
      <c r="H674" s="7" t="s">
        <v>1672</v>
      </c>
      <c r="I674" s="2"/>
      <c r="J674" s="2"/>
      <c r="K674" s="2"/>
      <c r="L674" s="2"/>
    </row>
    <row r="675" ht="15.75" customHeight="1">
      <c r="A675" s="3">
        <v>673.0</v>
      </c>
      <c r="B675" s="2" t="s">
        <v>2013</v>
      </c>
      <c r="C675" s="2" t="s">
        <v>2014</v>
      </c>
      <c r="D675" s="2" t="s">
        <v>162</v>
      </c>
      <c r="E675" s="3">
        <v>5.70056000227E11</v>
      </c>
      <c r="F675" s="2" t="s">
        <v>2015</v>
      </c>
      <c r="G675" s="2" t="s">
        <v>187</v>
      </c>
      <c r="H675" s="7" t="s">
        <v>1672</v>
      </c>
      <c r="I675" s="2"/>
      <c r="J675" s="2"/>
      <c r="K675" s="2"/>
      <c r="L675" s="2"/>
    </row>
    <row r="676" ht="15.75" customHeight="1">
      <c r="A676" s="3">
        <v>674.0</v>
      </c>
      <c r="B676" s="2" t="s">
        <v>2016</v>
      </c>
      <c r="C676" s="2" t="s">
        <v>2017</v>
      </c>
      <c r="D676" s="2" t="s">
        <v>2018</v>
      </c>
      <c r="E676" s="3">
        <v>5.70056000231E11</v>
      </c>
      <c r="F676" s="2" t="s">
        <v>2019</v>
      </c>
      <c r="G676" s="2" t="s">
        <v>12</v>
      </c>
      <c r="H676" s="7" t="s">
        <v>1672</v>
      </c>
      <c r="I676" s="2"/>
      <c r="J676" s="2"/>
      <c r="K676" s="2"/>
      <c r="L676" s="2"/>
    </row>
    <row r="677" ht="15.75" customHeight="1">
      <c r="A677" s="3">
        <v>675.0</v>
      </c>
      <c r="B677" s="2" t="s">
        <v>2020</v>
      </c>
      <c r="C677" s="2" t="s">
        <v>51</v>
      </c>
      <c r="D677" s="2" t="s">
        <v>2021</v>
      </c>
      <c r="E677" s="3">
        <v>5.70056000235E11</v>
      </c>
      <c r="F677" s="2" t="s">
        <v>2022</v>
      </c>
      <c r="G677" s="2" t="s">
        <v>12</v>
      </c>
      <c r="H677" s="7" t="s">
        <v>2023</v>
      </c>
      <c r="I677" s="2"/>
      <c r="J677" s="2"/>
      <c r="K677" s="2" t="s">
        <v>101</v>
      </c>
      <c r="L677" s="2"/>
    </row>
    <row r="678" ht="15.75" customHeight="1">
      <c r="A678" s="3">
        <v>676.0</v>
      </c>
      <c r="B678" s="2" t="s">
        <v>1812</v>
      </c>
      <c r="C678" s="2" t="s">
        <v>2024</v>
      </c>
      <c r="D678" s="2" t="s">
        <v>2025</v>
      </c>
      <c r="E678" s="3">
        <v>5.70056000239E11</v>
      </c>
      <c r="F678" s="2" t="s">
        <v>2026</v>
      </c>
      <c r="G678" s="2" t="s">
        <v>12</v>
      </c>
      <c r="H678" s="7" t="s">
        <v>2027</v>
      </c>
      <c r="I678" s="2"/>
      <c r="J678" s="2"/>
      <c r="K678" s="2" t="s">
        <v>101</v>
      </c>
      <c r="L678" s="2"/>
    </row>
    <row r="679" ht="15.75" customHeight="1">
      <c r="A679" s="3">
        <v>677.0</v>
      </c>
      <c r="B679" s="2" t="s">
        <v>2028</v>
      </c>
      <c r="C679" s="2" t="s">
        <v>2029</v>
      </c>
      <c r="D679" s="2" t="s">
        <v>1805</v>
      </c>
      <c r="E679" s="3">
        <v>5.7005600024E11</v>
      </c>
      <c r="F679" s="2" t="s">
        <v>2030</v>
      </c>
      <c r="G679" s="2" t="s">
        <v>12</v>
      </c>
      <c r="H679" s="7" t="s">
        <v>1672</v>
      </c>
      <c r="I679" s="2"/>
      <c r="J679" s="2"/>
      <c r="K679" s="2"/>
      <c r="L679" s="2"/>
    </row>
    <row r="680" ht="15.75" customHeight="1">
      <c r="A680" s="3">
        <v>678.0</v>
      </c>
      <c r="B680" s="2" t="s">
        <v>2031</v>
      </c>
      <c r="C680" s="2" t="s">
        <v>2032</v>
      </c>
      <c r="D680" s="2" t="s">
        <v>2033</v>
      </c>
      <c r="E680" s="3">
        <v>5.70056000243E11</v>
      </c>
      <c r="F680" s="2" t="s">
        <v>2034</v>
      </c>
      <c r="G680" s="2" t="s">
        <v>12</v>
      </c>
      <c r="H680" s="7" t="s">
        <v>1672</v>
      </c>
      <c r="I680" s="2"/>
      <c r="J680" s="2"/>
      <c r="K680" s="2"/>
      <c r="L680" s="2"/>
    </row>
    <row r="681" ht="15.75" customHeight="1">
      <c r="A681" s="3">
        <v>679.0</v>
      </c>
      <c r="B681" s="2" t="s">
        <v>333</v>
      </c>
      <c r="C681" s="2" t="s">
        <v>2035</v>
      </c>
      <c r="D681" s="2" t="s">
        <v>2036</v>
      </c>
      <c r="E681" s="3">
        <v>5.70056000244E11</v>
      </c>
      <c r="F681" s="2" t="s">
        <v>2037</v>
      </c>
      <c r="G681" s="2" t="s">
        <v>12</v>
      </c>
      <c r="H681" s="7" t="s">
        <v>1672</v>
      </c>
      <c r="I681" s="2"/>
      <c r="J681" s="2"/>
      <c r="K681" s="2"/>
      <c r="L681" s="2"/>
    </row>
    <row r="682" ht="15.75" customHeight="1">
      <c r="A682" s="3">
        <v>680.0</v>
      </c>
      <c r="B682" s="2" t="s">
        <v>2038</v>
      </c>
      <c r="C682" s="2" t="s">
        <v>595</v>
      </c>
      <c r="D682" s="2" t="s">
        <v>2039</v>
      </c>
      <c r="E682" s="3">
        <v>5.70056000245E11</v>
      </c>
      <c r="F682" s="2" t="s">
        <v>2040</v>
      </c>
      <c r="G682" s="2" t="s">
        <v>12</v>
      </c>
      <c r="H682" s="7" t="s">
        <v>1979</v>
      </c>
      <c r="I682" s="2"/>
      <c r="J682" s="2"/>
      <c r="K682" s="2" t="s">
        <v>101</v>
      </c>
      <c r="L682" s="2"/>
    </row>
    <row r="683" ht="15.75" customHeight="1">
      <c r="A683" s="3">
        <v>681.0</v>
      </c>
      <c r="B683" s="2" t="s">
        <v>2041</v>
      </c>
      <c r="C683" s="2" t="s">
        <v>2042</v>
      </c>
      <c r="D683" s="2" t="s">
        <v>2043</v>
      </c>
      <c r="E683" s="3">
        <v>5.70056000246E11</v>
      </c>
      <c r="F683" s="2" t="s">
        <v>2044</v>
      </c>
      <c r="G683" s="2" t="s">
        <v>12</v>
      </c>
      <c r="H683" s="7" t="s">
        <v>1672</v>
      </c>
      <c r="I683" s="2"/>
      <c r="J683" s="2"/>
      <c r="K683" s="2"/>
      <c r="L683" s="2"/>
    </row>
    <row r="684" ht="15.75" customHeight="1">
      <c r="A684" s="3">
        <v>682.0</v>
      </c>
      <c r="B684" s="2" t="s">
        <v>2045</v>
      </c>
      <c r="C684" s="2" t="s">
        <v>2046</v>
      </c>
      <c r="D684" s="2" t="s">
        <v>2047</v>
      </c>
      <c r="E684" s="3">
        <v>5.70056000247E11</v>
      </c>
      <c r="F684" s="2" t="s">
        <v>2048</v>
      </c>
      <c r="G684" s="2" t="s">
        <v>12</v>
      </c>
      <c r="H684" s="7" t="s">
        <v>1979</v>
      </c>
      <c r="I684" s="2"/>
      <c r="J684" s="2"/>
      <c r="K684" s="2" t="s">
        <v>101</v>
      </c>
      <c r="L684" s="2"/>
    </row>
    <row r="685" ht="15.75" customHeight="1">
      <c r="A685" s="3">
        <v>683.0</v>
      </c>
      <c r="B685" s="4" t="s">
        <v>1200</v>
      </c>
      <c r="C685" s="2" t="s">
        <v>2049</v>
      </c>
      <c r="D685" s="2" t="s">
        <v>2050</v>
      </c>
      <c r="E685" s="3">
        <v>5.70056000249E11</v>
      </c>
      <c r="F685" s="2" t="s">
        <v>2051</v>
      </c>
      <c r="G685" s="2" t="s">
        <v>187</v>
      </c>
      <c r="H685" s="7" t="s">
        <v>1672</v>
      </c>
      <c r="I685" s="2"/>
      <c r="J685" s="2"/>
      <c r="K685" s="2"/>
      <c r="L685" s="2"/>
    </row>
    <row r="686" ht="15.75" customHeight="1">
      <c r="A686" s="3">
        <v>684.0</v>
      </c>
      <c r="B686" s="2" t="s">
        <v>1472</v>
      </c>
      <c r="C686" s="2" t="s">
        <v>325</v>
      </c>
      <c r="D686" s="2" t="s">
        <v>1355</v>
      </c>
      <c r="E686" s="3">
        <v>5.7005600025E11</v>
      </c>
      <c r="F686" s="2" t="s">
        <v>2052</v>
      </c>
      <c r="G686" s="2" t="s">
        <v>12</v>
      </c>
      <c r="H686" s="7" t="s">
        <v>1672</v>
      </c>
      <c r="I686" s="2"/>
      <c r="J686" s="2"/>
      <c r="K686" s="2"/>
      <c r="L686" s="2"/>
    </row>
    <row r="687" ht="15.75" customHeight="1">
      <c r="A687" s="3">
        <v>685.0</v>
      </c>
      <c r="B687" s="2" t="s">
        <v>2053</v>
      </c>
      <c r="C687" s="2" t="s">
        <v>2054</v>
      </c>
      <c r="D687" s="2" t="s">
        <v>2055</v>
      </c>
      <c r="E687" s="3">
        <v>5.70056000252E11</v>
      </c>
      <c r="F687" s="2" t="s">
        <v>2056</v>
      </c>
      <c r="G687" s="2" t="s">
        <v>12</v>
      </c>
      <c r="H687" s="7" t="s">
        <v>1672</v>
      </c>
      <c r="I687" s="2"/>
      <c r="J687" s="2"/>
      <c r="K687" s="2"/>
      <c r="L687" s="2"/>
    </row>
    <row r="688" ht="15.75" customHeight="1">
      <c r="A688" s="3">
        <v>686.0</v>
      </c>
      <c r="B688" s="2" t="s">
        <v>2057</v>
      </c>
      <c r="C688" s="2" t="s">
        <v>1842</v>
      </c>
      <c r="D688" s="2" t="s">
        <v>1235</v>
      </c>
      <c r="E688" s="3">
        <v>5.70056000255E11</v>
      </c>
      <c r="F688" s="2" t="s">
        <v>2058</v>
      </c>
      <c r="G688" s="2" t="s">
        <v>187</v>
      </c>
      <c r="H688" s="7" t="s">
        <v>1672</v>
      </c>
      <c r="I688" s="2"/>
      <c r="J688" s="2"/>
      <c r="K688" s="2"/>
      <c r="L688" s="2"/>
    </row>
    <row r="689" ht="15.75" customHeight="1">
      <c r="A689" s="3">
        <v>687.0</v>
      </c>
      <c r="B689" s="2" t="s">
        <v>2059</v>
      </c>
      <c r="C689" s="2" t="s">
        <v>2060</v>
      </c>
      <c r="D689" s="2" t="s">
        <v>2061</v>
      </c>
      <c r="E689" s="3">
        <v>5.70056000257E11</v>
      </c>
      <c r="F689" s="2" t="s">
        <v>2062</v>
      </c>
      <c r="G689" s="2" t="s">
        <v>12</v>
      </c>
      <c r="H689" s="7" t="s">
        <v>1672</v>
      </c>
      <c r="I689" s="2"/>
      <c r="J689" s="2"/>
      <c r="K689" s="2"/>
      <c r="L689" s="2"/>
    </row>
    <row r="690" ht="15.75" customHeight="1">
      <c r="A690" s="3">
        <v>688.0</v>
      </c>
      <c r="B690" s="2" t="s">
        <v>2063</v>
      </c>
      <c r="C690" s="2" t="s">
        <v>2064</v>
      </c>
      <c r="D690" s="2" t="s">
        <v>162</v>
      </c>
      <c r="E690" s="3">
        <v>5.70056000258E11</v>
      </c>
      <c r="F690" s="2" t="s">
        <v>2065</v>
      </c>
      <c r="G690" s="2" t="s">
        <v>12</v>
      </c>
      <c r="H690" s="7" t="s">
        <v>2066</v>
      </c>
      <c r="I690" s="2"/>
      <c r="J690" s="2"/>
      <c r="K690" s="2" t="s">
        <v>101</v>
      </c>
      <c r="L690" s="2"/>
    </row>
    <row r="691" ht="15.75" customHeight="1">
      <c r="A691" s="3">
        <v>689.0</v>
      </c>
      <c r="B691" s="2" t="s">
        <v>2067</v>
      </c>
      <c r="C691" s="2" t="s">
        <v>2068</v>
      </c>
      <c r="D691" s="2" t="s">
        <v>2069</v>
      </c>
      <c r="E691" s="3">
        <v>5.70056000259E11</v>
      </c>
      <c r="F691" s="2" t="s">
        <v>2070</v>
      </c>
      <c r="G691" s="2" t="s">
        <v>12</v>
      </c>
      <c r="H691" s="7" t="s">
        <v>1672</v>
      </c>
      <c r="I691" s="2"/>
      <c r="J691" s="2"/>
      <c r="K691" s="2"/>
      <c r="L691" s="2"/>
    </row>
    <row r="692" ht="15.75" customHeight="1">
      <c r="A692" s="3">
        <v>690.0</v>
      </c>
      <c r="B692" s="2" t="s">
        <v>2071</v>
      </c>
      <c r="C692" s="2" t="s">
        <v>2072</v>
      </c>
      <c r="D692" s="2" t="s">
        <v>2073</v>
      </c>
      <c r="E692" s="3">
        <v>5.70056000264E11</v>
      </c>
      <c r="F692" s="2" t="s">
        <v>2074</v>
      </c>
      <c r="G692" s="2" t="s">
        <v>12</v>
      </c>
      <c r="H692" s="7" t="s">
        <v>2066</v>
      </c>
      <c r="I692" s="2"/>
      <c r="J692" s="2"/>
      <c r="K692" s="2" t="s">
        <v>101</v>
      </c>
      <c r="L692" s="2"/>
    </row>
    <row r="693" ht="15.75" customHeight="1">
      <c r="A693" s="3">
        <v>691.0</v>
      </c>
      <c r="B693" s="2" t="s">
        <v>2075</v>
      </c>
      <c r="C693" s="2" t="s">
        <v>2076</v>
      </c>
      <c r="D693" s="2" t="s">
        <v>2077</v>
      </c>
      <c r="E693" s="3">
        <v>5.70056000269E11</v>
      </c>
      <c r="F693" s="2" t="s">
        <v>2078</v>
      </c>
      <c r="G693" s="2" t="s">
        <v>187</v>
      </c>
      <c r="H693" s="7" t="s">
        <v>1672</v>
      </c>
      <c r="I693" s="2"/>
      <c r="J693" s="2"/>
      <c r="K693" s="2"/>
      <c r="L693" s="2"/>
    </row>
    <row r="694" ht="15.75" customHeight="1">
      <c r="A694" s="3">
        <v>692.0</v>
      </c>
      <c r="B694" s="2" t="s">
        <v>117</v>
      </c>
      <c r="C694" s="2" t="s">
        <v>1713</v>
      </c>
      <c r="D694" s="2" t="s">
        <v>407</v>
      </c>
      <c r="E694" s="3">
        <v>5.70056000271E11</v>
      </c>
      <c r="F694" s="2" t="s">
        <v>2079</v>
      </c>
      <c r="G694" s="2" t="s">
        <v>187</v>
      </c>
      <c r="H694" s="7" t="s">
        <v>1672</v>
      </c>
      <c r="I694" s="2"/>
      <c r="J694" s="2"/>
      <c r="K694" s="2"/>
      <c r="L694" s="2"/>
    </row>
    <row r="695" ht="15.75" customHeight="1">
      <c r="A695" s="3">
        <v>693.0</v>
      </c>
      <c r="B695" s="2" t="s">
        <v>2080</v>
      </c>
      <c r="C695" s="2" t="s">
        <v>2081</v>
      </c>
      <c r="D695" s="2" t="s">
        <v>2082</v>
      </c>
      <c r="E695" s="3">
        <v>5.70056000274E11</v>
      </c>
      <c r="F695" s="2" t="s">
        <v>2083</v>
      </c>
      <c r="G695" s="2" t="s">
        <v>187</v>
      </c>
      <c r="H695" s="7" t="s">
        <v>2084</v>
      </c>
      <c r="I695" s="2"/>
      <c r="J695" s="2"/>
      <c r="K695" s="2" t="s">
        <v>101</v>
      </c>
      <c r="L695" s="2"/>
    </row>
    <row r="696" ht="15.75" customHeight="1">
      <c r="A696" s="3">
        <v>694.0</v>
      </c>
      <c r="B696" s="2" t="s">
        <v>2085</v>
      </c>
      <c r="C696" s="2" t="s">
        <v>2086</v>
      </c>
      <c r="D696" s="2" t="s">
        <v>2087</v>
      </c>
      <c r="E696" s="3">
        <v>5.70056000275E11</v>
      </c>
      <c r="F696" s="2" t="s">
        <v>2088</v>
      </c>
      <c r="G696" s="2" t="s">
        <v>187</v>
      </c>
      <c r="H696" s="7" t="s">
        <v>1672</v>
      </c>
      <c r="I696" s="2"/>
      <c r="J696" s="2"/>
      <c r="K696" s="2"/>
      <c r="L696" s="2"/>
    </row>
    <row r="697" ht="15.75" customHeight="1">
      <c r="A697" s="3">
        <v>695.0</v>
      </c>
      <c r="B697" s="2" t="s">
        <v>203</v>
      </c>
      <c r="C697" s="2" t="s">
        <v>2089</v>
      </c>
      <c r="D697" s="2" t="s">
        <v>1036</v>
      </c>
      <c r="E697" s="5">
        <v>5.70056000276E11</v>
      </c>
      <c r="F697" s="2" t="s">
        <v>2090</v>
      </c>
      <c r="G697" s="2" t="s">
        <v>12</v>
      </c>
      <c r="H697" s="7" t="s">
        <v>1672</v>
      </c>
      <c r="I697" s="2"/>
      <c r="J697" s="2"/>
      <c r="K697" s="2"/>
      <c r="L697" s="2"/>
    </row>
    <row r="698" ht="15.75" customHeight="1">
      <c r="A698" s="3">
        <v>696.0</v>
      </c>
      <c r="B698" s="2" t="s">
        <v>1513</v>
      </c>
      <c r="C698" s="2" t="s">
        <v>2091</v>
      </c>
      <c r="D698" s="2" t="s">
        <v>1059</v>
      </c>
      <c r="E698" s="3">
        <v>5.70056000278E11</v>
      </c>
      <c r="F698" s="2" t="s">
        <v>2092</v>
      </c>
      <c r="G698" s="2" t="s">
        <v>12</v>
      </c>
      <c r="H698" s="7" t="s">
        <v>1672</v>
      </c>
      <c r="I698" s="2"/>
      <c r="J698" s="2"/>
      <c r="K698" s="2"/>
      <c r="L698" s="2"/>
    </row>
    <row r="699" ht="15.75" customHeight="1">
      <c r="A699" s="3">
        <v>697.0</v>
      </c>
      <c r="B699" s="2" t="s">
        <v>2093</v>
      </c>
      <c r="C699" s="2" t="s">
        <v>1787</v>
      </c>
      <c r="D699" s="2" t="s">
        <v>2094</v>
      </c>
      <c r="E699" s="3">
        <v>5.70056000281E11</v>
      </c>
      <c r="F699" s="2" t="s">
        <v>2044</v>
      </c>
      <c r="G699" s="2" t="s">
        <v>12</v>
      </c>
      <c r="H699" s="7" t="s">
        <v>1672</v>
      </c>
      <c r="I699" s="2"/>
      <c r="J699" s="2"/>
      <c r="K699" s="2"/>
      <c r="L699" s="2"/>
    </row>
    <row r="700" ht="15.75" customHeight="1">
      <c r="A700" s="3">
        <v>698.0</v>
      </c>
      <c r="B700" s="2" t="s">
        <v>2095</v>
      </c>
      <c r="C700" s="2" t="s">
        <v>2096</v>
      </c>
      <c r="D700" s="2" t="s">
        <v>1644</v>
      </c>
      <c r="E700" s="3">
        <v>5.70056000284E11</v>
      </c>
      <c r="F700" s="2" t="s">
        <v>2097</v>
      </c>
      <c r="G700" s="2" t="s">
        <v>187</v>
      </c>
      <c r="H700" s="7" t="s">
        <v>1672</v>
      </c>
      <c r="I700" s="2"/>
      <c r="J700" s="2"/>
      <c r="K700" s="2"/>
      <c r="L700" s="2"/>
    </row>
    <row r="701" ht="15.75" customHeight="1">
      <c r="A701" s="3">
        <v>699.0</v>
      </c>
      <c r="B701" s="2" t="s">
        <v>2098</v>
      </c>
      <c r="C701" s="2" t="s">
        <v>2099</v>
      </c>
      <c r="D701" s="2" t="s">
        <v>106</v>
      </c>
      <c r="E701" s="3">
        <v>5.70056000288E11</v>
      </c>
      <c r="F701" s="2" t="s">
        <v>2100</v>
      </c>
      <c r="G701" s="2" t="s">
        <v>187</v>
      </c>
      <c r="H701" s="7" t="s">
        <v>1672</v>
      </c>
      <c r="I701" s="2"/>
      <c r="J701" s="2"/>
      <c r="K701" s="2"/>
      <c r="L701" s="2"/>
    </row>
    <row r="702" ht="15.75" customHeight="1">
      <c r="A702" s="3">
        <v>700.0</v>
      </c>
      <c r="B702" s="2" t="s">
        <v>2101</v>
      </c>
      <c r="C702" s="2" t="s">
        <v>413</v>
      </c>
      <c r="D702" s="2" t="s">
        <v>2102</v>
      </c>
      <c r="E702" s="3">
        <v>5.7005600029E11</v>
      </c>
      <c r="F702" s="2" t="s">
        <v>2103</v>
      </c>
      <c r="G702" s="2" t="s">
        <v>187</v>
      </c>
      <c r="H702" s="7" t="s">
        <v>1672</v>
      </c>
      <c r="I702" s="2"/>
      <c r="J702" s="2"/>
      <c r="K702" s="2"/>
      <c r="L702" s="2"/>
    </row>
    <row r="703" ht="15.75" customHeight="1">
      <c r="A703" s="3">
        <v>701.0</v>
      </c>
      <c r="B703" s="2" t="s">
        <v>77</v>
      </c>
      <c r="C703" s="2" t="s">
        <v>2104</v>
      </c>
      <c r="D703" s="2" t="s">
        <v>1450</v>
      </c>
      <c r="E703" s="3">
        <v>5.70056000291E11</v>
      </c>
      <c r="F703" s="2" t="s">
        <v>2105</v>
      </c>
      <c r="G703" s="2" t="s">
        <v>187</v>
      </c>
      <c r="H703" s="7" t="s">
        <v>1672</v>
      </c>
      <c r="I703" s="2"/>
      <c r="J703" s="2"/>
      <c r="K703" s="2"/>
      <c r="L703" s="2"/>
    </row>
    <row r="704" ht="15.75" customHeight="1">
      <c r="A704" s="3">
        <v>702.0</v>
      </c>
      <c r="B704" s="2" t="s">
        <v>2106</v>
      </c>
      <c r="C704" s="2" t="s">
        <v>2107</v>
      </c>
      <c r="D704" s="2" t="s">
        <v>2108</v>
      </c>
      <c r="E704" s="3">
        <v>5.70056000292E11</v>
      </c>
      <c r="F704" s="2" t="s">
        <v>2109</v>
      </c>
      <c r="G704" s="2" t="s">
        <v>187</v>
      </c>
      <c r="H704" s="7" t="s">
        <v>2110</v>
      </c>
      <c r="I704" s="2"/>
      <c r="J704" s="2"/>
      <c r="K704" s="2" t="s">
        <v>101</v>
      </c>
      <c r="L704" s="2"/>
    </row>
    <row r="705" ht="15.75" customHeight="1">
      <c r="A705" s="3">
        <v>703.0</v>
      </c>
      <c r="B705" s="2" t="s">
        <v>2111</v>
      </c>
      <c r="C705" s="2" t="s">
        <v>475</v>
      </c>
      <c r="D705" s="2" t="s">
        <v>247</v>
      </c>
      <c r="E705" s="3">
        <v>5.70056000296E11</v>
      </c>
      <c r="F705" s="2" t="s">
        <v>2112</v>
      </c>
      <c r="G705" s="2" t="s">
        <v>12</v>
      </c>
      <c r="H705" s="7" t="s">
        <v>1672</v>
      </c>
      <c r="I705" s="2"/>
      <c r="J705" s="2"/>
      <c r="K705" s="2"/>
      <c r="L705" s="2"/>
    </row>
    <row r="706" ht="15.75" customHeight="1">
      <c r="A706" s="3">
        <v>704.0</v>
      </c>
      <c r="B706" s="2" t="s">
        <v>2113</v>
      </c>
      <c r="C706" s="2" t="s">
        <v>2114</v>
      </c>
      <c r="D706" s="2" t="s">
        <v>1805</v>
      </c>
      <c r="E706" s="3">
        <v>5.70056000297E11</v>
      </c>
      <c r="F706" s="2" t="s">
        <v>2115</v>
      </c>
      <c r="G706" s="2" t="s">
        <v>12</v>
      </c>
      <c r="H706" s="7" t="s">
        <v>1672</v>
      </c>
      <c r="I706" s="2"/>
      <c r="J706" s="2"/>
      <c r="K706" s="2"/>
      <c r="L706" s="2"/>
    </row>
    <row r="707" ht="15.75" customHeight="1">
      <c r="A707" s="3">
        <v>705.0</v>
      </c>
      <c r="B707" s="2" t="s">
        <v>77</v>
      </c>
      <c r="C707" s="2" t="s">
        <v>2116</v>
      </c>
      <c r="D707" s="2" t="s">
        <v>946</v>
      </c>
      <c r="E707" s="3">
        <v>5.70056000303E11</v>
      </c>
      <c r="F707" s="2" t="s">
        <v>2117</v>
      </c>
      <c r="G707" s="2" t="s">
        <v>12</v>
      </c>
      <c r="H707" s="7" t="s">
        <v>2066</v>
      </c>
      <c r="I707" s="2"/>
      <c r="J707" s="2"/>
      <c r="K707" s="2" t="s">
        <v>101</v>
      </c>
      <c r="L707" s="2"/>
    </row>
    <row r="708" ht="15.75" customHeight="1">
      <c r="A708" s="3">
        <v>706.0</v>
      </c>
      <c r="B708" s="2" t="s">
        <v>2118</v>
      </c>
      <c r="C708" s="2" t="s">
        <v>325</v>
      </c>
      <c r="D708" s="2" t="s">
        <v>2119</v>
      </c>
      <c r="E708" s="3">
        <v>5.70056000305E11</v>
      </c>
      <c r="F708" s="2" t="s">
        <v>2120</v>
      </c>
      <c r="G708" s="2" t="s">
        <v>12</v>
      </c>
      <c r="H708" s="7" t="s">
        <v>1672</v>
      </c>
      <c r="I708" s="2"/>
      <c r="J708" s="2"/>
      <c r="K708" s="2"/>
      <c r="L708" s="2"/>
    </row>
    <row r="709" ht="15.75" customHeight="1">
      <c r="A709" s="3">
        <v>707.0</v>
      </c>
      <c r="B709" s="2" t="s">
        <v>2121</v>
      </c>
      <c r="C709" s="2" t="s">
        <v>2122</v>
      </c>
      <c r="D709" s="2" t="s">
        <v>224</v>
      </c>
      <c r="E709" s="3">
        <v>5.70056000307E11</v>
      </c>
      <c r="F709" s="2" t="s">
        <v>2123</v>
      </c>
      <c r="G709" s="2" t="s">
        <v>12</v>
      </c>
      <c r="H709" s="7" t="s">
        <v>2124</v>
      </c>
      <c r="I709" s="2"/>
      <c r="J709" s="2"/>
      <c r="K709" s="2" t="s">
        <v>101</v>
      </c>
      <c r="L709" s="2"/>
    </row>
    <row r="710" ht="15.75" customHeight="1">
      <c r="A710" s="3">
        <v>708.0</v>
      </c>
      <c r="B710" s="2" t="s">
        <v>2125</v>
      </c>
      <c r="C710" s="2" t="s">
        <v>559</v>
      </c>
      <c r="D710" s="2" t="s">
        <v>2126</v>
      </c>
      <c r="E710" s="3">
        <v>5.70056000309E11</v>
      </c>
      <c r="F710" s="2" t="s">
        <v>2127</v>
      </c>
      <c r="G710" s="2" t="s">
        <v>12</v>
      </c>
      <c r="H710" s="7" t="s">
        <v>1672</v>
      </c>
      <c r="I710" s="2"/>
      <c r="J710" s="2"/>
      <c r="K710" s="2"/>
      <c r="L710" s="2"/>
    </row>
    <row r="711" ht="15.75" customHeight="1">
      <c r="A711" s="3">
        <v>709.0</v>
      </c>
      <c r="B711" s="2" t="s">
        <v>2128</v>
      </c>
      <c r="C711" s="2" t="s">
        <v>2129</v>
      </c>
      <c r="D711" s="2" t="s">
        <v>46</v>
      </c>
      <c r="E711" s="3">
        <v>5.7005600031E11</v>
      </c>
      <c r="F711" s="2" t="s">
        <v>2130</v>
      </c>
      <c r="G711" s="2" t="s">
        <v>2131</v>
      </c>
      <c r="H711" s="7" t="s">
        <v>1672</v>
      </c>
      <c r="I711" s="2"/>
      <c r="J711" s="2"/>
      <c r="K711" s="2"/>
      <c r="L711" s="2"/>
    </row>
    <row r="712" ht="15.75" customHeight="1">
      <c r="A712" s="3">
        <v>710.0</v>
      </c>
      <c r="B712" s="2" t="s">
        <v>2132</v>
      </c>
      <c r="C712" s="2" t="s">
        <v>2133</v>
      </c>
      <c r="D712" s="2" t="s">
        <v>2134</v>
      </c>
      <c r="E712" s="3">
        <v>5.70056000315E11</v>
      </c>
      <c r="F712" s="2" t="s">
        <v>2135</v>
      </c>
      <c r="G712" s="2" t="s">
        <v>187</v>
      </c>
      <c r="H712" s="7" t="s">
        <v>1672</v>
      </c>
      <c r="I712" s="2"/>
      <c r="J712" s="2"/>
      <c r="K712" s="2"/>
      <c r="L712" s="2"/>
    </row>
    <row r="713" ht="15.75" customHeight="1">
      <c r="A713" s="3">
        <v>711.0</v>
      </c>
      <c r="B713" s="2" t="s">
        <v>2136</v>
      </c>
      <c r="C713" s="2" t="s">
        <v>1735</v>
      </c>
      <c r="D713" s="2" t="s">
        <v>931</v>
      </c>
      <c r="E713" s="3">
        <v>5.70056000318E11</v>
      </c>
      <c r="F713" s="2" t="s">
        <v>2137</v>
      </c>
      <c r="G713" s="2" t="s">
        <v>187</v>
      </c>
      <c r="H713" s="7" t="s">
        <v>1672</v>
      </c>
      <c r="I713" s="2"/>
      <c r="J713" s="2"/>
      <c r="K713" s="2"/>
      <c r="L713" s="2"/>
    </row>
    <row r="714" ht="15.75" customHeight="1">
      <c r="A714" s="3">
        <v>712.0</v>
      </c>
      <c r="B714" s="2" t="s">
        <v>2138</v>
      </c>
      <c r="C714" s="2" t="s">
        <v>2139</v>
      </c>
      <c r="D714" s="2" t="s">
        <v>289</v>
      </c>
      <c r="E714" s="3">
        <v>5.70056000319E11</v>
      </c>
      <c r="F714" s="2" t="s">
        <v>2140</v>
      </c>
      <c r="G714" s="2" t="s">
        <v>187</v>
      </c>
      <c r="H714" s="7" t="s">
        <v>1672</v>
      </c>
      <c r="I714" s="2"/>
      <c r="J714" s="2"/>
      <c r="K714" s="2"/>
      <c r="L714" s="2"/>
    </row>
    <row r="715" ht="15.75" customHeight="1">
      <c r="A715" s="3">
        <v>713.0</v>
      </c>
      <c r="B715" s="2" t="s">
        <v>1714</v>
      </c>
      <c r="C715" s="2" t="s">
        <v>272</v>
      </c>
      <c r="D715" s="2" t="s">
        <v>1472</v>
      </c>
      <c r="E715" s="3">
        <v>5.7005600032E11</v>
      </c>
      <c r="F715" s="2" t="s">
        <v>2141</v>
      </c>
      <c r="G715" s="2" t="s">
        <v>12</v>
      </c>
      <c r="H715" s="7" t="s">
        <v>1672</v>
      </c>
      <c r="I715" s="2"/>
      <c r="J715" s="2"/>
      <c r="K715" s="2"/>
      <c r="L715" s="2"/>
    </row>
    <row r="716" ht="15.75" customHeight="1">
      <c r="A716" s="3">
        <v>714.0</v>
      </c>
      <c r="B716" s="2" t="s">
        <v>2142</v>
      </c>
      <c r="C716" s="2" t="s">
        <v>2143</v>
      </c>
      <c r="D716" s="2" t="s">
        <v>2144</v>
      </c>
      <c r="E716" s="3">
        <v>5.70056000322E11</v>
      </c>
      <c r="F716" s="2" t="s">
        <v>2145</v>
      </c>
      <c r="G716" s="2" t="s">
        <v>187</v>
      </c>
      <c r="H716" s="7" t="s">
        <v>1672</v>
      </c>
      <c r="I716" s="2"/>
      <c r="J716" s="2"/>
      <c r="K716" s="2"/>
      <c r="L716" s="2"/>
    </row>
    <row r="717" ht="15.75" customHeight="1">
      <c r="A717" s="3">
        <v>715.0</v>
      </c>
      <c r="B717" s="2" t="s">
        <v>2146</v>
      </c>
      <c r="C717" s="2" t="s">
        <v>2147</v>
      </c>
      <c r="D717" s="2" t="s">
        <v>655</v>
      </c>
      <c r="E717" s="3">
        <v>5.70056000327E11</v>
      </c>
      <c r="F717" s="2" t="s">
        <v>2148</v>
      </c>
      <c r="G717" s="2" t="s">
        <v>187</v>
      </c>
      <c r="H717" s="7" t="s">
        <v>1672</v>
      </c>
      <c r="I717" s="2"/>
      <c r="J717" s="2"/>
      <c r="K717" s="2"/>
      <c r="L717" s="2"/>
    </row>
    <row r="718" ht="15.75" customHeight="1">
      <c r="A718" s="3">
        <v>716.0</v>
      </c>
      <c r="B718" s="2" t="s">
        <v>301</v>
      </c>
      <c r="C718" s="2" t="s">
        <v>2149</v>
      </c>
      <c r="D718" s="2" t="s">
        <v>171</v>
      </c>
      <c r="E718" s="3">
        <v>5.70056000333E11</v>
      </c>
      <c r="F718" s="2" t="s">
        <v>2150</v>
      </c>
      <c r="G718" s="2" t="s">
        <v>12</v>
      </c>
      <c r="H718" s="7" t="s">
        <v>2151</v>
      </c>
      <c r="I718" s="2"/>
      <c r="J718" s="2"/>
      <c r="K718" s="2" t="s">
        <v>101</v>
      </c>
      <c r="L718" s="2"/>
    </row>
    <row r="719" ht="15.75" customHeight="1">
      <c r="A719" s="3">
        <v>717.0</v>
      </c>
      <c r="B719" s="2" t="s">
        <v>2152</v>
      </c>
      <c r="C719" s="2" t="s">
        <v>1315</v>
      </c>
      <c r="D719" s="2" t="s">
        <v>2153</v>
      </c>
      <c r="E719" s="3">
        <v>5.70056000334E11</v>
      </c>
      <c r="F719" s="2" t="s">
        <v>2154</v>
      </c>
      <c r="G719" s="2" t="s">
        <v>187</v>
      </c>
      <c r="H719" s="7" t="s">
        <v>2023</v>
      </c>
      <c r="I719" s="2"/>
      <c r="J719" s="2"/>
      <c r="K719" s="2" t="s">
        <v>101</v>
      </c>
      <c r="L719" s="2"/>
    </row>
    <row r="720" ht="15.75" customHeight="1">
      <c r="A720" s="3">
        <v>718.0</v>
      </c>
      <c r="B720" s="2" t="s">
        <v>2155</v>
      </c>
      <c r="C720" s="2" t="s">
        <v>2156</v>
      </c>
      <c r="D720" s="2" t="s">
        <v>2157</v>
      </c>
      <c r="E720" s="3">
        <v>5.70056000336E11</v>
      </c>
      <c r="F720" s="2" t="s">
        <v>2158</v>
      </c>
      <c r="G720" s="2" t="s">
        <v>187</v>
      </c>
      <c r="H720" s="7" t="s">
        <v>2159</v>
      </c>
      <c r="I720" s="2"/>
      <c r="J720" s="2"/>
      <c r="K720" s="2" t="s">
        <v>101</v>
      </c>
      <c r="L720" s="2"/>
    </row>
    <row r="721" ht="15.75" customHeight="1">
      <c r="A721" s="3">
        <v>719.0</v>
      </c>
      <c r="B721" s="4" t="s">
        <v>1472</v>
      </c>
      <c r="C721" s="4" t="s">
        <v>2160</v>
      </c>
      <c r="D721" s="4" t="s">
        <v>2161</v>
      </c>
      <c r="E721" s="5">
        <v>5.70056000338E11</v>
      </c>
      <c r="F721" s="2" t="s">
        <v>2162</v>
      </c>
      <c r="G721" s="2" t="s">
        <v>12</v>
      </c>
      <c r="H721" s="7" t="s">
        <v>2163</v>
      </c>
      <c r="I721" s="2"/>
      <c r="J721" s="2"/>
      <c r="K721" s="2" t="s">
        <v>101</v>
      </c>
      <c r="L721" s="2"/>
    </row>
    <row r="722" ht="15.75" customHeight="1">
      <c r="A722" s="3">
        <v>720.0</v>
      </c>
      <c r="B722" s="2" t="s">
        <v>2164</v>
      </c>
      <c r="C722" s="2" t="s">
        <v>2165</v>
      </c>
      <c r="D722" s="2" t="s">
        <v>2087</v>
      </c>
      <c r="E722" s="3">
        <v>5.70056000339E11</v>
      </c>
      <c r="F722" s="2" t="s">
        <v>2166</v>
      </c>
      <c r="G722" s="2" t="s">
        <v>12</v>
      </c>
      <c r="H722" s="7" t="s">
        <v>2163</v>
      </c>
      <c r="I722" s="2"/>
      <c r="J722" s="2"/>
      <c r="K722" s="2" t="s">
        <v>101</v>
      </c>
      <c r="L722" s="2"/>
    </row>
    <row r="723" ht="15.75" customHeight="1">
      <c r="A723" s="3">
        <v>721.0</v>
      </c>
      <c r="B723" s="2" t="s">
        <v>627</v>
      </c>
      <c r="C723" s="2" t="s">
        <v>2167</v>
      </c>
      <c r="D723" s="2" t="s">
        <v>2168</v>
      </c>
      <c r="E723" s="3">
        <v>5.70056000344E11</v>
      </c>
      <c r="F723" s="2" t="s">
        <v>2169</v>
      </c>
      <c r="G723" s="2" t="s">
        <v>12</v>
      </c>
      <c r="H723" s="7" t="s">
        <v>2027</v>
      </c>
      <c r="I723" s="2"/>
      <c r="J723" s="2"/>
      <c r="K723" s="2" t="s">
        <v>14</v>
      </c>
      <c r="L723" s="2" t="s">
        <v>101</v>
      </c>
    </row>
    <row r="724" ht="15.75" customHeight="1">
      <c r="A724" s="3">
        <v>722.0</v>
      </c>
      <c r="B724" s="2" t="s">
        <v>2170</v>
      </c>
      <c r="C724" s="2" t="s">
        <v>2171</v>
      </c>
      <c r="D724" s="2" t="s">
        <v>262</v>
      </c>
      <c r="E724" s="3">
        <v>5.70056000346E11</v>
      </c>
      <c r="F724" s="2" t="s">
        <v>2172</v>
      </c>
      <c r="G724" s="2" t="s">
        <v>12</v>
      </c>
      <c r="H724" s="7" t="s">
        <v>2023</v>
      </c>
      <c r="I724" s="2"/>
      <c r="J724" s="2"/>
      <c r="K724" s="2" t="s">
        <v>101</v>
      </c>
      <c r="L724" s="2"/>
    </row>
    <row r="725" ht="15.75" customHeight="1">
      <c r="A725" s="3">
        <v>723.0</v>
      </c>
      <c r="B725" s="2" t="s">
        <v>2173</v>
      </c>
      <c r="C725" s="2" t="s">
        <v>2174</v>
      </c>
      <c r="D725" s="2" t="s">
        <v>2175</v>
      </c>
      <c r="E725" s="3">
        <v>5.70056000347E11</v>
      </c>
      <c r="F725" s="2" t="s">
        <v>2176</v>
      </c>
      <c r="G725" s="2" t="s">
        <v>12</v>
      </c>
      <c r="H725" s="7" t="s">
        <v>2027</v>
      </c>
      <c r="I725" s="2"/>
      <c r="J725" s="2"/>
      <c r="K725" s="2" t="s">
        <v>101</v>
      </c>
      <c r="L725" s="2"/>
    </row>
    <row r="726" ht="15.75" customHeight="1">
      <c r="A726" s="3">
        <v>724.0</v>
      </c>
      <c r="B726" s="2" t="s">
        <v>1714</v>
      </c>
      <c r="C726" s="2" t="s">
        <v>2177</v>
      </c>
      <c r="D726" s="2" t="s">
        <v>2178</v>
      </c>
      <c r="E726" s="3">
        <v>5.70056000348E11</v>
      </c>
      <c r="F726" s="2" t="s">
        <v>2179</v>
      </c>
      <c r="G726" s="2" t="s">
        <v>12</v>
      </c>
      <c r="H726" s="7" t="s">
        <v>2027</v>
      </c>
      <c r="I726" s="2"/>
      <c r="J726" s="2"/>
      <c r="K726" s="2" t="s">
        <v>101</v>
      </c>
      <c r="L726" s="2"/>
    </row>
    <row r="727" ht="15.75" customHeight="1">
      <c r="A727" s="3">
        <v>725.0</v>
      </c>
      <c r="B727" s="2" t="s">
        <v>2180</v>
      </c>
      <c r="C727" s="2" t="s">
        <v>1753</v>
      </c>
      <c r="D727" s="2" t="s">
        <v>2181</v>
      </c>
      <c r="E727" s="3">
        <v>5.70056000349E11</v>
      </c>
      <c r="F727" s="2" t="s">
        <v>2182</v>
      </c>
      <c r="G727" s="2" t="s">
        <v>187</v>
      </c>
      <c r="H727" s="7" t="s">
        <v>1979</v>
      </c>
      <c r="I727" s="2"/>
      <c r="J727" s="2"/>
      <c r="K727" s="2" t="s">
        <v>101</v>
      </c>
      <c r="L727" s="2"/>
    </row>
    <row r="728" ht="15.75" customHeight="1">
      <c r="A728" s="3">
        <v>726.0</v>
      </c>
      <c r="B728" s="2" t="s">
        <v>154</v>
      </c>
      <c r="C728" s="2" t="s">
        <v>2183</v>
      </c>
      <c r="D728" s="2" t="s">
        <v>2184</v>
      </c>
      <c r="E728" s="3">
        <v>5.70056000351E11</v>
      </c>
      <c r="F728" s="2" t="s">
        <v>2185</v>
      </c>
      <c r="G728" s="2" t="s">
        <v>187</v>
      </c>
      <c r="H728" s="7" t="s">
        <v>2186</v>
      </c>
      <c r="I728" s="2"/>
      <c r="J728" s="2"/>
      <c r="K728" s="2" t="s">
        <v>14</v>
      </c>
      <c r="L728" s="2" t="s">
        <v>101</v>
      </c>
    </row>
    <row r="729" ht="15.75" customHeight="1">
      <c r="A729" s="3">
        <v>727.0</v>
      </c>
      <c r="B729" s="2" t="s">
        <v>2187</v>
      </c>
      <c r="C729" s="2" t="s">
        <v>2188</v>
      </c>
      <c r="D729" s="2" t="s">
        <v>2189</v>
      </c>
      <c r="E729" s="3">
        <v>5.70056000354E11</v>
      </c>
      <c r="F729" s="2" t="s">
        <v>2190</v>
      </c>
      <c r="G729" s="2" t="s">
        <v>12</v>
      </c>
      <c r="H729" s="7" t="s">
        <v>2027</v>
      </c>
      <c r="I729" s="2"/>
      <c r="J729" s="2"/>
      <c r="K729" s="2" t="s">
        <v>101</v>
      </c>
      <c r="L729" s="2"/>
    </row>
    <row r="730" ht="15.75" customHeight="1">
      <c r="A730" s="3">
        <v>728.0</v>
      </c>
      <c r="B730" s="4" t="s">
        <v>2191</v>
      </c>
      <c r="C730" s="2" t="s">
        <v>2192</v>
      </c>
      <c r="D730" s="2" t="s">
        <v>814</v>
      </c>
      <c r="E730" s="3">
        <v>5.70056000355E11</v>
      </c>
      <c r="F730" s="2" t="s">
        <v>2193</v>
      </c>
      <c r="G730" s="2" t="s">
        <v>12</v>
      </c>
      <c r="H730" s="7" t="s">
        <v>1672</v>
      </c>
      <c r="I730" s="2"/>
      <c r="J730" s="2"/>
      <c r="K730" s="2"/>
      <c r="L730" s="2"/>
    </row>
    <row r="731" ht="15.75" customHeight="1">
      <c r="A731" s="3">
        <v>729.0</v>
      </c>
      <c r="B731" s="2" t="s">
        <v>2132</v>
      </c>
      <c r="C731" s="2" t="s">
        <v>2194</v>
      </c>
      <c r="D731" s="2" t="s">
        <v>10</v>
      </c>
      <c r="E731" s="3">
        <v>5.70056000356E11</v>
      </c>
      <c r="F731" s="2" t="s">
        <v>2195</v>
      </c>
      <c r="G731" s="2" t="s">
        <v>187</v>
      </c>
      <c r="H731" s="7" t="s">
        <v>2196</v>
      </c>
      <c r="I731" s="2"/>
      <c r="J731" s="2"/>
      <c r="K731" s="2" t="s">
        <v>101</v>
      </c>
      <c r="L731" s="2"/>
    </row>
    <row r="732" ht="15.75" customHeight="1">
      <c r="A732" s="3">
        <v>730.0</v>
      </c>
      <c r="B732" s="2" t="s">
        <v>2197</v>
      </c>
      <c r="C732" s="2" t="s">
        <v>2198</v>
      </c>
      <c r="D732" s="2" t="s">
        <v>151</v>
      </c>
      <c r="E732" s="3">
        <v>5.70056000358E11</v>
      </c>
      <c r="F732" s="2" t="s">
        <v>2199</v>
      </c>
      <c r="G732" s="2" t="s">
        <v>12</v>
      </c>
      <c r="H732" s="7" t="s">
        <v>2200</v>
      </c>
      <c r="I732" s="2"/>
      <c r="J732" s="2"/>
      <c r="K732" s="2" t="s">
        <v>101</v>
      </c>
      <c r="L732" s="2"/>
    </row>
    <row r="733" ht="15.75" customHeight="1">
      <c r="A733" s="3">
        <v>731.0</v>
      </c>
      <c r="B733" s="2" t="s">
        <v>2201</v>
      </c>
      <c r="C733" s="2" t="s">
        <v>325</v>
      </c>
      <c r="D733" s="2" t="s">
        <v>77</v>
      </c>
      <c r="E733" s="3">
        <v>5.70056000359E11</v>
      </c>
      <c r="F733" s="2" t="s">
        <v>2202</v>
      </c>
      <c r="G733" s="2" t="s">
        <v>187</v>
      </c>
      <c r="H733" s="7" t="s">
        <v>2200</v>
      </c>
      <c r="I733" s="2"/>
      <c r="J733" s="2"/>
      <c r="K733" s="2" t="s">
        <v>101</v>
      </c>
      <c r="L733" s="2"/>
    </row>
    <row r="734" ht="15.75" customHeight="1">
      <c r="A734" s="3">
        <v>732.0</v>
      </c>
      <c r="B734" s="2" t="s">
        <v>2203</v>
      </c>
      <c r="C734" s="2" t="s">
        <v>2204</v>
      </c>
      <c r="D734" s="2" t="s">
        <v>2205</v>
      </c>
      <c r="E734" s="3">
        <v>5.70056000362E11</v>
      </c>
      <c r="F734" s="2" t="s">
        <v>2206</v>
      </c>
      <c r="G734" s="2" t="s">
        <v>12</v>
      </c>
      <c r="H734" s="7" t="s">
        <v>2207</v>
      </c>
      <c r="I734" s="2"/>
      <c r="J734" s="2"/>
      <c r="K734" s="2" t="s">
        <v>101</v>
      </c>
      <c r="L734" s="2"/>
    </row>
    <row r="735" ht="15.75" customHeight="1">
      <c r="A735" s="3">
        <v>733.0</v>
      </c>
      <c r="B735" s="2" t="s">
        <v>2208</v>
      </c>
      <c r="C735" s="2" t="s">
        <v>2209</v>
      </c>
      <c r="D735" s="2" t="s">
        <v>1996</v>
      </c>
      <c r="E735" s="3">
        <v>5.70056000363E11</v>
      </c>
      <c r="F735" s="2" t="s">
        <v>2210</v>
      </c>
      <c r="G735" s="2" t="s">
        <v>187</v>
      </c>
      <c r="H735" s="7" t="s">
        <v>2211</v>
      </c>
      <c r="I735" s="2"/>
      <c r="J735" s="2"/>
      <c r="K735" s="2" t="s">
        <v>101</v>
      </c>
      <c r="L735" s="2"/>
    </row>
    <row r="736" ht="15.75" customHeight="1">
      <c r="A736" s="3">
        <v>734.0</v>
      </c>
      <c r="B736" s="2" t="s">
        <v>1924</v>
      </c>
      <c r="C736" s="2" t="s">
        <v>2212</v>
      </c>
      <c r="D736" s="2" t="s">
        <v>2213</v>
      </c>
      <c r="E736" s="3">
        <v>5.70056000365E11</v>
      </c>
      <c r="F736" s="2" t="s">
        <v>2214</v>
      </c>
      <c r="G736" s="2" t="s">
        <v>12</v>
      </c>
      <c r="H736" s="7" t="s">
        <v>2151</v>
      </c>
      <c r="I736" s="2"/>
      <c r="J736" s="2"/>
      <c r="K736" s="2" t="s">
        <v>101</v>
      </c>
      <c r="L736" s="2"/>
    </row>
    <row r="737" ht="15.75" customHeight="1">
      <c r="A737" s="3">
        <v>735.0</v>
      </c>
      <c r="B737" s="2" t="s">
        <v>462</v>
      </c>
      <c r="C737" s="2" t="s">
        <v>2215</v>
      </c>
      <c r="D737" s="2" t="s">
        <v>2216</v>
      </c>
      <c r="E737" s="3">
        <v>5.7005600037E11</v>
      </c>
      <c r="F737" s="2" t="s">
        <v>2217</v>
      </c>
      <c r="G737" s="2" t="s">
        <v>12</v>
      </c>
      <c r="H737" s="7" t="s">
        <v>1672</v>
      </c>
      <c r="I737" s="2"/>
      <c r="J737" s="2"/>
      <c r="K737" s="2"/>
      <c r="L737" s="2"/>
    </row>
    <row r="738" ht="15.75" customHeight="1">
      <c r="A738" s="3">
        <v>737.0</v>
      </c>
      <c r="B738" s="2" t="s">
        <v>2218</v>
      </c>
      <c r="C738" s="2" t="s">
        <v>2219</v>
      </c>
      <c r="D738" s="2" t="s">
        <v>58</v>
      </c>
      <c r="E738" s="3">
        <v>5.70056000379E11</v>
      </c>
      <c r="F738" s="2" t="s">
        <v>2220</v>
      </c>
      <c r="G738" s="2" t="s">
        <v>12</v>
      </c>
      <c r="H738" s="7" t="s">
        <v>1672</v>
      </c>
      <c r="I738" s="2"/>
      <c r="J738" s="2"/>
      <c r="K738" s="2"/>
      <c r="L738" s="2"/>
    </row>
    <row r="739" ht="15.75" customHeight="1">
      <c r="A739" s="8">
        <v>736.0</v>
      </c>
      <c r="B739" s="2"/>
      <c r="C739" s="2"/>
      <c r="D739" s="2"/>
      <c r="E739" s="3"/>
      <c r="F739" s="2"/>
      <c r="G739" s="2"/>
      <c r="H739" s="7"/>
      <c r="I739" s="2"/>
      <c r="J739" s="2"/>
      <c r="K739" s="2"/>
      <c r="L739" s="2"/>
    </row>
    <row r="740" ht="15.75" customHeight="1">
      <c r="A740" s="3">
        <v>738.0</v>
      </c>
      <c r="B740" s="2" t="s">
        <v>2221</v>
      </c>
      <c r="C740" s="2" t="s">
        <v>2222</v>
      </c>
      <c r="D740" s="2" t="s">
        <v>1318</v>
      </c>
      <c r="E740" s="3">
        <v>5.7005600038E11</v>
      </c>
      <c r="F740" s="2" t="s">
        <v>2223</v>
      </c>
      <c r="G740" s="2" t="s">
        <v>187</v>
      </c>
      <c r="H740" s="7" t="s">
        <v>1672</v>
      </c>
      <c r="I740" s="2"/>
      <c r="J740" s="2"/>
      <c r="K740" s="2"/>
      <c r="L740" s="2"/>
    </row>
    <row r="741" ht="15.75" customHeight="1">
      <c r="A741" s="3">
        <v>739.0</v>
      </c>
      <c r="B741" s="2" t="s">
        <v>2224</v>
      </c>
      <c r="C741" s="2" t="s">
        <v>2225</v>
      </c>
      <c r="D741" s="2" t="s">
        <v>437</v>
      </c>
      <c r="E741" s="3">
        <v>5.70056000383E11</v>
      </c>
      <c r="F741" s="2" t="s">
        <v>2226</v>
      </c>
      <c r="G741" s="2" t="s">
        <v>12</v>
      </c>
      <c r="H741" s="7" t="s">
        <v>1672</v>
      </c>
      <c r="I741" s="2"/>
      <c r="J741" s="2"/>
      <c r="K741" s="2"/>
      <c r="L741" s="2"/>
    </row>
    <row r="742" ht="15.75" customHeight="1">
      <c r="A742" s="3">
        <v>740.0</v>
      </c>
      <c r="B742" s="2" t="s">
        <v>1712</v>
      </c>
      <c r="C742" s="2" t="s">
        <v>2227</v>
      </c>
      <c r="D742" s="2" t="s">
        <v>2087</v>
      </c>
      <c r="E742" s="5">
        <v>5.7005600039E11</v>
      </c>
      <c r="F742" s="2" t="s">
        <v>2228</v>
      </c>
      <c r="G742" s="2" t="s">
        <v>12</v>
      </c>
      <c r="H742" s="7" t="s">
        <v>1672</v>
      </c>
      <c r="I742" s="2"/>
      <c r="J742" s="2"/>
      <c r="K742" s="2"/>
      <c r="L742" s="2"/>
    </row>
    <row r="743" ht="15.75" customHeight="1">
      <c r="A743" s="3">
        <v>741.0</v>
      </c>
      <c r="B743" s="2" t="s">
        <v>2229</v>
      </c>
      <c r="C743" s="2" t="s">
        <v>114</v>
      </c>
      <c r="D743" s="2" t="s">
        <v>1987</v>
      </c>
      <c r="E743" s="3">
        <v>5.70056000391E11</v>
      </c>
      <c r="F743" s="2" t="s">
        <v>2230</v>
      </c>
      <c r="G743" s="2" t="s">
        <v>187</v>
      </c>
      <c r="H743" s="7" t="s">
        <v>1672</v>
      </c>
      <c r="I743" s="2"/>
      <c r="J743" s="2"/>
      <c r="K743" s="2"/>
      <c r="L743" s="2"/>
    </row>
    <row r="744" ht="15.75" customHeight="1">
      <c r="A744" s="3">
        <v>742.0</v>
      </c>
      <c r="B744" s="2" t="s">
        <v>2231</v>
      </c>
      <c r="C744" s="2" t="s">
        <v>2232</v>
      </c>
      <c r="D744" s="2" t="s">
        <v>558</v>
      </c>
      <c r="E744" s="3">
        <v>5.70056000394E11</v>
      </c>
      <c r="F744" s="2" t="s">
        <v>2233</v>
      </c>
      <c r="G744" s="2" t="s">
        <v>12</v>
      </c>
      <c r="H744" s="7" t="s">
        <v>1672</v>
      </c>
      <c r="I744" s="2"/>
      <c r="J744" s="2"/>
      <c r="K744" s="2"/>
      <c r="L744" s="2"/>
    </row>
    <row r="745" ht="15.75" customHeight="1">
      <c r="A745" s="3">
        <v>743.0</v>
      </c>
      <c r="B745" s="2" t="s">
        <v>2234</v>
      </c>
      <c r="C745" s="2" t="s">
        <v>2235</v>
      </c>
      <c r="D745" s="2" t="s">
        <v>2236</v>
      </c>
      <c r="E745" s="3">
        <v>5.70056000395E11</v>
      </c>
      <c r="F745" s="2" t="s">
        <v>2237</v>
      </c>
      <c r="G745" s="2" t="s">
        <v>12</v>
      </c>
      <c r="H745" s="7" t="s">
        <v>1672</v>
      </c>
      <c r="I745" s="2"/>
      <c r="J745" s="2"/>
      <c r="K745" s="2"/>
      <c r="L745" s="2"/>
    </row>
    <row r="746" ht="15.75" customHeight="1">
      <c r="A746" s="3">
        <v>744.0</v>
      </c>
      <c r="B746" s="2" t="s">
        <v>1886</v>
      </c>
      <c r="C746" s="2" t="s">
        <v>2238</v>
      </c>
      <c r="D746" s="2" t="s">
        <v>1498</v>
      </c>
      <c r="E746" s="3">
        <v>5.70056000399E11</v>
      </c>
      <c r="F746" s="2" t="s">
        <v>1284</v>
      </c>
      <c r="G746" s="2" t="s">
        <v>12</v>
      </c>
      <c r="H746" s="7" t="s">
        <v>1672</v>
      </c>
      <c r="I746" s="2"/>
      <c r="J746" s="2"/>
      <c r="K746" s="2"/>
      <c r="L746" s="2"/>
    </row>
    <row r="747" ht="15.75" customHeight="1">
      <c r="A747" s="3">
        <v>745.0</v>
      </c>
      <c r="B747" s="2" t="s">
        <v>2239</v>
      </c>
      <c r="C747" s="2" t="s">
        <v>2240</v>
      </c>
      <c r="D747" s="2" t="s">
        <v>2142</v>
      </c>
      <c r="E747" s="3">
        <v>5.700560004E11</v>
      </c>
      <c r="F747" s="2" t="s">
        <v>2241</v>
      </c>
      <c r="G747" s="2" t="s">
        <v>12</v>
      </c>
      <c r="H747" s="7" t="s">
        <v>1672</v>
      </c>
      <c r="I747" s="2"/>
      <c r="J747" s="2"/>
      <c r="K747" s="2"/>
      <c r="L747" s="2"/>
    </row>
    <row r="748" ht="15.75" customHeight="1">
      <c r="A748" s="3">
        <v>746.0</v>
      </c>
      <c r="B748" s="2" t="s">
        <v>2242</v>
      </c>
      <c r="C748" s="2" t="s">
        <v>2243</v>
      </c>
      <c r="D748" s="2" t="s">
        <v>679</v>
      </c>
      <c r="E748" s="3">
        <v>5.70056000401E11</v>
      </c>
      <c r="F748" s="2" t="s">
        <v>2244</v>
      </c>
      <c r="G748" s="2" t="s">
        <v>12</v>
      </c>
      <c r="H748" s="7" t="s">
        <v>1672</v>
      </c>
      <c r="I748" s="2"/>
      <c r="J748" s="2"/>
      <c r="K748" s="2"/>
      <c r="L748" s="2"/>
    </row>
    <row r="749" ht="15.75" customHeight="1">
      <c r="A749" s="3">
        <v>747.0</v>
      </c>
      <c r="B749" s="2" t="s">
        <v>2245</v>
      </c>
      <c r="C749" s="2" t="s">
        <v>2246</v>
      </c>
      <c r="D749" s="2" t="s">
        <v>2247</v>
      </c>
      <c r="E749" s="3">
        <v>5.70056000402E11</v>
      </c>
      <c r="F749" s="2" t="s">
        <v>2248</v>
      </c>
      <c r="G749" s="2" t="s">
        <v>187</v>
      </c>
      <c r="H749" s="7" t="s">
        <v>1672</v>
      </c>
      <c r="I749" s="2"/>
      <c r="J749" s="2"/>
      <c r="K749" s="2"/>
      <c r="L749" s="2"/>
    </row>
    <row r="750" ht="15.75" customHeight="1">
      <c r="A750" s="3">
        <v>748.0</v>
      </c>
      <c r="B750" s="2" t="s">
        <v>2249</v>
      </c>
      <c r="C750" s="2" t="s">
        <v>2250</v>
      </c>
      <c r="D750" s="2" t="s">
        <v>73</v>
      </c>
      <c r="E750" s="3">
        <v>5.70056000409E11</v>
      </c>
      <c r="F750" s="2" t="s">
        <v>2251</v>
      </c>
      <c r="G750" s="2" t="s">
        <v>187</v>
      </c>
      <c r="H750" s="7" t="s">
        <v>1672</v>
      </c>
      <c r="I750" s="2"/>
      <c r="J750" s="2"/>
      <c r="K750" s="2"/>
      <c r="L750" s="2"/>
    </row>
    <row r="751" ht="15.75" customHeight="1">
      <c r="A751" s="3">
        <v>749.0</v>
      </c>
      <c r="B751" s="2" t="s">
        <v>2252</v>
      </c>
      <c r="C751" s="2" t="s">
        <v>2253</v>
      </c>
      <c r="D751" s="2" t="s">
        <v>2254</v>
      </c>
      <c r="E751" s="3">
        <v>5.70056000411E11</v>
      </c>
      <c r="F751" s="2" t="s">
        <v>2255</v>
      </c>
      <c r="G751" s="2" t="s">
        <v>12</v>
      </c>
      <c r="H751" s="7" t="s">
        <v>1672</v>
      </c>
      <c r="I751" s="2"/>
      <c r="J751" s="2"/>
      <c r="K751" s="2"/>
      <c r="L751" s="2"/>
    </row>
    <row r="752" ht="15.75" customHeight="1">
      <c r="A752" s="3">
        <v>750.0</v>
      </c>
      <c r="B752" s="2" t="s">
        <v>653</v>
      </c>
      <c r="C752" s="2" t="s">
        <v>2256</v>
      </c>
      <c r="D752" s="2" t="s">
        <v>2257</v>
      </c>
      <c r="E752" s="3">
        <v>5.70056000412E11</v>
      </c>
      <c r="F752" s="2" t="s">
        <v>2258</v>
      </c>
      <c r="G752" s="2" t="s">
        <v>12</v>
      </c>
      <c r="H752" s="7" t="s">
        <v>1672</v>
      </c>
      <c r="I752" s="2"/>
      <c r="J752" s="2"/>
      <c r="K752" s="2"/>
      <c r="L752" s="2"/>
    </row>
    <row r="753" ht="15.75" customHeight="1">
      <c r="A753" s="3">
        <v>751.0</v>
      </c>
      <c r="B753" s="2" t="s">
        <v>1987</v>
      </c>
      <c r="C753" s="2" t="s">
        <v>1901</v>
      </c>
      <c r="D753" s="2" t="s">
        <v>898</v>
      </c>
      <c r="E753" s="3">
        <v>5.70056000415E11</v>
      </c>
      <c r="F753" s="2" t="s">
        <v>2259</v>
      </c>
      <c r="G753" s="2" t="s">
        <v>187</v>
      </c>
      <c r="H753" s="7" t="s">
        <v>1672</v>
      </c>
      <c r="I753" s="2"/>
      <c r="J753" s="2"/>
      <c r="K753" s="2"/>
      <c r="L753" s="2"/>
    </row>
    <row r="754" ht="15.75" customHeight="1">
      <c r="A754" s="3">
        <v>752.0</v>
      </c>
      <c r="B754" s="2" t="s">
        <v>2260</v>
      </c>
      <c r="C754" s="2" t="s">
        <v>2261</v>
      </c>
      <c r="D754" s="2" t="s">
        <v>789</v>
      </c>
      <c r="E754" s="3">
        <v>5.70056000416E11</v>
      </c>
      <c r="F754" s="2" t="s">
        <v>2262</v>
      </c>
      <c r="G754" s="2" t="s">
        <v>12</v>
      </c>
      <c r="H754" s="7" t="s">
        <v>1672</v>
      </c>
      <c r="I754" s="2"/>
      <c r="J754" s="2"/>
      <c r="K754" s="2"/>
      <c r="L754" s="2"/>
    </row>
    <row r="755" ht="15.75" customHeight="1">
      <c r="A755" s="3">
        <v>753.0</v>
      </c>
      <c r="B755" s="2" t="s">
        <v>2263</v>
      </c>
      <c r="C755" s="2" t="s">
        <v>2264</v>
      </c>
      <c r="D755" s="2" t="s">
        <v>66</v>
      </c>
      <c r="E755" s="3">
        <v>5.70056000417E11</v>
      </c>
      <c r="F755" s="2" t="s">
        <v>2265</v>
      </c>
      <c r="G755" s="2" t="s">
        <v>12</v>
      </c>
      <c r="H755" s="7" t="s">
        <v>1672</v>
      </c>
      <c r="I755" s="2"/>
      <c r="J755" s="2"/>
      <c r="K755" s="2"/>
      <c r="L755" s="2"/>
    </row>
    <row r="756" ht="15.75" customHeight="1">
      <c r="A756" s="8">
        <v>754.0</v>
      </c>
      <c r="B756" s="2"/>
      <c r="C756" s="2"/>
      <c r="D756" s="2"/>
      <c r="E756" s="3"/>
      <c r="F756" s="2"/>
      <c r="G756" s="2"/>
      <c r="H756" s="7"/>
      <c r="I756" s="2"/>
      <c r="J756" s="2"/>
      <c r="K756" s="2"/>
      <c r="L756" s="2"/>
    </row>
    <row r="757" ht="15.75" customHeight="1">
      <c r="A757" s="3">
        <v>755.0</v>
      </c>
      <c r="B757" s="2" t="s">
        <v>1094</v>
      </c>
      <c r="C757" s="2" t="s">
        <v>2266</v>
      </c>
      <c r="D757" s="2" t="s">
        <v>146</v>
      </c>
      <c r="E757" s="3">
        <v>5.7005600042E11</v>
      </c>
      <c r="F757" s="2" t="s">
        <v>2267</v>
      </c>
      <c r="G757" s="2" t="s">
        <v>12</v>
      </c>
      <c r="H757" s="7" t="s">
        <v>1672</v>
      </c>
      <c r="I757" s="2"/>
      <c r="J757" s="2"/>
      <c r="K757" s="2"/>
      <c r="L757" s="2"/>
    </row>
    <row r="758" ht="15.75" customHeight="1">
      <c r="A758" s="3">
        <v>756.0</v>
      </c>
      <c r="B758" s="2" t="s">
        <v>2268</v>
      </c>
      <c r="C758" s="2" t="s">
        <v>2269</v>
      </c>
      <c r="D758" s="2" t="s">
        <v>629</v>
      </c>
      <c r="E758" s="3">
        <v>5.70056000421E11</v>
      </c>
      <c r="F758" s="2" t="s">
        <v>2270</v>
      </c>
      <c r="G758" s="2" t="s">
        <v>187</v>
      </c>
      <c r="H758" s="7" t="s">
        <v>1672</v>
      </c>
      <c r="I758" s="2"/>
      <c r="J758" s="2"/>
      <c r="K758" s="2"/>
      <c r="L758" s="2"/>
    </row>
    <row r="759" ht="15.75" customHeight="1">
      <c r="A759" s="8">
        <v>757.0</v>
      </c>
      <c r="B759" s="2"/>
      <c r="C759" s="2"/>
      <c r="D759" s="2"/>
      <c r="E759" s="3"/>
      <c r="F759" s="2"/>
      <c r="G759" s="2"/>
      <c r="H759" s="7"/>
      <c r="I759" s="2"/>
      <c r="J759" s="2"/>
      <c r="K759" s="2"/>
      <c r="L759" s="2"/>
    </row>
    <row r="760" ht="15.75" customHeight="1">
      <c r="A760" s="3">
        <v>758.0</v>
      </c>
      <c r="B760" s="4" t="s">
        <v>2271</v>
      </c>
      <c r="C760" s="2" t="s">
        <v>2272</v>
      </c>
      <c r="D760" s="2" t="s">
        <v>119</v>
      </c>
      <c r="E760" s="5">
        <v>5.70056000432E11</v>
      </c>
      <c r="F760" s="2" t="s">
        <v>2273</v>
      </c>
      <c r="G760" s="2" t="s">
        <v>12</v>
      </c>
      <c r="H760" s="7" t="s">
        <v>1672</v>
      </c>
      <c r="I760" s="2"/>
      <c r="J760" s="2"/>
      <c r="K760" s="2"/>
      <c r="L760" s="2"/>
    </row>
    <row r="761" ht="15.75" customHeight="1">
      <c r="A761" s="8">
        <v>759.0</v>
      </c>
      <c r="B761" s="4"/>
      <c r="C761" s="2"/>
      <c r="D761" s="2"/>
      <c r="E761" s="5"/>
      <c r="F761" s="2"/>
      <c r="G761" s="2"/>
      <c r="H761" s="7"/>
      <c r="I761" s="2"/>
      <c r="J761" s="2"/>
      <c r="K761" s="2"/>
      <c r="L761" s="2"/>
    </row>
    <row r="762" ht="15.75" customHeight="1">
      <c r="A762" s="3">
        <v>760.0</v>
      </c>
      <c r="B762" s="2" t="s">
        <v>2274</v>
      </c>
      <c r="C762" s="2" t="s">
        <v>2275</v>
      </c>
      <c r="D762" s="2" t="s">
        <v>444</v>
      </c>
      <c r="E762" s="3">
        <v>5.70056000434E11</v>
      </c>
      <c r="F762" s="2" t="s">
        <v>2276</v>
      </c>
      <c r="G762" s="2" t="s">
        <v>12</v>
      </c>
      <c r="H762" s="7" t="s">
        <v>1672</v>
      </c>
      <c r="I762" s="2"/>
      <c r="J762" s="2"/>
      <c r="K762" s="2"/>
      <c r="L762" s="2"/>
    </row>
    <row r="763" ht="15.75" customHeight="1">
      <c r="A763" s="3">
        <v>761.0</v>
      </c>
      <c r="B763" s="2" t="s">
        <v>2277</v>
      </c>
      <c r="C763" s="2" t="s">
        <v>2278</v>
      </c>
      <c r="D763" s="2" t="s">
        <v>627</v>
      </c>
      <c r="E763" s="3">
        <v>5.70056000435E11</v>
      </c>
      <c r="F763" s="2" t="s">
        <v>2279</v>
      </c>
      <c r="G763" s="2" t="s">
        <v>12</v>
      </c>
      <c r="H763" s="7" t="s">
        <v>1672</v>
      </c>
      <c r="I763" s="2"/>
      <c r="J763" s="2"/>
      <c r="K763" s="2"/>
      <c r="L763" s="2"/>
    </row>
    <row r="764" ht="15.75" customHeight="1">
      <c r="A764" s="3">
        <v>762.0</v>
      </c>
      <c r="B764" s="2" t="s">
        <v>2280</v>
      </c>
      <c r="C764" s="2" t="s">
        <v>2281</v>
      </c>
      <c r="D764" s="2" t="s">
        <v>128</v>
      </c>
      <c r="E764" s="3">
        <v>5.70056000436E11</v>
      </c>
      <c r="F764" s="2" t="s">
        <v>2282</v>
      </c>
      <c r="G764" s="2" t="s">
        <v>12</v>
      </c>
      <c r="H764" s="7" t="s">
        <v>1672</v>
      </c>
      <c r="I764" s="2"/>
      <c r="J764" s="2"/>
      <c r="K764" s="2"/>
      <c r="L764" s="2"/>
    </row>
    <row r="765" ht="15.75" customHeight="1">
      <c r="A765" s="3">
        <v>763.0</v>
      </c>
      <c r="B765" s="2" t="s">
        <v>20</v>
      </c>
      <c r="C765" s="2" t="s">
        <v>2283</v>
      </c>
      <c r="D765" s="2" t="s">
        <v>203</v>
      </c>
      <c r="E765" s="3">
        <v>5.70056000438E11</v>
      </c>
      <c r="F765" s="2" t="s">
        <v>2284</v>
      </c>
      <c r="G765" s="2" t="s">
        <v>12</v>
      </c>
      <c r="H765" s="7" t="s">
        <v>1672</v>
      </c>
      <c r="I765" s="2"/>
      <c r="J765" s="2"/>
      <c r="K765" s="2"/>
      <c r="L765" s="2"/>
    </row>
    <row r="766" ht="15.75" customHeight="1">
      <c r="A766" s="3">
        <v>764.0</v>
      </c>
      <c r="B766" s="2" t="s">
        <v>2191</v>
      </c>
      <c r="C766" s="2" t="s">
        <v>2285</v>
      </c>
      <c r="D766" s="2" t="s">
        <v>1370</v>
      </c>
      <c r="E766" s="3">
        <v>5.70056000442E11</v>
      </c>
      <c r="F766" s="2" t="s">
        <v>2286</v>
      </c>
      <c r="G766" s="2" t="s">
        <v>12</v>
      </c>
      <c r="H766" s="7" t="s">
        <v>1672</v>
      </c>
      <c r="I766" s="2"/>
      <c r="J766" s="2"/>
      <c r="K766" s="2"/>
      <c r="L766" s="2"/>
    </row>
    <row r="767" ht="15.75" customHeight="1">
      <c r="A767" s="3">
        <v>765.0</v>
      </c>
      <c r="B767" s="2" t="s">
        <v>2287</v>
      </c>
      <c r="C767" s="2" t="s">
        <v>2288</v>
      </c>
      <c r="D767" s="2" t="s">
        <v>192</v>
      </c>
      <c r="E767" s="3">
        <v>5.70056000444E11</v>
      </c>
      <c r="F767" s="2" t="s">
        <v>2289</v>
      </c>
      <c r="G767" s="2" t="s">
        <v>187</v>
      </c>
      <c r="H767" s="7" t="s">
        <v>1672</v>
      </c>
      <c r="I767" s="2"/>
      <c r="J767" s="2"/>
      <c r="K767" s="2"/>
      <c r="L767" s="2"/>
    </row>
    <row r="768" ht="15.75" customHeight="1">
      <c r="A768" s="3">
        <v>766.0</v>
      </c>
      <c r="B768" s="2" t="s">
        <v>2290</v>
      </c>
      <c r="C768" s="2" t="s">
        <v>2291</v>
      </c>
      <c r="D768" s="2" t="s">
        <v>2292</v>
      </c>
      <c r="E768" s="3">
        <v>5.70056000445E11</v>
      </c>
      <c r="F768" s="2" t="s">
        <v>2293</v>
      </c>
      <c r="G768" s="2" t="s">
        <v>187</v>
      </c>
      <c r="H768" s="7" t="s">
        <v>1672</v>
      </c>
      <c r="I768" s="2"/>
      <c r="J768" s="2"/>
      <c r="K768" s="2"/>
      <c r="L768" s="2"/>
    </row>
    <row r="769" ht="15.75" customHeight="1">
      <c r="A769" s="3">
        <v>767.0</v>
      </c>
      <c r="B769" s="2" t="s">
        <v>2294</v>
      </c>
      <c r="C769" s="2" t="s">
        <v>2295</v>
      </c>
      <c r="D769" s="2" t="s">
        <v>299</v>
      </c>
      <c r="E769" s="3">
        <v>5.70056000448E11</v>
      </c>
      <c r="F769" s="2" t="s">
        <v>2296</v>
      </c>
      <c r="G769" s="2" t="s">
        <v>12</v>
      </c>
      <c r="H769" s="7" t="s">
        <v>1672</v>
      </c>
      <c r="I769" s="2"/>
      <c r="J769" s="2"/>
      <c r="K769" s="2"/>
      <c r="L769" s="2"/>
    </row>
    <row r="770" ht="15.75" customHeight="1">
      <c r="A770" s="3">
        <v>768.0</v>
      </c>
      <c r="B770" s="2" t="s">
        <v>2297</v>
      </c>
      <c r="C770" s="2" t="s">
        <v>2243</v>
      </c>
      <c r="D770" s="2" t="s">
        <v>548</v>
      </c>
      <c r="E770" s="3">
        <v>5.70056000449E11</v>
      </c>
      <c r="F770" s="2" t="s">
        <v>2298</v>
      </c>
      <c r="G770" s="2" t="s">
        <v>187</v>
      </c>
      <c r="H770" s="7" t="s">
        <v>1672</v>
      </c>
      <c r="I770" s="2"/>
      <c r="J770" s="2"/>
      <c r="K770" s="2"/>
      <c r="L770" s="2"/>
    </row>
    <row r="771" ht="15.75" customHeight="1">
      <c r="A771" s="3">
        <v>769.0</v>
      </c>
      <c r="B771" s="2" t="s">
        <v>2299</v>
      </c>
      <c r="C771" s="2" t="s">
        <v>2300</v>
      </c>
      <c r="D771" s="2" t="s">
        <v>2301</v>
      </c>
      <c r="E771" s="5">
        <v>5.7005600045E11</v>
      </c>
      <c r="F771" s="2" t="s">
        <v>2302</v>
      </c>
      <c r="G771" s="2" t="s">
        <v>187</v>
      </c>
      <c r="H771" s="7" t="s">
        <v>1672</v>
      </c>
      <c r="I771" s="2"/>
      <c r="J771" s="2"/>
      <c r="K771" s="2"/>
      <c r="L771" s="2"/>
    </row>
    <row r="772" ht="15.75" customHeight="1">
      <c r="A772" s="8">
        <v>770.0</v>
      </c>
      <c r="B772" s="2"/>
      <c r="C772" s="2"/>
      <c r="D772" s="2"/>
      <c r="E772" s="5"/>
      <c r="F772" s="2"/>
      <c r="G772" s="2"/>
      <c r="H772" s="7"/>
      <c r="I772" s="2"/>
      <c r="J772" s="2"/>
      <c r="K772" s="2"/>
      <c r="L772" s="2"/>
    </row>
    <row r="773" ht="15.75" customHeight="1">
      <c r="A773" s="3">
        <v>771.0</v>
      </c>
      <c r="B773" s="2" t="s">
        <v>58</v>
      </c>
      <c r="C773" s="2" t="s">
        <v>637</v>
      </c>
      <c r="D773" s="2" t="s">
        <v>251</v>
      </c>
      <c r="E773" s="3">
        <v>5.70056000453E11</v>
      </c>
      <c r="F773" s="2" t="s">
        <v>2303</v>
      </c>
      <c r="G773" s="2" t="s">
        <v>12</v>
      </c>
      <c r="H773" s="7" t="s">
        <v>1672</v>
      </c>
      <c r="I773" s="2"/>
      <c r="J773" s="2"/>
      <c r="K773" s="2"/>
      <c r="L773" s="2"/>
    </row>
    <row r="774" ht="15.75" customHeight="1">
      <c r="A774" s="3">
        <v>772.0</v>
      </c>
      <c r="B774" s="2" t="s">
        <v>1094</v>
      </c>
      <c r="C774" s="2" t="s">
        <v>2304</v>
      </c>
      <c r="D774" s="2" t="s">
        <v>2305</v>
      </c>
      <c r="E774" s="3">
        <v>5.70056000457E11</v>
      </c>
      <c r="F774" s="2" t="s">
        <v>2306</v>
      </c>
      <c r="G774" s="2" t="s">
        <v>12</v>
      </c>
      <c r="H774" s="7" t="s">
        <v>1672</v>
      </c>
      <c r="I774" s="2"/>
      <c r="J774" s="2"/>
      <c r="K774" s="2"/>
      <c r="L774" s="2"/>
    </row>
    <row r="775" ht="15.75" customHeight="1">
      <c r="A775" s="3">
        <v>773.0</v>
      </c>
      <c r="B775" s="2" t="s">
        <v>269</v>
      </c>
      <c r="C775" s="2" t="s">
        <v>2307</v>
      </c>
      <c r="D775" s="2" t="s">
        <v>2308</v>
      </c>
      <c r="E775" s="3">
        <v>5.70056000459E11</v>
      </c>
      <c r="F775" s="2" t="s">
        <v>2309</v>
      </c>
      <c r="G775" s="2" t="s">
        <v>12</v>
      </c>
      <c r="H775" s="7" t="s">
        <v>1672</v>
      </c>
      <c r="I775" s="2"/>
      <c r="J775" s="2"/>
      <c r="K775" s="2"/>
      <c r="L775" s="2"/>
    </row>
    <row r="776" ht="15.75" customHeight="1">
      <c r="A776" s="3">
        <v>774.0</v>
      </c>
      <c r="B776" s="2" t="s">
        <v>2310</v>
      </c>
      <c r="C776" s="2" t="s">
        <v>2311</v>
      </c>
      <c r="D776" s="2" t="s">
        <v>2312</v>
      </c>
      <c r="E776" s="3">
        <v>5.7005600046E11</v>
      </c>
      <c r="F776" s="2" t="s">
        <v>2313</v>
      </c>
      <c r="G776" s="2" t="s">
        <v>2131</v>
      </c>
      <c r="H776" s="7" t="s">
        <v>1672</v>
      </c>
      <c r="I776" s="2"/>
      <c r="J776" s="2"/>
      <c r="K776" s="2"/>
      <c r="L776" s="2"/>
    </row>
    <row r="777" ht="15.75" customHeight="1">
      <c r="A777" s="3">
        <v>775.0</v>
      </c>
      <c r="B777" s="2" t="s">
        <v>2314</v>
      </c>
      <c r="C777" s="2" t="s">
        <v>2315</v>
      </c>
      <c r="D777" s="2" t="s">
        <v>437</v>
      </c>
      <c r="E777" s="3">
        <v>5.70056000461E11</v>
      </c>
      <c r="F777" s="2" t="s">
        <v>2316</v>
      </c>
      <c r="G777" s="2" t="s">
        <v>187</v>
      </c>
      <c r="H777" s="7" t="s">
        <v>1672</v>
      </c>
      <c r="I777" s="2"/>
      <c r="J777" s="2"/>
      <c r="K777" s="2"/>
      <c r="L777" s="2"/>
    </row>
    <row r="778" ht="15.75" customHeight="1">
      <c r="A778" s="3">
        <v>776.0</v>
      </c>
      <c r="B778" s="2" t="s">
        <v>2317</v>
      </c>
      <c r="C778" s="2" t="s">
        <v>2318</v>
      </c>
      <c r="D778" s="2" t="s">
        <v>480</v>
      </c>
      <c r="E778" s="3">
        <v>5.70056000464E11</v>
      </c>
      <c r="F778" s="2" t="s">
        <v>2319</v>
      </c>
      <c r="G778" s="2" t="s">
        <v>12</v>
      </c>
      <c r="H778" s="7" t="s">
        <v>1672</v>
      </c>
      <c r="I778" s="2"/>
      <c r="J778" s="2"/>
      <c r="K778" s="2"/>
      <c r="L778" s="2"/>
    </row>
    <row r="779" ht="15.75" customHeight="1">
      <c r="A779" s="3">
        <v>777.0</v>
      </c>
      <c r="B779" s="4" t="s">
        <v>2320</v>
      </c>
      <c r="C779" s="2" t="s">
        <v>2321</v>
      </c>
      <c r="D779" s="2" t="s">
        <v>2322</v>
      </c>
      <c r="E779" s="3">
        <v>5.70056000465E11</v>
      </c>
      <c r="F779" s="2" t="s">
        <v>2323</v>
      </c>
      <c r="G779" s="2" t="s">
        <v>12</v>
      </c>
      <c r="H779" s="7" t="s">
        <v>1672</v>
      </c>
      <c r="I779" s="2"/>
      <c r="J779" s="2"/>
      <c r="K779" s="2"/>
      <c r="L779" s="2"/>
    </row>
    <row r="780" ht="15.75" customHeight="1">
      <c r="A780" s="3">
        <v>778.0</v>
      </c>
      <c r="B780" s="2" t="s">
        <v>1223</v>
      </c>
      <c r="C780" s="2" t="s">
        <v>2167</v>
      </c>
      <c r="D780" s="2" t="s">
        <v>2324</v>
      </c>
      <c r="E780" s="3">
        <v>5.70056000466E11</v>
      </c>
      <c r="F780" s="2" t="s">
        <v>2325</v>
      </c>
      <c r="G780" s="2" t="s">
        <v>187</v>
      </c>
      <c r="H780" s="7" t="s">
        <v>1672</v>
      </c>
      <c r="I780" s="2"/>
      <c r="J780" s="2"/>
      <c r="K780" s="2"/>
      <c r="L780" s="2"/>
    </row>
    <row r="781" ht="15.75" customHeight="1">
      <c r="A781" s="3">
        <v>779.0</v>
      </c>
      <c r="B781" s="2" t="s">
        <v>2326</v>
      </c>
      <c r="C781" s="2" t="s">
        <v>2327</v>
      </c>
      <c r="D781" s="2" t="s">
        <v>2328</v>
      </c>
      <c r="E781" s="3">
        <v>5.70056000468E11</v>
      </c>
      <c r="F781" s="2" t="s">
        <v>2329</v>
      </c>
      <c r="G781" s="2" t="s">
        <v>12</v>
      </c>
      <c r="H781" s="7" t="s">
        <v>1672</v>
      </c>
      <c r="I781" s="2"/>
      <c r="J781" s="2"/>
      <c r="K781" s="2"/>
      <c r="L781" s="2"/>
    </row>
    <row r="782" ht="15.75" customHeight="1">
      <c r="A782" s="3">
        <v>780.0</v>
      </c>
      <c r="B782" s="2" t="s">
        <v>1223</v>
      </c>
      <c r="C782" s="2" t="s">
        <v>1842</v>
      </c>
      <c r="D782" s="2" t="s">
        <v>1370</v>
      </c>
      <c r="E782" s="3">
        <v>5.7005600047E11</v>
      </c>
      <c r="F782" s="2" t="s">
        <v>2330</v>
      </c>
      <c r="G782" s="2" t="s">
        <v>187</v>
      </c>
      <c r="H782" s="7" t="s">
        <v>1672</v>
      </c>
      <c r="I782" s="2"/>
      <c r="J782" s="2"/>
      <c r="K782" s="2"/>
      <c r="L782" s="2"/>
    </row>
    <row r="783" ht="15.75" customHeight="1">
      <c r="A783" s="3">
        <v>781.0</v>
      </c>
      <c r="B783" s="2" t="s">
        <v>364</v>
      </c>
      <c r="C783" s="2" t="s">
        <v>2331</v>
      </c>
      <c r="D783" s="2" t="s">
        <v>2332</v>
      </c>
      <c r="E783" s="3">
        <v>5.70056000471E11</v>
      </c>
      <c r="F783" s="2" t="s">
        <v>2333</v>
      </c>
      <c r="G783" s="2" t="s">
        <v>12</v>
      </c>
      <c r="H783" s="7" t="s">
        <v>1672</v>
      </c>
      <c r="I783" s="2"/>
      <c r="J783" s="2"/>
      <c r="K783" s="2"/>
      <c r="L783" s="2"/>
    </row>
    <row r="784" ht="15.75" customHeight="1">
      <c r="A784" s="3">
        <v>782.0</v>
      </c>
      <c r="B784" s="2" t="s">
        <v>2334</v>
      </c>
      <c r="C784" s="2" t="s">
        <v>2335</v>
      </c>
      <c r="D784" s="2" t="s">
        <v>2336</v>
      </c>
      <c r="E784" s="3">
        <v>5.70056000474E11</v>
      </c>
      <c r="F784" s="2" t="s">
        <v>2337</v>
      </c>
      <c r="G784" s="2" t="s">
        <v>187</v>
      </c>
      <c r="H784" s="7" t="s">
        <v>1672</v>
      </c>
      <c r="I784" s="2"/>
      <c r="J784" s="2"/>
      <c r="K784" s="2"/>
      <c r="L784" s="2"/>
    </row>
    <row r="785" ht="15.75" customHeight="1">
      <c r="A785" s="8">
        <v>783.0</v>
      </c>
      <c r="B785" s="2"/>
      <c r="C785" s="2"/>
      <c r="D785" s="2"/>
      <c r="E785" s="3"/>
      <c r="F785" s="2"/>
      <c r="G785" s="2"/>
      <c r="H785" s="7"/>
      <c r="I785" s="2"/>
      <c r="J785" s="2"/>
      <c r="K785" s="2"/>
      <c r="L785" s="2"/>
    </row>
    <row r="786" ht="15.75" customHeight="1">
      <c r="A786" s="3">
        <v>784.0</v>
      </c>
      <c r="B786" s="2" t="s">
        <v>2338</v>
      </c>
      <c r="C786" s="2" t="s">
        <v>2339</v>
      </c>
      <c r="D786" s="2" t="s">
        <v>2340</v>
      </c>
      <c r="E786" s="3">
        <v>5.70056000477E11</v>
      </c>
      <c r="F786" s="2" t="s">
        <v>2341</v>
      </c>
      <c r="G786" s="2" t="s">
        <v>187</v>
      </c>
      <c r="H786" s="7" t="s">
        <v>1672</v>
      </c>
      <c r="I786" s="2"/>
      <c r="J786" s="2"/>
      <c r="K786" s="2"/>
      <c r="L786" s="2"/>
    </row>
    <row r="787" ht="15.75" customHeight="1">
      <c r="A787" s="3">
        <v>785.0</v>
      </c>
      <c r="B787" s="2" t="s">
        <v>2342</v>
      </c>
      <c r="C787" s="2" t="s">
        <v>2343</v>
      </c>
      <c r="D787" s="2" t="s">
        <v>529</v>
      </c>
      <c r="E787" s="3">
        <v>5.70056000478E11</v>
      </c>
      <c r="F787" s="2" t="s">
        <v>2344</v>
      </c>
      <c r="G787" s="2" t="s">
        <v>187</v>
      </c>
      <c r="H787" s="7" t="s">
        <v>1672</v>
      </c>
      <c r="I787" s="2"/>
      <c r="J787" s="2"/>
      <c r="K787" s="2"/>
      <c r="L787" s="2"/>
    </row>
    <row r="788" ht="15.75" customHeight="1">
      <c r="A788" s="3">
        <v>786.0</v>
      </c>
      <c r="B788" s="2" t="s">
        <v>1552</v>
      </c>
      <c r="C788" s="2" t="s">
        <v>2345</v>
      </c>
      <c r="D788" s="2" t="s">
        <v>2346</v>
      </c>
      <c r="E788" s="5">
        <v>5.70056000479E11</v>
      </c>
      <c r="F788" s="2" t="s">
        <v>2347</v>
      </c>
      <c r="G788" s="2" t="s">
        <v>12</v>
      </c>
      <c r="H788" s="7" t="s">
        <v>1672</v>
      </c>
      <c r="I788" s="2"/>
      <c r="J788" s="2"/>
      <c r="K788" s="2"/>
      <c r="L788" s="2"/>
    </row>
    <row r="789" ht="15.75" customHeight="1">
      <c r="A789" s="3">
        <v>787.0</v>
      </c>
      <c r="B789" s="2" t="s">
        <v>2348</v>
      </c>
      <c r="C789" s="2" t="s">
        <v>2349</v>
      </c>
      <c r="D789" s="2" t="s">
        <v>1488</v>
      </c>
      <c r="E789" s="3">
        <v>5.7005600048E11</v>
      </c>
      <c r="F789" s="2" t="s">
        <v>2350</v>
      </c>
      <c r="G789" s="2" t="s">
        <v>12</v>
      </c>
      <c r="H789" s="7" t="s">
        <v>1672</v>
      </c>
      <c r="I789" s="2"/>
      <c r="J789" s="2"/>
      <c r="K789" s="2"/>
      <c r="L789" s="2"/>
    </row>
    <row r="790" ht="15.75" customHeight="1">
      <c r="A790" s="3">
        <v>788.0</v>
      </c>
      <c r="B790" s="4" t="s">
        <v>2351</v>
      </c>
      <c r="C790" s="2" t="s">
        <v>1800</v>
      </c>
      <c r="D790" s="2" t="s">
        <v>2352</v>
      </c>
      <c r="E790" s="3">
        <v>5.70056000482E11</v>
      </c>
      <c r="F790" s="2" t="s">
        <v>2353</v>
      </c>
      <c r="G790" s="2" t="s">
        <v>187</v>
      </c>
      <c r="H790" s="7" t="s">
        <v>1672</v>
      </c>
      <c r="I790" s="2"/>
      <c r="J790" s="2"/>
      <c r="K790" s="2"/>
      <c r="L790" s="2"/>
    </row>
    <row r="791" ht="15.75" customHeight="1">
      <c r="A791" s="3">
        <v>789.0</v>
      </c>
      <c r="B791" s="2" t="s">
        <v>2354</v>
      </c>
      <c r="C791" s="2" t="s">
        <v>2355</v>
      </c>
      <c r="D791" s="2" t="s">
        <v>62</v>
      </c>
      <c r="E791" s="3">
        <v>5.70056000484E11</v>
      </c>
      <c r="F791" s="2" t="s">
        <v>2356</v>
      </c>
      <c r="G791" s="2" t="s">
        <v>12</v>
      </c>
      <c r="H791" s="7" t="s">
        <v>1672</v>
      </c>
      <c r="I791" s="2"/>
      <c r="J791" s="2"/>
      <c r="K791" s="2"/>
      <c r="L791" s="2"/>
    </row>
    <row r="792" ht="15.75" customHeight="1">
      <c r="A792" s="3">
        <v>790.0</v>
      </c>
      <c r="B792" s="2" t="s">
        <v>2357</v>
      </c>
      <c r="C792" s="2" t="s">
        <v>2358</v>
      </c>
      <c r="D792" s="2" t="s">
        <v>2359</v>
      </c>
      <c r="E792" s="3">
        <v>5.70056000487E11</v>
      </c>
      <c r="F792" s="2" t="s">
        <v>2360</v>
      </c>
      <c r="G792" s="2" t="s">
        <v>187</v>
      </c>
      <c r="H792" s="7" t="s">
        <v>1672</v>
      </c>
      <c r="I792" s="2"/>
      <c r="J792" s="2"/>
      <c r="K792" s="2"/>
      <c r="L792" s="2"/>
    </row>
    <row r="793" ht="15.75" customHeight="1">
      <c r="A793" s="3">
        <v>791.0</v>
      </c>
      <c r="B793" s="2" t="s">
        <v>1552</v>
      </c>
      <c r="C793" s="2" t="s">
        <v>2361</v>
      </c>
      <c r="D793" s="2" t="s">
        <v>1987</v>
      </c>
      <c r="E793" s="3">
        <v>5.70056000488E11</v>
      </c>
      <c r="F793" s="2" t="s">
        <v>2230</v>
      </c>
      <c r="G793" s="2" t="s">
        <v>187</v>
      </c>
      <c r="H793" s="7" t="s">
        <v>1672</v>
      </c>
      <c r="I793" s="2"/>
      <c r="J793" s="2"/>
      <c r="K793" s="2"/>
      <c r="L793" s="2"/>
    </row>
    <row r="794" ht="15.75" customHeight="1">
      <c r="A794" s="3">
        <v>792.0</v>
      </c>
      <c r="B794" s="2" t="s">
        <v>2201</v>
      </c>
      <c r="C794" s="2" t="s">
        <v>2362</v>
      </c>
      <c r="D794" s="2" t="s">
        <v>620</v>
      </c>
      <c r="E794" s="3">
        <v>5.70056000494E11</v>
      </c>
      <c r="F794" s="2" t="s">
        <v>2363</v>
      </c>
      <c r="G794" s="2" t="s">
        <v>12</v>
      </c>
      <c r="H794" s="7" t="s">
        <v>1672</v>
      </c>
      <c r="I794" s="2"/>
      <c r="J794" s="2"/>
      <c r="K794" s="2"/>
      <c r="L794" s="2"/>
    </row>
    <row r="795" ht="15.75" customHeight="1">
      <c r="A795" s="3">
        <v>793.0</v>
      </c>
      <c r="B795" s="2" t="s">
        <v>2346</v>
      </c>
      <c r="C795" s="2" t="s">
        <v>193</v>
      </c>
      <c r="D795" s="2" t="s">
        <v>2364</v>
      </c>
      <c r="E795" s="3">
        <v>5.70056000496E11</v>
      </c>
      <c r="F795" s="2" t="s">
        <v>2365</v>
      </c>
      <c r="G795" s="2" t="s">
        <v>12</v>
      </c>
      <c r="H795" s="7" t="s">
        <v>1672</v>
      </c>
      <c r="I795" s="2"/>
      <c r="J795" s="2"/>
      <c r="K795" s="2"/>
      <c r="L795" s="2"/>
    </row>
    <row r="796" ht="15.75" customHeight="1">
      <c r="A796" s="3">
        <v>794.0</v>
      </c>
      <c r="B796" s="2" t="s">
        <v>2366</v>
      </c>
      <c r="C796" s="2" t="s">
        <v>2367</v>
      </c>
      <c r="D796" s="2" t="s">
        <v>601</v>
      </c>
      <c r="E796" s="3">
        <v>5.70056000501E11</v>
      </c>
      <c r="F796" s="2" t="s">
        <v>2319</v>
      </c>
      <c r="G796" s="2" t="s">
        <v>187</v>
      </c>
      <c r="H796" s="7" t="s">
        <v>1672</v>
      </c>
      <c r="I796" s="2"/>
      <c r="J796" s="2"/>
      <c r="K796" s="2"/>
      <c r="L796" s="2"/>
    </row>
    <row r="797" ht="15.75" customHeight="1">
      <c r="A797" s="3">
        <v>795.0</v>
      </c>
      <c r="B797" s="2" t="s">
        <v>1387</v>
      </c>
      <c r="C797" s="2" t="s">
        <v>1956</v>
      </c>
      <c r="D797" s="2" t="s">
        <v>395</v>
      </c>
      <c r="E797" s="3">
        <v>5.70056000502E11</v>
      </c>
      <c r="F797" s="2" t="s">
        <v>2368</v>
      </c>
      <c r="G797" s="2" t="s">
        <v>187</v>
      </c>
      <c r="H797" s="7" t="s">
        <v>1672</v>
      </c>
      <c r="I797" s="2"/>
      <c r="J797" s="2"/>
      <c r="K797" s="2"/>
      <c r="L797" s="2"/>
    </row>
    <row r="798" ht="15.75" customHeight="1">
      <c r="A798" s="3">
        <v>796.0</v>
      </c>
      <c r="B798" s="2" t="s">
        <v>2369</v>
      </c>
      <c r="C798" s="2" t="s">
        <v>2370</v>
      </c>
      <c r="D798" s="2" t="s">
        <v>2371</v>
      </c>
      <c r="E798" s="3">
        <v>5.70056000504E11</v>
      </c>
      <c r="F798" s="2" t="s">
        <v>2372</v>
      </c>
      <c r="G798" s="2" t="s">
        <v>12</v>
      </c>
      <c r="H798" s="7" t="s">
        <v>1672</v>
      </c>
      <c r="I798" s="2"/>
      <c r="J798" s="2"/>
      <c r="K798" s="2"/>
      <c r="L798" s="2"/>
    </row>
    <row r="799" ht="15.75" customHeight="1">
      <c r="A799" s="3">
        <v>797.0</v>
      </c>
      <c r="B799" s="2" t="s">
        <v>2373</v>
      </c>
      <c r="C799" s="2" t="s">
        <v>1338</v>
      </c>
      <c r="D799" s="2" t="s">
        <v>251</v>
      </c>
      <c r="E799" s="3">
        <v>5.70056000505E11</v>
      </c>
      <c r="F799" s="2" t="s">
        <v>2374</v>
      </c>
      <c r="G799" s="2" t="s">
        <v>12</v>
      </c>
      <c r="H799" s="7" t="s">
        <v>1672</v>
      </c>
      <c r="I799" s="2"/>
      <c r="J799" s="2"/>
      <c r="K799" s="2"/>
      <c r="L799" s="2"/>
    </row>
    <row r="800" ht="15.75" customHeight="1">
      <c r="A800" s="3">
        <v>798.0</v>
      </c>
      <c r="B800" s="2" t="s">
        <v>2375</v>
      </c>
      <c r="C800" s="2" t="s">
        <v>2376</v>
      </c>
      <c r="D800" s="2" t="s">
        <v>2377</v>
      </c>
      <c r="E800" s="3">
        <v>5.70056000368E11</v>
      </c>
      <c r="F800" s="2" t="s">
        <v>2378</v>
      </c>
      <c r="G800" s="2" t="s">
        <v>12</v>
      </c>
      <c r="H800" s="7" t="s">
        <v>1672</v>
      </c>
      <c r="I800" s="2"/>
      <c r="J800" s="2"/>
      <c r="K800" s="2"/>
      <c r="L800" s="2"/>
    </row>
    <row r="801" ht="15.75" customHeight="1">
      <c r="A801" s="3">
        <v>799.0</v>
      </c>
      <c r="B801" s="2" t="s">
        <v>2379</v>
      </c>
      <c r="C801" s="2" t="s">
        <v>2380</v>
      </c>
      <c r="D801" s="2" t="s">
        <v>2381</v>
      </c>
      <c r="E801" s="3">
        <v>5.70056544632E11</v>
      </c>
      <c r="F801" s="2" t="s">
        <v>2382</v>
      </c>
      <c r="G801" s="2" t="s">
        <v>187</v>
      </c>
      <c r="H801" s="7" t="s">
        <v>1979</v>
      </c>
      <c r="I801" s="2"/>
      <c r="J801" s="2"/>
      <c r="K801" s="2"/>
      <c r="L801" s="2"/>
    </row>
    <row r="802" ht="15.75" customHeight="1">
      <c r="A802" s="3">
        <v>800.0</v>
      </c>
      <c r="B802" s="4" t="s">
        <v>2383</v>
      </c>
      <c r="C802" s="2" t="s">
        <v>2384</v>
      </c>
      <c r="D802" s="2" t="s">
        <v>46</v>
      </c>
      <c r="E802" s="5">
        <v>5.70056544635E11</v>
      </c>
      <c r="F802" s="2" t="s">
        <v>2385</v>
      </c>
      <c r="G802" s="2" t="s">
        <v>12</v>
      </c>
      <c r="H802" s="7" t="s">
        <v>2386</v>
      </c>
      <c r="I802" s="2"/>
      <c r="J802" s="2"/>
      <c r="K802" s="2"/>
      <c r="L802" s="2"/>
    </row>
    <row r="803" ht="15.75" customHeight="1">
      <c r="A803" s="3">
        <v>801.0</v>
      </c>
      <c r="B803" s="2" t="s">
        <v>2242</v>
      </c>
      <c r="C803" s="2" t="s">
        <v>2387</v>
      </c>
      <c r="D803" s="2" t="s">
        <v>247</v>
      </c>
      <c r="E803" s="3">
        <v>5.70056544637E11</v>
      </c>
      <c r="F803" s="2" t="s">
        <v>2241</v>
      </c>
      <c r="G803" s="2" t="s">
        <v>12</v>
      </c>
      <c r="H803" s="7" t="s">
        <v>2388</v>
      </c>
      <c r="I803" s="2"/>
      <c r="J803" s="2"/>
      <c r="K803" s="2"/>
      <c r="L803" s="2"/>
    </row>
    <row r="804" ht="15.75" customHeight="1">
      <c r="A804" s="3">
        <v>802.0</v>
      </c>
      <c r="B804" s="2" t="s">
        <v>1886</v>
      </c>
      <c r="C804" s="2" t="s">
        <v>2389</v>
      </c>
      <c r="D804" s="2" t="s">
        <v>2390</v>
      </c>
      <c r="E804" s="5">
        <v>5.70056544639E11</v>
      </c>
      <c r="F804" s="2" t="s">
        <v>2391</v>
      </c>
      <c r="G804" s="2" t="s">
        <v>12</v>
      </c>
      <c r="H804" s="7" t="s">
        <v>2392</v>
      </c>
      <c r="I804" s="2"/>
      <c r="J804" s="2"/>
      <c r="K804" s="2"/>
      <c r="L804" s="2"/>
    </row>
    <row r="805" ht="15.75" customHeight="1">
      <c r="A805" s="3">
        <v>803.0</v>
      </c>
      <c r="B805" s="2" t="s">
        <v>2393</v>
      </c>
      <c r="C805" s="2" t="s">
        <v>1645</v>
      </c>
      <c r="D805" s="2" t="s">
        <v>735</v>
      </c>
      <c r="E805" s="3">
        <v>5.70056544643E11</v>
      </c>
      <c r="F805" s="2" t="s">
        <v>2394</v>
      </c>
      <c r="G805" s="2" t="s">
        <v>12</v>
      </c>
      <c r="H805" s="7" t="s">
        <v>2392</v>
      </c>
      <c r="I805" s="2"/>
      <c r="J805" s="2"/>
      <c r="K805" s="2"/>
      <c r="L805" s="2"/>
    </row>
    <row r="806" ht="15.75" customHeight="1">
      <c r="A806" s="3">
        <v>804.0</v>
      </c>
      <c r="B806" s="2" t="s">
        <v>1223</v>
      </c>
      <c r="C806" s="2" t="s">
        <v>2395</v>
      </c>
      <c r="D806" s="2" t="s">
        <v>2153</v>
      </c>
      <c r="E806" s="3">
        <v>5.70056000511E11</v>
      </c>
      <c r="F806" s="2" t="s">
        <v>2396</v>
      </c>
      <c r="G806" s="2" t="s">
        <v>187</v>
      </c>
      <c r="H806" s="7" t="s">
        <v>2397</v>
      </c>
      <c r="I806" s="2"/>
      <c r="J806" s="2"/>
      <c r="K806" s="2"/>
      <c r="L806" s="2"/>
    </row>
    <row r="807" ht="15.75" customHeight="1">
      <c r="A807" s="3">
        <v>805.0</v>
      </c>
      <c r="B807" s="2" t="s">
        <v>2398</v>
      </c>
      <c r="C807" s="2" t="s">
        <v>78</v>
      </c>
      <c r="D807" s="2" t="s">
        <v>2399</v>
      </c>
      <c r="E807" s="3">
        <v>5.70056000515E11</v>
      </c>
      <c r="F807" s="2" t="s">
        <v>2400</v>
      </c>
      <c r="G807" s="2" t="s">
        <v>12</v>
      </c>
      <c r="H807" s="7" t="s">
        <v>1672</v>
      </c>
      <c r="I807" s="2"/>
      <c r="J807" s="2"/>
      <c r="K807" s="2" t="s">
        <v>101</v>
      </c>
      <c r="L807" s="2"/>
    </row>
    <row r="808" ht="15.75" customHeight="1">
      <c r="A808" s="3">
        <v>806.0</v>
      </c>
      <c r="B808" s="2" t="s">
        <v>1600</v>
      </c>
      <c r="C808" s="2" t="s">
        <v>2401</v>
      </c>
      <c r="D808" s="2" t="s">
        <v>768</v>
      </c>
      <c r="E808" s="3">
        <v>5.70056000517E11</v>
      </c>
      <c r="F808" s="2" t="s">
        <v>2402</v>
      </c>
      <c r="G808" s="2" t="s">
        <v>187</v>
      </c>
      <c r="H808" s="7" t="s">
        <v>1672</v>
      </c>
      <c r="I808" s="2"/>
      <c r="J808" s="2"/>
      <c r="K808" s="2" t="s">
        <v>101</v>
      </c>
      <c r="L808" s="2"/>
    </row>
    <row r="809" ht="15.75" customHeight="1">
      <c r="A809" s="3">
        <v>807.0</v>
      </c>
      <c r="B809" s="2" t="s">
        <v>2403</v>
      </c>
      <c r="C809" s="2" t="s">
        <v>157</v>
      </c>
      <c r="D809" s="2" t="s">
        <v>973</v>
      </c>
      <c r="E809" s="3">
        <v>5.70056000519E11</v>
      </c>
      <c r="F809" s="2" t="s">
        <v>2404</v>
      </c>
      <c r="G809" s="2" t="s">
        <v>12</v>
      </c>
      <c r="H809" s="7" t="s">
        <v>1672</v>
      </c>
      <c r="I809" s="2"/>
      <c r="J809" s="2"/>
      <c r="K809" s="2" t="s">
        <v>101</v>
      </c>
      <c r="L809" s="2"/>
    </row>
    <row r="810" ht="15.75" customHeight="1">
      <c r="A810" s="3">
        <v>808.0</v>
      </c>
      <c r="B810" s="2" t="s">
        <v>2405</v>
      </c>
      <c r="C810" s="2" t="s">
        <v>2406</v>
      </c>
      <c r="D810" s="2" t="s">
        <v>1520</v>
      </c>
      <c r="E810" s="3">
        <v>5.7005600052E11</v>
      </c>
      <c r="F810" s="2" t="s">
        <v>2407</v>
      </c>
      <c r="G810" s="2" t="s">
        <v>187</v>
      </c>
      <c r="H810" s="7" t="s">
        <v>2408</v>
      </c>
      <c r="I810" s="2"/>
      <c r="J810" s="2"/>
      <c r="K810" s="2" t="s">
        <v>101</v>
      </c>
      <c r="L810" s="2"/>
    </row>
    <row r="811" ht="15.75" customHeight="1">
      <c r="A811" s="3">
        <v>809.0</v>
      </c>
      <c r="B811" s="2" t="s">
        <v>2409</v>
      </c>
      <c r="C811" s="2" t="s">
        <v>325</v>
      </c>
      <c r="D811" s="2" t="s">
        <v>2410</v>
      </c>
      <c r="E811" s="3">
        <v>5.70056000522E11</v>
      </c>
      <c r="F811" s="2" t="s">
        <v>2411</v>
      </c>
      <c r="G811" s="2" t="s">
        <v>187</v>
      </c>
      <c r="H811" s="7" t="s">
        <v>2412</v>
      </c>
      <c r="I811" s="2"/>
      <c r="J811" s="2"/>
      <c r="K811" s="2" t="s">
        <v>101</v>
      </c>
      <c r="L811" s="2"/>
    </row>
    <row r="812" ht="15.75" customHeight="1">
      <c r="A812" s="3">
        <v>810.0</v>
      </c>
      <c r="B812" s="2" t="s">
        <v>2413</v>
      </c>
      <c r="C812" s="2" t="s">
        <v>1832</v>
      </c>
      <c r="D812" s="2" t="s">
        <v>2414</v>
      </c>
      <c r="E812" s="3">
        <v>5.70056000524E11</v>
      </c>
      <c r="F812" s="2" t="s">
        <v>2415</v>
      </c>
      <c r="G812" s="2" t="s">
        <v>12</v>
      </c>
      <c r="H812" s="7" t="s">
        <v>1672</v>
      </c>
      <c r="I812" s="2"/>
      <c r="J812" s="2"/>
      <c r="K812" s="2" t="s">
        <v>101</v>
      </c>
      <c r="L812" s="2"/>
    </row>
    <row r="813" ht="15.75" customHeight="1">
      <c r="A813" s="3">
        <v>811.0</v>
      </c>
      <c r="B813" s="2" t="s">
        <v>2310</v>
      </c>
      <c r="C813" s="2" t="s">
        <v>2416</v>
      </c>
      <c r="D813" s="2" t="s">
        <v>89</v>
      </c>
      <c r="E813" s="3">
        <v>5.70056000525E11</v>
      </c>
      <c r="F813" s="2" t="s">
        <v>2407</v>
      </c>
      <c r="G813" s="2" t="s">
        <v>12</v>
      </c>
      <c r="H813" s="7" t="s">
        <v>1672</v>
      </c>
      <c r="I813" s="2"/>
      <c r="J813" s="2"/>
      <c r="K813" s="2"/>
      <c r="L813" s="2"/>
    </row>
    <row r="814" ht="15.75" customHeight="1">
      <c r="A814" s="3">
        <v>812.0</v>
      </c>
      <c r="B814" s="2" t="s">
        <v>2417</v>
      </c>
      <c r="C814" s="2" t="s">
        <v>2418</v>
      </c>
      <c r="D814" s="2" t="s">
        <v>2419</v>
      </c>
      <c r="E814" s="3">
        <v>5.70056000526E11</v>
      </c>
      <c r="F814" s="2" t="s">
        <v>2407</v>
      </c>
      <c r="G814" s="2" t="s">
        <v>12</v>
      </c>
      <c r="H814" s="7" t="s">
        <v>1672</v>
      </c>
      <c r="I814" s="2"/>
      <c r="J814" s="2"/>
      <c r="K814" s="2"/>
      <c r="L814" s="2"/>
    </row>
    <row r="815" ht="15.75" customHeight="1">
      <c r="A815" s="3">
        <v>813.0</v>
      </c>
      <c r="B815" s="2" t="s">
        <v>2420</v>
      </c>
      <c r="C815" s="2" t="s">
        <v>2421</v>
      </c>
      <c r="D815" s="2" t="s">
        <v>456</v>
      </c>
      <c r="E815" s="3">
        <v>5.70056544644E11</v>
      </c>
      <c r="F815" s="2" t="s">
        <v>2422</v>
      </c>
      <c r="G815" s="2" t="s">
        <v>12</v>
      </c>
      <c r="H815" s="7" t="s">
        <v>1672</v>
      </c>
      <c r="I815" s="2"/>
      <c r="J815" s="2"/>
      <c r="K815" s="2"/>
      <c r="L815" s="2"/>
    </row>
    <row r="816" ht="15.75" customHeight="1">
      <c r="A816" s="3">
        <v>814.0</v>
      </c>
      <c r="B816" s="2" t="s">
        <v>2085</v>
      </c>
      <c r="C816" s="2" t="s">
        <v>2423</v>
      </c>
      <c r="D816" s="2" t="s">
        <v>2424</v>
      </c>
      <c r="E816" s="5">
        <v>5.70056544646E11</v>
      </c>
      <c r="F816" s="2" t="s">
        <v>2425</v>
      </c>
      <c r="G816" s="2" t="s">
        <v>12</v>
      </c>
      <c r="H816" s="7" t="s">
        <v>1672</v>
      </c>
      <c r="I816" s="2"/>
      <c r="J816" s="2"/>
      <c r="K816" s="2" t="s">
        <v>101</v>
      </c>
      <c r="L816" s="2"/>
    </row>
    <row r="817" ht="15.75" customHeight="1">
      <c r="A817" s="3">
        <v>815.0</v>
      </c>
      <c r="B817" s="2" t="s">
        <v>526</v>
      </c>
      <c r="C817" s="2" t="s">
        <v>2426</v>
      </c>
      <c r="D817" s="2" t="s">
        <v>2427</v>
      </c>
      <c r="E817" s="3">
        <v>5.70056544661E11</v>
      </c>
      <c r="F817" s="2" t="s">
        <v>2428</v>
      </c>
      <c r="G817" s="2" t="s">
        <v>12</v>
      </c>
      <c r="H817" s="7" t="s">
        <v>1672</v>
      </c>
      <c r="I817" s="2"/>
      <c r="J817" s="2"/>
      <c r="K817" s="2" t="s">
        <v>101</v>
      </c>
      <c r="L817" s="2"/>
    </row>
    <row r="818" ht="15.75" customHeight="1">
      <c r="A818" s="3">
        <v>816.0</v>
      </c>
      <c r="B818" s="4" t="s">
        <v>1910</v>
      </c>
      <c r="C818" s="2" t="s">
        <v>2429</v>
      </c>
      <c r="D818" s="2" t="s">
        <v>117</v>
      </c>
      <c r="E818" s="3">
        <v>5.70056544666E11</v>
      </c>
      <c r="F818" s="2" t="s">
        <v>2430</v>
      </c>
      <c r="G818" s="2" t="s">
        <v>12</v>
      </c>
      <c r="H818" s="7" t="s">
        <v>1672</v>
      </c>
      <c r="I818" s="2"/>
      <c r="J818" s="2"/>
      <c r="K818" s="2"/>
      <c r="L818" s="2"/>
    </row>
    <row r="819" ht="15.75" customHeight="1">
      <c r="A819" s="3">
        <v>817.0</v>
      </c>
      <c r="B819" s="2" t="s">
        <v>2431</v>
      </c>
      <c r="C819" s="2" t="s">
        <v>2432</v>
      </c>
      <c r="D819" s="2" t="s">
        <v>1759</v>
      </c>
      <c r="E819" s="5">
        <v>5.70056544668E11</v>
      </c>
      <c r="F819" s="2" t="s">
        <v>2433</v>
      </c>
      <c r="G819" s="2" t="s">
        <v>12</v>
      </c>
      <c r="H819" s="7" t="s">
        <v>1672</v>
      </c>
      <c r="I819" s="2"/>
      <c r="J819" s="2"/>
      <c r="K819" s="2"/>
      <c r="L819" s="2"/>
    </row>
    <row r="820" ht="15.75" customHeight="1">
      <c r="A820" s="3">
        <v>818.0</v>
      </c>
      <c r="B820" s="2" t="s">
        <v>2224</v>
      </c>
      <c r="C820" s="2" t="s">
        <v>2434</v>
      </c>
      <c r="D820" s="2" t="s">
        <v>2435</v>
      </c>
      <c r="E820" s="3">
        <v>5.70056544669E11</v>
      </c>
      <c r="F820" s="2" t="s">
        <v>2319</v>
      </c>
      <c r="G820" s="2" t="s">
        <v>187</v>
      </c>
      <c r="H820" s="7" t="s">
        <v>2397</v>
      </c>
      <c r="I820" s="2"/>
      <c r="J820" s="2"/>
      <c r="K820" s="2"/>
      <c r="L820" s="2"/>
    </row>
    <row r="821" ht="15.75" customHeight="1">
      <c r="A821" s="3">
        <v>819.0</v>
      </c>
      <c r="B821" s="2" t="s">
        <v>2436</v>
      </c>
      <c r="C821" s="2" t="s">
        <v>2437</v>
      </c>
      <c r="D821" s="2" t="s">
        <v>333</v>
      </c>
      <c r="E821" s="3">
        <v>5.70056544671E11</v>
      </c>
      <c r="F821" s="2" t="s">
        <v>2438</v>
      </c>
      <c r="G821" s="2" t="s">
        <v>12</v>
      </c>
      <c r="H821" s="7" t="s">
        <v>2439</v>
      </c>
      <c r="I821" s="2"/>
      <c r="J821" s="2"/>
      <c r="K821" s="2"/>
      <c r="L821" s="2"/>
    </row>
    <row r="822" ht="15.75" customHeight="1">
      <c r="A822" s="3">
        <v>820.0</v>
      </c>
      <c r="B822" s="2" t="s">
        <v>2440</v>
      </c>
      <c r="C822" s="2" t="s">
        <v>2441</v>
      </c>
      <c r="D822" s="2" t="s">
        <v>2442</v>
      </c>
      <c r="E822" s="3">
        <v>5.70056544672E11</v>
      </c>
      <c r="F822" s="2" t="s">
        <v>2443</v>
      </c>
      <c r="G822" s="2" t="s">
        <v>12</v>
      </c>
      <c r="H822" s="7" t="s">
        <v>1672</v>
      </c>
      <c r="I822" s="2"/>
      <c r="J822" s="2"/>
      <c r="K822" s="2"/>
      <c r="L822" s="2"/>
    </row>
    <row r="823" ht="15.75" customHeight="1">
      <c r="A823" s="3">
        <v>821.0</v>
      </c>
      <c r="B823" s="2" t="s">
        <v>2398</v>
      </c>
      <c r="C823" s="2" t="s">
        <v>2444</v>
      </c>
      <c r="D823" s="2" t="s">
        <v>1540</v>
      </c>
      <c r="E823" s="3">
        <v>5.70056544673E11</v>
      </c>
      <c r="F823" s="2" t="s">
        <v>2360</v>
      </c>
      <c r="G823" s="2" t="s">
        <v>187</v>
      </c>
      <c r="H823" s="7" t="s">
        <v>1672</v>
      </c>
      <c r="I823" s="2"/>
      <c r="J823" s="2"/>
      <c r="K823" s="2"/>
      <c r="L823" s="2"/>
    </row>
    <row r="824" ht="15.75" customHeight="1">
      <c r="A824" s="3">
        <v>822.0</v>
      </c>
      <c r="B824" s="2" t="s">
        <v>306</v>
      </c>
      <c r="C824" s="2" t="s">
        <v>2445</v>
      </c>
      <c r="D824" s="2" t="s">
        <v>627</v>
      </c>
      <c r="E824" s="3">
        <v>5.70056544675E11</v>
      </c>
      <c r="F824" s="2" t="s">
        <v>2360</v>
      </c>
      <c r="G824" s="2" t="s">
        <v>187</v>
      </c>
      <c r="H824" s="7" t="s">
        <v>1672</v>
      </c>
      <c r="I824" s="2"/>
      <c r="J824" s="2"/>
      <c r="K824" s="2"/>
      <c r="L824" s="2"/>
    </row>
    <row r="825" ht="15.75" customHeight="1">
      <c r="A825" s="3">
        <v>823.0</v>
      </c>
      <c r="B825" s="2" t="s">
        <v>2446</v>
      </c>
      <c r="C825" s="2" t="s">
        <v>2406</v>
      </c>
      <c r="D825" s="2" t="s">
        <v>1520</v>
      </c>
      <c r="E825" s="3">
        <v>5.70056544678E11</v>
      </c>
      <c r="F825" s="2" t="s">
        <v>2447</v>
      </c>
      <c r="G825" s="2" t="s">
        <v>187</v>
      </c>
      <c r="H825" s="7" t="s">
        <v>1672</v>
      </c>
      <c r="I825" s="2"/>
      <c r="J825" s="2"/>
      <c r="K825" s="2"/>
      <c r="L825" s="2"/>
    </row>
    <row r="826" ht="15.75" customHeight="1">
      <c r="A826" s="3">
        <v>824.0</v>
      </c>
      <c r="B826" s="2" t="s">
        <v>2448</v>
      </c>
      <c r="C826" s="2" t="s">
        <v>2449</v>
      </c>
      <c r="D826" s="2" t="s">
        <v>2450</v>
      </c>
      <c r="E826" s="5">
        <v>5.7005654468E11</v>
      </c>
      <c r="F826" s="2" t="s">
        <v>2451</v>
      </c>
      <c r="G826" s="2" t="s">
        <v>12</v>
      </c>
      <c r="H826" s="7" t="s">
        <v>1672</v>
      </c>
      <c r="I826" s="2"/>
      <c r="J826" s="2"/>
      <c r="K826" s="2" t="s">
        <v>101</v>
      </c>
      <c r="L826" s="2"/>
    </row>
    <row r="827" ht="15.75" customHeight="1">
      <c r="A827" s="3">
        <v>825.0</v>
      </c>
      <c r="B827" s="2" t="s">
        <v>2452</v>
      </c>
      <c r="C827" s="2" t="s">
        <v>2453</v>
      </c>
      <c r="D827" s="2" t="s">
        <v>195</v>
      </c>
      <c r="E827" s="3">
        <v>5.70056544681E11</v>
      </c>
      <c r="F827" s="2" t="s">
        <v>2454</v>
      </c>
      <c r="G827" s="2" t="s">
        <v>12</v>
      </c>
      <c r="H827" s="7" t="s">
        <v>1672</v>
      </c>
      <c r="I827" s="2"/>
      <c r="J827" s="2"/>
      <c r="K827" s="2" t="s">
        <v>101</v>
      </c>
      <c r="L827" s="2"/>
    </row>
    <row r="828" ht="15.75" customHeight="1">
      <c r="A828" s="3">
        <v>826.0</v>
      </c>
      <c r="B828" s="2" t="s">
        <v>2201</v>
      </c>
      <c r="C828" s="2" t="s">
        <v>2455</v>
      </c>
      <c r="D828" s="2" t="s">
        <v>108</v>
      </c>
      <c r="E828" s="3">
        <v>5.70056544682E11</v>
      </c>
      <c r="F828" s="2" t="s">
        <v>2456</v>
      </c>
      <c r="G828" s="2" t="s">
        <v>12</v>
      </c>
      <c r="H828" s="7" t="s">
        <v>1672</v>
      </c>
      <c r="I828" s="2"/>
      <c r="J828" s="2"/>
      <c r="K828" s="2"/>
      <c r="L828" s="2"/>
    </row>
    <row r="829" ht="15.75" customHeight="1">
      <c r="A829" s="3">
        <v>827.0</v>
      </c>
      <c r="B829" s="2" t="s">
        <v>1953</v>
      </c>
      <c r="C829" s="2" t="s">
        <v>2457</v>
      </c>
      <c r="D829" s="2" t="s">
        <v>2458</v>
      </c>
      <c r="E829" s="3">
        <v>5.70056544683E11</v>
      </c>
      <c r="F829" s="2" t="s">
        <v>2459</v>
      </c>
      <c r="G829" s="2" t="s">
        <v>12</v>
      </c>
      <c r="H829" s="7" t="s">
        <v>1672</v>
      </c>
      <c r="I829" s="2"/>
      <c r="J829" s="2"/>
      <c r="K829" s="2"/>
      <c r="L829" s="2"/>
    </row>
    <row r="830" ht="15.75" customHeight="1">
      <c r="A830" s="3">
        <v>828.0</v>
      </c>
      <c r="B830" s="2" t="s">
        <v>2460</v>
      </c>
      <c r="C830" s="2" t="s">
        <v>2461</v>
      </c>
      <c r="D830" s="2" t="s">
        <v>2462</v>
      </c>
      <c r="E830" s="3">
        <v>5.70056544691E11</v>
      </c>
      <c r="F830" s="2" t="s">
        <v>2463</v>
      </c>
      <c r="G830" s="2" t="s">
        <v>12</v>
      </c>
      <c r="H830" s="7" t="s">
        <v>1672</v>
      </c>
      <c r="I830" s="2"/>
      <c r="J830" s="2"/>
      <c r="K830" s="2"/>
      <c r="L830" s="2"/>
    </row>
    <row r="831" ht="15.75" customHeight="1">
      <c r="A831" s="3">
        <v>829.0</v>
      </c>
      <c r="B831" s="4" t="s">
        <v>2464</v>
      </c>
      <c r="C831" s="2" t="s">
        <v>2465</v>
      </c>
      <c r="D831" s="2" t="s">
        <v>2466</v>
      </c>
      <c r="E831" s="5">
        <v>5.70056544692E11</v>
      </c>
      <c r="F831" s="2" t="s">
        <v>2467</v>
      </c>
      <c r="G831" s="2" t="s">
        <v>12</v>
      </c>
      <c r="H831" s="7" t="s">
        <v>1672</v>
      </c>
      <c r="I831" s="2"/>
      <c r="J831" s="2"/>
      <c r="K831" s="2"/>
      <c r="L831" s="2"/>
    </row>
    <row r="832" ht="15.75" customHeight="1">
      <c r="A832" s="3">
        <v>830.0</v>
      </c>
      <c r="B832" s="2" t="s">
        <v>1565</v>
      </c>
      <c r="C832" s="2" t="s">
        <v>1945</v>
      </c>
      <c r="D832" s="2" t="s">
        <v>2468</v>
      </c>
      <c r="E832" s="3">
        <v>5.70056544693E11</v>
      </c>
      <c r="F832" s="2" t="s">
        <v>2469</v>
      </c>
      <c r="G832" s="2" t="s">
        <v>187</v>
      </c>
      <c r="H832" s="7" t="s">
        <v>2470</v>
      </c>
      <c r="I832" s="2"/>
      <c r="J832" s="2"/>
      <c r="K832" s="2"/>
      <c r="L832" s="2"/>
    </row>
    <row r="833" ht="15.75" customHeight="1">
      <c r="A833" s="3">
        <v>831.0</v>
      </c>
      <c r="B833" s="2" t="s">
        <v>2471</v>
      </c>
      <c r="C833" s="2" t="s">
        <v>2472</v>
      </c>
      <c r="D833" s="2" t="s">
        <v>1696</v>
      </c>
      <c r="E833" s="3">
        <v>5.70056544694E11</v>
      </c>
      <c r="F833" s="2" t="s">
        <v>2473</v>
      </c>
      <c r="G833" s="2" t="s">
        <v>12</v>
      </c>
      <c r="H833" s="7" t="s">
        <v>2474</v>
      </c>
      <c r="I833" s="2"/>
      <c r="J833" s="2"/>
      <c r="K833" s="2"/>
      <c r="L833" s="2"/>
    </row>
    <row r="834" ht="15.75" customHeight="1">
      <c r="A834" s="3">
        <v>832.0</v>
      </c>
      <c r="B834" s="2" t="s">
        <v>526</v>
      </c>
      <c r="C834" s="2" t="s">
        <v>2475</v>
      </c>
      <c r="D834" s="2" t="s">
        <v>529</v>
      </c>
      <c r="E834" s="3">
        <v>5.70056544695E11</v>
      </c>
      <c r="F834" s="2" t="s">
        <v>2476</v>
      </c>
      <c r="G834" s="2" t="s">
        <v>12</v>
      </c>
      <c r="H834" s="7" t="s">
        <v>1672</v>
      </c>
      <c r="I834" s="2"/>
      <c r="J834" s="2"/>
      <c r="K834" s="2"/>
      <c r="L834" s="2"/>
    </row>
    <row r="835" ht="15.75" customHeight="1">
      <c r="A835" s="3">
        <v>833.0</v>
      </c>
      <c r="B835" s="4" t="s">
        <v>2436</v>
      </c>
      <c r="C835" s="2" t="s">
        <v>2477</v>
      </c>
      <c r="D835" s="2" t="s">
        <v>2478</v>
      </c>
      <c r="E835" s="3">
        <v>5.70056544696E11</v>
      </c>
      <c r="F835" s="2" t="s">
        <v>2479</v>
      </c>
      <c r="G835" s="2" t="s">
        <v>12</v>
      </c>
      <c r="H835" s="7" t="s">
        <v>1672</v>
      </c>
      <c r="I835" s="2"/>
      <c r="J835" s="2"/>
      <c r="K835" s="2"/>
      <c r="L835" s="2"/>
    </row>
    <row r="836" ht="15.75" customHeight="1">
      <c r="A836" s="3">
        <v>834.0</v>
      </c>
      <c r="B836" s="2" t="s">
        <v>1871</v>
      </c>
      <c r="C836" s="2" t="s">
        <v>2421</v>
      </c>
      <c r="D836" s="2" t="s">
        <v>456</v>
      </c>
      <c r="E836" s="3">
        <v>5.7005654471E11</v>
      </c>
      <c r="F836" s="2" t="s">
        <v>2480</v>
      </c>
      <c r="G836" s="2" t="s">
        <v>187</v>
      </c>
      <c r="H836" s="7" t="s">
        <v>1672</v>
      </c>
      <c r="I836" s="2"/>
      <c r="J836" s="2"/>
      <c r="K836" s="2"/>
      <c r="L836" s="2"/>
    </row>
    <row r="837" ht="15.75" customHeight="1">
      <c r="A837" s="3">
        <v>835.0</v>
      </c>
      <c r="B837" s="2" t="s">
        <v>2224</v>
      </c>
      <c r="C837" s="2" t="s">
        <v>2453</v>
      </c>
      <c r="D837" s="2" t="s">
        <v>306</v>
      </c>
      <c r="E837" s="3">
        <v>5.70056000508E11</v>
      </c>
      <c r="F837" s="2" t="s">
        <v>2481</v>
      </c>
      <c r="G837" s="2" t="s">
        <v>12</v>
      </c>
      <c r="H837" s="7" t="s">
        <v>1672</v>
      </c>
      <c r="I837" s="2"/>
      <c r="J837" s="2"/>
      <c r="K837" s="2"/>
      <c r="L837" s="2"/>
    </row>
    <row r="838" ht="15.75" customHeight="1">
      <c r="A838" s="3">
        <v>836.0</v>
      </c>
      <c r="B838" s="2" t="s">
        <v>1742</v>
      </c>
      <c r="C838" s="2" t="s">
        <v>2482</v>
      </c>
      <c r="D838" s="2" t="s">
        <v>66</v>
      </c>
      <c r="E838" s="3">
        <v>5.70056544701E11</v>
      </c>
      <c r="F838" s="2" t="s">
        <v>2483</v>
      </c>
      <c r="G838" s="2" t="s">
        <v>12</v>
      </c>
      <c r="H838" s="7" t="s">
        <v>1672</v>
      </c>
      <c r="I838" s="2"/>
      <c r="J838" s="2"/>
      <c r="K838" s="2" t="s">
        <v>101</v>
      </c>
      <c r="L838" s="2"/>
    </row>
    <row r="839" ht="15.75" customHeight="1">
      <c r="A839" s="3">
        <v>837.0</v>
      </c>
      <c r="B839" s="2" t="s">
        <v>249</v>
      </c>
      <c r="C839" s="2" t="s">
        <v>2484</v>
      </c>
      <c r="D839" s="2" t="s">
        <v>2485</v>
      </c>
      <c r="E839" s="3">
        <v>5.70056544702E11</v>
      </c>
      <c r="F839" s="2" t="s">
        <v>2273</v>
      </c>
      <c r="G839" s="2" t="s">
        <v>12</v>
      </c>
      <c r="H839" s="7" t="s">
        <v>1672</v>
      </c>
      <c r="I839" s="2"/>
      <c r="J839" s="2"/>
      <c r="K839" s="2" t="s">
        <v>101</v>
      </c>
      <c r="L839" s="2"/>
    </row>
    <row r="840" ht="15.75" customHeight="1">
      <c r="A840" s="3">
        <v>838.0</v>
      </c>
      <c r="B840" s="2" t="s">
        <v>256</v>
      </c>
      <c r="C840" s="2" t="s">
        <v>1901</v>
      </c>
      <c r="D840" s="2" t="s">
        <v>2486</v>
      </c>
      <c r="E840" s="3">
        <v>5.70056544704E11</v>
      </c>
      <c r="F840" s="2" t="s">
        <v>2487</v>
      </c>
      <c r="G840" s="2" t="s">
        <v>187</v>
      </c>
      <c r="H840" s="7" t="s">
        <v>2488</v>
      </c>
      <c r="I840" s="2"/>
      <c r="J840" s="2"/>
      <c r="K840" s="2"/>
      <c r="L840" s="2"/>
    </row>
    <row r="841" ht="15.75" customHeight="1">
      <c r="A841" s="3">
        <v>839.0</v>
      </c>
      <c r="B841" s="2" t="s">
        <v>2489</v>
      </c>
      <c r="C841" s="2" t="s">
        <v>2490</v>
      </c>
      <c r="D841" s="2" t="s">
        <v>2491</v>
      </c>
      <c r="E841" s="3">
        <v>5.70056544705E11</v>
      </c>
      <c r="F841" s="2" t="s">
        <v>2492</v>
      </c>
      <c r="G841" s="2" t="s">
        <v>12</v>
      </c>
      <c r="H841" s="7" t="s">
        <v>1672</v>
      </c>
      <c r="I841" s="2"/>
      <c r="J841" s="2"/>
      <c r="K841" s="2"/>
      <c r="L841" s="2"/>
    </row>
    <row r="842" ht="15.75" customHeight="1">
      <c r="A842" s="3">
        <v>840.0</v>
      </c>
      <c r="B842" s="2" t="s">
        <v>2493</v>
      </c>
      <c r="C842" s="2" t="s">
        <v>1956</v>
      </c>
      <c r="D842" s="2" t="s">
        <v>2494</v>
      </c>
      <c r="E842" s="3">
        <v>5.70056544709E11</v>
      </c>
      <c r="F842" s="2" t="s">
        <v>2495</v>
      </c>
      <c r="G842" s="2" t="s">
        <v>12</v>
      </c>
      <c r="H842" s="7" t="s">
        <v>2496</v>
      </c>
      <c r="I842" s="2"/>
      <c r="J842" s="2"/>
      <c r="K842" s="2"/>
      <c r="L842" s="2"/>
    </row>
    <row r="843" ht="15.75" customHeight="1">
      <c r="A843" s="3">
        <v>841.0</v>
      </c>
      <c r="B843" s="2" t="s">
        <v>2497</v>
      </c>
      <c r="C843" s="2" t="s">
        <v>2498</v>
      </c>
      <c r="D843" s="2" t="s">
        <v>2499</v>
      </c>
      <c r="E843" s="3">
        <v>5.7005654465E11</v>
      </c>
      <c r="F843" s="2" t="s">
        <v>2500</v>
      </c>
      <c r="G843" s="2" t="s">
        <v>2012</v>
      </c>
      <c r="H843" s="7" t="s">
        <v>1672</v>
      </c>
      <c r="I843" s="2"/>
      <c r="J843" s="2"/>
      <c r="K843" s="2"/>
      <c r="L843" s="2"/>
    </row>
    <row r="844" ht="15.75" customHeight="1">
      <c r="A844" s="3">
        <v>842.0</v>
      </c>
      <c r="B844" s="2" t="s">
        <v>2501</v>
      </c>
      <c r="C844" s="2" t="s">
        <v>2502</v>
      </c>
      <c r="D844" s="2" t="s">
        <v>2503</v>
      </c>
      <c r="E844" s="3">
        <v>5.70056544706E11</v>
      </c>
      <c r="F844" s="2" t="s">
        <v>2504</v>
      </c>
      <c r="G844" s="2" t="s">
        <v>12</v>
      </c>
      <c r="H844" s="7" t="s">
        <v>1672</v>
      </c>
      <c r="I844" s="2"/>
      <c r="J844" s="2"/>
      <c r="K844" s="2"/>
      <c r="L844" s="2"/>
    </row>
    <row r="845" ht="15.75" customHeight="1">
      <c r="A845" s="3">
        <v>843.0</v>
      </c>
      <c r="B845" s="2" t="s">
        <v>2424</v>
      </c>
      <c r="C845" s="2" t="s">
        <v>295</v>
      </c>
      <c r="D845" s="2" t="s">
        <v>1237</v>
      </c>
      <c r="E845" s="3">
        <v>5.70056544707E11</v>
      </c>
      <c r="F845" s="2" t="s">
        <v>2505</v>
      </c>
      <c r="G845" s="2" t="s">
        <v>12</v>
      </c>
      <c r="H845" s="7" t="s">
        <v>1672</v>
      </c>
      <c r="I845" s="2"/>
      <c r="J845" s="2"/>
      <c r="K845" s="2"/>
      <c r="L845" s="2"/>
    </row>
    <row r="846" ht="15.75" customHeight="1">
      <c r="A846" s="3">
        <v>844.0</v>
      </c>
      <c r="B846" s="2" t="s">
        <v>946</v>
      </c>
      <c r="C846" s="2" t="s">
        <v>2506</v>
      </c>
      <c r="D846" s="2" t="s">
        <v>2507</v>
      </c>
      <c r="E846" s="3">
        <v>5.70056000527E11</v>
      </c>
      <c r="F846" s="2" t="s">
        <v>2508</v>
      </c>
      <c r="G846" s="2" t="s">
        <v>12</v>
      </c>
      <c r="H846" s="7" t="s">
        <v>1672</v>
      </c>
      <c r="I846" s="2"/>
      <c r="J846" s="2"/>
      <c r="K846" s="2" t="s">
        <v>101</v>
      </c>
      <c r="L846" s="2"/>
    </row>
    <row r="847" ht="15.75" customHeight="1">
      <c r="A847" s="3">
        <v>845.0</v>
      </c>
      <c r="B847" s="2" t="s">
        <v>2357</v>
      </c>
      <c r="C847" s="2" t="s">
        <v>665</v>
      </c>
      <c r="D847" s="2" t="s">
        <v>219</v>
      </c>
      <c r="E847" s="3">
        <v>5.70056000528E11</v>
      </c>
      <c r="F847" s="2" t="s">
        <v>2509</v>
      </c>
      <c r="G847" s="2" t="s">
        <v>12</v>
      </c>
      <c r="H847" s="7" t="s">
        <v>1672</v>
      </c>
      <c r="I847" s="2"/>
      <c r="J847" s="2"/>
      <c r="K847" s="2"/>
      <c r="L847" s="2"/>
    </row>
    <row r="848" ht="15.75" customHeight="1">
      <c r="A848" s="3">
        <v>846.0</v>
      </c>
      <c r="B848" s="2" t="s">
        <v>2510</v>
      </c>
      <c r="C848" s="2" t="s">
        <v>2511</v>
      </c>
      <c r="D848" s="2" t="s">
        <v>1654</v>
      </c>
      <c r="E848" s="3">
        <v>5.70056000534E11</v>
      </c>
      <c r="F848" s="2" t="s">
        <v>2512</v>
      </c>
      <c r="G848" s="2" t="s">
        <v>12</v>
      </c>
      <c r="H848" s="7" t="s">
        <v>2513</v>
      </c>
      <c r="I848" s="2"/>
      <c r="J848" s="2"/>
      <c r="K848" s="2" t="s">
        <v>101</v>
      </c>
      <c r="L848" s="2"/>
    </row>
    <row r="849" ht="15.75" customHeight="1">
      <c r="A849" s="3">
        <v>847.0</v>
      </c>
      <c r="B849" s="2" t="s">
        <v>2514</v>
      </c>
      <c r="C849" s="2" t="s">
        <v>2515</v>
      </c>
      <c r="D849" s="2" t="s">
        <v>2516</v>
      </c>
      <c r="E849" s="3">
        <v>5.70056000538E11</v>
      </c>
      <c r="F849" s="2" t="s">
        <v>2517</v>
      </c>
      <c r="G849" s="2" t="s">
        <v>12</v>
      </c>
      <c r="H849" s="7" t="s">
        <v>1672</v>
      </c>
      <c r="I849" s="2"/>
      <c r="J849" s="2"/>
      <c r="K849" s="2"/>
      <c r="L849" s="2"/>
    </row>
    <row r="850" ht="15.75" customHeight="1">
      <c r="A850" s="3">
        <v>848.0</v>
      </c>
      <c r="B850" s="2" t="s">
        <v>2518</v>
      </c>
      <c r="C850" s="2" t="s">
        <v>2519</v>
      </c>
      <c r="D850" s="2" t="s">
        <v>52</v>
      </c>
      <c r="E850" s="3">
        <v>5.70056544714E11</v>
      </c>
      <c r="F850" s="2" t="s">
        <v>2520</v>
      </c>
      <c r="G850" s="2" t="s">
        <v>12</v>
      </c>
      <c r="H850" s="7" t="s">
        <v>1672</v>
      </c>
      <c r="I850" s="2"/>
      <c r="J850" s="2"/>
      <c r="K850" s="2"/>
      <c r="L850" s="2"/>
    </row>
    <row r="851" ht="15.75" customHeight="1">
      <c r="A851" s="3">
        <v>849.0</v>
      </c>
      <c r="B851" s="2" t="s">
        <v>2521</v>
      </c>
      <c r="C851" s="2" t="s">
        <v>2522</v>
      </c>
      <c r="D851" s="2" t="s">
        <v>1520</v>
      </c>
      <c r="E851" s="3">
        <v>5.70056000533E11</v>
      </c>
      <c r="F851" s="2" t="s">
        <v>2523</v>
      </c>
      <c r="G851" s="2" t="s">
        <v>12</v>
      </c>
      <c r="H851" s="7" t="s">
        <v>2524</v>
      </c>
      <c r="I851" s="2"/>
      <c r="J851" s="2"/>
      <c r="K851" s="2"/>
      <c r="L851" s="2"/>
    </row>
    <row r="852" ht="15.75" customHeight="1">
      <c r="A852" s="3">
        <v>850.0</v>
      </c>
      <c r="B852" s="2" t="s">
        <v>1932</v>
      </c>
      <c r="C852" s="2" t="s">
        <v>2525</v>
      </c>
      <c r="D852" s="2" t="s">
        <v>2526</v>
      </c>
      <c r="E852" s="3">
        <v>5.70056544716E11</v>
      </c>
      <c r="F852" s="2" t="s">
        <v>2527</v>
      </c>
      <c r="G852" s="2" t="s">
        <v>187</v>
      </c>
      <c r="H852" s="7" t="s">
        <v>2528</v>
      </c>
      <c r="I852" s="2"/>
      <c r="J852" s="2"/>
      <c r="K852" s="2"/>
      <c r="L852" s="2"/>
    </row>
    <row r="853" ht="15.75" customHeight="1">
      <c r="A853" s="3">
        <v>851.0</v>
      </c>
      <c r="B853" s="2" t="s">
        <v>548</v>
      </c>
      <c r="C853" s="2" t="s">
        <v>2529</v>
      </c>
      <c r="D853" s="2" t="s">
        <v>2530</v>
      </c>
      <c r="E853" s="3">
        <v>5.70056544722E11</v>
      </c>
      <c r="F853" s="2" t="s">
        <v>2531</v>
      </c>
      <c r="G853" s="2" t="s">
        <v>12</v>
      </c>
      <c r="H853" s="7" t="s">
        <v>2532</v>
      </c>
      <c r="I853" s="2"/>
      <c r="J853" s="2"/>
      <c r="K853" s="2"/>
      <c r="L853" s="2"/>
    </row>
    <row r="854" ht="15.75" customHeight="1">
      <c r="A854" s="3">
        <v>852.0</v>
      </c>
      <c r="B854" s="2" t="s">
        <v>529</v>
      </c>
      <c r="C854" s="2" t="s">
        <v>2266</v>
      </c>
      <c r="D854" s="2" t="s">
        <v>548</v>
      </c>
      <c r="E854" s="3">
        <v>5.70056544723E11</v>
      </c>
      <c r="F854" s="2" t="s">
        <v>2533</v>
      </c>
      <c r="G854" s="2" t="s">
        <v>12</v>
      </c>
      <c r="H854" s="7" t="s">
        <v>1672</v>
      </c>
      <c r="I854" s="2"/>
      <c r="J854" s="2"/>
      <c r="K854" s="2" t="s">
        <v>101</v>
      </c>
      <c r="L854" s="2"/>
    </row>
    <row r="855" ht="15.75" customHeight="1">
      <c r="A855" s="3">
        <v>853.0</v>
      </c>
      <c r="B855" s="2" t="s">
        <v>2534</v>
      </c>
      <c r="C855" s="2" t="s">
        <v>2535</v>
      </c>
      <c r="D855" s="2" t="s">
        <v>2536</v>
      </c>
      <c r="E855" s="3">
        <v>5.70056544724E11</v>
      </c>
      <c r="F855" s="2" t="s">
        <v>564</v>
      </c>
      <c r="G855" s="2" t="s">
        <v>12</v>
      </c>
      <c r="H855" s="7" t="s">
        <v>1672</v>
      </c>
      <c r="I855" s="2"/>
      <c r="J855" s="2"/>
      <c r="K855" s="2"/>
      <c r="L855" s="2"/>
    </row>
    <row r="856" ht="15.75" customHeight="1">
      <c r="A856" s="3">
        <v>854.0</v>
      </c>
      <c r="B856" s="2" t="s">
        <v>2537</v>
      </c>
      <c r="C856" s="2" t="s">
        <v>2538</v>
      </c>
      <c r="D856" s="2" t="s">
        <v>2539</v>
      </c>
      <c r="E856" s="3">
        <v>5.70056000547E11</v>
      </c>
      <c r="F856" s="2" t="s">
        <v>2540</v>
      </c>
      <c r="G856" s="2" t="s">
        <v>12</v>
      </c>
      <c r="H856" s="7" t="s">
        <v>1672</v>
      </c>
      <c r="I856" s="2"/>
      <c r="J856" s="2"/>
      <c r="K856" s="2"/>
      <c r="L856" s="2"/>
    </row>
    <row r="857" ht="15.75" customHeight="1">
      <c r="A857" s="3">
        <v>855.0</v>
      </c>
      <c r="B857" s="2" t="s">
        <v>2541</v>
      </c>
      <c r="C857" s="2" t="s">
        <v>2542</v>
      </c>
      <c r="D857" s="2" t="s">
        <v>2543</v>
      </c>
      <c r="E857" s="3">
        <v>5.70056544731E11</v>
      </c>
      <c r="F857" s="2" t="s">
        <v>2544</v>
      </c>
      <c r="G857" s="2" t="s">
        <v>2545</v>
      </c>
      <c r="H857" s="7" t="s">
        <v>2546</v>
      </c>
      <c r="I857" s="2"/>
      <c r="J857" s="2"/>
      <c r="K857" s="2" t="s">
        <v>101</v>
      </c>
      <c r="L857" s="2"/>
    </row>
    <row r="858" ht="15.75" customHeight="1">
      <c r="A858" s="3">
        <v>856.0</v>
      </c>
      <c r="B858" s="2" t="s">
        <v>2547</v>
      </c>
      <c r="C858" s="2" t="s">
        <v>1294</v>
      </c>
      <c r="D858" s="2" t="s">
        <v>122</v>
      </c>
      <c r="E858" s="3">
        <v>5.70056544732E11</v>
      </c>
      <c r="F858" s="2" t="s">
        <v>2548</v>
      </c>
      <c r="G858" s="2" t="s">
        <v>12</v>
      </c>
      <c r="H858" s="7" t="s">
        <v>1672</v>
      </c>
      <c r="I858" s="2"/>
      <c r="J858" s="2"/>
      <c r="K858" s="2" t="s">
        <v>101</v>
      </c>
      <c r="L858" s="2"/>
    </row>
    <row r="859" ht="15.75" customHeight="1">
      <c r="A859" s="3">
        <v>857.0</v>
      </c>
      <c r="B859" s="2" t="s">
        <v>2549</v>
      </c>
      <c r="C859" s="2" t="s">
        <v>2550</v>
      </c>
      <c r="D859" s="2" t="s">
        <v>2551</v>
      </c>
      <c r="E859" s="3">
        <v>5.70056544735E11</v>
      </c>
      <c r="F859" s="2" t="s">
        <v>2552</v>
      </c>
      <c r="G859" s="2" t="s">
        <v>12</v>
      </c>
      <c r="H859" s="7" t="s">
        <v>2553</v>
      </c>
      <c r="I859" s="2"/>
      <c r="J859" s="2"/>
      <c r="K859" s="2" t="s">
        <v>101</v>
      </c>
      <c r="L859" s="2"/>
    </row>
    <row r="860" ht="15.75" customHeight="1">
      <c r="A860" s="3">
        <v>858.0</v>
      </c>
      <c r="B860" s="2" t="s">
        <v>2554</v>
      </c>
      <c r="C860" s="2" t="s">
        <v>2555</v>
      </c>
      <c r="D860" s="2" t="s">
        <v>2468</v>
      </c>
      <c r="E860" s="3">
        <v>5.70056544737E11</v>
      </c>
      <c r="F860" s="2" t="s">
        <v>2556</v>
      </c>
      <c r="G860" s="2" t="s">
        <v>187</v>
      </c>
      <c r="H860" s="7" t="s">
        <v>1672</v>
      </c>
      <c r="I860" s="2"/>
      <c r="J860" s="2"/>
      <c r="K860" s="2"/>
      <c r="L860" s="2"/>
    </row>
    <row r="861" ht="15.75" customHeight="1">
      <c r="A861" s="3">
        <v>859.0</v>
      </c>
      <c r="B861" s="2" t="s">
        <v>2557</v>
      </c>
      <c r="C861" s="2" t="s">
        <v>2558</v>
      </c>
      <c r="D861" s="2" t="s">
        <v>1600</v>
      </c>
      <c r="E861" s="3">
        <v>5.70056544738E11</v>
      </c>
      <c r="F861" s="2" t="s">
        <v>2559</v>
      </c>
      <c r="G861" s="2" t="s">
        <v>12</v>
      </c>
      <c r="H861" s="7" t="s">
        <v>2560</v>
      </c>
      <c r="I861" s="2"/>
      <c r="J861" s="2"/>
      <c r="K861" s="2"/>
      <c r="L861" s="2"/>
    </row>
    <row r="862" ht="15.75" customHeight="1">
      <c r="A862" s="3">
        <v>860.0</v>
      </c>
      <c r="B862" s="2" t="s">
        <v>2561</v>
      </c>
      <c r="C862" s="2" t="s">
        <v>2562</v>
      </c>
      <c r="D862" s="2" t="s">
        <v>2563</v>
      </c>
      <c r="E862" s="3">
        <v>5.70056544739E11</v>
      </c>
      <c r="F862" s="2" t="s">
        <v>2564</v>
      </c>
      <c r="G862" s="2" t="s">
        <v>12</v>
      </c>
      <c r="H862" s="7" t="s">
        <v>1672</v>
      </c>
      <c r="I862" s="2"/>
      <c r="J862" s="2"/>
      <c r="K862" s="2"/>
      <c r="L862" s="2"/>
    </row>
    <row r="863" ht="15.75" customHeight="1">
      <c r="A863" s="3">
        <v>861.0</v>
      </c>
      <c r="B863" s="4" t="s">
        <v>2565</v>
      </c>
      <c r="C863" s="2" t="s">
        <v>2566</v>
      </c>
      <c r="D863" s="2" t="s">
        <v>2567</v>
      </c>
      <c r="E863" s="3">
        <v>5.70056544742E11</v>
      </c>
      <c r="F863" s="2" t="s">
        <v>2568</v>
      </c>
      <c r="G863" s="2" t="s">
        <v>12</v>
      </c>
      <c r="H863" s="7" t="s">
        <v>1672</v>
      </c>
      <c r="I863" s="2"/>
      <c r="J863" s="2"/>
      <c r="K863" s="2" t="s">
        <v>101</v>
      </c>
      <c r="L863" s="2"/>
    </row>
    <row r="864" ht="15.75" customHeight="1">
      <c r="A864" s="3">
        <v>862.0</v>
      </c>
      <c r="B864" s="2" t="s">
        <v>2569</v>
      </c>
      <c r="C864" s="2" t="s">
        <v>2570</v>
      </c>
      <c r="D864" s="2" t="s">
        <v>2571</v>
      </c>
      <c r="E864" s="3">
        <v>5.7005654475E11</v>
      </c>
      <c r="F864" s="2" t="s">
        <v>2572</v>
      </c>
      <c r="G864" s="2" t="s">
        <v>12</v>
      </c>
      <c r="H864" s="7" t="s">
        <v>1672</v>
      </c>
      <c r="I864" s="2"/>
      <c r="J864" s="2"/>
      <c r="K864" s="2"/>
      <c r="L864" s="2"/>
    </row>
    <row r="865" ht="15.75" customHeight="1">
      <c r="A865" s="3">
        <v>863.0</v>
      </c>
      <c r="B865" s="2" t="s">
        <v>2239</v>
      </c>
      <c r="C865" s="2" t="s">
        <v>2573</v>
      </c>
      <c r="D865" s="2" t="s">
        <v>996</v>
      </c>
      <c r="E865" s="3">
        <v>5.70056544754E11</v>
      </c>
      <c r="F865" s="2" t="s">
        <v>2574</v>
      </c>
      <c r="G865" s="2" t="s">
        <v>12</v>
      </c>
      <c r="H865" s="7" t="s">
        <v>1672</v>
      </c>
      <c r="I865" s="2"/>
      <c r="J865" s="2"/>
      <c r="K865" s="2" t="s">
        <v>101</v>
      </c>
      <c r="L865" s="2"/>
    </row>
    <row r="866" ht="15.75" customHeight="1">
      <c r="A866" s="3">
        <v>864.0</v>
      </c>
      <c r="B866" s="2" t="s">
        <v>2575</v>
      </c>
      <c r="C866" s="2" t="s">
        <v>669</v>
      </c>
      <c r="D866" s="2" t="s">
        <v>650</v>
      </c>
      <c r="E866" s="3">
        <v>5.70056544757E11</v>
      </c>
      <c r="F866" s="2" t="s">
        <v>2576</v>
      </c>
      <c r="G866" s="2" t="s">
        <v>12</v>
      </c>
      <c r="H866" s="7" t="s">
        <v>1672</v>
      </c>
      <c r="I866" s="2"/>
      <c r="J866" s="2"/>
      <c r="K866" s="2"/>
      <c r="L866" s="2"/>
    </row>
    <row r="867" ht="15.75" customHeight="1">
      <c r="A867" s="3">
        <v>865.0</v>
      </c>
      <c r="B867" s="4" t="s">
        <v>2577</v>
      </c>
      <c r="C867" s="2" t="s">
        <v>1977</v>
      </c>
      <c r="D867" s="2" t="s">
        <v>1181</v>
      </c>
      <c r="E867" s="3">
        <v>5.70056544758E11</v>
      </c>
      <c r="F867" s="2" t="s">
        <v>2578</v>
      </c>
      <c r="G867" s="2" t="s">
        <v>12</v>
      </c>
      <c r="H867" s="7" t="s">
        <v>1672</v>
      </c>
      <c r="I867" s="2"/>
      <c r="J867" s="2"/>
      <c r="K867" s="2" t="s">
        <v>101</v>
      </c>
      <c r="L867" s="2"/>
    </row>
    <row r="868" ht="15.75" customHeight="1">
      <c r="A868" s="3">
        <v>866.0</v>
      </c>
      <c r="B868" s="4" t="s">
        <v>2579</v>
      </c>
      <c r="C868" s="2" t="s">
        <v>739</v>
      </c>
      <c r="D868" s="2" t="s">
        <v>1266</v>
      </c>
      <c r="E868" s="3">
        <v>5.70056544759E11</v>
      </c>
      <c r="F868" s="2" t="s">
        <v>2396</v>
      </c>
      <c r="G868" s="2" t="s">
        <v>12</v>
      </c>
      <c r="H868" s="7" t="s">
        <v>1672</v>
      </c>
      <c r="I868" s="2"/>
      <c r="J868" s="2"/>
      <c r="K868" s="2"/>
      <c r="L868" s="2"/>
    </row>
    <row r="869" ht="15.75" customHeight="1">
      <c r="A869" s="3">
        <v>867.0</v>
      </c>
      <c r="B869" s="2" t="s">
        <v>2580</v>
      </c>
      <c r="C869" s="2" t="s">
        <v>1713</v>
      </c>
      <c r="D869" s="2" t="s">
        <v>657</v>
      </c>
      <c r="E869" s="3">
        <v>5.7005654476E11</v>
      </c>
      <c r="F869" s="2" t="s">
        <v>2581</v>
      </c>
      <c r="G869" s="2" t="s">
        <v>12</v>
      </c>
      <c r="H869" s="7" t="s">
        <v>1672</v>
      </c>
      <c r="I869" s="2"/>
      <c r="J869" s="2"/>
      <c r="K869" s="2"/>
      <c r="L869" s="2"/>
    </row>
    <row r="870" ht="15.75" customHeight="1">
      <c r="A870" s="3">
        <v>868.0</v>
      </c>
      <c r="B870" s="2" t="s">
        <v>2582</v>
      </c>
      <c r="C870" s="2" t="s">
        <v>2583</v>
      </c>
      <c r="D870" s="2" t="s">
        <v>2584</v>
      </c>
      <c r="E870" s="3">
        <v>5.70056544761E11</v>
      </c>
      <c r="F870" s="2" t="s">
        <v>2585</v>
      </c>
      <c r="G870" s="2" t="s">
        <v>12</v>
      </c>
      <c r="H870" s="7" t="s">
        <v>1672</v>
      </c>
      <c r="I870" s="2"/>
      <c r="J870" s="2"/>
      <c r="K870" s="2"/>
      <c r="L870" s="2"/>
    </row>
    <row r="871" ht="15.75" customHeight="1">
      <c r="A871" s="3">
        <v>869.0</v>
      </c>
      <c r="B871" s="2" t="s">
        <v>2085</v>
      </c>
      <c r="C871" s="2" t="s">
        <v>2586</v>
      </c>
      <c r="D871" s="2" t="s">
        <v>789</v>
      </c>
      <c r="E871" s="5">
        <v>5.70056544763E11</v>
      </c>
      <c r="F871" s="2" t="s">
        <v>2587</v>
      </c>
      <c r="G871" s="2" t="s">
        <v>12</v>
      </c>
      <c r="H871" s="7" t="s">
        <v>1672</v>
      </c>
      <c r="I871" s="2"/>
      <c r="J871" s="2"/>
      <c r="K871" s="2"/>
      <c r="L871" s="2"/>
    </row>
    <row r="872" ht="15.75" customHeight="1">
      <c r="A872" s="3">
        <v>870.0</v>
      </c>
      <c r="B872" s="2" t="s">
        <v>2588</v>
      </c>
      <c r="C872" s="2" t="s">
        <v>2589</v>
      </c>
      <c r="D872" s="2" t="s">
        <v>2590</v>
      </c>
      <c r="E872" s="3">
        <v>5.70056544764E11</v>
      </c>
      <c r="F872" s="2" t="s">
        <v>2591</v>
      </c>
      <c r="G872" s="2" t="s">
        <v>12</v>
      </c>
      <c r="H872" s="7" t="s">
        <v>1672</v>
      </c>
      <c r="I872" s="2"/>
      <c r="J872" s="2"/>
      <c r="K872" s="2"/>
      <c r="L872" s="2"/>
    </row>
    <row r="873" ht="15.75" customHeight="1">
      <c r="A873" s="3">
        <v>871.0</v>
      </c>
      <c r="B873" s="2" t="s">
        <v>2592</v>
      </c>
      <c r="C873" s="2" t="s">
        <v>2593</v>
      </c>
      <c r="D873" s="2" t="s">
        <v>2594</v>
      </c>
      <c r="E873" s="3">
        <v>5.70056544765E11</v>
      </c>
      <c r="F873" s="2" t="s">
        <v>2595</v>
      </c>
      <c r="G873" s="2" t="s">
        <v>12</v>
      </c>
      <c r="H873" s="7" t="s">
        <v>1672</v>
      </c>
      <c r="I873" s="2"/>
      <c r="J873" s="2"/>
      <c r="K873" s="2"/>
      <c r="L873" s="2"/>
    </row>
    <row r="874" ht="15.75" customHeight="1">
      <c r="A874" s="3">
        <v>872.0</v>
      </c>
      <c r="B874" s="2" t="s">
        <v>2596</v>
      </c>
      <c r="C874" s="2" t="s">
        <v>2597</v>
      </c>
      <c r="D874" s="2" t="s">
        <v>2598</v>
      </c>
      <c r="E874" s="3">
        <v>5.70056544766E11</v>
      </c>
      <c r="F874" s="2" t="s">
        <v>2599</v>
      </c>
      <c r="G874" s="2" t="s">
        <v>12</v>
      </c>
      <c r="H874" s="7" t="s">
        <v>1672</v>
      </c>
      <c r="I874" s="2"/>
      <c r="J874" s="2"/>
      <c r="K874" s="2"/>
      <c r="L874" s="2"/>
    </row>
    <row r="875" ht="15.75" customHeight="1">
      <c r="A875" s="3">
        <v>873.0</v>
      </c>
      <c r="B875" s="2" t="s">
        <v>2600</v>
      </c>
      <c r="C875" s="2" t="s">
        <v>279</v>
      </c>
      <c r="D875" s="2" t="s">
        <v>2601</v>
      </c>
      <c r="E875" s="3">
        <v>5.70056544773E11</v>
      </c>
      <c r="F875" s="2" t="s">
        <v>2602</v>
      </c>
      <c r="G875" s="2" t="s">
        <v>12</v>
      </c>
      <c r="H875" s="7" t="s">
        <v>1672</v>
      </c>
      <c r="I875" s="2"/>
      <c r="J875" s="2"/>
      <c r="K875" s="2"/>
      <c r="L875" s="2"/>
    </row>
    <row r="876" ht="15.75" customHeight="1">
      <c r="A876" s="3">
        <v>874.0</v>
      </c>
      <c r="B876" s="2" t="s">
        <v>2274</v>
      </c>
      <c r="C876" s="2" t="s">
        <v>2603</v>
      </c>
      <c r="D876" s="2" t="s">
        <v>2604</v>
      </c>
      <c r="E876" s="3">
        <v>5.70056544774E11</v>
      </c>
      <c r="F876" s="2" t="s">
        <v>2605</v>
      </c>
      <c r="G876" s="2" t="s">
        <v>12</v>
      </c>
      <c r="H876" s="7" t="s">
        <v>1672</v>
      </c>
      <c r="I876" s="2"/>
      <c r="J876" s="2"/>
      <c r="K876" s="2"/>
      <c r="L876" s="2"/>
    </row>
    <row r="877" ht="15.75" customHeight="1">
      <c r="A877" s="3">
        <v>875.0</v>
      </c>
      <c r="B877" s="2" t="s">
        <v>442</v>
      </c>
      <c r="C877" s="2" t="s">
        <v>2606</v>
      </c>
      <c r="D877" s="2" t="s">
        <v>2607</v>
      </c>
      <c r="E877" s="3">
        <v>5.70056544776E11</v>
      </c>
      <c r="F877" s="2" t="s">
        <v>2608</v>
      </c>
      <c r="G877" s="2" t="s">
        <v>12</v>
      </c>
      <c r="H877" s="7" t="s">
        <v>1672</v>
      </c>
      <c r="I877" s="2"/>
      <c r="J877" s="2"/>
      <c r="K877" s="2"/>
      <c r="L877" s="2"/>
    </row>
    <row r="878" ht="15.75" customHeight="1">
      <c r="A878" s="3">
        <v>876.0</v>
      </c>
      <c r="B878" s="2" t="s">
        <v>2609</v>
      </c>
      <c r="C878" s="2" t="s">
        <v>2610</v>
      </c>
      <c r="D878" s="2" t="s">
        <v>2611</v>
      </c>
      <c r="E878" s="5">
        <v>5.70056544777E11</v>
      </c>
      <c r="F878" s="2" t="s">
        <v>2612</v>
      </c>
      <c r="G878" s="2" t="s">
        <v>12</v>
      </c>
      <c r="H878" s="7" t="s">
        <v>1672</v>
      </c>
      <c r="I878" s="2"/>
      <c r="J878" s="2"/>
      <c r="K878" s="2"/>
      <c r="L878" s="2"/>
    </row>
    <row r="879" ht="15.75" customHeight="1">
      <c r="A879" s="3">
        <v>877.0</v>
      </c>
      <c r="B879" s="2" t="s">
        <v>2417</v>
      </c>
      <c r="C879" s="2" t="s">
        <v>2613</v>
      </c>
      <c r="D879" s="2" t="s">
        <v>58</v>
      </c>
      <c r="E879" s="3">
        <v>5.70056544778E11</v>
      </c>
      <c r="F879" s="2" t="s">
        <v>2614</v>
      </c>
      <c r="G879" s="2" t="s">
        <v>12</v>
      </c>
      <c r="H879" s="7" t="s">
        <v>1672</v>
      </c>
      <c r="I879" s="2"/>
      <c r="J879" s="2"/>
      <c r="K879" s="2"/>
      <c r="L879" s="2"/>
    </row>
    <row r="880" ht="15.75" customHeight="1">
      <c r="A880" s="3">
        <v>878.0</v>
      </c>
      <c r="B880" s="2" t="s">
        <v>2615</v>
      </c>
      <c r="C880" s="2" t="s">
        <v>2300</v>
      </c>
      <c r="D880" s="2" t="s">
        <v>39</v>
      </c>
      <c r="E880" s="3">
        <v>5.70056544781E11</v>
      </c>
      <c r="F880" s="2" t="s">
        <v>2616</v>
      </c>
      <c r="G880" s="2" t="s">
        <v>187</v>
      </c>
      <c r="H880" s="7" t="s">
        <v>1672</v>
      </c>
      <c r="I880" s="2"/>
      <c r="J880" s="2"/>
      <c r="K880" s="2"/>
      <c r="L880" s="2"/>
    </row>
    <row r="881" ht="15.75" customHeight="1">
      <c r="A881" s="3">
        <v>879.0</v>
      </c>
      <c r="B881" s="2" t="s">
        <v>638</v>
      </c>
      <c r="C881" s="2" t="s">
        <v>2617</v>
      </c>
      <c r="D881" s="2" t="s">
        <v>447</v>
      </c>
      <c r="E881" s="3">
        <v>5.70056544782E11</v>
      </c>
      <c r="F881" s="2" t="s">
        <v>2618</v>
      </c>
      <c r="G881" s="2" t="s">
        <v>12</v>
      </c>
      <c r="H881" s="2" t="s">
        <v>2619</v>
      </c>
      <c r="I881" s="2" t="s">
        <v>13</v>
      </c>
      <c r="J881" s="2" t="s">
        <v>14</v>
      </c>
      <c r="K881" s="2" t="s">
        <v>101</v>
      </c>
      <c r="L881" s="2"/>
      <c r="M881" s="2"/>
    </row>
    <row r="882" ht="15.75" customHeight="1">
      <c r="A882" s="3">
        <v>880.0</v>
      </c>
      <c r="B882" s="2" t="s">
        <v>2326</v>
      </c>
      <c r="C882" s="2" t="s">
        <v>2620</v>
      </c>
      <c r="D882" s="2" t="s">
        <v>2621</v>
      </c>
      <c r="E882" s="3">
        <v>5.70056544783E11</v>
      </c>
      <c r="F882" s="2" t="s">
        <v>2622</v>
      </c>
      <c r="G882" s="2" t="s">
        <v>12</v>
      </c>
      <c r="H882" s="2" t="s">
        <v>13</v>
      </c>
      <c r="I882" s="2" t="s">
        <v>14</v>
      </c>
      <c r="J882" s="2" t="s">
        <v>101</v>
      </c>
      <c r="K882" s="2"/>
      <c r="L882" s="2"/>
      <c r="M882" s="2"/>
    </row>
    <row r="883" ht="15.75" customHeight="1">
      <c r="A883" s="3">
        <v>881.0</v>
      </c>
      <c r="B883" s="2" t="s">
        <v>2623</v>
      </c>
      <c r="C883" s="2" t="s">
        <v>2624</v>
      </c>
      <c r="D883" s="2" t="s">
        <v>2625</v>
      </c>
      <c r="E883" s="3">
        <v>5.70056544784E11</v>
      </c>
      <c r="F883" s="2" t="s">
        <v>2626</v>
      </c>
      <c r="G883" s="2" t="s">
        <v>12</v>
      </c>
      <c r="H883" s="2" t="s">
        <v>13</v>
      </c>
      <c r="I883" s="2" t="s">
        <v>14</v>
      </c>
      <c r="J883" s="2" t="s">
        <v>101</v>
      </c>
      <c r="K883" s="2"/>
      <c r="L883" s="2"/>
      <c r="M883" s="2"/>
    </row>
    <row r="884" ht="15.75" customHeight="1">
      <c r="A884" s="3">
        <v>882.0</v>
      </c>
      <c r="B884" s="2" t="s">
        <v>2239</v>
      </c>
      <c r="C884" s="2" t="s">
        <v>165</v>
      </c>
      <c r="D884" s="2" t="s">
        <v>1475</v>
      </c>
      <c r="E884" s="3">
        <v>5.70056544785E11</v>
      </c>
      <c r="F884" s="2" t="s">
        <v>2627</v>
      </c>
      <c r="G884" s="2" t="s">
        <v>12</v>
      </c>
      <c r="H884" s="2" t="s">
        <v>13</v>
      </c>
      <c r="I884" s="2" t="s">
        <v>14</v>
      </c>
      <c r="J884" s="2" t="s">
        <v>101</v>
      </c>
      <c r="K884" s="2"/>
      <c r="L884" s="2"/>
      <c r="M884" s="2"/>
    </row>
    <row r="885" ht="15.75" customHeight="1">
      <c r="A885" s="3">
        <v>883.0</v>
      </c>
      <c r="B885" s="2" t="s">
        <v>1953</v>
      </c>
      <c r="C885" s="2" t="s">
        <v>2628</v>
      </c>
      <c r="D885" s="2" t="s">
        <v>631</v>
      </c>
      <c r="E885" s="3">
        <v>5.70056544787E11</v>
      </c>
      <c r="F885" s="2" t="s">
        <v>2629</v>
      </c>
      <c r="G885" s="2" t="s">
        <v>12</v>
      </c>
      <c r="H885" s="2" t="s">
        <v>13</v>
      </c>
      <c r="I885" s="2" t="s">
        <v>14</v>
      </c>
      <c r="J885" s="2" t="s">
        <v>101</v>
      </c>
      <c r="K885" s="2"/>
      <c r="L885" s="2"/>
      <c r="M885" s="2"/>
    </row>
    <row r="886" ht="15.75" customHeight="1">
      <c r="A886" s="3">
        <v>884.0</v>
      </c>
      <c r="B886" s="2" t="s">
        <v>2630</v>
      </c>
      <c r="C886" s="2" t="s">
        <v>2631</v>
      </c>
      <c r="D886" s="2" t="s">
        <v>2632</v>
      </c>
      <c r="E886" s="3">
        <v>5.70056544788E11</v>
      </c>
      <c r="F886" s="2" t="s">
        <v>2633</v>
      </c>
      <c r="G886" s="2" t="s">
        <v>12</v>
      </c>
      <c r="H886" s="2" t="s">
        <v>13</v>
      </c>
      <c r="I886" s="2" t="s">
        <v>14</v>
      </c>
      <c r="J886" s="2" t="s">
        <v>101</v>
      </c>
      <c r="K886" s="2"/>
      <c r="L886" s="2"/>
      <c r="M886" s="2"/>
    </row>
    <row r="887" ht="15.75" customHeight="1">
      <c r="A887" s="3">
        <v>885.0</v>
      </c>
      <c r="B887" s="2" t="s">
        <v>2634</v>
      </c>
      <c r="C887" s="2" t="s">
        <v>2635</v>
      </c>
      <c r="D887" s="2" t="s">
        <v>2085</v>
      </c>
      <c r="E887" s="3">
        <v>5.70056544789E11</v>
      </c>
      <c r="F887" s="2" t="s">
        <v>2636</v>
      </c>
      <c r="G887" s="2" t="s">
        <v>2131</v>
      </c>
      <c r="H887" s="2" t="s">
        <v>2637</v>
      </c>
      <c r="I887" s="2" t="s">
        <v>13</v>
      </c>
      <c r="J887" s="2" t="s">
        <v>14</v>
      </c>
      <c r="K887" s="2" t="s">
        <v>101</v>
      </c>
      <c r="L887" s="2"/>
      <c r="M887" s="2"/>
    </row>
    <row r="888" ht="15.75" customHeight="1">
      <c r="A888" s="3">
        <v>886.0</v>
      </c>
      <c r="B888" s="2" t="s">
        <v>1742</v>
      </c>
      <c r="C888" s="2" t="s">
        <v>2638</v>
      </c>
      <c r="D888" s="2" t="s">
        <v>1200</v>
      </c>
      <c r="E888" s="3">
        <v>5.7005654479E11</v>
      </c>
      <c r="F888" s="2" t="s">
        <v>2639</v>
      </c>
      <c r="G888" s="2" t="s">
        <v>12</v>
      </c>
      <c r="H888" s="2" t="s">
        <v>13</v>
      </c>
      <c r="I888" s="2" t="s">
        <v>14</v>
      </c>
      <c r="J888" s="2" t="s">
        <v>101</v>
      </c>
      <c r="K888" s="2"/>
      <c r="L888" s="2"/>
      <c r="M888" s="2"/>
    </row>
    <row r="889" ht="15.75" customHeight="1">
      <c r="A889" s="3">
        <v>887.0</v>
      </c>
      <c r="B889" s="2" t="s">
        <v>2640</v>
      </c>
      <c r="C889" s="2" t="s">
        <v>2641</v>
      </c>
      <c r="D889" s="2" t="s">
        <v>2332</v>
      </c>
      <c r="E889" s="5">
        <v>5.70056544791E11</v>
      </c>
      <c r="F889" s="2" t="s">
        <v>2642</v>
      </c>
      <c r="G889" s="2" t="s">
        <v>12</v>
      </c>
      <c r="H889" s="2" t="s">
        <v>13</v>
      </c>
      <c r="I889" s="2" t="s">
        <v>14</v>
      </c>
      <c r="J889" s="2" t="s">
        <v>101</v>
      </c>
      <c r="K889" s="2"/>
      <c r="L889" s="2"/>
      <c r="M889" s="2"/>
    </row>
    <row r="890" ht="15.75" customHeight="1">
      <c r="A890" s="3">
        <v>888.0</v>
      </c>
      <c r="B890" s="2" t="s">
        <v>179</v>
      </c>
      <c r="C890" s="2" t="s">
        <v>67</v>
      </c>
      <c r="D890" s="2" t="s">
        <v>2643</v>
      </c>
      <c r="E890" s="3">
        <v>5.70056544793E11</v>
      </c>
      <c r="F890" s="2" t="s">
        <v>2644</v>
      </c>
      <c r="G890" s="2" t="s">
        <v>12</v>
      </c>
      <c r="H890" s="2" t="s">
        <v>13</v>
      </c>
      <c r="I890" s="2" t="s">
        <v>14</v>
      </c>
      <c r="J890" s="2" t="s">
        <v>101</v>
      </c>
      <c r="K890" s="2"/>
      <c r="L890" s="2"/>
      <c r="M890" s="2"/>
    </row>
    <row r="891" ht="15.75" customHeight="1">
      <c r="A891" s="3">
        <v>889.0</v>
      </c>
      <c r="B891" s="2" t="s">
        <v>2645</v>
      </c>
      <c r="C891" s="2" t="s">
        <v>2646</v>
      </c>
      <c r="D891" s="2" t="s">
        <v>1189</v>
      </c>
      <c r="E891" s="3">
        <v>5.70056544796E11</v>
      </c>
      <c r="F891" s="2" t="s">
        <v>2647</v>
      </c>
      <c r="G891" s="2" t="s">
        <v>12</v>
      </c>
      <c r="H891" s="2" t="s">
        <v>13</v>
      </c>
      <c r="I891" s="2" t="s">
        <v>14</v>
      </c>
      <c r="J891" s="2" t="s">
        <v>101</v>
      </c>
      <c r="K891" s="2"/>
      <c r="L891" s="2"/>
      <c r="M891" s="2"/>
    </row>
    <row r="892" ht="15.75" customHeight="1">
      <c r="A892" s="3">
        <v>890.0</v>
      </c>
      <c r="B892" s="2" t="s">
        <v>2640</v>
      </c>
      <c r="C892" s="2" t="s">
        <v>2648</v>
      </c>
      <c r="D892" s="2" t="s">
        <v>66</v>
      </c>
      <c r="E892" s="3">
        <v>5.70056544797E11</v>
      </c>
      <c r="F892" s="2" t="s">
        <v>2649</v>
      </c>
      <c r="G892" s="2" t="s">
        <v>12</v>
      </c>
      <c r="H892" s="2" t="s">
        <v>13</v>
      </c>
      <c r="I892" s="2" t="s">
        <v>14</v>
      </c>
      <c r="J892" s="2" t="s">
        <v>101</v>
      </c>
      <c r="K892" s="2"/>
      <c r="L892" s="2"/>
      <c r="M892" s="2"/>
    </row>
    <row r="893" ht="15.75" customHeight="1">
      <c r="A893" s="3">
        <v>891.0</v>
      </c>
      <c r="B893" s="2" t="s">
        <v>2549</v>
      </c>
      <c r="C893" s="2" t="s">
        <v>2650</v>
      </c>
      <c r="D893" s="2" t="s">
        <v>2651</v>
      </c>
      <c r="E893" s="3">
        <v>5.70056544798E11</v>
      </c>
      <c r="F893" s="2" t="s">
        <v>2652</v>
      </c>
      <c r="G893" s="2" t="s">
        <v>12</v>
      </c>
      <c r="H893" s="2" t="s">
        <v>2653</v>
      </c>
      <c r="I893" s="2" t="s">
        <v>14</v>
      </c>
      <c r="J893" s="2" t="s">
        <v>101</v>
      </c>
      <c r="K893" s="2"/>
      <c r="L893" s="2"/>
      <c r="M893" s="2"/>
    </row>
    <row r="894" ht="15.75" customHeight="1">
      <c r="A894" s="3">
        <v>892.0</v>
      </c>
      <c r="B894" s="2" t="s">
        <v>1364</v>
      </c>
      <c r="C894" s="2" t="s">
        <v>2654</v>
      </c>
      <c r="D894" s="2" t="s">
        <v>526</v>
      </c>
      <c r="E894" s="3">
        <v>5.70056544799E11</v>
      </c>
      <c r="F894" s="2" t="s">
        <v>2655</v>
      </c>
      <c r="G894" s="2" t="s">
        <v>187</v>
      </c>
      <c r="H894" s="2" t="s">
        <v>13</v>
      </c>
      <c r="I894" s="2" t="s">
        <v>14</v>
      </c>
      <c r="J894" s="2" t="s">
        <v>101</v>
      </c>
      <c r="K894" s="2"/>
      <c r="L894" s="2"/>
      <c r="M894" s="2"/>
    </row>
    <row r="895" ht="15.75" customHeight="1">
      <c r="A895" s="3">
        <v>893.0</v>
      </c>
      <c r="B895" s="2" t="s">
        <v>2656</v>
      </c>
      <c r="C895" s="2" t="s">
        <v>2657</v>
      </c>
      <c r="D895" s="2" t="s">
        <v>1255</v>
      </c>
      <c r="E895" s="3">
        <v>5.700565448E11</v>
      </c>
      <c r="F895" s="2" t="s">
        <v>2658</v>
      </c>
      <c r="G895" s="2" t="s">
        <v>12</v>
      </c>
      <c r="H895" s="2" t="s">
        <v>13</v>
      </c>
      <c r="I895" s="2" t="s">
        <v>14</v>
      </c>
      <c r="J895" s="2" t="s">
        <v>101</v>
      </c>
      <c r="K895" s="2"/>
      <c r="L895" s="2"/>
      <c r="M895" s="2"/>
    </row>
    <row r="896" ht="15.75" customHeight="1">
      <c r="A896" s="3">
        <v>894.0</v>
      </c>
      <c r="B896" s="2" t="s">
        <v>2201</v>
      </c>
      <c r="C896" s="2" t="s">
        <v>2659</v>
      </c>
      <c r="D896" s="2" t="s">
        <v>36</v>
      </c>
      <c r="E896" s="3">
        <v>5.70056544801E11</v>
      </c>
      <c r="F896" s="2" t="s">
        <v>2660</v>
      </c>
      <c r="G896" s="2" t="s">
        <v>187</v>
      </c>
      <c r="H896" s="2" t="s">
        <v>13</v>
      </c>
      <c r="I896" s="2" t="s">
        <v>14</v>
      </c>
      <c r="J896" s="2" t="s">
        <v>101</v>
      </c>
      <c r="K896" s="2"/>
      <c r="L896" s="2"/>
      <c r="M896" s="2"/>
    </row>
    <row r="897" ht="15.75" customHeight="1">
      <c r="A897" s="3">
        <v>895.0</v>
      </c>
      <c r="B897" s="2" t="s">
        <v>2661</v>
      </c>
      <c r="C897" s="2" t="s">
        <v>1294</v>
      </c>
      <c r="D897" s="2" t="s">
        <v>1520</v>
      </c>
      <c r="E897" s="3">
        <v>5.70056544806E11</v>
      </c>
      <c r="F897" s="2" t="s">
        <v>2662</v>
      </c>
      <c r="G897" s="2" t="s">
        <v>187</v>
      </c>
      <c r="H897" s="2" t="s">
        <v>13</v>
      </c>
      <c r="I897" s="2" t="s">
        <v>14</v>
      </c>
      <c r="J897" s="2" t="s">
        <v>101</v>
      </c>
      <c r="K897" s="2"/>
      <c r="L897" s="2"/>
      <c r="M897" s="2"/>
    </row>
    <row r="898" ht="15.75" customHeight="1">
      <c r="A898" s="3">
        <v>896.0</v>
      </c>
      <c r="B898" s="2" t="s">
        <v>2663</v>
      </c>
      <c r="C898" s="2" t="s">
        <v>2664</v>
      </c>
      <c r="D898" s="2" t="s">
        <v>2665</v>
      </c>
      <c r="E898" s="3">
        <v>5.70056544747E11</v>
      </c>
      <c r="F898" s="2" t="s">
        <v>2666</v>
      </c>
      <c r="G898" s="2" t="s">
        <v>12</v>
      </c>
      <c r="H898" s="2" t="s">
        <v>13</v>
      </c>
      <c r="I898" s="2" t="s">
        <v>14</v>
      </c>
      <c r="J898" s="2" t="s">
        <v>101</v>
      </c>
      <c r="K898" s="2"/>
      <c r="L898" s="2"/>
      <c r="M898" s="2"/>
    </row>
    <row r="899" ht="15.75" customHeight="1">
      <c r="A899" s="3">
        <v>897.0</v>
      </c>
      <c r="B899" s="2" t="s">
        <v>2667</v>
      </c>
      <c r="C899" s="2" t="s">
        <v>2668</v>
      </c>
      <c r="D899" s="2" t="s">
        <v>2669</v>
      </c>
      <c r="E899" s="3">
        <v>5.70056544802E11</v>
      </c>
      <c r="F899" s="2" t="s">
        <v>2670</v>
      </c>
      <c r="G899" s="2" t="s">
        <v>1615</v>
      </c>
      <c r="H899" s="2" t="s">
        <v>13</v>
      </c>
      <c r="I899" s="2" t="s">
        <v>14</v>
      </c>
      <c r="J899" s="2" t="s">
        <v>101</v>
      </c>
      <c r="K899" s="2"/>
      <c r="L899" s="2"/>
      <c r="M899" s="2"/>
    </row>
    <row r="900" ht="15.75" customHeight="1">
      <c r="A900" s="3">
        <v>898.0</v>
      </c>
      <c r="B900" s="2" t="s">
        <v>2671</v>
      </c>
      <c r="C900" s="2" t="s">
        <v>2672</v>
      </c>
      <c r="D900" s="2" t="s">
        <v>2673</v>
      </c>
      <c r="E900" s="5">
        <v>5.70056544809E11</v>
      </c>
      <c r="F900" s="2" t="s">
        <v>2674</v>
      </c>
      <c r="G900" s="2" t="s">
        <v>12</v>
      </c>
      <c r="H900" s="3">
        <v>891.0</v>
      </c>
      <c r="I900" s="2" t="s">
        <v>13</v>
      </c>
      <c r="J900" s="2" t="s">
        <v>14</v>
      </c>
      <c r="K900" s="2" t="s">
        <v>101</v>
      </c>
      <c r="L900" s="2"/>
      <c r="M900" s="2"/>
    </row>
    <row r="901" ht="15.75" customHeight="1">
      <c r="A901" s="3">
        <v>899.0</v>
      </c>
      <c r="B901" s="2" t="s">
        <v>1094</v>
      </c>
      <c r="C901" s="2" t="s">
        <v>2675</v>
      </c>
      <c r="D901" s="2" t="s">
        <v>672</v>
      </c>
      <c r="E901" s="3">
        <v>5.70056544814E11</v>
      </c>
      <c r="F901" s="2" t="s">
        <v>2676</v>
      </c>
      <c r="G901" s="2" t="s">
        <v>12</v>
      </c>
      <c r="H901" s="3">
        <v>891.0</v>
      </c>
      <c r="I901" s="2" t="s">
        <v>13</v>
      </c>
      <c r="J901" s="2" t="s">
        <v>14</v>
      </c>
      <c r="K901" s="2" t="s">
        <v>101</v>
      </c>
      <c r="L901" s="2"/>
      <c r="M901" s="2"/>
    </row>
    <row r="902" ht="15.75" customHeight="1">
      <c r="A902" s="3">
        <v>900.0</v>
      </c>
      <c r="B902" s="4" t="s">
        <v>2677</v>
      </c>
      <c r="C902" s="2" t="s">
        <v>51</v>
      </c>
      <c r="D902" s="2" t="s">
        <v>278</v>
      </c>
      <c r="E902" s="3">
        <v>5.70056000378E11</v>
      </c>
      <c r="F902" s="2" t="s">
        <v>2678</v>
      </c>
      <c r="G902" s="2" t="s">
        <v>2679</v>
      </c>
      <c r="H902" s="2" t="s">
        <v>13</v>
      </c>
      <c r="I902" s="2" t="s">
        <v>14</v>
      </c>
      <c r="J902" s="2" t="s">
        <v>101</v>
      </c>
      <c r="K902" s="2"/>
      <c r="L902" s="2"/>
      <c r="M902" s="2"/>
    </row>
    <row r="903" ht="15.75" customHeight="1">
      <c r="A903" s="3">
        <v>901.0</v>
      </c>
      <c r="B903" s="2" t="s">
        <v>2680</v>
      </c>
      <c r="C903" s="2" t="s">
        <v>2681</v>
      </c>
      <c r="D903" s="2" t="s">
        <v>657</v>
      </c>
      <c r="E903" s="3">
        <v>5.70056000549E11</v>
      </c>
      <c r="F903" s="2" t="s">
        <v>2682</v>
      </c>
      <c r="G903" s="2" t="s">
        <v>187</v>
      </c>
      <c r="H903" s="2" t="s">
        <v>13</v>
      </c>
      <c r="I903" s="2" t="s">
        <v>14</v>
      </c>
      <c r="J903" s="2" t="s">
        <v>101</v>
      </c>
      <c r="K903" s="2"/>
      <c r="L903" s="2"/>
      <c r="M903" s="2"/>
    </row>
    <row r="904" ht="15.75" customHeight="1">
      <c r="A904" s="3">
        <v>902.0</v>
      </c>
      <c r="B904" s="4" t="s">
        <v>2683</v>
      </c>
      <c r="C904" s="2" t="s">
        <v>2684</v>
      </c>
      <c r="D904" s="2" t="s">
        <v>2464</v>
      </c>
      <c r="E904" s="3">
        <v>5.7005600055E11</v>
      </c>
      <c r="F904" s="2" t="s">
        <v>2685</v>
      </c>
      <c r="G904" s="2" t="s">
        <v>12</v>
      </c>
      <c r="H904" s="2" t="s">
        <v>13</v>
      </c>
      <c r="I904" s="2" t="s">
        <v>14</v>
      </c>
      <c r="J904" s="2" t="s">
        <v>101</v>
      </c>
      <c r="K904" s="2"/>
      <c r="L904" s="2"/>
      <c r="M904" s="2"/>
    </row>
    <row r="905" ht="15.75" customHeight="1">
      <c r="A905" s="3">
        <v>903.0</v>
      </c>
      <c r="B905" s="2" t="s">
        <v>2686</v>
      </c>
      <c r="C905" s="2" t="s">
        <v>2687</v>
      </c>
      <c r="D905" s="2" t="s">
        <v>247</v>
      </c>
      <c r="E905" s="3">
        <v>5.70056000554E11</v>
      </c>
      <c r="F905" s="2" t="s">
        <v>2688</v>
      </c>
      <c r="G905" s="2" t="s">
        <v>12</v>
      </c>
      <c r="H905" s="2" t="s">
        <v>13</v>
      </c>
      <c r="I905" s="2" t="s">
        <v>14</v>
      </c>
      <c r="J905" s="2" t="s">
        <v>101</v>
      </c>
      <c r="K905" s="2"/>
      <c r="L905" s="2"/>
      <c r="M905" s="2"/>
    </row>
    <row r="906" ht="15.75" customHeight="1">
      <c r="A906" s="3">
        <v>904.0</v>
      </c>
      <c r="B906" s="2" t="s">
        <v>638</v>
      </c>
      <c r="C906" s="2" t="s">
        <v>2689</v>
      </c>
      <c r="D906" s="2" t="s">
        <v>77</v>
      </c>
      <c r="E906" s="3">
        <v>5.70056000555E11</v>
      </c>
      <c r="F906" s="2" t="s">
        <v>2690</v>
      </c>
      <c r="G906" s="2" t="s">
        <v>187</v>
      </c>
      <c r="H906" s="2" t="s">
        <v>13</v>
      </c>
      <c r="I906" s="2" t="s">
        <v>14</v>
      </c>
      <c r="J906" s="2" t="s">
        <v>101</v>
      </c>
      <c r="K906" s="2"/>
      <c r="L906" s="2"/>
      <c r="M906" s="2"/>
    </row>
    <row r="907" ht="15.75" customHeight="1">
      <c r="A907" s="3">
        <v>905.0</v>
      </c>
      <c r="B907" s="2" t="s">
        <v>1951</v>
      </c>
      <c r="C907" s="2" t="s">
        <v>2691</v>
      </c>
      <c r="D907" s="2" t="s">
        <v>2692</v>
      </c>
      <c r="E907" s="3">
        <v>5.70056000557E11</v>
      </c>
      <c r="F907" s="2" t="s">
        <v>2693</v>
      </c>
      <c r="G907" s="2" t="s">
        <v>12</v>
      </c>
      <c r="H907" s="2" t="s">
        <v>13</v>
      </c>
      <c r="I907" s="2" t="s">
        <v>14</v>
      </c>
      <c r="J907" s="2" t="s">
        <v>101</v>
      </c>
      <c r="K907" s="2"/>
      <c r="L907" s="2"/>
      <c r="M907" s="2"/>
    </row>
    <row r="908" ht="15.75" customHeight="1">
      <c r="A908" s="3">
        <v>906.0</v>
      </c>
      <c r="B908" s="2" t="s">
        <v>2694</v>
      </c>
      <c r="C908" s="2" t="s">
        <v>1294</v>
      </c>
      <c r="D908" s="2" t="s">
        <v>1520</v>
      </c>
      <c r="E908" s="3">
        <v>5.70056000561E11</v>
      </c>
      <c r="F908" s="2" t="s">
        <v>2695</v>
      </c>
      <c r="G908" s="2" t="s">
        <v>12</v>
      </c>
      <c r="H908" s="2" t="s">
        <v>13</v>
      </c>
      <c r="I908" s="2" t="s">
        <v>14</v>
      </c>
      <c r="J908" s="2" t="s">
        <v>101</v>
      </c>
      <c r="K908" s="2"/>
      <c r="L908" s="2"/>
      <c r="M908" s="2"/>
    </row>
    <row r="909" ht="15.75" customHeight="1">
      <c r="A909" s="3">
        <v>907.0</v>
      </c>
      <c r="B909" s="2" t="s">
        <v>2696</v>
      </c>
      <c r="C909" s="2" t="s">
        <v>2697</v>
      </c>
      <c r="D909" s="2" t="s">
        <v>251</v>
      </c>
      <c r="E909" s="3">
        <v>5.70056544811E11</v>
      </c>
      <c r="F909" s="2" t="s">
        <v>2698</v>
      </c>
      <c r="G909" s="2" t="s">
        <v>12</v>
      </c>
      <c r="H909" s="2" t="s">
        <v>13</v>
      </c>
      <c r="I909" s="2" t="s">
        <v>14</v>
      </c>
      <c r="J909" s="2" t="s">
        <v>101</v>
      </c>
      <c r="K909" s="2"/>
      <c r="L909" s="2"/>
      <c r="M909" s="2"/>
    </row>
    <row r="910" ht="15.75" customHeight="1">
      <c r="A910" s="3">
        <v>908.0</v>
      </c>
      <c r="B910" s="2" t="s">
        <v>2699</v>
      </c>
      <c r="C910" s="2" t="s">
        <v>2700</v>
      </c>
      <c r="D910" s="2" t="s">
        <v>333</v>
      </c>
      <c r="E910" s="3">
        <v>5.70056544816E11</v>
      </c>
      <c r="F910" s="2" t="s">
        <v>2701</v>
      </c>
      <c r="G910" s="2" t="s">
        <v>12</v>
      </c>
      <c r="H910" s="2" t="s">
        <v>13</v>
      </c>
      <c r="I910" s="2" t="s">
        <v>14</v>
      </c>
      <c r="J910" s="2" t="s">
        <v>101</v>
      </c>
      <c r="K910" s="2"/>
      <c r="L910" s="2"/>
      <c r="M910" s="2"/>
    </row>
    <row r="911" ht="15.75" customHeight="1">
      <c r="A911" s="3">
        <v>909.0</v>
      </c>
      <c r="B911" s="2" t="s">
        <v>2702</v>
      </c>
      <c r="C911" s="2" t="s">
        <v>2703</v>
      </c>
      <c r="D911" s="2" t="s">
        <v>2704</v>
      </c>
      <c r="E911" s="3">
        <v>5.7005654482E11</v>
      </c>
      <c r="F911" s="2" t="s">
        <v>2705</v>
      </c>
      <c r="G911" s="2" t="s">
        <v>12</v>
      </c>
      <c r="H911" s="3">
        <v>903.0</v>
      </c>
      <c r="I911" s="2" t="s">
        <v>13</v>
      </c>
      <c r="J911" s="2" t="s">
        <v>14</v>
      </c>
      <c r="K911" s="2" t="s">
        <v>101</v>
      </c>
      <c r="L911" s="2"/>
      <c r="M911" s="2"/>
    </row>
    <row r="912" ht="15.75" customHeight="1">
      <c r="A912" s="3">
        <v>910.0</v>
      </c>
      <c r="B912" s="2" t="s">
        <v>2706</v>
      </c>
      <c r="C912" s="2" t="s">
        <v>2707</v>
      </c>
      <c r="D912" s="2" t="s">
        <v>627</v>
      </c>
      <c r="E912" s="3">
        <v>5.70056544817E11</v>
      </c>
      <c r="F912" s="2" t="s">
        <v>2708</v>
      </c>
      <c r="G912" s="2" t="s">
        <v>187</v>
      </c>
      <c r="H912" s="2" t="s">
        <v>13</v>
      </c>
      <c r="I912" s="2" t="s">
        <v>14</v>
      </c>
      <c r="J912" s="2" t="s">
        <v>101</v>
      </c>
      <c r="K912" s="2"/>
      <c r="L912" s="2"/>
      <c r="M912" s="2"/>
    </row>
    <row r="913" ht="15.75" customHeight="1">
      <c r="A913" s="3">
        <v>911.0</v>
      </c>
      <c r="B913" s="4" t="s">
        <v>2709</v>
      </c>
      <c r="C913" s="2" t="s">
        <v>2710</v>
      </c>
      <c r="D913" s="2" t="s">
        <v>2181</v>
      </c>
      <c r="E913" s="3">
        <v>5.70056544818E11</v>
      </c>
      <c r="F913" s="2" t="s">
        <v>2711</v>
      </c>
      <c r="G913" s="2" t="s">
        <v>12</v>
      </c>
      <c r="H913" s="3">
        <v>1375.0</v>
      </c>
      <c r="I913" s="2" t="s">
        <v>13</v>
      </c>
      <c r="J913" s="2" t="s">
        <v>14</v>
      </c>
      <c r="K913" s="2" t="s">
        <v>101</v>
      </c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.63"/>
    <col customWidth="1" min="4" max="4" width="4.5"/>
    <col customWidth="1" min="5" max="5" width="6.13"/>
    <col customWidth="1" min="6" max="6" width="7.25"/>
    <col customWidth="1" min="7" max="7" width="4.13"/>
    <col customWidth="1" min="8" max="8" width="4.25"/>
    <col customWidth="1" min="9" max="9" width="4.5"/>
  </cols>
  <sheetData>
    <row r="1">
      <c r="A1" s="9" t="s">
        <v>2712</v>
      </c>
      <c r="B1" s="10" t="str">
        <f>IFERROR(__xludf.DUMMYFUNCTION("SPLIT(A1,""|"")")," ক্রমিক নং ")</f>
        <v> ক্রমিক নং </v>
      </c>
      <c r="C1" s="10" t="str">
        <f>IFERROR(__xludf.DUMMYFUNCTION("""COMPUTED_VALUE""")," নাম ")</f>
        <v> নাম </v>
      </c>
      <c r="D1" s="10" t="str">
        <f>IFERROR(__xludf.DUMMYFUNCTION("""COMPUTED_VALUE""")," ভোটার নং ")</f>
        <v> ভোটার নং </v>
      </c>
      <c r="E1" s="10" t="str">
        <f>IFERROR(__xludf.DUMMYFUNCTION("""COMPUTED_VALUE""")," পিতা ")</f>
        <v> পিতা </v>
      </c>
      <c r="F1" s="10" t="str">
        <f>IFERROR(__xludf.DUMMYFUNCTION("""COMPUTED_VALUE""")," মাতা ")</f>
        <v> মাতা </v>
      </c>
      <c r="G1" s="10" t="str">
        <f>IFERROR(__xludf.DUMMYFUNCTION("""COMPUTED_VALUE""")," জন্ম তারিখ ")</f>
        <v> জন্ম তারিখ </v>
      </c>
      <c r="H1" s="10" t="str">
        <f>IFERROR(__xludf.DUMMYFUNCTION("""COMPUTED_VALUE""")," পেশা ")</f>
        <v> পেশা </v>
      </c>
      <c r="I1" s="10" t="str">
        <f>IFERROR(__xludf.DUMMYFUNCTION("""COMPUTED_VALUE""")," ঠিকানা ")</f>
        <v> ঠিকানা </v>
      </c>
    </row>
    <row r="2">
      <c r="A2" s="9" t="s">
        <v>2713</v>
      </c>
      <c r="B2" s="10" t="str">
        <f>IFERROR(__xludf.DUMMYFUNCTION("SPLIT(A2,""|"")"),"---")</f>
        <v>---</v>
      </c>
      <c r="C2" s="10" t="str">
        <f>IFERROR(__xludf.DUMMYFUNCTION("""COMPUTED_VALUE"""),"---")</f>
        <v>---</v>
      </c>
      <c r="D2" s="10" t="str">
        <f>IFERROR(__xludf.DUMMYFUNCTION("""COMPUTED_VALUE"""),"---")</f>
        <v>---</v>
      </c>
      <c r="E2" s="10" t="str">
        <f>IFERROR(__xludf.DUMMYFUNCTION("""COMPUTED_VALUE"""),"---")</f>
        <v>---</v>
      </c>
      <c r="F2" s="10" t="str">
        <f>IFERROR(__xludf.DUMMYFUNCTION("""COMPUTED_VALUE"""),"---")</f>
        <v>---</v>
      </c>
      <c r="G2" s="10" t="str">
        <f>IFERROR(__xludf.DUMMYFUNCTION("""COMPUTED_VALUE"""),"---")</f>
        <v>---</v>
      </c>
      <c r="H2" s="10" t="str">
        <f>IFERROR(__xludf.DUMMYFUNCTION("""COMPUTED_VALUE"""),"---")</f>
        <v>---</v>
      </c>
      <c r="I2" s="10" t="str">
        <f>IFERROR(__xludf.DUMMYFUNCTION("""COMPUTED_VALUE"""),"---")</f>
        <v>---</v>
      </c>
    </row>
    <row r="3">
      <c r="A3" s="9" t="s">
        <v>2714</v>
      </c>
      <c r="B3" s="10">
        <f>IFERROR(__xludf.DUMMYFUNCTION("SPLIT(A3,""|"")"),1.0)</f>
        <v>1</v>
      </c>
      <c r="C3" s="10" t="str">
        <f>IFERROR(__xludf.DUMMYFUNCTION("""COMPUTED_VALUE""")," মোছাঃ সাবিনা ইয়াসমিন ")</f>
        <v> মোছাঃ সাবিনা ইয়াসমিন </v>
      </c>
      <c r="D3" s="10">
        <f>IFERROR(__xludf.DUMMYFUNCTION("""COMPUTED_VALUE"""),5.70556376535E11)</f>
        <v>570556376535</v>
      </c>
      <c r="E3" s="10" t="str">
        <f>IFERROR(__xludf.DUMMYFUNCTION("""COMPUTED_VALUE""")," মোঃ আলতাফ উদ্দীন ")</f>
        <v> মোঃ আলতাফ উদ্দীন </v>
      </c>
      <c r="F3" s="10" t="str">
        <f>IFERROR(__xludf.DUMMYFUNCTION("""COMPUTED_VALUE""")," মোছাঃ কহিনুর বেগম ")</f>
        <v> মোছাঃ কহিনুর বেগম </v>
      </c>
      <c r="G3" s="10" t="str">
        <f>IFERROR(__xludf.DUMMYFUNCTION("""COMPUTED_VALUE""")," ১৮/০২/১৯৮৭ ")</f>
        <v> ১৮/০২/১৯৮৭ </v>
      </c>
      <c r="H3" s="10" t="str">
        <f>IFERROR(__xludf.DUMMYFUNCTION("""COMPUTED_VALUE""")," গৃহিনী ")</f>
        <v> গৃহিনী </v>
      </c>
      <c r="I3" s="10" t="str">
        <f>IFERROR(__xludf.DUMMYFUNCTION("""COMPUTED_VALUE""")," জালশুকা, গাংনী, মেহেরপুর ")</f>
        <v> জালশুকা, গাংনী, মেহেরপুর </v>
      </c>
    </row>
    <row r="4">
      <c r="A4" s="9" t="s">
        <v>2715</v>
      </c>
      <c r="B4" s="10">
        <f>IFERROR(__xludf.DUMMYFUNCTION("SPLIT(A4,""|"")"),2.0)</f>
        <v>2</v>
      </c>
      <c r="C4" s="10" t="str">
        <f>IFERROR(__xludf.DUMMYFUNCTION("""COMPUTED_VALUE""")," মোছাঃ আমুরা খাতুন ")</f>
        <v> মোছাঃ আমুরা খাতুন </v>
      </c>
      <c r="D4" s="10">
        <f>IFERROR(__xludf.DUMMYFUNCTION("""COMPUTED_VALUE"""),5.70556376539E11)</f>
        <v>570556376539</v>
      </c>
      <c r="E4" s="10" t="str">
        <f>IFERROR(__xludf.DUMMYFUNCTION("""COMPUTED_VALUE""")," মোছাঃ আসাদুল ইসলাম ")</f>
        <v> মোছাঃ আসাদুল ইসলাম </v>
      </c>
      <c r="F4" s="10" t="str">
        <f>IFERROR(__xludf.DUMMYFUNCTION("""COMPUTED_VALUE""")," মোছাঃ কামরুন্নাহার ")</f>
        <v> মোছাঃ কামরুন্নাহার </v>
      </c>
      <c r="G4" s="10" t="str">
        <f>IFERROR(__xludf.DUMMYFUNCTION("""COMPUTED_VALUE""")," ১০/০৫/১৯৮৭ ")</f>
        <v> ১০/০৫/১৯৮৭ </v>
      </c>
      <c r="H4" s="10" t="str">
        <f>IFERROR(__xludf.DUMMYFUNCTION("""COMPUTED_VALUE""")," গৃহিনী ")</f>
        <v> গৃহিনী </v>
      </c>
      <c r="I4" s="10" t="str">
        <f>IFERROR(__xludf.DUMMYFUNCTION("""COMPUTED_VALUE""")," জালশুকা, গাংনী, মেহেরপুর ")</f>
        <v> জালশুকা, গাংনী, মেহেরপুর </v>
      </c>
    </row>
    <row r="5">
      <c r="A5" s="9" t="s">
        <v>2716</v>
      </c>
      <c r="B5" s="10">
        <f>IFERROR(__xludf.DUMMYFUNCTION("SPLIT(A5,""|"")"),3.0)</f>
        <v>3</v>
      </c>
      <c r="C5" s="10" t="str">
        <f>IFERROR(__xludf.DUMMYFUNCTION("""COMPUTED_VALUE""")," মোছাঃ রুপালী খাতুন ")</f>
        <v> মোছাঃ রুপালী খাতুন </v>
      </c>
      <c r="D5" s="10">
        <f>IFERROR(__xludf.DUMMYFUNCTION("""COMPUTED_VALUE"""),5.70556376542E11)</f>
        <v>570556376542</v>
      </c>
      <c r="E5" s="10" t="str">
        <f>IFERROR(__xludf.DUMMYFUNCTION("""COMPUTED_VALUE""")," মোঃ কাশেম আলী ")</f>
        <v> মোঃ কাশেম আলী </v>
      </c>
      <c r="F5" s="10" t="str">
        <f>IFERROR(__xludf.DUMMYFUNCTION("""COMPUTED_VALUE""")," মোঃ লাইলী খাতুন ")</f>
        <v> মোঃ লাইলী খাতুন </v>
      </c>
      <c r="G5" s="10" t="str">
        <f>IFERROR(__xludf.DUMMYFUNCTION("""COMPUTED_VALUE""")," ১২/০৬/১৯৮২ ")</f>
        <v> ১২/০৬/১৯৮২ </v>
      </c>
      <c r="H5" s="10" t="str">
        <f>IFERROR(__xludf.DUMMYFUNCTION("""COMPUTED_VALUE""")," গৃহিনী ")</f>
        <v> গৃহিনী </v>
      </c>
      <c r="I5" s="10" t="str">
        <f>IFERROR(__xludf.DUMMYFUNCTION("""COMPUTED_VALUE""")," জালশুকা, গাংনী, মেহেরপুর ")</f>
        <v> জালশুকা, গাংনী, মেহেরপুর </v>
      </c>
    </row>
    <row r="6">
      <c r="A6" s="9" t="s">
        <v>2717</v>
      </c>
      <c r="B6" s="10">
        <f>IFERROR(__xludf.DUMMYFUNCTION("SPLIT(A6,""|"")"),4.0)</f>
        <v>4</v>
      </c>
      <c r="C6" s="10" t="str">
        <f>IFERROR(__xludf.DUMMYFUNCTION("""COMPUTED_VALUE""")," জান্নাতুল ফেরদৌস ")</f>
        <v> জান্নাতুল ফেরদৌস </v>
      </c>
      <c r="D6" s="10">
        <f>IFERROR(__xludf.DUMMYFUNCTION("""COMPUTED_VALUE"""),5.70556376979E11)</f>
        <v>570556376979</v>
      </c>
      <c r="E6" s="10" t="str">
        <f>IFERROR(__xludf.DUMMYFUNCTION("""COMPUTED_VALUE""")," হাফিজুর রহমান ")</f>
        <v> হাফিজুর রহমান </v>
      </c>
      <c r="F6" s="10" t="str">
        <f>IFERROR(__xludf.DUMMYFUNCTION("""COMPUTED_VALUE""")," মোছাঃ আকলিমা খাতুন ")</f>
        <v> মোছাঃ আকলিমা খাতুন </v>
      </c>
      <c r="G6" s="10" t="str">
        <f>IFERROR(__xludf.DUMMYFUNCTION("""COMPUTED_VALUE""")," ০৮/০৫/১৯৬২ ")</f>
        <v> ০৮/০৫/১৯৬২ </v>
      </c>
      <c r="H6" s="10" t="str">
        <f>IFERROR(__xludf.DUMMYFUNCTION("""COMPUTED_VALUE""")," গৃহিনী ")</f>
        <v> গৃহিনী </v>
      </c>
      <c r="I6" s="10" t="str">
        <f>IFERROR(__xludf.DUMMYFUNCTION("""COMPUTED_VALUE""")," জালশুকা, গাংনী, মেহেরপুর ")</f>
        <v> জালশুকা, গাংনী, মেহেরপুর </v>
      </c>
    </row>
    <row r="7">
      <c r="A7" s="9" t="s">
        <v>2718</v>
      </c>
      <c r="B7" s="10">
        <f>IFERROR(__xludf.DUMMYFUNCTION("SPLIT(A7,""|"")"),5.0)</f>
        <v>5</v>
      </c>
      <c r="C7" s="10" t="str">
        <f>IFERROR(__xludf.DUMMYFUNCTION("""COMPUTED_VALUE""")," মোছাঃ ছানোয়ারা ")</f>
        <v> মোছাঃ ছানোয়ারা </v>
      </c>
      <c r="D7" s="10">
        <f>IFERROR(__xludf.DUMMYFUNCTION("""COMPUTED_VALUE"""),5.70556376988E11)</f>
        <v>570556376988</v>
      </c>
      <c r="E7" s="10" t="str">
        <f>IFERROR(__xludf.DUMMYFUNCTION("""COMPUTED_VALUE""")," ইয়াজদ্দিন ")</f>
        <v> ইয়াজদ্দিন </v>
      </c>
      <c r="F7" s="10" t="str">
        <f>IFERROR(__xludf.DUMMYFUNCTION("""COMPUTED_VALUE""")," রাহাতন ")</f>
        <v> রাহাতন </v>
      </c>
      <c r="G7" s="10" t="str">
        <f>IFERROR(__xludf.DUMMYFUNCTION("""COMPUTED_VALUE""")," ১২/১০/১৯৬৭ ")</f>
        <v> ১২/১০/১৯৬৭ </v>
      </c>
      <c r="H7" s="10" t="str">
        <f>IFERROR(__xludf.DUMMYFUNCTION("""COMPUTED_VALUE""")," গৃহিনী ")</f>
        <v> গৃহিনী </v>
      </c>
      <c r="I7" s="10" t="str">
        <f>IFERROR(__xludf.DUMMYFUNCTION("""COMPUTED_VALUE""")," জালশুকা, গাংনী, মেহেরপুর ")</f>
        <v> জালশুকা, গাংনী, মেহেরপুর </v>
      </c>
    </row>
    <row r="8">
      <c r="A8" s="9" t="s">
        <v>2719</v>
      </c>
      <c r="B8" s="10">
        <f>IFERROR(__xludf.DUMMYFUNCTION("SPLIT(A8,""|"")"),6.0)</f>
        <v>6</v>
      </c>
      <c r="C8" s="10" t="str">
        <f>IFERROR(__xludf.DUMMYFUNCTION("""COMPUTED_VALUE""")," মোছাঃ আবেদা খাতুন ")</f>
        <v> মোছাঃ আবেদা খাতুন </v>
      </c>
      <c r="D8" s="10">
        <f>IFERROR(__xludf.DUMMYFUNCTION("""COMPUTED_VALUE"""),5.70556377201E11)</f>
        <v>570556377201</v>
      </c>
      <c r="E8" s="10" t="str">
        <f>IFERROR(__xludf.DUMMYFUNCTION("""COMPUTED_VALUE""")," মফিজউদ্দিন ")</f>
        <v> মফিজউদ্দিন </v>
      </c>
      <c r="F8" s="10" t="str">
        <f>IFERROR(__xludf.DUMMYFUNCTION("""COMPUTED_VALUE""")," বশিরন ")</f>
        <v> বশিরন </v>
      </c>
      <c r="G8" s="10" t="str">
        <f>IFERROR(__xludf.DUMMYFUNCTION("""COMPUTED_VALUE""")," ১৬/১২/১৯৩৭ ")</f>
        <v> ১৬/১২/১৯৩৭ </v>
      </c>
      <c r="H8" s="10" t="str">
        <f>IFERROR(__xludf.DUMMYFUNCTION("""COMPUTED_VALUE""")," গৃহিনী ")</f>
        <v> গৃহিনী </v>
      </c>
      <c r="I8" s="10" t="str">
        <f>IFERROR(__xludf.DUMMYFUNCTION("""COMPUTED_VALUE""")," জালশুকা, গাংনী, মেহেরপুর ")</f>
        <v> জালশুকা, গাংনী, মেহেরপুর </v>
      </c>
    </row>
    <row r="9">
      <c r="A9" s="9" t="s">
        <v>2720</v>
      </c>
      <c r="B9" s="10">
        <f>IFERROR(__xludf.DUMMYFUNCTION("SPLIT(A9,""|"")"),7.0)</f>
        <v>7</v>
      </c>
      <c r="C9" s="10" t="str">
        <f>IFERROR(__xludf.DUMMYFUNCTION("""COMPUTED_VALUE""")," মোছাঃ মুর্শিদা খাতুন ")</f>
        <v> মোছাঃ মুর্শিদা খাতুন </v>
      </c>
      <c r="D9" s="10">
        <f>IFERROR(__xludf.DUMMYFUNCTION("""COMPUTED_VALUE"""),5.70556377202E11)</f>
        <v>570556377202</v>
      </c>
      <c r="E9" s="10" t="str">
        <f>IFERROR(__xludf.DUMMYFUNCTION("""COMPUTED_VALUE""")," তাহাজউদ্দীন ")</f>
        <v> তাহাজউদ্দীন </v>
      </c>
      <c r="F9" s="10" t="str">
        <f>IFERROR(__xludf.DUMMYFUNCTION("""COMPUTED_VALUE""")," মোছাঃ আবেদা খাতুন ")</f>
        <v> মোছাঃ আবেদা খাতুন </v>
      </c>
      <c r="G9" s="10" t="str">
        <f>IFERROR(__xludf.DUMMYFUNCTION("""COMPUTED_VALUE""")," ৩০/১১/১৯৬৭ ")</f>
        <v> ৩০/১১/১৯৬৭ </v>
      </c>
      <c r="H9" s="10" t="str">
        <f>IFERROR(__xludf.DUMMYFUNCTION("""COMPUTED_VALUE""")," গৃহিনী ")</f>
        <v> গৃহিনী </v>
      </c>
      <c r="I9" s="10" t="str">
        <f>IFERROR(__xludf.DUMMYFUNCTION("""COMPUTED_VALUE""")," জালশুকা, গাংনী, মেহেরপুর ")</f>
        <v> জালশুকা, গাংনী, মেহেরপুর </v>
      </c>
    </row>
    <row r="10">
      <c r="A10" s="9" t="s">
        <v>2721</v>
      </c>
      <c r="B10" s="10">
        <f>IFERROR(__xludf.DUMMYFUNCTION("SPLIT(A10,""|"")"),8.0)</f>
        <v>8</v>
      </c>
      <c r="C10" s="10" t="str">
        <f>IFERROR(__xludf.DUMMYFUNCTION("""COMPUTED_VALUE""")," মোছাঃ আরমিলা খাতুন ")</f>
        <v> মোছাঃ আরমিলা খাতুন </v>
      </c>
      <c r="D10" s="10">
        <f>IFERROR(__xludf.DUMMYFUNCTION("""COMPUTED_VALUE"""),5.70556377204E11)</f>
        <v>570556377204</v>
      </c>
      <c r="E10" s="10" t="str">
        <f>IFERROR(__xludf.DUMMYFUNCTION("""COMPUTED_VALUE""")," আহসান হাবীব ")</f>
        <v> আহসান হাবীব </v>
      </c>
      <c r="F10" s="10" t="str">
        <f>IFERROR(__xludf.DUMMYFUNCTION("""COMPUTED_VALUE""")," মোছাঃ জহুরা ")</f>
        <v> মোছাঃ জহুরা </v>
      </c>
      <c r="G10" s="10" t="str">
        <f>IFERROR(__xludf.DUMMYFUNCTION("""COMPUTED_VALUE""")," ৩০/০৬/১৯৭৫ ")</f>
        <v> ৩০/০৬/১৯৭৫ </v>
      </c>
      <c r="H10" s="10" t="str">
        <f>IFERROR(__xludf.DUMMYFUNCTION("""COMPUTED_VALUE""")," গৃহিনী ")</f>
        <v> গৃহিনী </v>
      </c>
      <c r="I10" s="10" t="str">
        <f>IFERROR(__xludf.DUMMYFUNCTION("""COMPUTED_VALUE""")," জালশুকা, গাংনী, মেহেরপুর ")</f>
        <v> জালশুকা, গাংনী, মেহেরপুর </v>
      </c>
    </row>
    <row r="11">
      <c r="A11" s="9" t="s">
        <v>2722</v>
      </c>
      <c r="B11" s="10">
        <f>IFERROR(__xludf.DUMMYFUNCTION("SPLIT(A11,""|"")"),9.0)</f>
        <v>9</v>
      </c>
      <c r="C11" s="10" t="str">
        <f>IFERROR(__xludf.DUMMYFUNCTION("""COMPUTED_VALUE""")," মোছাঃ রুকিয়া খাতুন ")</f>
        <v> মোছাঃ রুকিয়া খাতুন </v>
      </c>
      <c r="D11" s="10">
        <f>IFERROR(__xludf.DUMMYFUNCTION("""COMPUTED_VALUE"""),5.70556377209E11)</f>
        <v>570556377209</v>
      </c>
      <c r="E11" s="10" t="str">
        <f>IFERROR(__xludf.DUMMYFUNCTION("""COMPUTED_VALUE""")," মফিজউদ্দীন ")</f>
        <v> মফিজউদ্দীন </v>
      </c>
      <c r="F11" s="10" t="str">
        <f>IFERROR(__xludf.DUMMYFUNCTION("""COMPUTED_VALUE""")," রাকাতন নেছা ")</f>
        <v> রাকাতন নেছা </v>
      </c>
      <c r="G11" s="10" t="str">
        <f>IFERROR(__xludf.DUMMYFUNCTION("""COMPUTED_VALUE""")," ০১/০১/১৯৬২ ")</f>
        <v> ০১/০১/১৯৬২ </v>
      </c>
      <c r="H11" s="10" t="str">
        <f>IFERROR(__xludf.DUMMYFUNCTION("""COMPUTED_VALUE""")," গৃহিনী ")</f>
        <v> গৃহিনী </v>
      </c>
      <c r="I11" s="10" t="str">
        <f>IFERROR(__xludf.DUMMYFUNCTION("""COMPUTED_VALUE""")," জালশুকা, গাংনী, মেহেরপুর ")</f>
        <v> জালশুকা, গাংনী, মেহেরপুর </v>
      </c>
    </row>
    <row r="12">
      <c r="A12" s="9" t="s">
        <v>2723</v>
      </c>
      <c r="B12" s="10">
        <f>IFERROR(__xludf.DUMMYFUNCTION("SPLIT(A12,""|"")"),10.0)</f>
        <v>10</v>
      </c>
      <c r="C12" s="10" t="str">
        <f>IFERROR(__xludf.DUMMYFUNCTION("""COMPUTED_VALUE""")," মোছাঃ আফরোজা খাতুন ")</f>
        <v> মোছাঃ আফরোজা খাতুন </v>
      </c>
      <c r="D12" s="10">
        <f>IFERROR(__xludf.DUMMYFUNCTION("""COMPUTED_VALUE"""),5.70556377215E11)</f>
        <v>570556377215</v>
      </c>
      <c r="E12" s="10" t="str">
        <f>IFERROR(__xludf.DUMMYFUNCTION("""COMPUTED_VALUE""")," মোঃ হারেজ মন্ডল ")</f>
        <v> মোঃ হারেজ মন্ডল </v>
      </c>
      <c r="F12" s="10" t="str">
        <f>IFERROR(__xludf.DUMMYFUNCTION("""COMPUTED_VALUE""")," মোছাঃ ছুরাতন নেছা ")</f>
        <v> মোছাঃ ছুরাতন নেছা </v>
      </c>
      <c r="G12" s="10" t="str">
        <f>IFERROR(__xludf.DUMMYFUNCTION("""COMPUTED_VALUE""")," ০৩/০৪/১৯৭৭ ")</f>
        <v> ০৩/০৪/১৯৭৭ </v>
      </c>
      <c r="H12" s="10" t="str">
        <f>IFERROR(__xludf.DUMMYFUNCTION("""COMPUTED_VALUE""")," গৃহিনী ")</f>
        <v> গৃহিনী </v>
      </c>
      <c r="I12" s="10" t="str">
        <f>IFERROR(__xludf.DUMMYFUNCTION("""COMPUTED_VALUE""")," জালশুকা, গাংনী, মেহেরপুর ")</f>
        <v> জালশুকা, গাংনী, মেহেরপুর </v>
      </c>
    </row>
    <row r="13">
      <c r="A13" s="9" t="s">
        <v>2724</v>
      </c>
      <c r="B13" s="10">
        <f>IFERROR(__xludf.DUMMYFUNCTION("SPLIT(A13,""|"")"),11.0)</f>
        <v>11</v>
      </c>
      <c r="C13" s="10" t="str">
        <f>IFERROR(__xludf.DUMMYFUNCTION("""COMPUTED_VALUE""")," মোছাঃ শামসুন্নাহার ")</f>
        <v> মোছাঃ শামসুন্নাহার </v>
      </c>
      <c r="D13" s="10">
        <f>IFERROR(__xludf.DUMMYFUNCTION("""COMPUTED_VALUE"""),5.70556377217E11)</f>
        <v>570556377217</v>
      </c>
      <c r="E13" s="10" t="str">
        <f>IFERROR(__xludf.DUMMYFUNCTION("""COMPUTED_VALUE""")," মোঃ খলিলুর রহমান ")</f>
        <v> মোঃ খলিলুর রহমান </v>
      </c>
      <c r="F13" s="10" t="str">
        <f>IFERROR(__xludf.DUMMYFUNCTION("""COMPUTED_VALUE""")," মোছাঃ আনজিরা খাতুন ")</f>
        <v> মোছাঃ আনজিরা খাতুন </v>
      </c>
      <c r="G13" s="10" t="str">
        <f>IFERROR(__xludf.DUMMYFUNCTION("""COMPUTED_VALUE""")," ০১/১০/১৯৮৭ ")</f>
        <v> ০১/১০/১৯৮৭ </v>
      </c>
      <c r="H13" s="10" t="str">
        <f>IFERROR(__xludf.DUMMYFUNCTION("""COMPUTED_VALUE""")," গৃহিনী ")</f>
        <v> গৃহিনী </v>
      </c>
      <c r="I13" s="10" t="str">
        <f>IFERROR(__xludf.DUMMYFUNCTION("""COMPUTED_VALUE""")," জালশুকা, গাংনী, মেহেরপুর ")</f>
        <v> জালশুকা, গাংনী, মেহেরপুর </v>
      </c>
    </row>
    <row r="14">
      <c r="A14" s="9" t="s">
        <v>2725</v>
      </c>
      <c r="B14" s="10">
        <f>IFERROR(__xludf.DUMMYFUNCTION("SPLIT(A14,""|"")"),12.0)</f>
        <v>12</v>
      </c>
      <c r="C14" s="10" t="str">
        <f>IFERROR(__xludf.DUMMYFUNCTION("""COMPUTED_VALUE""")," মোছাঃ আরজিনা খাতুন ")</f>
        <v> মোছাঃ আরজিনা খাতুন </v>
      </c>
      <c r="D14" s="10">
        <f>IFERROR(__xludf.DUMMYFUNCTION("""COMPUTED_VALUE"""),5.70556377223E11)</f>
        <v>570556377223</v>
      </c>
      <c r="E14" s="10" t="str">
        <f>IFERROR(__xludf.DUMMYFUNCTION("""COMPUTED_VALUE""")," রমছদ্দি মন্ডল ")</f>
        <v> রমছদ্দি মন্ডল </v>
      </c>
      <c r="F14" s="10" t="str">
        <f>IFERROR(__xludf.DUMMYFUNCTION("""COMPUTED_VALUE""")," সাহেরা খাতুন ")</f>
        <v> সাহেরা খাতুন </v>
      </c>
      <c r="G14" s="10" t="str">
        <f>IFERROR(__xludf.DUMMYFUNCTION("""COMPUTED_VALUE""")," ০৩/০৪/১৯৫৭ ")</f>
        <v> ০৩/০৪/১৯৫৭ </v>
      </c>
      <c r="H14" s="10" t="str">
        <f>IFERROR(__xludf.DUMMYFUNCTION("""COMPUTED_VALUE""")," গৃহিনী ")</f>
        <v> গৃহিনী </v>
      </c>
      <c r="I14" s="10" t="str">
        <f>IFERROR(__xludf.DUMMYFUNCTION("""COMPUTED_VALUE""")," জালশুকা, গাংনী, মেহেরপুর ")</f>
        <v> জালশুকা, গাংনী, মেহেরপুর </v>
      </c>
    </row>
    <row r="15">
      <c r="A15" s="9" t="s">
        <v>2726</v>
      </c>
      <c r="B15" s="10">
        <f>IFERROR(__xludf.DUMMYFUNCTION("SPLIT(A15,""|"")"),13.0)</f>
        <v>13</v>
      </c>
      <c r="C15" s="10" t="str">
        <f>IFERROR(__xludf.DUMMYFUNCTION("""COMPUTED_VALUE""")," মোছাঃ চায়না খাতুন ")</f>
        <v> মোছাঃ চায়না খাতুন </v>
      </c>
      <c r="D15" s="10">
        <f>IFERROR(__xludf.DUMMYFUNCTION("""COMPUTED_VALUE"""),5.70556377224E11)</f>
        <v>570556377224</v>
      </c>
      <c r="E15" s="10" t="str">
        <f>IFERROR(__xludf.DUMMYFUNCTION("""COMPUTED_VALUE""")," মানিক মন্ডল ")</f>
        <v> মানিক মন্ডল </v>
      </c>
      <c r="F15" s="10" t="str">
        <f>IFERROR(__xludf.DUMMYFUNCTION("""COMPUTED_VALUE""")," কমেলা খাতুন ")</f>
        <v> কমেলা খাতুন </v>
      </c>
      <c r="G15" s="10" t="str">
        <f>IFERROR(__xludf.DUMMYFUNCTION("""COMPUTED_VALUE""")," ০১/০১/১৯৮২ ")</f>
        <v> ০১/০১/১৯৮২ </v>
      </c>
      <c r="H15" s="10" t="str">
        <f>IFERROR(__xludf.DUMMYFUNCTION("""COMPUTED_VALUE""")," গৃহিনী ")</f>
        <v> গৃহিনী </v>
      </c>
      <c r="I15" s="10" t="str">
        <f>IFERROR(__xludf.DUMMYFUNCTION("""COMPUTED_VALUE""")," জালশুকা, গাংনী, মেহেরপুর ")</f>
        <v> জালশুকা, গাংনী, মেহেরপুর </v>
      </c>
    </row>
    <row r="16">
      <c r="A16" s="9" t="s">
        <v>2727</v>
      </c>
      <c r="B16" s="10">
        <f>IFERROR(__xludf.DUMMYFUNCTION("SPLIT(A16,""|"")"),14.0)</f>
        <v>14</v>
      </c>
      <c r="C16" s="10" t="str">
        <f>IFERROR(__xludf.DUMMYFUNCTION("""COMPUTED_VALUE""")," মোছাঃ আলতা খাতুন ")</f>
        <v> মোছাঃ আলতা খাতুন </v>
      </c>
      <c r="D16" s="10">
        <f>IFERROR(__xludf.DUMMYFUNCTION("""COMPUTED_VALUE"""),5.70556377226E11)</f>
        <v>570556377226</v>
      </c>
      <c r="E16" s="10" t="str">
        <f>IFERROR(__xludf.DUMMYFUNCTION("""COMPUTED_VALUE""")," মোবারক মন্ডল ")</f>
        <v> মোবারক মন্ডল </v>
      </c>
      <c r="F16" s="10" t="str">
        <f>IFERROR(__xludf.DUMMYFUNCTION("""COMPUTED_VALUE""")," ফুলছুরা খাতুন ")</f>
        <v> ফুলছুরা খাতুন </v>
      </c>
      <c r="G16" s="10" t="str">
        <f>IFERROR(__xludf.DUMMYFUNCTION("""COMPUTED_VALUE""")," ০৩/০৪/১৯৫৮ ")</f>
        <v> ০৩/০৪/১৯৫৮ </v>
      </c>
      <c r="H16" s="10" t="str">
        <f>IFERROR(__xludf.DUMMYFUNCTION("""COMPUTED_VALUE""")," গৃহিনী ")</f>
        <v> গৃহিনী </v>
      </c>
      <c r="I16" s="10" t="str">
        <f>IFERROR(__xludf.DUMMYFUNCTION("""COMPUTED_VALUE""")," জালশুকা, গাংনী, মেহেরপুর ")</f>
        <v> জালশুকা, গাংনী, মেহেরপুর </v>
      </c>
    </row>
    <row r="17">
      <c r="A17" s="9" t="s">
        <v>2728</v>
      </c>
      <c r="B17" s="10">
        <f>IFERROR(__xludf.DUMMYFUNCTION("SPLIT(A17,""|"")"),15.0)</f>
        <v>15</v>
      </c>
      <c r="C17" s="10" t="str">
        <f>IFERROR(__xludf.DUMMYFUNCTION("""COMPUTED_VALUE""")," মোছাঃ রহিমা খাতুন ")</f>
        <v> মোছাঃ রহিমা খাতুন </v>
      </c>
      <c r="D17" s="10">
        <f>IFERROR(__xludf.DUMMYFUNCTION("""COMPUTED_VALUE"""),5.70556377228E11)</f>
        <v>570556377228</v>
      </c>
      <c r="E17" s="10" t="str">
        <f>IFERROR(__xludf.DUMMYFUNCTION("""COMPUTED_VALUE""")," মোঃ আব্দুর রহমান ")</f>
        <v> মোঃ আব্দুর রহমান </v>
      </c>
      <c r="F17" s="10" t="str">
        <f>IFERROR(__xludf.DUMMYFUNCTION("""COMPUTED_VALUE""")," মোছাঃ আলতা খাতুন ")</f>
        <v> মোছাঃ আলতা খাতুন </v>
      </c>
      <c r="G17" s="10" t="str">
        <f>IFERROR(__xludf.DUMMYFUNCTION("""COMPUTED_VALUE""")," ০১/০১/১৯৮৭ ")</f>
        <v> ০১/০১/১৯৮৭ </v>
      </c>
      <c r="H17" s="10" t="str">
        <f>IFERROR(__xludf.DUMMYFUNCTION("""COMPUTED_VALUE""")," গৃহিনী ")</f>
        <v> গৃহিনী </v>
      </c>
      <c r="I17" s="10" t="str">
        <f>IFERROR(__xludf.DUMMYFUNCTION("""COMPUTED_VALUE""")," জালশুকা, গাংনী, মেহেরপুর ")</f>
        <v> জালশুকা, গাংনী, মেহেরপুর </v>
      </c>
    </row>
    <row r="18">
      <c r="A18" s="9" t="s">
        <v>2712</v>
      </c>
      <c r="B18" s="10" t="str">
        <f>IFERROR(__xludf.DUMMYFUNCTION("SPLIT(A18,""|"")")," ক্রমিক নং ")</f>
        <v> ক্রমিক নং </v>
      </c>
      <c r="C18" s="10" t="str">
        <f>IFERROR(__xludf.DUMMYFUNCTION("""COMPUTED_VALUE""")," নাম ")</f>
        <v> নাম </v>
      </c>
      <c r="D18" s="10" t="str">
        <f>IFERROR(__xludf.DUMMYFUNCTION("""COMPUTED_VALUE""")," ভোটার নং ")</f>
        <v> ভোটার নং </v>
      </c>
      <c r="E18" s="10" t="str">
        <f>IFERROR(__xludf.DUMMYFUNCTION("""COMPUTED_VALUE""")," পিতা ")</f>
        <v> পিতা </v>
      </c>
      <c r="F18" s="10" t="str">
        <f>IFERROR(__xludf.DUMMYFUNCTION("""COMPUTED_VALUE""")," মাতা ")</f>
        <v> মাতা </v>
      </c>
      <c r="G18" s="10" t="str">
        <f>IFERROR(__xludf.DUMMYFUNCTION("""COMPUTED_VALUE""")," জন্ম তারিখ ")</f>
        <v> জন্ম তারিখ </v>
      </c>
      <c r="H18" s="10" t="str">
        <f>IFERROR(__xludf.DUMMYFUNCTION("""COMPUTED_VALUE""")," পেশা ")</f>
        <v> পেশা </v>
      </c>
      <c r="I18" s="10" t="str">
        <f>IFERROR(__xludf.DUMMYFUNCTION("""COMPUTED_VALUE""")," ঠিকানা ")</f>
        <v> ঠিকানা </v>
      </c>
    </row>
    <row r="19">
      <c r="A19" s="9" t="s">
        <v>2713</v>
      </c>
      <c r="B19" s="10" t="str">
        <f>IFERROR(__xludf.DUMMYFUNCTION("SPLIT(A19,""|"")"),"---")</f>
        <v>---</v>
      </c>
      <c r="C19" s="10" t="str">
        <f>IFERROR(__xludf.DUMMYFUNCTION("""COMPUTED_VALUE"""),"---")</f>
        <v>---</v>
      </c>
      <c r="D19" s="10" t="str">
        <f>IFERROR(__xludf.DUMMYFUNCTION("""COMPUTED_VALUE"""),"---")</f>
        <v>---</v>
      </c>
      <c r="E19" s="10" t="str">
        <f>IFERROR(__xludf.DUMMYFUNCTION("""COMPUTED_VALUE"""),"---")</f>
        <v>---</v>
      </c>
      <c r="F19" s="10" t="str">
        <f>IFERROR(__xludf.DUMMYFUNCTION("""COMPUTED_VALUE"""),"---")</f>
        <v>---</v>
      </c>
      <c r="G19" s="10" t="str">
        <f>IFERROR(__xludf.DUMMYFUNCTION("""COMPUTED_VALUE"""),"---")</f>
        <v>---</v>
      </c>
      <c r="H19" s="10" t="str">
        <f>IFERROR(__xludf.DUMMYFUNCTION("""COMPUTED_VALUE"""),"---")</f>
        <v>---</v>
      </c>
      <c r="I19" s="10" t="str">
        <f>IFERROR(__xludf.DUMMYFUNCTION("""COMPUTED_VALUE"""),"---")</f>
        <v>---</v>
      </c>
    </row>
    <row r="20">
      <c r="A20" s="9" t="s">
        <v>2729</v>
      </c>
      <c r="B20" s="10">
        <f>IFERROR(__xludf.DUMMYFUNCTION("SPLIT(A20,""|"")"),16.0)</f>
        <v>16</v>
      </c>
      <c r="C20" s="10" t="str">
        <f>IFERROR(__xludf.DUMMYFUNCTION("""COMPUTED_VALUE""")," মোছাঃ তানজিরা খাতুন ")</f>
        <v> মোছাঃ তানজিরা খাতুন </v>
      </c>
      <c r="D20" s="10">
        <f>IFERROR(__xludf.DUMMYFUNCTION("""COMPUTED_VALUE"""),5.70556377229E11)</f>
        <v>570556377229</v>
      </c>
      <c r="E20" s="10" t="str">
        <f>IFERROR(__xludf.DUMMYFUNCTION("""COMPUTED_VALUE""")," মোঃ নূর ইসলাম ")</f>
        <v> মোঃ নূর ইসলাম </v>
      </c>
      <c r="F20" s="10" t="str">
        <f>IFERROR(__xludf.DUMMYFUNCTION("""COMPUTED_VALUE""")," মোছাঃ সখের ভানু ")</f>
        <v> মোছাঃ সখের ভানু </v>
      </c>
      <c r="G20" s="10" t="str">
        <f>IFERROR(__xludf.DUMMYFUNCTION("""COMPUTED_VALUE""")," ২৫/০৪/১৯৮৯ ")</f>
        <v> ২৫/০৪/১৯৮৯ </v>
      </c>
      <c r="H20" s="10" t="str">
        <f>IFERROR(__xludf.DUMMYFUNCTION("""COMPUTED_VALUE""")," গৃহিনী ")</f>
        <v> গৃহিনী </v>
      </c>
      <c r="I20" s="10" t="str">
        <f>IFERROR(__xludf.DUMMYFUNCTION("""COMPUTED_VALUE""")," জালতকা, গাংনী, মেহেরপুর ")</f>
        <v> জালতকা, গাংনী, মেহেরপুর </v>
      </c>
    </row>
    <row r="21">
      <c r="A21" s="9" t="s">
        <v>2730</v>
      </c>
      <c r="B21" s="10">
        <f>IFERROR(__xludf.DUMMYFUNCTION("SPLIT(A21,""|"")"),17.0)</f>
        <v>17</v>
      </c>
      <c r="C21" s="10" t="str">
        <f>IFERROR(__xludf.DUMMYFUNCTION("""COMPUTED_VALUE""")," মোছাঃ হোসেনয়ারা ")</f>
        <v> মোছাঃ হোসেনয়ারা </v>
      </c>
      <c r="D21" s="10">
        <f>IFERROR(__xludf.DUMMYFUNCTION("""COMPUTED_VALUE"""),5.7055637723E11)</f>
        <v>570556377230</v>
      </c>
      <c r="E21" s="10" t="str">
        <f>IFERROR(__xludf.DUMMYFUNCTION("""COMPUTED_VALUE""")," মসলেমউদ্দীন ")</f>
        <v> মসলেমউদ্দীন </v>
      </c>
      <c r="F21" s="10" t="str">
        <f>IFERROR(__xludf.DUMMYFUNCTION("""COMPUTED_VALUE""")," মোছাঃ ছমিরন নেছা ")</f>
        <v> মোছাঃ ছমিরন নেছা </v>
      </c>
      <c r="G21" s="10" t="str">
        <f>IFERROR(__xludf.DUMMYFUNCTION("""COMPUTED_VALUE""")," ০১/০৪/১৯৮৮ ")</f>
        <v> ০১/০৪/১৯৮৮ </v>
      </c>
      <c r="H21" s="10" t="str">
        <f>IFERROR(__xludf.DUMMYFUNCTION("""COMPUTED_VALUE""")," গৃহিনী ")</f>
        <v> গৃহিনী </v>
      </c>
      <c r="I21" s="10" t="str">
        <f>IFERROR(__xludf.DUMMYFUNCTION("""COMPUTED_VALUE""")," জালতকা, গাংনী, মেহেরপুর ")</f>
        <v> জালতকা, গাংনী, মেহেরপুর </v>
      </c>
    </row>
    <row r="22">
      <c r="A22" s="9" t="s">
        <v>2731</v>
      </c>
      <c r="B22" s="10">
        <f>IFERROR(__xludf.DUMMYFUNCTION("SPLIT(A22,""|"")"),18.0)</f>
        <v>18</v>
      </c>
      <c r="C22" s="10" t="str">
        <f>IFERROR(__xludf.DUMMYFUNCTION("""COMPUTED_VALUE""")," মোছাঃ মমতাজ খাতুন ")</f>
        <v> মোছাঃ মমতাজ খাতুন </v>
      </c>
      <c r="D22" s="10">
        <f>IFERROR(__xludf.DUMMYFUNCTION("""COMPUTED_VALUE"""),5.70556377233E11)</f>
        <v>570556377233</v>
      </c>
      <c r="E22" s="10" t="str">
        <f>IFERROR(__xludf.DUMMYFUNCTION("""COMPUTED_VALUE""")," মোঃ আব্দুল মজিদ ")</f>
        <v> মোঃ আব্দুল মজিদ </v>
      </c>
      <c r="F22" s="10" t="str">
        <f>IFERROR(__xludf.DUMMYFUNCTION("""COMPUTED_VALUE""")," মোছাঃ সদিনা খাতুন ")</f>
        <v> মোছাঃ সদিনা খাতুন </v>
      </c>
      <c r="G22" s="10" t="str">
        <f>IFERROR(__xludf.DUMMYFUNCTION("""COMPUTED_VALUE""")," ২৫/০৬/১৯৮৩ ")</f>
        <v> ২৫/০৬/১৯৮৩ </v>
      </c>
      <c r="H22" s="10" t="str">
        <f>IFERROR(__xludf.DUMMYFUNCTION("""COMPUTED_VALUE""")," গৃহিনী ")</f>
        <v> গৃহিনী </v>
      </c>
      <c r="I22" s="10" t="str">
        <f>IFERROR(__xludf.DUMMYFUNCTION("""COMPUTED_VALUE""")," জালতকা, গাংনী, মেহেরপুর ")</f>
        <v> জালতকা, গাংনী, মেহেরপুর </v>
      </c>
    </row>
    <row r="23">
      <c r="A23" s="9" t="s">
        <v>2732</v>
      </c>
      <c r="B23" s="10">
        <f>IFERROR(__xludf.DUMMYFUNCTION("SPLIT(A23,""|"")"),19.0)</f>
        <v>19</v>
      </c>
      <c r="C23" s="10" t="str">
        <f>IFERROR(__xludf.DUMMYFUNCTION("""COMPUTED_VALUE""")," মোছাঃ রশিদা খাতুন ")</f>
        <v> মোছাঃ রশিদা খাতুন </v>
      </c>
      <c r="D23" s="10">
        <f>IFERROR(__xludf.DUMMYFUNCTION("""COMPUTED_VALUE"""),5.70556377234E11)</f>
        <v>570556377234</v>
      </c>
      <c r="E23" s="10" t="str">
        <f>IFERROR(__xludf.DUMMYFUNCTION("""COMPUTED_VALUE""")," মোঃ আবুল হোসেন ")</f>
        <v> মোঃ আবুল হোসেন </v>
      </c>
      <c r="F23" s="10" t="str">
        <f>IFERROR(__xludf.DUMMYFUNCTION("""COMPUTED_VALUE""")," মোছাঃ সাহিদা খাতুন ")</f>
        <v> মোছাঃ সাহিদা খাতুন </v>
      </c>
      <c r="G23" s="10" t="str">
        <f>IFERROR(__xludf.DUMMYFUNCTION("""COMPUTED_VALUE""")," ০১/০৩/১৯৭০ ")</f>
        <v> ০১/০৩/১৯৭০ </v>
      </c>
      <c r="H23" s="10" t="str">
        <f>IFERROR(__xludf.DUMMYFUNCTION("""COMPUTED_VALUE""")," গৃহিনী ")</f>
        <v> গৃহিনী </v>
      </c>
      <c r="I23" s="10" t="str">
        <f>IFERROR(__xludf.DUMMYFUNCTION("""COMPUTED_VALUE""")," জালতকা, গাংনী, মেহেরপুর ")</f>
        <v> জালতকা, গাংনী, মেহেরপুর </v>
      </c>
    </row>
    <row r="24">
      <c r="A24" s="9" t="s">
        <v>2733</v>
      </c>
      <c r="B24" s="10">
        <f>IFERROR(__xludf.DUMMYFUNCTION("SPLIT(A24,""|"")"),20.0)</f>
        <v>20</v>
      </c>
      <c r="C24" s="10" t="str">
        <f>IFERROR(__xludf.DUMMYFUNCTION("""COMPUTED_VALUE""")," মোছাঃ মমতাজ বেগম ")</f>
        <v> মোছাঃ মমতাজ বেগম </v>
      </c>
      <c r="D24" s="10">
        <f>IFERROR(__xludf.DUMMYFUNCTION("""COMPUTED_VALUE"""),5.70556377235E11)</f>
        <v>570556377235</v>
      </c>
      <c r="E24" s="10" t="str">
        <f>IFERROR(__xludf.DUMMYFUNCTION("""COMPUTED_VALUE""")," উছাদ আলি ")</f>
        <v> উছাদ আলি </v>
      </c>
      <c r="F24" s="10" t="str">
        <f>IFERROR(__xludf.DUMMYFUNCTION("""COMPUTED_VALUE""")," মোছাঃ সকিনা খাতুন ")</f>
        <v> মোছাঃ সকিনা খাতুন </v>
      </c>
      <c r="G24" s="10" t="str">
        <f>IFERROR(__xludf.DUMMYFUNCTION("""COMPUTED_VALUE""")," ০১/০১/১৯৬৭ ")</f>
        <v> ০১/০১/১৯৬৭ </v>
      </c>
      <c r="H24" s="10" t="str">
        <f>IFERROR(__xludf.DUMMYFUNCTION("""COMPUTED_VALUE""")," গৃহিনী ")</f>
        <v> গৃহিনী </v>
      </c>
      <c r="I24" s="10" t="str">
        <f>IFERROR(__xludf.DUMMYFUNCTION("""COMPUTED_VALUE""")," জালতকা, গাংনী, মেহেরপুর ")</f>
        <v> জালতকা, গাংনী, মেহেরপুর </v>
      </c>
    </row>
    <row r="25">
      <c r="A25" s="9" t="s">
        <v>2734</v>
      </c>
      <c r="B25" s="10">
        <f>IFERROR(__xludf.DUMMYFUNCTION("SPLIT(A25,""|"")"),21.0)</f>
        <v>21</v>
      </c>
      <c r="C25" s="10" t="str">
        <f>IFERROR(__xludf.DUMMYFUNCTION("""COMPUTED_VALUE""")," মোছাঃ ময়না খাতুন ")</f>
        <v> মোছাঃ ময়না খাতুন </v>
      </c>
      <c r="D25" s="10">
        <f>IFERROR(__xludf.DUMMYFUNCTION("""COMPUTED_VALUE"""),5.70556377236E11)</f>
        <v>570556377236</v>
      </c>
      <c r="E25" s="10" t="str">
        <f>IFERROR(__xludf.DUMMYFUNCTION("""COMPUTED_VALUE""")," মোঃ নাশির আলি ")</f>
        <v> মোঃ নাশির আলি </v>
      </c>
      <c r="F25" s="10" t="str">
        <f>IFERROR(__xludf.DUMMYFUNCTION("""COMPUTED_VALUE""")," মোছাঃ জাহানারা ")</f>
        <v> মোছাঃ জাহানারা </v>
      </c>
      <c r="G25" s="10" t="str">
        <f>IFERROR(__xludf.DUMMYFUNCTION("""COMPUTED_VALUE""")," ০১/০৫/১৯৭৫ ")</f>
        <v> ০১/০৫/১৯৭৫ </v>
      </c>
      <c r="H25" s="10" t="str">
        <f>IFERROR(__xludf.DUMMYFUNCTION("""COMPUTED_VALUE""")," গৃহিনী ")</f>
        <v> গৃহিনী </v>
      </c>
      <c r="I25" s="10" t="str">
        <f>IFERROR(__xludf.DUMMYFUNCTION("""COMPUTED_VALUE""")," জালতকা, গাংনী, মেহেরপুর ")</f>
        <v> জালতকা, গাংনী, মেহেরপুর </v>
      </c>
    </row>
    <row r="26">
      <c r="A26" s="9" t="s">
        <v>2735</v>
      </c>
      <c r="B26" s="10">
        <f>IFERROR(__xludf.DUMMYFUNCTION("SPLIT(A26,""|"")"),22.0)</f>
        <v>22</v>
      </c>
      <c r="C26" s="10" t="str">
        <f>IFERROR(__xludf.DUMMYFUNCTION("""COMPUTED_VALUE""")," মোছাঃ এসেমোতারা ")</f>
        <v> মোছাঃ এসেমোতারা </v>
      </c>
      <c r="D26" s="10">
        <f>IFERROR(__xludf.DUMMYFUNCTION("""COMPUTED_VALUE"""),5.70556377237E11)</f>
        <v>570556377237</v>
      </c>
      <c r="E26" s="10" t="str">
        <f>IFERROR(__xludf.DUMMYFUNCTION("""COMPUTED_VALUE""")," মোঃ শফিরদ্দি ")</f>
        <v> মোঃ শফিরদ্দি </v>
      </c>
      <c r="F26" s="10" t="str">
        <f>IFERROR(__xludf.DUMMYFUNCTION("""COMPUTED_VALUE""")," মোছাঃ ফহিমা খাতুন ")</f>
        <v> মোছাঃ ফহিমা খাতুন </v>
      </c>
      <c r="G26" s="10" t="str">
        <f>IFERROR(__xludf.DUMMYFUNCTION("""COMPUTED_VALUE""")," ২০/০৫/১৯৮৫ ")</f>
        <v> ২০/০৫/১৯৮৫ </v>
      </c>
      <c r="H26" s="10" t="str">
        <f>IFERROR(__xludf.DUMMYFUNCTION("""COMPUTED_VALUE""")," গৃহিনী ")</f>
        <v> গৃহিনী </v>
      </c>
      <c r="I26" s="10" t="str">
        <f>IFERROR(__xludf.DUMMYFUNCTION("""COMPUTED_VALUE""")," জালতকা, গাংনী, মেহেরপুর ")</f>
        <v> জালতকা, গাংনী, মেহেরপুর </v>
      </c>
    </row>
    <row r="27">
      <c r="A27" s="9" t="s">
        <v>2736</v>
      </c>
      <c r="B27" s="10">
        <f>IFERROR(__xludf.DUMMYFUNCTION("SPLIT(A27,""|"")"),23.0)</f>
        <v>23</v>
      </c>
      <c r="C27" s="10" t="str">
        <f>IFERROR(__xludf.DUMMYFUNCTION("""COMPUTED_VALUE""")," মোছাঃ শুকিরন নেছা ")</f>
        <v> মোছাঃ শুকিরন নেছা </v>
      </c>
      <c r="D27" s="10">
        <f>IFERROR(__xludf.DUMMYFUNCTION("""COMPUTED_VALUE"""),5.70556377238E11)</f>
        <v>570556377238</v>
      </c>
      <c r="E27" s="10" t="str">
        <f>IFERROR(__xludf.DUMMYFUNCTION("""COMPUTED_VALUE""")," মোঃ আকবর আলী ")</f>
        <v> মোঃ আকবর আলী </v>
      </c>
      <c r="F27" s="10" t="str">
        <f>IFERROR(__xludf.DUMMYFUNCTION("""COMPUTED_VALUE""")," মোছাঃ রাহেলা খাতুন ")</f>
        <v> মোছাঃ রাহেলা খাতুন </v>
      </c>
      <c r="G27" s="10" t="str">
        <f>IFERROR(__xludf.DUMMYFUNCTION("""COMPUTED_VALUE""")," ১৮/০৫/১৯৮৫ ")</f>
        <v> ১৮/০৫/১৯৮৫ </v>
      </c>
      <c r="H27" s="10" t="str">
        <f>IFERROR(__xludf.DUMMYFUNCTION("""COMPUTED_VALUE""")," গৃহিনী ")</f>
        <v> গৃহিনী </v>
      </c>
      <c r="I27" s="10" t="str">
        <f>IFERROR(__xludf.DUMMYFUNCTION("""COMPUTED_VALUE""")," জালতকা, গাংনী, মেহেরপুর ")</f>
        <v> জালতকা, গাংনী, মেহেরপুর </v>
      </c>
    </row>
    <row r="28">
      <c r="A28" s="9" t="s">
        <v>2737</v>
      </c>
      <c r="B28" s="10">
        <f>IFERROR(__xludf.DUMMYFUNCTION("SPLIT(A28,""|"")"),24.0)</f>
        <v>24</v>
      </c>
      <c r="C28" s="10" t="str">
        <f>IFERROR(__xludf.DUMMYFUNCTION("""COMPUTED_VALUE""")," মোছাঃ হাসিনা খাতুন ")</f>
        <v> মোছাঃ হাসিনা খাতুন </v>
      </c>
      <c r="D28" s="10">
        <f>IFERROR(__xludf.DUMMYFUNCTION("""COMPUTED_VALUE"""),5.70556377239E11)</f>
        <v>570556377239</v>
      </c>
      <c r="E28" s="10" t="str">
        <f>IFERROR(__xludf.DUMMYFUNCTION("""COMPUTED_VALUE""")," খিলাফত বিশ্বাস ")</f>
        <v> খিলাফত বিশ্বাস </v>
      </c>
      <c r="F28" s="10" t="str">
        <f>IFERROR(__xludf.DUMMYFUNCTION("""COMPUTED_VALUE""")," খাইরন নেছা ")</f>
        <v> খাইরন নেছা </v>
      </c>
      <c r="G28" s="10" t="str">
        <f>IFERROR(__xludf.DUMMYFUNCTION("""COMPUTED_VALUE""")," ০১/০১/১৯৬৩ ")</f>
        <v> ০১/০১/১৯৬৩ </v>
      </c>
      <c r="H28" s="10" t="str">
        <f>IFERROR(__xludf.DUMMYFUNCTION("""COMPUTED_VALUE""")," গৃহিনী ")</f>
        <v> গৃহিনী </v>
      </c>
      <c r="I28" s="10" t="str">
        <f>IFERROR(__xludf.DUMMYFUNCTION("""COMPUTED_VALUE""")," জালতকা, গাংনী, মেহেরপুর ")</f>
        <v> জালতকা, গাংনী, মেহেরপুর </v>
      </c>
    </row>
    <row r="29">
      <c r="A29" s="9" t="s">
        <v>2738</v>
      </c>
      <c r="B29" s="10">
        <f>IFERROR(__xludf.DUMMYFUNCTION("SPLIT(A29,""|"")"),25.0)</f>
        <v>25</v>
      </c>
      <c r="C29" s="10" t="str">
        <f>IFERROR(__xludf.DUMMYFUNCTION("""COMPUTED_VALUE""")," মোছাঃ রেহেনা খাতুন ")</f>
        <v> মোছাঃ রেহেনা খাতুন </v>
      </c>
      <c r="D29" s="10">
        <f>IFERROR(__xludf.DUMMYFUNCTION("""COMPUTED_VALUE"""),5.70556377241E11)</f>
        <v>570556377241</v>
      </c>
      <c r="E29" s="10" t="str">
        <f>IFERROR(__xludf.DUMMYFUNCTION("""COMPUTED_VALUE""")," মোঃ পলান মন্ডল ")</f>
        <v> মোঃ পলান মন্ডল </v>
      </c>
      <c r="F29" s="10" t="str">
        <f>IFERROR(__xludf.DUMMYFUNCTION("""COMPUTED_VALUE""")," মোছাঃ আমেনা খাতুন ")</f>
        <v> মোছাঃ আমেনা খাতুন </v>
      </c>
      <c r="G29" s="10" t="str">
        <f>IFERROR(__xludf.DUMMYFUNCTION("""COMPUTED_VALUE""")," ০১/০১/১৯৭৭ ")</f>
        <v> ০১/০১/১৯৭৭ </v>
      </c>
      <c r="H29" s="10" t="str">
        <f>IFERROR(__xludf.DUMMYFUNCTION("""COMPUTED_VALUE""")," গৃহিনী ")</f>
        <v> গৃহিনী </v>
      </c>
      <c r="I29" s="10" t="str">
        <f>IFERROR(__xludf.DUMMYFUNCTION("""COMPUTED_VALUE""")," জালতকা, গাংনী, মেহেরপুর ")</f>
        <v> জালতকা, গাংনী, মেহেরপুর </v>
      </c>
    </row>
    <row r="30">
      <c r="A30" s="9" t="s">
        <v>2739</v>
      </c>
      <c r="B30" s="10">
        <f>IFERROR(__xludf.DUMMYFUNCTION("SPLIT(A30,""|"")"),26.0)</f>
        <v>26</v>
      </c>
      <c r="C30" s="10" t="str">
        <f>IFERROR(__xludf.DUMMYFUNCTION("""COMPUTED_VALUE""")," মোছাঃ মনজুরা খাতুন ")</f>
        <v> মোছাঃ মনজুরা খাতুন </v>
      </c>
      <c r="D30" s="10">
        <f>IFERROR(__xludf.DUMMYFUNCTION("""COMPUTED_VALUE"""),5.70556377244E11)</f>
        <v>570556377244</v>
      </c>
      <c r="E30" s="10" t="str">
        <f>IFERROR(__xludf.DUMMYFUNCTION("""COMPUTED_VALUE""")," মওলা বকস ")</f>
        <v> মওলা বকস </v>
      </c>
      <c r="F30" s="10" t="str">
        <f>IFERROR(__xludf.DUMMYFUNCTION("""COMPUTED_VALUE""")," মোছাঃ সাহরন নেছা ")</f>
        <v> মোছাঃ সাহরন নেছা </v>
      </c>
      <c r="G30" s="10" t="str">
        <f>IFERROR(__xludf.DUMMYFUNCTION("""COMPUTED_VALUE""")," ০১/০১/১৯৫৬ ")</f>
        <v> ০১/০১/১৯৫৬ </v>
      </c>
      <c r="H30" s="10" t="str">
        <f>IFERROR(__xludf.DUMMYFUNCTION("""COMPUTED_VALUE""")," গৃহিনী ")</f>
        <v> গৃহিনী </v>
      </c>
      <c r="I30" s="10" t="str">
        <f>IFERROR(__xludf.DUMMYFUNCTION("""COMPUTED_VALUE""")," জালতকা, গাংনী, মেহেরপুর ")</f>
        <v> জালতকা, গাংনী, মেহেরপুর </v>
      </c>
    </row>
    <row r="31">
      <c r="A31" s="9" t="s">
        <v>2740</v>
      </c>
      <c r="B31" s="10">
        <f>IFERROR(__xludf.DUMMYFUNCTION("SPLIT(A31,""|"")"),27.0)</f>
        <v>27</v>
      </c>
      <c r="C31" s="10" t="str">
        <f>IFERROR(__xludf.DUMMYFUNCTION("""COMPUTED_VALUE""")," মোছাঃ আকলিমা খাতুন ")</f>
        <v> মোছাঃ আকলিমা খাতুন </v>
      </c>
      <c r="D31" s="10">
        <f>IFERROR(__xludf.DUMMYFUNCTION("""COMPUTED_VALUE"""),5.7055637725E11)</f>
        <v>570556377250</v>
      </c>
      <c r="E31" s="10" t="str">
        <f>IFERROR(__xludf.DUMMYFUNCTION("""COMPUTED_VALUE""")," মোঃ মোজাম্মেল হক ")</f>
        <v> মোঃ মোজাম্মেল হক </v>
      </c>
      <c r="F31" s="10" t="str">
        <f>IFERROR(__xludf.DUMMYFUNCTION("""COMPUTED_VALUE""")," মোছাঃ রহিমা খাতুন ")</f>
        <v> মোছাঃ রহিমা খাতুন </v>
      </c>
      <c r="G31" s="10" t="str">
        <f>IFERROR(__xludf.DUMMYFUNCTION("""COMPUTED_VALUE""")," ০৫/০৬/১৯৭৫ ")</f>
        <v> ০৫/০৬/১৯৭৫ </v>
      </c>
      <c r="H31" s="10" t="str">
        <f>IFERROR(__xludf.DUMMYFUNCTION("""COMPUTED_VALUE""")," গৃহিনী ")</f>
        <v> গৃহিনী </v>
      </c>
      <c r="I31" s="10" t="str">
        <f>IFERROR(__xludf.DUMMYFUNCTION("""COMPUTED_VALUE""")," জালতকা, গাংনী, মেহেরপুর ")</f>
        <v> জালতকা, গাংনী, মেহেরপুর </v>
      </c>
    </row>
    <row r="32">
      <c r="A32" s="9" t="s">
        <v>2741</v>
      </c>
      <c r="B32" s="10">
        <f>IFERROR(__xludf.DUMMYFUNCTION("SPLIT(A32,""|"")"),28.0)</f>
        <v>28</v>
      </c>
      <c r="C32" s="10" t="str">
        <f>IFERROR(__xludf.DUMMYFUNCTION("""COMPUTED_VALUE""")," মোছাঃ হালিমা খাতুন ")</f>
        <v> মোছাঃ হালিমা খাতুন </v>
      </c>
      <c r="D32" s="10">
        <f>IFERROR(__xludf.DUMMYFUNCTION("""COMPUTED_VALUE"""),5.70556377251E11)</f>
        <v>570556377251</v>
      </c>
      <c r="E32" s="10" t="str">
        <f>IFERROR(__xludf.DUMMYFUNCTION("""COMPUTED_VALUE""")," মোঃ তারাচাদ ")</f>
        <v> মোঃ তারাচাদ </v>
      </c>
      <c r="F32" s="10" t="str">
        <f>IFERROR(__xludf.DUMMYFUNCTION("""COMPUTED_VALUE""")," মোছাঃ ছপুরা খাতুন ")</f>
        <v> মোছাঃ ছপুরা খাতুন </v>
      </c>
      <c r="G32" s="10" t="str">
        <f>IFERROR(__xludf.DUMMYFUNCTION("""COMPUTED_VALUE""")," ০১/০১/১৯৬৩ ")</f>
        <v> ০১/০১/১৯৬৩ </v>
      </c>
      <c r="H32" s="10" t="str">
        <f>IFERROR(__xludf.DUMMYFUNCTION("""COMPUTED_VALUE""")," গৃহিনী ")</f>
        <v> গৃহিনী </v>
      </c>
      <c r="I32" s="10" t="str">
        <f>IFERROR(__xludf.DUMMYFUNCTION("""COMPUTED_VALUE""")," জালতকা, গাংনী, মেহেরপুর ")</f>
        <v> জালতকা, গাংনী, মেহেরপুর </v>
      </c>
    </row>
    <row r="33">
      <c r="A33" s="9" t="s">
        <v>2742</v>
      </c>
      <c r="B33" s="10">
        <f>IFERROR(__xludf.DUMMYFUNCTION("SPLIT(A33,""|"")"),29.0)</f>
        <v>29</v>
      </c>
      <c r="C33" s="10" t="str">
        <f>IFERROR(__xludf.DUMMYFUNCTION("""COMPUTED_VALUE""")," মোছাঃ সখেনা খাতুন ")</f>
        <v> মোছাঃ সখেনা খাতুন </v>
      </c>
      <c r="D33" s="10">
        <f>IFERROR(__xludf.DUMMYFUNCTION("""COMPUTED_VALUE"""),5.70556377253E11)</f>
        <v>570556377253</v>
      </c>
      <c r="E33" s="10" t="str">
        <f>IFERROR(__xludf.DUMMYFUNCTION("""COMPUTED_VALUE""")," মোঃ ছলেমান হোসেন ")</f>
        <v> মোঃ ছলেমান হোসেন </v>
      </c>
      <c r="F33" s="10" t="str">
        <f>IFERROR(__xludf.DUMMYFUNCTION("""COMPUTED_VALUE""")," মোছাঃ সাহার বানু ")</f>
        <v> মোছাঃ সাহার বানু </v>
      </c>
      <c r="G33" s="10" t="str">
        <f>IFERROR(__xludf.DUMMYFUNCTION("""COMPUTED_VALUE""")," ০৪/০৬/১৯৮২ ")</f>
        <v> ০৪/০৬/১৯৮২ </v>
      </c>
      <c r="H33" s="10" t="str">
        <f>IFERROR(__xludf.DUMMYFUNCTION("""COMPUTED_VALUE""")," গৃহিনী ")</f>
        <v> গৃহিনী </v>
      </c>
      <c r="I33" s="10" t="str">
        <f>IFERROR(__xludf.DUMMYFUNCTION("""COMPUTED_VALUE""")," জালতকা, গাংনী, মেহেরপুর ")</f>
        <v> জালতকা, গাংনী, মেহেরপুর </v>
      </c>
    </row>
    <row r="34">
      <c r="A34" s="9" t="s">
        <v>2743</v>
      </c>
      <c r="B34" s="10">
        <f>IFERROR(__xludf.DUMMYFUNCTION("SPLIT(A34,""|"")"),30.0)</f>
        <v>30</v>
      </c>
      <c r="C34" s="10" t="str">
        <f>IFERROR(__xludf.DUMMYFUNCTION("""COMPUTED_VALUE""")," মোছাঃ জাহেদা খাতুন ")</f>
        <v> মোছাঃ জাহেদা খাতুন </v>
      </c>
      <c r="D34" s="10">
        <f>IFERROR(__xludf.DUMMYFUNCTION("""COMPUTED_VALUE"""),5.70556377254E11)</f>
        <v>570556377254</v>
      </c>
      <c r="E34" s="10" t="str">
        <f>IFERROR(__xludf.DUMMYFUNCTION("""COMPUTED_VALUE""")," আকবর বিশ্বাস ")</f>
        <v> আকবর বিশ্বাস </v>
      </c>
      <c r="F34" s="10" t="str">
        <f>IFERROR(__xludf.DUMMYFUNCTION("""COMPUTED_VALUE""")," রহিমন নেছা ")</f>
        <v> রহিমন নেছা </v>
      </c>
      <c r="G34" s="10" t="str">
        <f>IFERROR(__xludf.DUMMYFUNCTION("""COMPUTED_VALUE""")," ০৩/০৭/১৯৬৭ ")</f>
        <v> ০৩/০৭/১৯৬৭ </v>
      </c>
      <c r="H34" s="10" t="str">
        <f>IFERROR(__xludf.DUMMYFUNCTION("""COMPUTED_VALUE""")," গৃহিনী ")</f>
        <v> গৃহিনী </v>
      </c>
      <c r="I34" s="10" t="str">
        <f>IFERROR(__xludf.DUMMYFUNCTION("""COMPUTED_VALUE""")," জালতকা, গাংনী, মেহেরপুর ")</f>
        <v> জালতকা, গাংনী, মেহেরপুর </v>
      </c>
    </row>
    <row r="35">
      <c r="A35" s="9" t="s">
        <v>2744</v>
      </c>
      <c r="B35" s="10">
        <f>IFERROR(__xludf.DUMMYFUNCTION("SPLIT(A35,""|"")"),31.0)</f>
        <v>31</v>
      </c>
      <c r="C35" s="10" t="str">
        <f>IFERROR(__xludf.DUMMYFUNCTION("""COMPUTED_VALUE""")," মোছাঃ সাহানা খাতুন ")</f>
        <v> মোছাঃ সাহানা খাতুন </v>
      </c>
      <c r="D35" s="10">
        <f>IFERROR(__xludf.DUMMYFUNCTION("""COMPUTED_VALUE"""),5.70556377258E11)</f>
        <v>570556377258</v>
      </c>
      <c r="E35" s="10" t="str">
        <f>IFERROR(__xludf.DUMMYFUNCTION("""COMPUTED_VALUE""")," মোঃ নূর বকস ")</f>
        <v> মোঃ নূর বকস </v>
      </c>
      <c r="F35" s="10" t="str">
        <f>IFERROR(__xludf.DUMMYFUNCTION("""COMPUTED_VALUE""")," মোছাঃ সাহার বানু ")</f>
        <v> মোছাঃ সাহার বানু </v>
      </c>
      <c r="G35" s="10" t="str">
        <f>IFERROR(__xludf.DUMMYFUNCTION("""COMPUTED_VALUE""")," ২৪/০৭/১৯৮৪ ")</f>
        <v> ২৪/০৭/১৯৮৪ </v>
      </c>
      <c r="H35" s="10" t="str">
        <f>IFERROR(__xludf.DUMMYFUNCTION("""COMPUTED_VALUE""")," গৃহিনী ")</f>
        <v> গৃহিনী </v>
      </c>
      <c r="I35" s="10" t="str">
        <f>IFERROR(__xludf.DUMMYFUNCTION("""COMPUTED_VALUE""")," জালতকা, গাংনী, মেহেরপুর ")</f>
        <v> জালতকা, গাংনী, মেহেরপুর </v>
      </c>
    </row>
    <row r="36">
      <c r="A36" s="9" t="s">
        <v>2745</v>
      </c>
      <c r="B36" s="10">
        <f>IFERROR(__xludf.DUMMYFUNCTION("SPLIT(A36,""|"")"),32.0)</f>
        <v>32</v>
      </c>
      <c r="C36" s="10" t="str">
        <f>IFERROR(__xludf.DUMMYFUNCTION("""COMPUTED_VALUE""")," মোছাঃ শিউলী খাতুন ")</f>
        <v> মোছাঃ শিউলী খাতুন </v>
      </c>
      <c r="D36" s="10">
        <f>IFERROR(__xludf.DUMMYFUNCTION("""COMPUTED_VALUE"""),5.70556377268E11)</f>
        <v>570556377268</v>
      </c>
      <c r="E36" s="10" t="str">
        <f>IFERROR(__xludf.DUMMYFUNCTION("""COMPUTED_VALUE""")," মোঃ ছাইদুর রহমান ")</f>
        <v> মোঃ ছাইদুর রহমান </v>
      </c>
      <c r="F36" s="10" t="str">
        <f>IFERROR(__xludf.DUMMYFUNCTION("""COMPUTED_VALUE""")," মোছাঃ মোমেনা খাতুন ")</f>
        <v> মোছাঃ মোমেনা খাতুন </v>
      </c>
      <c r="G36" s="10" t="str">
        <f>IFERROR(__xludf.DUMMYFUNCTION("""COMPUTED_VALUE""")," ১৫/০৬/১৯৭৭ ")</f>
        <v> ১৫/০৬/১৯৭৭ </v>
      </c>
      <c r="H36" s="10" t="str">
        <f>IFERROR(__xludf.DUMMYFUNCTION("""COMPUTED_VALUE""")," গৃহিনী ")</f>
        <v> গৃহিনী </v>
      </c>
      <c r="I36" s="10" t="str">
        <f>IFERROR(__xludf.DUMMYFUNCTION("""COMPUTED_VALUE""")," জালতকা, গাংনী, মেহেরপুর ")</f>
        <v> জালতকা, গাংনী, মেহেরপুর </v>
      </c>
    </row>
    <row r="37">
      <c r="A37" s="9" t="s">
        <v>2746</v>
      </c>
      <c r="B37" s="10">
        <f>IFERROR(__xludf.DUMMYFUNCTION("SPLIT(A37,""|"")"),33.0)</f>
        <v>33</v>
      </c>
      <c r="C37" s="10" t="str">
        <f>IFERROR(__xludf.DUMMYFUNCTION("""COMPUTED_VALUE""")," মোছাঃ রুপালী খাতুন ")</f>
        <v> মোছাঃ রুপালী খাতুন </v>
      </c>
      <c r="D37" s="10">
        <f>IFERROR(__xludf.DUMMYFUNCTION("""COMPUTED_VALUE"""),5.7055637727E11)</f>
        <v>570556377270</v>
      </c>
      <c r="E37" s="10" t="str">
        <f>IFERROR(__xludf.DUMMYFUNCTION("""COMPUTED_VALUE""")," হারেজ উদ্দীন ")</f>
        <v> হারেজ উদ্দীন </v>
      </c>
      <c r="F37" s="10" t="str">
        <f>IFERROR(__xludf.DUMMYFUNCTION("""COMPUTED_VALUE""")," মোছাঃ মেহেরনিগার ")</f>
        <v> মোছাঃ মেহেরনিগার </v>
      </c>
      <c r="G37" s="10" t="str">
        <f>IFERROR(__xludf.DUMMYFUNCTION("""COMPUTED_VALUE""")," ০৭/০৭/১৯৮৮ ")</f>
        <v> ০৭/০৭/১৯৮৮ </v>
      </c>
      <c r="H37" s="10" t="str">
        <f>IFERROR(__xludf.DUMMYFUNCTION("""COMPUTED_VALUE""")," গৃহিনী ")</f>
        <v> গৃহিনী </v>
      </c>
      <c r="I37" s="10" t="str">
        <f>IFERROR(__xludf.DUMMYFUNCTION("""COMPUTED_VALUE""")," জালতকা, গাংনী, মেহেরপুর ")</f>
        <v> জালতকা, গাংনী, মেহেরপুর </v>
      </c>
    </row>
    <row r="38">
      <c r="A38" s="9" t="s">
        <v>2747</v>
      </c>
      <c r="B38" s="10">
        <f>IFERROR(__xludf.DUMMYFUNCTION("SPLIT(A38,""|"")"),34.0)</f>
        <v>34</v>
      </c>
      <c r="C38" s="10" t="str">
        <f>IFERROR(__xludf.DUMMYFUNCTION("""COMPUTED_VALUE""")," মোছাঃ লিলি বেগম ")</f>
        <v> মোছাঃ লিলি বেগম </v>
      </c>
      <c r="D38" s="10">
        <f>IFERROR(__xludf.DUMMYFUNCTION("""COMPUTED_VALUE"""),5.70556377271E11)</f>
        <v>570556377271</v>
      </c>
      <c r="E38" s="10" t="str">
        <f>IFERROR(__xludf.DUMMYFUNCTION("""COMPUTED_VALUE""")," নিয়ামত মন্ডল ")</f>
        <v> নিয়ামত মন্ডল </v>
      </c>
      <c r="F38" s="10" t="str">
        <f>IFERROR(__xludf.DUMMYFUNCTION("""COMPUTED_VALUE""")," মোছাঃ আলেফজান নেছা ")</f>
        <v> মোছাঃ আলেফজান নেছা </v>
      </c>
      <c r="G38" s="10" t="str">
        <f>IFERROR(__xludf.DUMMYFUNCTION("""COMPUTED_VALUE""")," ১৬/০৮/১৯৬৮ ")</f>
        <v> ১৬/০৮/১৯৬৮ </v>
      </c>
      <c r="H38" s="10" t="str">
        <f>IFERROR(__xludf.DUMMYFUNCTION("""COMPUTED_VALUE""")," গৃহিনী ")</f>
        <v> গৃহিনী </v>
      </c>
      <c r="I38" s="10" t="str">
        <f>IFERROR(__xludf.DUMMYFUNCTION("""COMPUTED_VALUE""")," জালশুকা, গাংনী, মেহেরপুর ")</f>
        <v> জালশুকা, গাংনী, মেহেরপুর </v>
      </c>
    </row>
    <row r="39">
      <c r="A39" s="9" t="s">
        <v>2748</v>
      </c>
      <c r="B39" s="10">
        <f>IFERROR(__xludf.DUMMYFUNCTION("SPLIT(A39,""|"")"),35.0)</f>
        <v>35</v>
      </c>
      <c r="C39" s="10" t="str">
        <f>IFERROR(__xludf.DUMMYFUNCTION("""COMPUTED_VALUE""")," মোছাঃ শেফালি খাতুন ")</f>
        <v> মোছাঃ শেফালি খাতুন </v>
      </c>
      <c r="D39" s="10">
        <f>IFERROR(__xludf.DUMMYFUNCTION("""COMPUTED_VALUE"""),5.70556377272E11)</f>
        <v>570556377272</v>
      </c>
      <c r="E39" s="10" t="str">
        <f>IFERROR(__xludf.DUMMYFUNCTION("""COMPUTED_VALUE""")," মোঃ মোনাহার মোল্লা ")</f>
        <v> মোঃ মোনাহার মোল্লা </v>
      </c>
      <c r="F39" s="10" t="str">
        <f>IFERROR(__xludf.DUMMYFUNCTION("""COMPUTED_VALUE""")," মোছাঃ খদেজা খাতুন ")</f>
        <v> মোছাঃ খদেজা খাতুন </v>
      </c>
      <c r="G39" s="10" t="str">
        <f>IFERROR(__xludf.DUMMYFUNCTION("""COMPUTED_VALUE""")," ১০/০৬/১৯৮২ ")</f>
        <v> ১০/০৬/১৯৮২ </v>
      </c>
      <c r="H39" s="10" t="str">
        <f>IFERROR(__xludf.DUMMYFUNCTION("""COMPUTED_VALUE""")," গৃহিনী ")</f>
        <v> গৃহিনী </v>
      </c>
      <c r="I39" s="10" t="str">
        <f>IFERROR(__xludf.DUMMYFUNCTION("""COMPUTED_VALUE""")," জালশুকা, গাংনী, মেহেরপুর ")</f>
        <v> জালশুকা, গাংনী, মেহেরপুর </v>
      </c>
    </row>
    <row r="40">
      <c r="A40" s="9" t="s">
        <v>2749</v>
      </c>
      <c r="B40" s="10">
        <f>IFERROR(__xludf.DUMMYFUNCTION("SPLIT(A40,""|"")"),36.0)</f>
        <v>36</v>
      </c>
      <c r="C40" s="10" t="str">
        <f>IFERROR(__xludf.DUMMYFUNCTION("""COMPUTED_VALUE""")," মাইগ্রেট হয়েছে ")</f>
        <v> মাইগ্রেট হয়েছে </v>
      </c>
      <c r="D40" s="10" t="str">
        <f>IFERROR(__xludf.DUMMYFUNCTION("""COMPUTED_VALUE"""),"  ")</f>
        <v>  </v>
      </c>
      <c r="E40" s="10" t="str">
        <f>IFERROR(__xludf.DUMMYFUNCTION("""COMPUTED_VALUE"""),"  ")</f>
        <v>  </v>
      </c>
      <c r="F40" s="10" t="str">
        <f>IFERROR(__xludf.DUMMYFUNCTION("""COMPUTED_VALUE"""),"  ")</f>
        <v>  </v>
      </c>
      <c r="G40" s="10" t="str">
        <f>IFERROR(__xludf.DUMMYFUNCTION("""COMPUTED_VALUE"""),"  ")</f>
        <v>  </v>
      </c>
      <c r="H40" s="10" t="str">
        <f>IFERROR(__xludf.DUMMYFUNCTION("""COMPUTED_VALUE"""),"  ")</f>
        <v>  </v>
      </c>
      <c r="I40" s="10" t="str">
        <f>IFERROR(__xludf.DUMMYFUNCTION("""COMPUTED_VALUE"""),"  ")</f>
        <v>  </v>
      </c>
    </row>
    <row r="41">
      <c r="A41" s="9" t="s">
        <v>2750</v>
      </c>
      <c r="B41" s="10">
        <f>IFERROR(__xludf.DUMMYFUNCTION("SPLIT(A41,""|"")"),37.0)</f>
        <v>37</v>
      </c>
      <c r="C41" s="10" t="str">
        <f>IFERROR(__xludf.DUMMYFUNCTION("""COMPUTED_VALUE""")," মোছাঃ নাজিরা খাতুন ")</f>
        <v> মোছাঃ নাজিরা খাতুন </v>
      </c>
      <c r="D41" s="10">
        <f>IFERROR(__xludf.DUMMYFUNCTION("""COMPUTED_VALUE"""),5.70556377275E11)</f>
        <v>570556377275</v>
      </c>
      <c r="E41" s="10" t="str">
        <f>IFERROR(__xludf.DUMMYFUNCTION("""COMPUTED_VALUE""")," মোবারক বিশ্বাস ")</f>
        <v> মোবারক বিশ্বাস </v>
      </c>
      <c r="F41" s="10" t="str">
        <f>IFERROR(__xludf.DUMMYFUNCTION("""COMPUTED_VALUE""")," মোছাঃ মজিরন নেছা ")</f>
        <v> মোছাঃ মজিরন নেছা </v>
      </c>
      <c r="G41" s="10" t="str">
        <f>IFERROR(__xludf.DUMMYFUNCTION("""COMPUTED_VALUE""")," ০২/০৪/১৯৮১ ")</f>
        <v> ০২/০৪/১৯৮১ </v>
      </c>
      <c r="H41" s="10" t="str">
        <f>IFERROR(__xludf.DUMMYFUNCTION("""COMPUTED_VALUE""")," গৃহিনী ")</f>
        <v> গৃহিনী </v>
      </c>
      <c r="I41" s="10" t="str">
        <f>IFERROR(__xludf.DUMMYFUNCTION("""COMPUTED_VALUE""")," জালশুকা, গাংনী, মেহেরপুর ")</f>
        <v> জালশুকা, গাংনী, মেহেরপুর </v>
      </c>
    </row>
    <row r="42">
      <c r="A42" s="9" t="s">
        <v>2751</v>
      </c>
      <c r="B42" s="10">
        <f>IFERROR(__xludf.DUMMYFUNCTION("SPLIT(A42,""|"")"),38.0)</f>
        <v>38</v>
      </c>
      <c r="C42" s="10" t="str">
        <f>IFERROR(__xludf.DUMMYFUNCTION("""COMPUTED_VALUE""")," মোছাঃ গেনি খাতুন ")</f>
        <v> মোছাঃ গেনি খাতুন </v>
      </c>
      <c r="D42" s="10">
        <f>IFERROR(__xludf.DUMMYFUNCTION("""COMPUTED_VALUE"""),5.70556377276E11)</f>
        <v>570556377276</v>
      </c>
      <c r="E42" s="10" t="str">
        <f>IFERROR(__xludf.DUMMYFUNCTION("""COMPUTED_VALUE""")," মোঃ আবুল হোসেন ")</f>
        <v> মোঃ আবুল হোসেন </v>
      </c>
      <c r="F42" s="10" t="str">
        <f>IFERROR(__xludf.DUMMYFUNCTION("""COMPUTED_VALUE""")," মোছাঃ মহিরন নেছা ")</f>
        <v> মোছাঃ মহিরন নেছা </v>
      </c>
      <c r="G42" s="10" t="str">
        <f>IFERROR(__xludf.DUMMYFUNCTION("""COMPUTED_VALUE""")," ০৯/০৬/১৯৭২ ")</f>
        <v> ০৯/০৬/১৯৭২ </v>
      </c>
      <c r="H42" s="10" t="str">
        <f>IFERROR(__xludf.DUMMYFUNCTION("""COMPUTED_VALUE""")," গৃহিনী ")</f>
        <v> গৃহিনী </v>
      </c>
      <c r="I42" s="10" t="str">
        <f>IFERROR(__xludf.DUMMYFUNCTION("""COMPUTED_VALUE""")," জালশুকা, গাংনী, মেহেরপুর ")</f>
        <v> জালশুকা, গাংনী, মেহেরপুর </v>
      </c>
    </row>
    <row r="43">
      <c r="A43" s="9" t="s">
        <v>2752</v>
      </c>
      <c r="B43" s="10">
        <f>IFERROR(__xludf.DUMMYFUNCTION("SPLIT(A43,""|"")"),39.0)</f>
        <v>39</v>
      </c>
      <c r="C43" s="10" t="str">
        <f>IFERROR(__xludf.DUMMYFUNCTION("""COMPUTED_VALUE""")," মোছাঃ রাশিদা খাতুন ")</f>
        <v> মোছাঃ রাশিদা খাতুন </v>
      </c>
      <c r="D43" s="10">
        <f>IFERROR(__xludf.DUMMYFUNCTION("""COMPUTED_VALUE"""),5.70556377277E11)</f>
        <v>570556377277</v>
      </c>
      <c r="E43" s="10" t="str">
        <f>IFERROR(__xludf.DUMMYFUNCTION("""COMPUTED_VALUE""")," করীম মন্ডল ")</f>
        <v> করীম মন্ডল </v>
      </c>
      <c r="F43" s="10" t="str">
        <f>IFERROR(__xludf.DUMMYFUNCTION("""COMPUTED_VALUE""")," সাজেদা খাতুন ")</f>
        <v> সাজেদা খাতুন </v>
      </c>
      <c r="G43" s="10" t="str">
        <f>IFERROR(__xludf.DUMMYFUNCTION("""COMPUTED_VALUE""")," ২২/০৭/১৯৭৭ ")</f>
        <v> ২২/০৭/১৯৭৭ </v>
      </c>
      <c r="H43" s="10" t="str">
        <f>IFERROR(__xludf.DUMMYFUNCTION("""COMPUTED_VALUE""")," গৃহিনী ")</f>
        <v> গৃহিনী </v>
      </c>
      <c r="I43" s="10" t="str">
        <f>IFERROR(__xludf.DUMMYFUNCTION("""COMPUTED_VALUE""")," জালশুকা, গাংনী, মেহেরপুর ")</f>
        <v> জালশুকা, গাংনী, মেহেরপুর </v>
      </c>
    </row>
    <row r="44">
      <c r="A44" s="9" t="s">
        <v>2753</v>
      </c>
      <c r="B44" s="10">
        <f>IFERROR(__xludf.DUMMYFUNCTION("SPLIT(A44,""|"")"),40.0)</f>
        <v>40</v>
      </c>
      <c r="C44" s="10" t="str">
        <f>IFERROR(__xludf.DUMMYFUNCTION("""COMPUTED_VALUE""")," মোছাঃ রোকসানা খাতুন ")</f>
        <v> মোছাঃ রোকসানা খাতুন </v>
      </c>
      <c r="D44" s="10">
        <f>IFERROR(__xludf.DUMMYFUNCTION("""COMPUTED_VALUE"""),5.70556377278E11)</f>
        <v>570556377278</v>
      </c>
      <c r="E44" s="10" t="str">
        <f>IFERROR(__xludf.DUMMYFUNCTION("""COMPUTED_VALUE""")," মোঃ আমিনুল ইসলাম ")</f>
        <v> মোঃ আমিনুল ইসলাম </v>
      </c>
      <c r="F44" s="10" t="str">
        <f>IFERROR(__xludf.DUMMYFUNCTION("""COMPUTED_VALUE""")," মোছাঃ রেবেকা খাতুন ")</f>
        <v> মোছাঃ রেবেকা খাতুন </v>
      </c>
      <c r="G44" s="10" t="str">
        <f>IFERROR(__xludf.DUMMYFUNCTION("""COMPUTED_VALUE""")," ২৫/০৪/১৯৮৬ ")</f>
        <v> ২৫/০৪/১৯৮৬ </v>
      </c>
      <c r="H44" s="10" t="str">
        <f>IFERROR(__xludf.DUMMYFUNCTION("""COMPUTED_VALUE""")," গৃহিনী ")</f>
        <v> গৃহিনী </v>
      </c>
      <c r="I44" s="10" t="str">
        <f>IFERROR(__xludf.DUMMYFUNCTION("""COMPUTED_VALUE""")," জালশুকা, গাংনী, মেহেরপুর ")</f>
        <v> জালশুকা, গাংনী, মেহেরপুর </v>
      </c>
    </row>
    <row r="45">
      <c r="A45" s="9" t="s">
        <v>2754</v>
      </c>
      <c r="B45" s="10">
        <f>IFERROR(__xludf.DUMMYFUNCTION("SPLIT(A45,""|"")"),41.0)</f>
        <v>41</v>
      </c>
      <c r="C45" s="10" t="str">
        <f>IFERROR(__xludf.DUMMYFUNCTION("""COMPUTED_VALUE""")," মোছাঃ গুলশানারা ")</f>
        <v> মোছাঃ গুলশানারা </v>
      </c>
      <c r="D45" s="10">
        <f>IFERROR(__xludf.DUMMYFUNCTION("""COMPUTED_VALUE"""),5.70556377279E11)</f>
        <v>570556377279</v>
      </c>
      <c r="E45" s="10" t="str">
        <f>IFERROR(__xludf.DUMMYFUNCTION("""COMPUTED_VALUE""")," মোঃ গোলজার হোসেন ")</f>
        <v> মোঃ গোলজার হোসেন </v>
      </c>
      <c r="F45" s="10" t="str">
        <f>IFERROR(__xludf.DUMMYFUNCTION("""COMPUTED_VALUE""")," মোছাঃ জাহানারা খাতুন ")</f>
        <v> মোছাঃ জাহানারা খাতুন </v>
      </c>
      <c r="G45" s="10" t="str">
        <f>IFERROR(__xludf.DUMMYFUNCTION("""COMPUTED_VALUE""")," ০৯/০৬/১৯৭৪ ")</f>
        <v> ০৯/০৬/১৯৭৪ </v>
      </c>
      <c r="H45" s="10" t="str">
        <f>IFERROR(__xludf.DUMMYFUNCTION("""COMPUTED_VALUE""")," গৃহিনী ")</f>
        <v> গৃহিনী </v>
      </c>
      <c r="I45" s="10" t="str">
        <f>IFERROR(__xludf.DUMMYFUNCTION("""COMPUTED_VALUE""")," জালশুকা, গাংনী, মেহেরপুর ")</f>
        <v> জালশুকা, গাংনী, মেহেরপুর </v>
      </c>
    </row>
    <row r="46">
      <c r="A46" s="9" t="s">
        <v>2755</v>
      </c>
      <c r="B46" s="10">
        <f>IFERROR(__xludf.DUMMYFUNCTION("SPLIT(A46,""|"")"),42.0)</f>
        <v>42</v>
      </c>
      <c r="C46" s="10" t="str">
        <f>IFERROR(__xludf.DUMMYFUNCTION("""COMPUTED_VALUE""")," মোছাঃ কবুরা খাতুন ")</f>
        <v> মোছাঃ কবুরা খাতুন </v>
      </c>
      <c r="D46" s="10">
        <f>IFERROR(__xludf.DUMMYFUNCTION("""COMPUTED_VALUE"""),5.7055637728E11)</f>
        <v>570556377280</v>
      </c>
      <c r="E46" s="10" t="str">
        <f>IFERROR(__xludf.DUMMYFUNCTION("""COMPUTED_VALUE""")," মোঃ আবুল কাশেম ")</f>
        <v> মোঃ আবুল কাশেম </v>
      </c>
      <c r="F46" s="10" t="str">
        <f>IFERROR(__xludf.DUMMYFUNCTION("""COMPUTED_VALUE""")," মোছাঃ মনজুরা খাতুন ")</f>
        <v> মোছাঃ মনজুরা খাতুন </v>
      </c>
      <c r="G46" s="10" t="str">
        <f>IFERROR(__xludf.DUMMYFUNCTION("""COMPUTED_VALUE""")," ২৫/০৫/১৯৭৭ ")</f>
        <v> ২৫/০৫/১৯৭৭ </v>
      </c>
      <c r="H46" s="10" t="str">
        <f>IFERROR(__xludf.DUMMYFUNCTION("""COMPUTED_VALUE""")," গৃহিনী ")</f>
        <v> গৃহিনী </v>
      </c>
      <c r="I46" s="10" t="str">
        <f>IFERROR(__xludf.DUMMYFUNCTION("""COMPUTED_VALUE""")," জালশুকা, গাংনী, মেহেরপুর ")</f>
        <v> জালশুকা, গাংনী, মেহেরপুর </v>
      </c>
    </row>
    <row r="47">
      <c r="A47" s="9" t="s">
        <v>2756</v>
      </c>
      <c r="B47" s="10">
        <f>IFERROR(__xludf.DUMMYFUNCTION("SPLIT(A47,""|"")"),43.0)</f>
        <v>43</v>
      </c>
      <c r="C47" s="10" t="str">
        <f>IFERROR(__xludf.DUMMYFUNCTION("""COMPUTED_VALUE""")," মোছাঃ আকলিমা খাতুন ")</f>
        <v> মোছাঃ আকলিমা খাতুন </v>
      </c>
      <c r="D47" s="10">
        <f>IFERROR(__xludf.DUMMYFUNCTION("""COMPUTED_VALUE"""),5.70556377281E11)</f>
        <v>570556377281</v>
      </c>
      <c r="E47" s="10" t="str">
        <f>IFERROR(__xludf.DUMMYFUNCTION("""COMPUTED_VALUE""")," খোদা বকস ")</f>
        <v> খোদা বকস </v>
      </c>
      <c r="F47" s="10" t="str">
        <f>IFERROR(__xludf.DUMMYFUNCTION("""COMPUTED_VALUE""")," সজিরন নেছা ")</f>
        <v> সজিরন নেছা </v>
      </c>
      <c r="G47" s="10" t="str">
        <f>IFERROR(__xludf.DUMMYFUNCTION("""COMPUTED_VALUE""")," ১০/০৮/১৯৪৭ ")</f>
        <v> ১০/০৮/১৯৪৭ </v>
      </c>
      <c r="H47" s="10" t="str">
        <f>IFERROR(__xludf.DUMMYFUNCTION("""COMPUTED_VALUE""")," গৃহিনী ")</f>
        <v> গৃহিনী </v>
      </c>
      <c r="I47" s="10" t="str">
        <f>IFERROR(__xludf.DUMMYFUNCTION("""COMPUTED_VALUE""")," জালশুকা, গাংনী, মেহেরপুর ")</f>
        <v> জালশুকা, গাংনী, মেহেরপুর </v>
      </c>
    </row>
    <row r="48">
      <c r="A48" s="9" t="s">
        <v>2757</v>
      </c>
      <c r="B48" s="10">
        <f>IFERROR(__xludf.DUMMYFUNCTION("SPLIT(A48,""|"")"),44.0)</f>
        <v>44</v>
      </c>
      <c r="C48" s="10" t="str">
        <f>IFERROR(__xludf.DUMMYFUNCTION("""COMPUTED_VALUE""")," মোছাঃ সুন্দরী খাতুন ")</f>
        <v> মোছাঃ সুন্দরী খাতুন </v>
      </c>
      <c r="D48" s="10">
        <f>IFERROR(__xludf.DUMMYFUNCTION("""COMPUTED_VALUE"""),5.70556377282E11)</f>
        <v>570556377282</v>
      </c>
      <c r="E48" s="10" t="str">
        <f>IFERROR(__xludf.DUMMYFUNCTION("""COMPUTED_VALUE""")," সামছুদ্দিন ")</f>
        <v> সামছুদ্দিন </v>
      </c>
      <c r="F48" s="10" t="str">
        <f>IFERROR(__xludf.DUMMYFUNCTION("""COMPUTED_VALUE""")," নিথরি বিবি ")</f>
        <v> নিথরি বিবি </v>
      </c>
      <c r="G48" s="10" t="str">
        <f>IFERROR(__xludf.DUMMYFUNCTION("""COMPUTED_VALUE""")," ২৬/০৪/১৯৪৭ ")</f>
        <v> ২৬/০৪/১৯৪৭ </v>
      </c>
      <c r="H48" s="10" t="str">
        <f>IFERROR(__xludf.DUMMYFUNCTION("""COMPUTED_VALUE""")," গৃহিনী ")</f>
        <v> গৃহিনী </v>
      </c>
      <c r="I48" s="10" t="str">
        <f>IFERROR(__xludf.DUMMYFUNCTION("""COMPUTED_VALUE""")," জালশুকা, গাংনী, মেহেরপুর ")</f>
        <v> জালশুকা, গাংনী, মেহেরপুর </v>
      </c>
    </row>
    <row r="49">
      <c r="A49" s="9" t="s">
        <v>2758</v>
      </c>
      <c r="B49" s="10">
        <f>IFERROR(__xludf.DUMMYFUNCTION("SPLIT(A49,""|"")"),45.0)</f>
        <v>45</v>
      </c>
      <c r="C49" s="10" t="str">
        <f>IFERROR(__xludf.DUMMYFUNCTION("""COMPUTED_VALUE""")," মোছাঃ কপিরন নেছা ")</f>
        <v> মোছাঃ কপিরন নেছা </v>
      </c>
      <c r="D49" s="10">
        <f>IFERROR(__xludf.DUMMYFUNCTION("""COMPUTED_VALUE"""),5.70556377283E11)</f>
        <v>570556377283</v>
      </c>
      <c r="E49" s="10" t="str">
        <f>IFERROR(__xludf.DUMMYFUNCTION("""COMPUTED_VALUE""")," মোঃ আব্দুল হালিম ")</f>
        <v> মোঃ আব্দুল হালিম </v>
      </c>
      <c r="F49" s="10" t="str">
        <f>IFERROR(__xludf.DUMMYFUNCTION("""COMPUTED_VALUE""")," মোছাঃ কদভান খাতুন ")</f>
        <v> মোছাঃ কদভান খাতুন </v>
      </c>
      <c r="G49" s="10" t="str">
        <f>IFERROR(__xludf.DUMMYFUNCTION("""COMPUTED_VALUE""")," ১১/১১/১৯৮৪ ")</f>
        <v> ১১/১১/১৯৮৪ </v>
      </c>
      <c r="H49" s="10" t="str">
        <f>IFERROR(__xludf.DUMMYFUNCTION("""COMPUTED_VALUE""")," গৃহিনী ")</f>
        <v> গৃহিনী </v>
      </c>
      <c r="I49" s="10" t="str">
        <f>IFERROR(__xludf.DUMMYFUNCTION("""COMPUTED_VALUE""")," জালশুকা, গাংনী, মেহেরপুর ")</f>
        <v> জালশুকা, গাংনী, মেহেরপুর </v>
      </c>
    </row>
    <row r="50">
      <c r="A50" s="9" t="s">
        <v>2759</v>
      </c>
      <c r="B50" s="10">
        <f>IFERROR(__xludf.DUMMYFUNCTION("SPLIT(A50,""|"")"),46.0)</f>
        <v>46</v>
      </c>
      <c r="C50" s="10" t="str">
        <f>IFERROR(__xludf.DUMMYFUNCTION("""COMPUTED_VALUE""")," মোছাঃ ফাতেমা খাতুন ")</f>
        <v> মোছাঃ ফাতেমা খাতুন </v>
      </c>
      <c r="D50" s="10">
        <f>IFERROR(__xludf.DUMMYFUNCTION("""COMPUTED_VALUE"""),5.70556377285E11)</f>
        <v>570556377285</v>
      </c>
      <c r="E50" s="10" t="str">
        <f>IFERROR(__xludf.DUMMYFUNCTION("""COMPUTED_VALUE""")," মোঃ আম্বিয়া বিশ্বাস ")</f>
        <v> মোঃ আম্বিয়া বিশ্বাস </v>
      </c>
      <c r="F50" s="10" t="str">
        <f>IFERROR(__xludf.DUMMYFUNCTION("""COMPUTED_VALUE""")," মোছাঃ রোকেয়া বেগম ")</f>
        <v> মোছাঃ রোকেয়া বেগম </v>
      </c>
      <c r="G50" s="10" t="str">
        <f>IFERROR(__xludf.DUMMYFUNCTION("""COMPUTED_VALUE""")," ০৫/০৩/১৯৬৪ ")</f>
        <v> ০৫/০৩/১৯৬৪ </v>
      </c>
      <c r="H50" s="10" t="str">
        <f>IFERROR(__xludf.DUMMYFUNCTION("""COMPUTED_VALUE""")," গৃহিনী ")</f>
        <v> গৃহিনী </v>
      </c>
      <c r="I50" s="10" t="str">
        <f>IFERROR(__xludf.DUMMYFUNCTION("""COMPUTED_VALUE""")," জালশুকা, গাংনী, মেহেরপুর ")</f>
        <v> জালশুকা, গাংনী, মেহেরপুর </v>
      </c>
    </row>
    <row r="51">
      <c r="A51" s="9" t="s">
        <v>2760</v>
      </c>
      <c r="B51" s="10">
        <f>IFERROR(__xludf.DUMMYFUNCTION("SPLIT(A51,""|"")"),47.0)</f>
        <v>47</v>
      </c>
      <c r="C51" s="10" t="str">
        <f>IFERROR(__xludf.DUMMYFUNCTION("""COMPUTED_VALUE""")," মোছাঃ বেনুয়ারা খাতুন ")</f>
        <v> মোছাঃ বেনুয়ারা খাতুন </v>
      </c>
      <c r="D51" s="10">
        <f>IFERROR(__xludf.DUMMYFUNCTION("""COMPUTED_VALUE"""),5.7055637729E11)</f>
        <v>570556377290</v>
      </c>
      <c r="E51" s="10" t="str">
        <f>IFERROR(__xludf.DUMMYFUNCTION("""COMPUTED_VALUE""")," মোঃ হায়দার আলী ")</f>
        <v> মোঃ হায়দার আলী </v>
      </c>
      <c r="F51" s="10" t="str">
        <f>IFERROR(__xludf.DUMMYFUNCTION("""COMPUTED_VALUE""")," মোছ ফাতেমা খাতুন ")</f>
        <v> মোছ ফাতেমা খাতুন </v>
      </c>
      <c r="G51" s="10" t="str">
        <f>IFERROR(__xludf.DUMMYFUNCTION("""COMPUTED_VALUE""")," ০৫/০৬/১৯৮৭ ")</f>
        <v> ০৫/০৬/১৯৮৭ </v>
      </c>
      <c r="H51" s="10" t="str">
        <f>IFERROR(__xludf.DUMMYFUNCTION("""COMPUTED_VALUE""")," ছাত্র/ছাত্রী ")</f>
        <v> ছাত্র/ছাত্রী </v>
      </c>
      <c r="I51" s="10" t="str">
        <f>IFERROR(__xludf.DUMMYFUNCTION("""COMPUTED_VALUE""")," জালশুকা, গাংনী, মেহেরপুর ")</f>
        <v> জালশুকা, গাংনী, মেহেরপুর </v>
      </c>
    </row>
    <row r="52">
      <c r="A52" s="9" t="s">
        <v>2761</v>
      </c>
      <c r="B52" s="10">
        <f>IFERROR(__xludf.DUMMYFUNCTION("SPLIT(A52,""|"")"),48.0)</f>
        <v>48</v>
      </c>
      <c r="C52" s="10" t="str">
        <f>IFERROR(__xludf.DUMMYFUNCTION("""COMPUTED_VALUE""")," মোছাঃ ফরিদা খাতুন ")</f>
        <v> মোছাঃ ফরিদা খাতুন </v>
      </c>
      <c r="D52" s="10">
        <f>IFERROR(__xludf.DUMMYFUNCTION("""COMPUTED_VALUE"""),5.70556377293E11)</f>
        <v>570556377293</v>
      </c>
      <c r="E52" s="10" t="str">
        <f>IFERROR(__xludf.DUMMYFUNCTION("""COMPUTED_VALUE""")," তাহাজদ্দিন ")</f>
        <v> তাহাজদ্দিন </v>
      </c>
      <c r="F52" s="10" t="str">
        <f>IFERROR(__xludf.DUMMYFUNCTION("""COMPUTED_VALUE""")," মোছাঃ রাহেদা খাতুন ")</f>
        <v> মোছাঃ রাহেদা খাতুন </v>
      </c>
      <c r="G52" s="10" t="str">
        <f>IFERROR(__xludf.DUMMYFUNCTION("""COMPUTED_VALUE""")," ০২/০৯/১৯৮২ ")</f>
        <v> ০২/০৯/১৯৮২ </v>
      </c>
      <c r="H52" s="10" t="str">
        <f>IFERROR(__xludf.DUMMYFUNCTION("""COMPUTED_VALUE""")," গৃহিনী ")</f>
        <v> গৃহিনী </v>
      </c>
      <c r="I52" s="10" t="str">
        <f>IFERROR(__xludf.DUMMYFUNCTION("""COMPUTED_VALUE""")," জালশুকা, গাংনী, মেহেরপুর ")</f>
        <v> জালশুকা, গাংনী, মেহেরপুর </v>
      </c>
    </row>
    <row r="53">
      <c r="A53" s="9" t="s">
        <v>2762</v>
      </c>
      <c r="B53" s="10">
        <f>IFERROR(__xludf.DUMMYFUNCTION("SPLIT(A53,""|"")"),49.0)</f>
        <v>49</v>
      </c>
      <c r="C53" s="10" t="str">
        <f>IFERROR(__xludf.DUMMYFUNCTION("""COMPUTED_VALUE""")," মোছাঃ ফিরোজা খাতুন ")</f>
        <v> মোছাঃ ফিরোজা খাতুন </v>
      </c>
      <c r="D53" s="10">
        <f>IFERROR(__xludf.DUMMYFUNCTION("""COMPUTED_VALUE"""),5.70556377294E11)</f>
        <v>570556377294</v>
      </c>
      <c r="E53" s="10" t="str">
        <f>IFERROR(__xludf.DUMMYFUNCTION("""COMPUTED_VALUE""")," মোঃ রেজাউল হক ")</f>
        <v> মোঃ রেজাউল হক </v>
      </c>
      <c r="F53" s="10" t="str">
        <f>IFERROR(__xludf.DUMMYFUNCTION("""COMPUTED_VALUE""")," মোছাঃ সুন্দরী খাতুন ")</f>
        <v> মোছাঃ সুন্দরী খাতুন </v>
      </c>
      <c r="G53" s="10" t="str">
        <f>IFERROR(__xludf.DUMMYFUNCTION("""COMPUTED_VALUE""")," ০৫/০১/১৯৭১ ")</f>
        <v> ০৫/০১/১৯৭১ </v>
      </c>
      <c r="H53" s="10" t="str">
        <f>IFERROR(__xludf.DUMMYFUNCTION("""COMPUTED_VALUE""")," গৃহিনী ")</f>
        <v> গৃহিনী </v>
      </c>
      <c r="I53" s="10" t="str">
        <f>IFERROR(__xludf.DUMMYFUNCTION("""COMPUTED_VALUE""")," জালশুকা, গাংনী, মেহেরপুর ")</f>
        <v> জালশুকা, গাংনী, মেহেরপুর </v>
      </c>
    </row>
    <row r="54">
      <c r="A54" s="9" t="s">
        <v>2763</v>
      </c>
      <c r="B54" s="10">
        <f>IFERROR(__xludf.DUMMYFUNCTION("SPLIT(A54,""|"")"),50.0)</f>
        <v>50</v>
      </c>
      <c r="C54" s="10" t="str">
        <f>IFERROR(__xludf.DUMMYFUNCTION("""COMPUTED_VALUE""")," মোছাঃ ফাহিমা খাতুন ")</f>
        <v> মোছাঃ ফাহিমা খাতুন </v>
      </c>
      <c r="D54" s="10">
        <f>IFERROR(__xludf.DUMMYFUNCTION("""COMPUTED_VALUE"""),5.70556377295E11)</f>
        <v>570556377295</v>
      </c>
      <c r="E54" s="10" t="str">
        <f>IFERROR(__xludf.DUMMYFUNCTION("""COMPUTED_VALUE""")," মোঃ শফিরদ্দিন ")</f>
        <v> মোঃ শফিরদ্দিন </v>
      </c>
      <c r="F54" s="10" t="str">
        <f>IFERROR(__xludf.DUMMYFUNCTION("""COMPUTED_VALUE""")," মোছাঃ তহমিনা খাতুন ")</f>
        <v> মোছাঃ তহমিনা খাতুন </v>
      </c>
      <c r="G54" s="10" t="str">
        <f>IFERROR(__xludf.DUMMYFUNCTION("""COMPUTED_VALUE""")," ০৭/০৮/১৯৭৫ ")</f>
        <v> ০৭/০৮/১৯৭৫ </v>
      </c>
      <c r="H54" s="10" t="str">
        <f>IFERROR(__xludf.DUMMYFUNCTION("""COMPUTED_VALUE""")," গৃহিনী ")</f>
        <v> গৃহিনী </v>
      </c>
      <c r="I54" s="10" t="str">
        <f>IFERROR(__xludf.DUMMYFUNCTION("""COMPUTED_VALUE""")," জালশুকা, গাংনী, মেহেরপুর ")</f>
        <v> জালশুকা, গাংনী, মেহেরপুর </v>
      </c>
    </row>
    <row r="55">
      <c r="A55" s="9" t="s">
        <v>2764</v>
      </c>
      <c r="B55" s="10">
        <f>IFERROR(__xludf.DUMMYFUNCTION("SPLIT(A55,""|"")"),51.0)</f>
        <v>51</v>
      </c>
      <c r="C55" s="10" t="str">
        <f>IFERROR(__xludf.DUMMYFUNCTION("""COMPUTED_VALUE""")," মোছাঃ জুলিথা খাতুন ")</f>
        <v> মোছাঃ জুলিথা খাতুন </v>
      </c>
      <c r="D55" s="10">
        <f>IFERROR(__xludf.DUMMYFUNCTION("""COMPUTED_VALUE"""),5.70556377304E11)</f>
        <v>570556377304</v>
      </c>
      <c r="E55" s="10" t="str">
        <f>IFERROR(__xludf.DUMMYFUNCTION("""COMPUTED_VALUE""")," মোঃ জমির উদ্দীন ")</f>
        <v> মোঃ জমির উদ্দীন </v>
      </c>
      <c r="F55" s="10" t="str">
        <f>IFERROR(__xludf.DUMMYFUNCTION("""COMPUTED_VALUE""")," মোছাঃ হাজেরা বেগম ")</f>
        <v> মোছাঃ হাজেরা বেগম </v>
      </c>
      <c r="G55" s="10" t="str">
        <f>IFERROR(__xludf.DUMMYFUNCTION("""COMPUTED_VALUE""")," ২২/০৩/১৯৮২ ")</f>
        <v> ২২/০৩/১৯৮২ </v>
      </c>
      <c r="H55" s="10" t="str">
        <f>IFERROR(__xludf.DUMMYFUNCTION("""COMPUTED_VALUE""")," গৃহিনী ")</f>
        <v> গৃহিনী </v>
      </c>
      <c r="I55" s="10" t="str">
        <f>IFERROR(__xludf.DUMMYFUNCTION("""COMPUTED_VALUE""")," জালশুকা, গাংনী, মেহেরপুর ")</f>
        <v> জালশুকা, গাংনী, মেহেরপুর </v>
      </c>
    </row>
    <row r="56">
      <c r="B56" s="10" t="str">
        <f>IFERROR(__xludf.DUMMYFUNCTION("SPLIT(A56,""|"")"),"#VALUE!")</f>
        <v>#VALUE!</v>
      </c>
    </row>
    <row r="57">
      <c r="A57" s="9" t="s">
        <v>2765</v>
      </c>
      <c r="B57" s="10">
        <f>IFERROR(__xludf.DUMMYFUNCTION("SPLIT(A57,""|"")"),52.0)</f>
        <v>52</v>
      </c>
      <c r="C57" s="10" t="str">
        <f>IFERROR(__xludf.DUMMYFUNCTION("""COMPUTED_VALUE""")," মোছাঃ রোকেয়া খাতুন ")</f>
        <v> মোছাঃ রোকেয়া খাতুন </v>
      </c>
      <c r="D57" s="10">
        <f>IFERROR(__xludf.DUMMYFUNCTION("""COMPUTED_VALUE"""),5.70556377309E11)</f>
        <v>570556377309</v>
      </c>
      <c r="E57" s="10" t="str">
        <f>IFERROR(__xludf.DUMMYFUNCTION("""COMPUTED_VALUE""")," মোঃ শের আলী ")</f>
        <v> মোঃ শের আলী </v>
      </c>
      <c r="F57" s="10" t="str">
        <f>IFERROR(__xludf.DUMMYFUNCTION("""COMPUTED_VALUE""")," মোছাঃ হাজেরা খাতুন ")</f>
        <v> মোছাঃ হাজেরা খাতুন </v>
      </c>
      <c r="G57" s="10" t="str">
        <f>IFERROR(__xludf.DUMMYFUNCTION("""COMPUTED_VALUE""")," ০৫/০৬/১৯৭৬ ")</f>
        <v> ০৫/০৬/১৯৭৬ </v>
      </c>
      <c r="H57" s="10" t="str">
        <f>IFERROR(__xludf.DUMMYFUNCTION("""COMPUTED_VALUE""")," গৃহিনী ")</f>
        <v> গৃহিনী </v>
      </c>
      <c r="I57" s="10" t="str">
        <f>IFERROR(__xludf.DUMMYFUNCTION("""COMPUTED_VALUE""")," জালতকা, গাংনী, মেহেরপুর ")</f>
        <v> জালতকা, গাংনী, মেহেরপুর </v>
      </c>
    </row>
    <row r="58">
      <c r="A58" s="9" t="s">
        <v>2766</v>
      </c>
      <c r="B58" s="10">
        <f>IFERROR(__xludf.DUMMYFUNCTION("SPLIT(A58,""|"")"),53.0)</f>
        <v>53</v>
      </c>
      <c r="C58" s="10" t="str">
        <f>IFERROR(__xludf.DUMMYFUNCTION("""COMPUTED_VALUE""")," মোছাঃ আমবিয়া খাতুন ")</f>
        <v> মোছাঃ আমবিয়া খাতুন </v>
      </c>
      <c r="D58" s="10">
        <f>IFERROR(__xludf.DUMMYFUNCTION("""COMPUTED_VALUE"""),5.70556377315E11)</f>
        <v>570556377315</v>
      </c>
      <c r="E58" s="10" t="str">
        <f>IFERROR(__xludf.DUMMYFUNCTION("""COMPUTED_VALUE""")," মোঃ আঃ হামান ")</f>
        <v> মোঃ আঃ হামান </v>
      </c>
      <c r="F58" s="10" t="str">
        <f>IFERROR(__xludf.DUMMYFUNCTION("""COMPUTED_VALUE""")," মোছাঃ ছুরাতন নেছা ")</f>
        <v> মোছাঃ ছুরাতন নেছা </v>
      </c>
      <c r="G58" s="10" t="str">
        <f>IFERROR(__xludf.DUMMYFUNCTION("""COMPUTED_VALUE""")," ২০/০৮/১৯৭১ ")</f>
        <v> ২০/০৮/১৯৭১ </v>
      </c>
      <c r="H58" s="10" t="str">
        <f>IFERROR(__xludf.DUMMYFUNCTION("""COMPUTED_VALUE""")," গৃহিনী ")</f>
        <v> গৃহিনী </v>
      </c>
      <c r="I58" s="10" t="str">
        <f>IFERROR(__xludf.DUMMYFUNCTION("""COMPUTED_VALUE""")," জালতকা, গাংনী, মেহেরপুর ")</f>
        <v> জালতকা, গাংনী, মেহেরপুর </v>
      </c>
    </row>
    <row r="59">
      <c r="A59" s="9" t="s">
        <v>2767</v>
      </c>
      <c r="B59" s="10">
        <f>IFERROR(__xludf.DUMMYFUNCTION("SPLIT(A59,""|"")"),54.0)</f>
        <v>54</v>
      </c>
      <c r="C59" s="10" t="str">
        <f>IFERROR(__xludf.DUMMYFUNCTION("""COMPUTED_VALUE""")," মোছাঃ বেলী আরা ")</f>
        <v> মোছাঃ বেলী আরা </v>
      </c>
      <c r="D59" s="10">
        <f>IFERROR(__xludf.DUMMYFUNCTION("""COMPUTED_VALUE"""),5.70556377318E11)</f>
        <v>570556377318</v>
      </c>
      <c r="E59" s="10" t="str">
        <f>IFERROR(__xludf.DUMMYFUNCTION("""COMPUTED_VALUE""")," মোঃ আঃ আজিজ ")</f>
        <v> মোঃ আঃ আজিজ </v>
      </c>
      <c r="F59" s="10" t="str">
        <f>IFERROR(__xludf.DUMMYFUNCTION("""COMPUTED_VALUE""")," মোছাঃ হাজেরা বেগম ")</f>
        <v> মোছাঃ হাজেরা বেগম </v>
      </c>
      <c r="G59" s="10" t="str">
        <f>IFERROR(__xludf.DUMMYFUNCTION("""COMPUTED_VALUE""")," ১৫/০৩/১৯৭৫ ")</f>
        <v> ১৫/০৩/১৯৭৫ </v>
      </c>
      <c r="H59" s="10" t="str">
        <f>IFERROR(__xludf.DUMMYFUNCTION("""COMPUTED_VALUE""")," গৃহিনী ")</f>
        <v> গৃহিনী </v>
      </c>
      <c r="I59" s="10" t="str">
        <f>IFERROR(__xludf.DUMMYFUNCTION("""COMPUTED_VALUE""")," জালতকা, গাংনী, মেহেরপুর ")</f>
        <v> জালতকা, গাংনী, মেহেরপুর </v>
      </c>
    </row>
    <row r="60">
      <c r="A60" s="9" t="s">
        <v>2768</v>
      </c>
      <c r="B60" s="10">
        <f>IFERROR(__xludf.DUMMYFUNCTION("SPLIT(A60,""|"")"),55.0)</f>
        <v>55</v>
      </c>
      <c r="C60" s="10" t="str">
        <f>IFERROR(__xludf.DUMMYFUNCTION("""COMPUTED_VALUE""")," মোছাঃ রোকেয়া খাতুন ")</f>
        <v> মোছাঃ রোকেয়া খাতুন </v>
      </c>
      <c r="D60" s="10">
        <f>IFERROR(__xludf.DUMMYFUNCTION("""COMPUTED_VALUE"""),5.70556377319E11)</f>
        <v>570556377319</v>
      </c>
      <c r="E60" s="10" t="str">
        <f>IFERROR(__xludf.DUMMYFUNCTION("""COMPUTED_VALUE""")," মোঃ আজিজ মালিথা ")</f>
        <v> মোঃ আজিজ মালিথা </v>
      </c>
      <c r="F60" s="10" t="str">
        <f>IFERROR(__xludf.DUMMYFUNCTION("""COMPUTED_VALUE""")," আছিয়া বেগম ")</f>
        <v> আছিয়া বেগম </v>
      </c>
      <c r="G60" s="10" t="str">
        <f>IFERROR(__xludf.DUMMYFUNCTION("""COMPUTED_VALUE""")," ২২/০৩/১৯৭৬ ")</f>
        <v> ২২/০৩/১৯৭৬ </v>
      </c>
      <c r="H60" s="10" t="str">
        <f>IFERROR(__xludf.DUMMYFUNCTION("""COMPUTED_VALUE""")," গৃহিনী ")</f>
        <v> গৃহিনী </v>
      </c>
      <c r="I60" s="10" t="str">
        <f>IFERROR(__xludf.DUMMYFUNCTION("""COMPUTED_VALUE""")," জালতকা, গাংনী, মেহেরপুর ")</f>
        <v> জালতকা, গাংনী, মেহেরপুর </v>
      </c>
    </row>
    <row r="61">
      <c r="A61" s="9" t="s">
        <v>2769</v>
      </c>
      <c r="B61" s="10">
        <f>IFERROR(__xludf.DUMMYFUNCTION("SPLIT(A61,""|"")"),56.0)</f>
        <v>56</v>
      </c>
      <c r="C61" s="10" t="str">
        <f>IFERROR(__xludf.DUMMYFUNCTION("""COMPUTED_VALUE""")," মোছাঃ ফাতেমা খাতুন ")</f>
        <v> মোছাঃ ফাতেমা খাতুন </v>
      </c>
      <c r="D61" s="10">
        <f>IFERROR(__xludf.DUMMYFUNCTION("""COMPUTED_VALUE"""),5.70556377322E11)</f>
        <v>570556377322</v>
      </c>
      <c r="E61" s="10" t="str">
        <f>IFERROR(__xludf.DUMMYFUNCTION("""COMPUTED_VALUE""")," মোঃ দবির উদ্দীন ")</f>
        <v> মোঃ দবির উদ্দীন </v>
      </c>
      <c r="F61" s="10" t="str">
        <f>IFERROR(__xludf.DUMMYFUNCTION("""COMPUTED_VALUE""")," মোছাঃ জরিনা খাতুন ")</f>
        <v> মোছাঃ জরিনা খাতুন </v>
      </c>
      <c r="G61" s="10" t="str">
        <f>IFERROR(__xludf.DUMMYFUNCTION("""COMPUTED_VALUE""")," ০২/০২/১৯৮২ ")</f>
        <v> ০২/০২/১৯৮২ </v>
      </c>
      <c r="H61" s="10" t="str">
        <f>IFERROR(__xludf.DUMMYFUNCTION("""COMPUTED_VALUE""")," গৃহিনী ")</f>
        <v> গৃহিনী </v>
      </c>
      <c r="I61" s="10" t="str">
        <f>IFERROR(__xludf.DUMMYFUNCTION("""COMPUTED_VALUE""")," জালতকা, গাংনী, মেহেরপুর ")</f>
        <v> জালতকা, গাংনী, মেহেরপুর </v>
      </c>
    </row>
    <row r="62">
      <c r="A62" s="9" t="s">
        <v>2770</v>
      </c>
      <c r="B62" s="10">
        <f>IFERROR(__xludf.DUMMYFUNCTION("SPLIT(A62,""|"")"),57.0)</f>
        <v>57</v>
      </c>
      <c r="C62" s="10" t="str">
        <f>IFERROR(__xludf.DUMMYFUNCTION("""COMPUTED_VALUE""")," মোছাঃ গুলশান আরা ")</f>
        <v> মোছাঃ গুলশান আরা </v>
      </c>
      <c r="D62" s="10">
        <f>IFERROR(__xludf.DUMMYFUNCTION("""COMPUTED_VALUE"""),5.70556377325E11)</f>
        <v>570556377325</v>
      </c>
      <c r="E62" s="10" t="str">
        <f>IFERROR(__xludf.DUMMYFUNCTION("""COMPUTED_VALUE""")," মোঃ জাহা বকস মন্ডল ")</f>
        <v> মোঃ জাহা বকস মন্ডল </v>
      </c>
      <c r="F62" s="10" t="str">
        <f>IFERROR(__xludf.DUMMYFUNCTION("""COMPUTED_VALUE""")," মোছাঃ আকলিমা খাতুন ")</f>
        <v> মোছাঃ আকলিমা খাতুন </v>
      </c>
      <c r="G62" s="10" t="str">
        <f>IFERROR(__xludf.DUMMYFUNCTION("""COMPUTED_VALUE""")," ১০/১০/১৯৮৪ ")</f>
        <v> ১০/১০/১৯৮৪ </v>
      </c>
      <c r="H62" s="10" t="str">
        <f>IFERROR(__xludf.DUMMYFUNCTION("""COMPUTED_VALUE""")," গৃহিনী ")</f>
        <v> গৃহিনী </v>
      </c>
      <c r="I62" s="10" t="str">
        <f>IFERROR(__xludf.DUMMYFUNCTION("""COMPUTED_VALUE""")," জালতকা, গাংনী, মেহেরপুর ")</f>
        <v> জালতকা, গাংনী, মেহেরপুর </v>
      </c>
    </row>
    <row r="63">
      <c r="A63" s="9" t="s">
        <v>2771</v>
      </c>
      <c r="B63" s="10">
        <f>IFERROR(__xludf.DUMMYFUNCTION("SPLIT(A63,""|"")"),58.0)</f>
        <v>58</v>
      </c>
      <c r="C63" s="10" t="str">
        <f>IFERROR(__xludf.DUMMYFUNCTION("""COMPUTED_VALUE""")," মোছাঃ রিজিয়া খাতুন ")</f>
        <v> মোছাঃ রিজিয়া খাতুন </v>
      </c>
      <c r="D63" s="10">
        <f>IFERROR(__xludf.DUMMYFUNCTION("""COMPUTED_VALUE"""),5.70556377326E11)</f>
        <v>570556377326</v>
      </c>
      <c r="E63" s="10" t="str">
        <f>IFERROR(__xludf.DUMMYFUNCTION("""COMPUTED_VALUE""")," তৈজদ্দিন মন্ডল ")</f>
        <v> তৈজদ্দিন মন্ডল </v>
      </c>
      <c r="F63" s="10" t="str">
        <f>IFERROR(__xludf.DUMMYFUNCTION("""COMPUTED_VALUE""")," মোছাঃ ছালেহা খাতুন ")</f>
        <v> মোছাঃ ছালেহা খাতুন </v>
      </c>
      <c r="G63" s="10" t="str">
        <f>IFERROR(__xludf.DUMMYFUNCTION("""COMPUTED_VALUE""")," ১৫/০৫/১৯৪৭ ")</f>
        <v> ১৫/০৫/১৯৪৭ </v>
      </c>
      <c r="H63" s="10" t="str">
        <f>IFERROR(__xludf.DUMMYFUNCTION("""COMPUTED_VALUE""")," গৃহিনী ")</f>
        <v> গৃহিনী </v>
      </c>
      <c r="I63" s="10" t="str">
        <f>IFERROR(__xludf.DUMMYFUNCTION("""COMPUTED_VALUE""")," জালতকা, গাংনী, মেহেরপুর ")</f>
        <v> জালতকা, গাংনী, মেহেরপুর </v>
      </c>
    </row>
    <row r="64">
      <c r="A64" s="9" t="s">
        <v>2772</v>
      </c>
      <c r="B64" s="10">
        <f>IFERROR(__xludf.DUMMYFUNCTION("SPLIT(A64,""|"")"),59.0)</f>
        <v>59</v>
      </c>
      <c r="C64" s="10" t="str">
        <f>IFERROR(__xludf.DUMMYFUNCTION("""COMPUTED_VALUE""")," মোছাঃ জাহানারা ")</f>
        <v> মোছাঃ জাহানারা </v>
      </c>
      <c r="D64" s="10">
        <f>IFERROR(__xludf.DUMMYFUNCTION("""COMPUTED_VALUE"""),5.70556377327E11)</f>
        <v>570556377327</v>
      </c>
      <c r="E64" s="10" t="str">
        <f>IFERROR(__xludf.DUMMYFUNCTION("""COMPUTED_VALUE""")," মোঃ আঃ জলিল ")</f>
        <v> মোঃ আঃ জলিল </v>
      </c>
      <c r="F64" s="10" t="str">
        <f>IFERROR(__xludf.DUMMYFUNCTION("""COMPUTED_VALUE""")," মোছাঃ সুফিয়া খাতুন ")</f>
        <v> মোছাঃ সুফিয়া খাতুন </v>
      </c>
      <c r="G64" s="10" t="str">
        <f>IFERROR(__xludf.DUMMYFUNCTION("""COMPUTED_VALUE""")," ০৬/০৬/১৯৭০ ")</f>
        <v> ০৬/০৬/১৯৭০ </v>
      </c>
      <c r="H64" s="10" t="str">
        <f>IFERROR(__xludf.DUMMYFUNCTION("""COMPUTED_VALUE""")," গৃহিনী ")</f>
        <v> গৃহিনী </v>
      </c>
      <c r="I64" s="10" t="str">
        <f>IFERROR(__xludf.DUMMYFUNCTION("""COMPUTED_VALUE""")," জালতকা, গাংনী, মেহেরপুর ")</f>
        <v> জালতকা, গাংনী, মেহেরপুর </v>
      </c>
    </row>
    <row r="65">
      <c r="A65" s="9" t="s">
        <v>2773</v>
      </c>
      <c r="B65" s="10">
        <f>IFERROR(__xludf.DUMMYFUNCTION("SPLIT(A65,""|"")"),60.0)</f>
        <v>60</v>
      </c>
      <c r="C65" s="10" t="str">
        <f>IFERROR(__xludf.DUMMYFUNCTION("""COMPUTED_VALUE""")," মোছাঃ হোসনী আরা ")</f>
        <v> মোছাঃ হোসনী আরা </v>
      </c>
      <c r="D65" s="10">
        <f>IFERROR(__xludf.DUMMYFUNCTION("""COMPUTED_VALUE"""),5.70556377333E12)</f>
        <v>5705563773330</v>
      </c>
      <c r="E65" s="10" t="str">
        <f>IFERROR(__xludf.DUMMYFUNCTION("""COMPUTED_VALUE""")," মোছাঃ রাজা বকস ")</f>
        <v> মোছাঃ রাজা বকস </v>
      </c>
      <c r="F65" s="10" t="str">
        <f>IFERROR(__xludf.DUMMYFUNCTION("""COMPUTED_VALUE""")," মোছাঃ ছামিরন নেছা ")</f>
        <v> মোছাঃ ছামিরন নেছা </v>
      </c>
      <c r="G65" s="10" t="str">
        <f>IFERROR(__xludf.DUMMYFUNCTION("""COMPUTED_VALUE""")," ০৯/০৯/১৯৮৮ ")</f>
        <v> ০৯/০৯/১৯৮৮ </v>
      </c>
      <c r="H65" s="10" t="str">
        <f>IFERROR(__xludf.DUMMYFUNCTION("""COMPUTED_VALUE""")," গৃহিনী ")</f>
        <v> গৃহিনী </v>
      </c>
      <c r="I65" s="10" t="str">
        <f>IFERROR(__xludf.DUMMYFUNCTION("""COMPUTED_VALUE""")," জালতকা, গাংনী, মেহেরপুর ")</f>
        <v> জালতকা, গাংনী, মেহেরপুর </v>
      </c>
    </row>
    <row r="66">
      <c r="A66" s="9" t="s">
        <v>2774</v>
      </c>
      <c r="B66" s="10">
        <f>IFERROR(__xludf.DUMMYFUNCTION("SPLIT(A66,""|"")"),61.0)</f>
        <v>61</v>
      </c>
      <c r="C66" s="10" t="str">
        <f>IFERROR(__xludf.DUMMYFUNCTION("""COMPUTED_VALUE""")," মোছাঃ ললিয়া খাতুন ")</f>
        <v> মোছাঃ ললিয়া খাতুন </v>
      </c>
      <c r="D66" s="10">
        <f>IFERROR(__xludf.DUMMYFUNCTION("""COMPUTED_VALUE"""),5.705563773331E12)</f>
        <v>5705563773331</v>
      </c>
      <c r="E66" s="10" t="str">
        <f>IFERROR(__xludf.DUMMYFUNCTION("""COMPUTED_VALUE""")," মোঃ ইয়াকুব আলী ")</f>
        <v> মোঃ ইয়াকুব আলী </v>
      </c>
      <c r="F66" s="10" t="str">
        <f>IFERROR(__xludf.DUMMYFUNCTION("""COMPUTED_VALUE""")," মোছাঃ নিহারন নেছা ")</f>
        <v> মোছাঃ নিহারন নেছা </v>
      </c>
      <c r="G66" s="10" t="str">
        <f>IFERROR(__xludf.DUMMYFUNCTION("""COMPUTED_VALUE""")," ২৪/০৪/১৯৬৭ ")</f>
        <v> ২৪/০৪/১৯৬৭ </v>
      </c>
      <c r="H66" s="10" t="str">
        <f>IFERROR(__xludf.DUMMYFUNCTION("""COMPUTED_VALUE""")," গৃহিনী ")</f>
        <v> গৃহিনী </v>
      </c>
      <c r="I66" s="10" t="str">
        <f>IFERROR(__xludf.DUMMYFUNCTION("""COMPUTED_VALUE""")," জালতকা, গাংনী, মেহেরপুর ")</f>
        <v> জালতকা, গাংনী, মেহেরপুর </v>
      </c>
    </row>
    <row r="67">
      <c r="A67" s="9" t="s">
        <v>2775</v>
      </c>
      <c r="B67" s="10">
        <f>IFERROR(__xludf.DUMMYFUNCTION("SPLIT(A67,""|"")"),62.0)</f>
        <v>62</v>
      </c>
      <c r="C67" s="10" t="str">
        <f>IFERROR(__xludf.DUMMYFUNCTION("""COMPUTED_VALUE""")," মোছাঃ সেলিনা খাতুন ")</f>
        <v> মোছাঃ সেলিনা খাতুন </v>
      </c>
      <c r="D67" s="10">
        <f>IFERROR(__xludf.DUMMYFUNCTION("""COMPUTED_VALUE"""),5.70556377332E11)</f>
        <v>570556377332</v>
      </c>
      <c r="E67" s="10" t="str">
        <f>IFERROR(__xludf.DUMMYFUNCTION("""COMPUTED_VALUE""")," মোঃ সুলতান উদ্দীন ")</f>
        <v> মোঃ সুলতান উদ্দীন </v>
      </c>
      <c r="F67" s="10" t="str">
        <f>IFERROR(__xludf.DUMMYFUNCTION("""COMPUTED_VALUE""")," মোছাঃ মুন্নী বেগম ")</f>
        <v> মোছাঃ মুন্নী বেগম </v>
      </c>
      <c r="G67" s="10" t="str">
        <f>IFERROR(__xludf.DUMMYFUNCTION("""COMPUTED_VALUE""")," ০১/০১/১৯৮৭ ")</f>
        <v> ০১/০১/১৯৮৭ </v>
      </c>
      <c r="H67" s="10" t="str">
        <f>IFERROR(__xludf.DUMMYFUNCTION("""COMPUTED_VALUE""")," গৃহিনী ")</f>
        <v> গৃহিনী </v>
      </c>
      <c r="I67" s="10" t="str">
        <f>IFERROR(__xludf.DUMMYFUNCTION("""COMPUTED_VALUE""")," জালতকা, গাংনী, মেহেরপুর ")</f>
        <v> জালতকা, গাংনী, মেহেরপুর </v>
      </c>
    </row>
    <row r="68">
      <c r="A68" s="9" t="s">
        <v>2776</v>
      </c>
      <c r="B68" s="10">
        <f>IFERROR(__xludf.DUMMYFUNCTION("SPLIT(A68,""|"")"),63.0)</f>
        <v>63</v>
      </c>
      <c r="C68" s="10" t="str">
        <f>IFERROR(__xludf.DUMMYFUNCTION("""COMPUTED_VALUE""")," মোছাঃ তাহারন নেছা ")</f>
        <v> মোছাঃ তাহারন নেছা </v>
      </c>
      <c r="D68" s="10">
        <f>IFERROR(__xludf.DUMMYFUNCTION("""COMPUTED_VALUE"""),5.70556377334E11)</f>
        <v>570556377334</v>
      </c>
      <c r="E68" s="10" t="str">
        <f>IFERROR(__xludf.DUMMYFUNCTION("""COMPUTED_VALUE""")," মোঃ আবুল হোসেন ")</f>
        <v> মোঃ আবুল হোসেন </v>
      </c>
      <c r="F68" s="10" t="str">
        <f>IFERROR(__xludf.DUMMYFUNCTION("""COMPUTED_VALUE""")," মোছাঃ ইশারন নেছা ")</f>
        <v> মোছাঃ ইশারন নেছা </v>
      </c>
      <c r="G68" s="10" t="str">
        <f>IFERROR(__xludf.DUMMYFUNCTION("""COMPUTED_VALUE""")," ০৪/০৪/১৯৬০ ")</f>
        <v> ০৪/০৪/১৯৬০ </v>
      </c>
      <c r="H68" s="10" t="str">
        <f>IFERROR(__xludf.DUMMYFUNCTION("""COMPUTED_VALUE""")," গৃহিনী ")</f>
        <v> গৃহিনী </v>
      </c>
      <c r="I68" s="10" t="str">
        <f>IFERROR(__xludf.DUMMYFUNCTION("""COMPUTED_VALUE""")," জালতকা, গাংনী, মেহেরপুর ")</f>
        <v> জালতকা, গাংনী, মেহেরপুর </v>
      </c>
    </row>
    <row r="69">
      <c r="A69" s="9" t="s">
        <v>2777</v>
      </c>
      <c r="B69" s="10">
        <f>IFERROR(__xludf.DUMMYFUNCTION("SPLIT(A69,""|"")"),64.0)</f>
        <v>64</v>
      </c>
      <c r="C69" s="10" t="str">
        <f>IFERROR(__xludf.DUMMYFUNCTION("""COMPUTED_VALUE""")," মোছাঃ ইশারন নেছা ")</f>
        <v> মোছাঃ ইশারন নেছা </v>
      </c>
      <c r="D69" s="10">
        <f>IFERROR(__xludf.DUMMYFUNCTION("""COMPUTED_VALUE"""),5.70556377335E11)</f>
        <v>570556377335</v>
      </c>
      <c r="E69" s="10" t="str">
        <f>IFERROR(__xludf.DUMMYFUNCTION("""COMPUTED_VALUE""")," আদালত বিশ্বাস ")</f>
        <v> আদালত বিশ্বাস </v>
      </c>
      <c r="F69" s="10" t="str">
        <f>IFERROR(__xludf.DUMMYFUNCTION("""COMPUTED_VALUE""")," ঝুকিরন নেছা ")</f>
        <v> ঝুকিরন নেছা </v>
      </c>
      <c r="G69" s="10" t="str">
        <f>IFERROR(__xludf.DUMMYFUNCTION("""COMPUTED_VALUE""")," ১০/০৫/১৯৩৭ ")</f>
        <v> ১০/০৫/১৯৩৭ </v>
      </c>
      <c r="H69" s="10" t="str">
        <f>IFERROR(__xludf.DUMMYFUNCTION("""COMPUTED_VALUE""")," গৃহিনী ")</f>
        <v> গৃহিনী </v>
      </c>
      <c r="I69" s="10" t="str">
        <f>IFERROR(__xludf.DUMMYFUNCTION("""COMPUTED_VALUE""")," জালতকা, গাংনী, মেহেরপুর ")</f>
        <v> জালতকা, গাংনী, মেহেরপুর </v>
      </c>
    </row>
    <row r="70">
      <c r="A70" s="9" t="s">
        <v>2778</v>
      </c>
      <c r="B70" s="10">
        <f>IFERROR(__xludf.DUMMYFUNCTION("SPLIT(A70,""|"")"),65.0)</f>
        <v>65</v>
      </c>
      <c r="C70" s="10" t="str">
        <f>IFERROR(__xludf.DUMMYFUNCTION("""COMPUTED_VALUE""")," মোছাঃ ছায়রন নেছা ")</f>
        <v> মোছাঃ ছায়রন নেছা </v>
      </c>
      <c r="D70" s="10">
        <f>IFERROR(__xludf.DUMMYFUNCTION("""COMPUTED_VALUE"""),5.70556377306E11)</f>
        <v>570556377306</v>
      </c>
      <c r="E70" s="10" t="str">
        <f>IFERROR(__xludf.DUMMYFUNCTION("""COMPUTED_VALUE""")," মোঃ আবুল হোসেন ")</f>
        <v> মোঃ আবুল হোসেন </v>
      </c>
      <c r="F70" s="10" t="str">
        <f>IFERROR(__xludf.DUMMYFUNCTION("""COMPUTED_VALUE""")," মোছাঃ ইশারন নেছা ")</f>
        <v> মোছাঃ ইশারন নেছা </v>
      </c>
      <c r="G70" s="10" t="str">
        <f>IFERROR(__xludf.DUMMYFUNCTION("""COMPUTED_VALUE""")," ০৬/০৮/১৯৮৭ ")</f>
        <v> ০৬/০৮/১৯৮৭ </v>
      </c>
      <c r="H70" s="10" t="str">
        <f>IFERROR(__xludf.DUMMYFUNCTION("""COMPUTED_VALUE""")," গৃহিনী ")</f>
        <v> গৃহিনী </v>
      </c>
      <c r="I70" s="10" t="str">
        <f>IFERROR(__xludf.DUMMYFUNCTION("""COMPUTED_VALUE""")," জালতকা, গাংনী, মেহেরপুর ")</f>
        <v> জালতকা, গাংনী, মেহেরপুর </v>
      </c>
    </row>
    <row r="71">
      <c r="A71" s="9" t="s">
        <v>2779</v>
      </c>
      <c r="B71" s="10">
        <f>IFERROR(__xludf.DUMMYFUNCTION("SPLIT(A71,""|"")"),66.0)</f>
        <v>66</v>
      </c>
      <c r="C71" s="10" t="str">
        <f>IFERROR(__xludf.DUMMYFUNCTION("""COMPUTED_VALUE""")," মোছাঃ কামরুন্নাহার ")</f>
        <v> মোছাঃ কামরুন্নাহার </v>
      </c>
      <c r="D71" s="10">
        <f>IFERROR(__xludf.DUMMYFUNCTION("""COMPUTED_VALUE"""),5.70556377339E11)</f>
        <v>570556377339</v>
      </c>
      <c r="E71" s="10" t="str">
        <f>IFERROR(__xludf.DUMMYFUNCTION("""COMPUTED_VALUE""")," মোঃ আঃ আজিজ ")</f>
        <v> মোঃ আঃ আজিজ </v>
      </c>
      <c r="F71" s="10" t="str">
        <f>IFERROR(__xludf.DUMMYFUNCTION("""COMPUTED_VALUE""")," মোছাঃ মনোয়ারা খাতুন ")</f>
        <v> মোছাঃ মনোয়ারা খাতুন </v>
      </c>
      <c r="G71" s="10" t="str">
        <f>IFERROR(__xludf.DUMMYFUNCTION("""COMPUTED_VALUE""")," ১৫/০২/১৯৫৩ ")</f>
        <v> ১৫/০২/১৯৫৩ </v>
      </c>
      <c r="H71" s="10" t="str">
        <f>IFERROR(__xludf.DUMMYFUNCTION("""COMPUTED_VALUE""")," গৃহিনী ")</f>
        <v> গৃহিনী </v>
      </c>
      <c r="I71" s="10" t="str">
        <f>IFERROR(__xludf.DUMMYFUNCTION("""COMPUTED_VALUE""")," জালতকা, গাংনী, মেহেরপুর ")</f>
        <v> জালতকা, গাংনী, মেহেরপুর </v>
      </c>
    </row>
    <row r="72">
      <c r="A72" s="9" t="s">
        <v>2780</v>
      </c>
      <c r="B72" s="10">
        <f>IFERROR(__xludf.DUMMYFUNCTION("SPLIT(A72,""|"")"),67.0)</f>
        <v>67</v>
      </c>
      <c r="C72" s="10" t="str">
        <f>IFERROR(__xludf.DUMMYFUNCTION("""COMPUTED_VALUE""")," মোছাঃ সালমা খাতুন ")</f>
        <v> মোছাঃ সালমা খাতুন </v>
      </c>
      <c r="D72" s="10">
        <f>IFERROR(__xludf.DUMMYFUNCTION("""COMPUTED_VALUE"""),5.70556377341E11)</f>
        <v>570556377341</v>
      </c>
      <c r="E72" s="10" t="str">
        <f>IFERROR(__xludf.DUMMYFUNCTION("""COMPUTED_VALUE""")," মোঃ আজগার আলী ")</f>
        <v> মোঃ আজগার আলী </v>
      </c>
      <c r="F72" s="10" t="str">
        <f>IFERROR(__xludf.DUMMYFUNCTION("""COMPUTED_VALUE""")," মোছাঃ মাজেদা খাতুন ")</f>
        <v> মোছাঃ মাজেদা খাতুন </v>
      </c>
      <c r="G72" s="10" t="str">
        <f>IFERROR(__xludf.DUMMYFUNCTION("""COMPUTED_VALUE""")," ০৯/০৬/১৯৮৫ ")</f>
        <v> ০৯/০৬/১৯৮৫ </v>
      </c>
      <c r="H72" s="10" t="str">
        <f>IFERROR(__xludf.DUMMYFUNCTION("""COMPUTED_VALUE""")," গৃহিনী ")</f>
        <v> গৃহিনী </v>
      </c>
      <c r="I72" s="10" t="str">
        <f>IFERROR(__xludf.DUMMYFUNCTION("""COMPUTED_VALUE""")," জালতকা, গাংনী, মেহেরপুর ")</f>
        <v> জালতকা, গাংনী, মেহেরপুর </v>
      </c>
    </row>
    <row r="73">
      <c r="A73" s="9" t="s">
        <v>2781</v>
      </c>
      <c r="B73" s="10">
        <f>IFERROR(__xludf.DUMMYFUNCTION("SPLIT(A73,""|"")"),68.0)</f>
        <v>68</v>
      </c>
      <c r="C73" s="10" t="str">
        <f>IFERROR(__xludf.DUMMYFUNCTION("""COMPUTED_VALUE""")," মোছাঃ সেলিনা খাতুন ")</f>
        <v> মোছাঃ সেলিনা খাতুন </v>
      </c>
      <c r="D73" s="10">
        <f>IFERROR(__xludf.DUMMYFUNCTION("""COMPUTED_VALUE"""),5.70556377344E11)</f>
        <v>570556377344</v>
      </c>
      <c r="E73" s="10" t="str">
        <f>IFERROR(__xludf.DUMMYFUNCTION("""COMPUTED_VALUE""")," মোঃ কুদ্দুস মালিথা ")</f>
        <v> মোঃ কুদ্দুস মালিথা </v>
      </c>
      <c r="F73" s="10" t="str">
        <f>IFERROR(__xludf.DUMMYFUNCTION("""COMPUTED_VALUE""")," মোছাঃ মোমেনা খাতুন ")</f>
        <v> মোছাঃ মোমেনা খাতুন </v>
      </c>
      <c r="G73" s="10" t="str">
        <f>IFERROR(__xludf.DUMMYFUNCTION("""COMPUTED_VALUE""")," ১৫/০৩/১৯৮৩ ")</f>
        <v> ১৫/০৩/১৯৮৩ </v>
      </c>
      <c r="H73" s="10" t="str">
        <f>IFERROR(__xludf.DUMMYFUNCTION("""COMPUTED_VALUE""")," গৃহিনী ")</f>
        <v> গৃহিনী </v>
      </c>
      <c r="I73" s="10" t="str">
        <f>IFERROR(__xludf.DUMMYFUNCTION("""COMPUTED_VALUE""")," জালতকা, গাংনী, মেহেরপুর ")</f>
        <v> জালতকা, গাংনী, মেহেরপুর </v>
      </c>
    </row>
    <row r="74">
      <c r="A74" s="9" t="s">
        <v>2782</v>
      </c>
      <c r="B74" s="10">
        <f>IFERROR(__xludf.DUMMYFUNCTION("SPLIT(A74,""|"")"),69.0)</f>
        <v>69</v>
      </c>
      <c r="C74" s="10" t="str">
        <f>IFERROR(__xludf.DUMMYFUNCTION("""COMPUTED_VALUE""")," মোছাঃ রেবেকা খাতুন ")</f>
        <v> মোছাঃ রেবেকা খাতুন </v>
      </c>
      <c r="D74" s="10">
        <f>IFERROR(__xludf.DUMMYFUNCTION("""COMPUTED_VALUE"""),5.70556377345E11)</f>
        <v>570556377345</v>
      </c>
      <c r="E74" s="10" t="str">
        <f>IFERROR(__xludf.DUMMYFUNCTION("""COMPUTED_VALUE""")," ময়নদ্দীন ")</f>
        <v> ময়নদ্দীন </v>
      </c>
      <c r="F74" s="10" t="str">
        <f>IFERROR(__xludf.DUMMYFUNCTION("""COMPUTED_VALUE""")," মোছাঃ জহুরা খাতুন ")</f>
        <v> মোছাঃ জহুরা খাতুন </v>
      </c>
      <c r="G74" s="10" t="str">
        <f>IFERROR(__xludf.DUMMYFUNCTION("""COMPUTED_VALUE""")," ০১/০১/১৯৪৫ ")</f>
        <v> ০১/০১/১৯৪৫ </v>
      </c>
      <c r="H74" s="10" t="str">
        <f>IFERROR(__xludf.DUMMYFUNCTION("""COMPUTED_VALUE""")," গৃহিনী ")</f>
        <v> গৃহিনী </v>
      </c>
      <c r="I74" s="10" t="str">
        <f>IFERROR(__xludf.DUMMYFUNCTION("""COMPUTED_VALUE""")," জালতকা, গাংনী, মেহেরপুর ")</f>
        <v> জালতকা, গাংনী, মেহেরপুর </v>
      </c>
    </row>
    <row r="75">
      <c r="A75" s="9" t="s">
        <v>2783</v>
      </c>
      <c r="B75" s="10">
        <f>IFERROR(__xludf.DUMMYFUNCTION("SPLIT(A75,""|"")"),70.0)</f>
        <v>70</v>
      </c>
      <c r="C75" s="10" t="str">
        <f>IFERROR(__xludf.DUMMYFUNCTION("""COMPUTED_VALUE""")," মোছাঃ চন্দনা খাতুন ")</f>
        <v> মোছাঃ চন্দনা খাতুন </v>
      </c>
      <c r="D75" s="10">
        <f>IFERROR(__xludf.DUMMYFUNCTION("""COMPUTED_VALUE"""),5.70556377352E11)</f>
        <v>570556377352</v>
      </c>
      <c r="E75" s="10" t="str">
        <f>IFERROR(__xludf.DUMMYFUNCTION("""COMPUTED_VALUE""")," মোঃ মামল উদ্দীন ")</f>
        <v> মোঃ মামল উদ্দীন </v>
      </c>
      <c r="F75" s="10" t="str">
        <f>IFERROR(__xludf.DUMMYFUNCTION("""COMPUTED_VALUE""")," মোছাঃ বেলিয়ারা ")</f>
        <v> মোছাঃ বেলিয়ারা </v>
      </c>
      <c r="G75" s="10" t="str">
        <f>IFERROR(__xludf.DUMMYFUNCTION("""COMPUTED_VALUE""")," ১৩/১০/১৯৮৭ ")</f>
        <v> ১৩/১০/১৯৮৭ </v>
      </c>
      <c r="H75" s="10" t="str">
        <f>IFERROR(__xludf.DUMMYFUNCTION("""COMPUTED_VALUE""")," গৃহিনী ")</f>
        <v> গৃহিনী </v>
      </c>
      <c r="I75" s="10" t="str">
        <f>IFERROR(__xludf.DUMMYFUNCTION("""COMPUTED_VALUE""")," জালতকা, গাংনী, মেহেরপুর ")</f>
        <v> জালতকা, গাংনী, মেহেরপুর </v>
      </c>
    </row>
    <row r="76">
      <c r="A76" s="9" t="s">
        <v>2784</v>
      </c>
      <c r="B76" s="10">
        <f>IFERROR(__xludf.DUMMYFUNCTION("SPLIT(A76,""|"")"),71.0)</f>
        <v>71</v>
      </c>
      <c r="C76" s="10" t="str">
        <f>IFERROR(__xludf.DUMMYFUNCTION("""COMPUTED_VALUE""")," মোছাঃ ছলেহর খাতুন ")</f>
        <v> মোছাঃ ছলেহর খাতুন </v>
      </c>
      <c r="D76" s="10">
        <f>IFERROR(__xludf.DUMMYFUNCTION("""COMPUTED_VALUE"""),5.70556377353E11)</f>
        <v>570556377353</v>
      </c>
      <c r="E76" s="10" t="str">
        <f>IFERROR(__xludf.DUMMYFUNCTION("""COMPUTED_VALUE""")," মোঃ আনছার আলী ")</f>
        <v> মোঃ আনছার আলী </v>
      </c>
      <c r="F76" s="10" t="str">
        <f>IFERROR(__xludf.DUMMYFUNCTION("""COMPUTED_VALUE""")," মোছাঃ ফুলজান নেছা ")</f>
        <v> মোছাঃ ফুলজান নেছা </v>
      </c>
      <c r="G76" s="10" t="str">
        <f>IFERROR(__xludf.DUMMYFUNCTION("""COMPUTED_VALUE""")," ১৯/০৯/১৯৭৭ ")</f>
        <v> ১৯/০৯/১৯৭৭ </v>
      </c>
      <c r="H76" s="10" t="str">
        <f>IFERROR(__xludf.DUMMYFUNCTION("""COMPUTED_VALUE""")," গৃহিনী ")</f>
        <v> গৃহিনী </v>
      </c>
      <c r="I76" s="10" t="str">
        <f>IFERROR(__xludf.DUMMYFUNCTION("""COMPUTED_VALUE""")," জালতকা, গাংনী, মেহেরপুর ")</f>
        <v> জালতকা, গাংনী, মেহেরপুর </v>
      </c>
    </row>
    <row r="77">
      <c r="A77" s="9" t="s">
        <v>2785</v>
      </c>
      <c r="B77" s="10">
        <f>IFERROR(__xludf.DUMMYFUNCTION("SPLIT(A77,""|"")"),72.0)</f>
        <v>72</v>
      </c>
      <c r="C77" s="10" t="str">
        <f>IFERROR(__xludf.DUMMYFUNCTION("""COMPUTED_VALUE""")," মোছাঃ আসমারা ")</f>
        <v> মোছাঃ আসমারা </v>
      </c>
      <c r="D77" s="10">
        <f>IFERROR(__xludf.DUMMYFUNCTION("""COMPUTED_VALUE"""),5.70556377358E11)</f>
        <v>570556377358</v>
      </c>
      <c r="E77" s="10" t="str">
        <f>IFERROR(__xludf.DUMMYFUNCTION("""COMPUTED_VALUE""")," মোঃ আনছার আলী ")</f>
        <v> মোঃ আনছার আলী </v>
      </c>
      <c r="F77" s="10" t="str">
        <f>IFERROR(__xludf.DUMMYFUNCTION("""COMPUTED_VALUE""")," মোছাঃ ভানুয়ারা ")</f>
        <v> মোছাঃ ভানুয়ারা </v>
      </c>
      <c r="G77" s="10" t="str">
        <f>IFERROR(__xludf.DUMMYFUNCTION("""COMPUTED_VALUE""")," ১৪/০৭/১৯৬৯ ")</f>
        <v> ১৪/০৭/১৯৬৯ </v>
      </c>
      <c r="H77" s="10" t="str">
        <f>IFERROR(__xludf.DUMMYFUNCTION("""COMPUTED_VALUE""")," গৃহিনী ")</f>
        <v> গৃহিনী </v>
      </c>
      <c r="I77" s="10" t="str">
        <f>IFERROR(__xludf.DUMMYFUNCTION("""COMPUTED_VALUE""")," জালতকা, গাংনী, মেহেরপুর ")</f>
        <v> জালতকা, গাংনী, মেহেরপুর </v>
      </c>
    </row>
    <row r="78">
      <c r="A78" s="9" t="s">
        <v>2786</v>
      </c>
      <c r="B78" s="10">
        <f>IFERROR(__xludf.DUMMYFUNCTION("SPLIT(A78,""|"")"),73.0)</f>
        <v>73</v>
      </c>
      <c r="C78" s="10" t="str">
        <f>IFERROR(__xludf.DUMMYFUNCTION("""COMPUTED_VALUE""")," মোছাঃ ঝর্না খাতুন ")</f>
        <v> মোছাঃ ঝর্না খাতুন </v>
      </c>
      <c r="D78" s="10">
        <f>IFERROR(__xludf.DUMMYFUNCTION("""COMPUTED_VALUE"""),5.70556377359E11)</f>
        <v>570556377359</v>
      </c>
      <c r="E78" s="10" t="str">
        <f>IFERROR(__xludf.DUMMYFUNCTION("""COMPUTED_VALUE""")," মোঃ হায়াত আলী ")</f>
        <v> মোঃ হায়াত আলী </v>
      </c>
      <c r="F78" s="10" t="str">
        <f>IFERROR(__xludf.DUMMYFUNCTION("""COMPUTED_VALUE""")," মোছাঃ আসমারা ")</f>
        <v> মোছাঃ আসমারা </v>
      </c>
      <c r="G78" s="10" t="str">
        <f>IFERROR(__xludf.DUMMYFUNCTION("""COMPUTED_VALUE""")," ২৭/০৫/১৯৮৩ ")</f>
        <v> ২৭/০৫/১৯৮৩ </v>
      </c>
      <c r="H78" s="10" t="str">
        <f>IFERROR(__xludf.DUMMYFUNCTION("""COMPUTED_VALUE""")," গৃহিনী ")</f>
        <v> গৃহিনী </v>
      </c>
      <c r="I78" s="10" t="str">
        <f>IFERROR(__xludf.DUMMYFUNCTION("""COMPUTED_VALUE""")," জালতকা, গাংনী, মেহেরপুর ")</f>
        <v> জালতকা, গাংনী, মেহেরপুর </v>
      </c>
    </row>
    <row r="79">
      <c r="A79" s="9" t="s">
        <v>2787</v>
      </c>
      <c r="B79" s="10">
        <f>IFERROR(__xludf.DUMMYFUNCTION("SPLIT(A79,""|"")"),74.0)</f>
        <v>74</v>
      </c>
      <c r="C79" s="10" t="str">
        <f>IFERROR(__xludf.DUMMYFUNCTION("""COMPUTED_VALUE""")," মোছাঃ আমেনা খাতুন ")</f>
        <v> মোছাঃ আমেনা খাতুন </v>
      </c>
      <c r="D79" s="10">
        <f>IFERROR(__xludf.DUMMYFUNCTION("""COMPUTED_VALUE"""),5.70556377362E11)</f>
        <v>570556377362</v>
      </c>
      <c r="E79" s="10" t="str">
        <f>IFERROR(__xludf.DUMMYFUNCTION("""COMPUTED_VALUE""")," মোঃ আবু তালেব ")</f>
        <v> মোঃ আবু তালেব </v>
      </c>
      <c r="F79" s="10" t="str">
        <f>IFERROR(__xludf.DUMMYFUNCTION("""COMPUTED_VALUE""")," মোছাঃ ছবিরন নেছা ")</f>
        <v> মোছাঃ ছবিরন নেছা </v>
      </c>
      <c r="G79" s="10" t="str">
        <f>IFERROR(__xludf.DUMMYFUNCTION("""COMPUTED_VALUE""")," ১২/০৬/১৯৬৭ ")</f>
        <v> ১২/০৬/১৯৬৭ </v>
      </c>
      <c r="H79" s="10" t="str">
        <f>IFERROR(__xludf.DUMMYFUNCTION("""COMPUTED_VALUE""")," গৃহিনী ")</f>
        <v> গৃহিনী </v>
      </c>
      <c r="I79" s="10" t="str">
        <f>IFERROR(__xludf.DUMMYFUNCTION("""COMPUTED_VALUE""")," জালতকা, গাংনী, মেহেরপুর ")</f>
        <v> জালতকা, গাংনী, মেহেরপুর </v>
      </c>
    </row>
    <row r="80">
      <c r="A80" s="9" t="s">
        <v>2788</v>
      </c>
      <c r="B80" s="10">
        <f>IFERROR(__xludf.DUMMYFUNCTION("SPLIT(A80,""|"")"),75.0)</f>
        <v>75</v>
      </c>
      <c r="C80" s="10" t="str">
        <f>IFERROR(__xludf.DUMMYFUNCTION("""COMPUTED_VALUE""")," মোছাঃ ফিরোজা খাতুন ")</f>
        <v> মোছাঃ ফিরোজা খাতুন </v>
      </c>
      <c r="D80" s="10">
        <f>IFERROR(__xludf.DUMMYFUNCTION("""COMPUTED_VALUE"""),5.70556377363E11)</f>
        <v>570556377363</v>
      </c>
      <c r="E80" s="10" t="str">
        <f>IFERROR(__xludf.DUMMYFUNCTION("""COMPUTED_VALUE""")," আজিজুল হক ")</f>
        <v> আজিজুল হক </v>
      </c>
      <c r="F80" s="10" t="str">
        <f>IFERROR(__xludf.DUMMYFUNCTION("""COMPUTED_VALUE""")," মোছাঃ খাইরন নেছা ")</f>
        <v> মোছাঃ খাইরন নেছা </v>
      </c>
      <c r="G80" s="10" t="str">
        <f>IFERROR(__xludf.DUMMYFUNCTION("""COMPUTED_VALUE""")," ২২/০৩/১৯৮২ ")</f>
        <v> ২২/০৩/১৯৮২ </v>
      </c>
      <c r="H80" s="10" t="str">
        <f>IFERROR(__xludf.DUMMYFUNCTION("""COMPUTED_VALUE""")," গৃহিনী ")</f>
        <v> গৃহিনী </v>
      </c>
      <c r="I80" s="10" t="str">
        <f>IFERROR(__xludf.DUMMYFUNCTION("""COMPUTED_VALUE""")," জালতকা, গাংনী, মেহেরপুর ")</f>
        <v> জালতকা, গাংনী, মেহেরপুর </v>
      </c>
    </row>
    <row r="81">
      <c r="A81" s="9" t="s">
        <v>2789</v>
      </c>
      <c r="B81" s="10">
        <f>IFERROR(__xludf.DUMMYFUNCTION("SPLIT(A81,""|"")"),76.0)</f>
        <v>76</v>
      </c>
      <c r="C81" s="10" t="str">
        <f>IFERROR(__xludf.DUMMYFUNCTION("""COMPUTED_VALUE""")," মোছাঃ শাহানারা খাতুন ")</f>
        <v> মোছাঃ শাহানারা খাতুন </v>
      </c>
      <c r="D81" s="10">
        <f>IFERROR(__xludf.DUMMYFUNCTION("""COMPUTED_VALUE"""),5.70556377365E11)</f>
        <v>570556377365</v>
      </c>
      <c r="E81" s="10" t="str">
        <f>IFERROR(__xludf.DUMMYFUNCTION("""COMPUTED_VALUE""")," মোঃ জামাত আলী ")</f>
        <v> মোঃ জামাত আলী </v>
      </c>
      <c r="F81" s="10" t="str">
        <f>IFERROR(__xludf.DUMMYFUNCTION("""COMPUTED_VALUE""")," মোছাঃ রইমন নেছা ")</f>
        <v> মোছাঃ রইমন নেছা </v>
      </c>
      <c r="G81" s="10" t="str">
        <f>IFERROR(__xludf.DUMMYFUNCTION("""COMPUTED_VALUE""")," ০৯/০৭/১৯৮৮ ")</f>
        <v> ০৯/০৭/১৯৮৮ </v>
      </c>
      <c r="H81" s="10" t="str">
        <f>IFERROR(__xludf.DUMMYFUNCTION("""COMPUTED_VALUE""")," গৃহিনী ")</f>
        <v> গৃহিনী </v>
      </c>
      <c r="I81" s="10" t="str">
        <f>IFERROR(__xludf.DUMMYFUNCTION("""COMPUTED_VALUE""")," জালতকা, গাংনী, মেহেরপুর ")</f>
        <v> জালতকা, গাংনী, মেহেরপুর </v>
      </c>
    </row>
    <row r="82">
      <c r="A82" s="9" t="s">
        <v>2790</v>
      </c>
      <c r="B82" s="10">
        <f>IFERROR(__xludf.DUMMYFUNCTION("SPLIT(A82,""|"")"),77.0)</f>
        <v>77</v>
      </c>
      <c r="C82" s="10" t="str">
        <f>IFERROR(__xludf.DUMMYFUNCTION("""COMPUTED_VALUE""")," মোছাঃ সেলিনা আক্তার ")</f>
        <v> মোছাঃ সেলিনা আক্তার </v>
      </c>
      <c r="D82" s="10">
        <f>IFERROR(__xludf.DUMMYFUNCTION("""COMPUTED_VALUE"""),5.70556377367E11)</f>
        <v>570556377367</v>
      </c>
      <c r="E82" s="10" t="str">
        <f>IFERROR(__xludf.DUMMYFUNCTION("""COMPUTED_VALUE""")," মোঃ রমছদ্দীন মন্ডল ")</f>
        <v> মোঃ রমছদ্দীন মন্ডল </v>
      </c>
      <c r="F82" s="10" t="str">
        <f>IFERROR(__xludf.DUMMYFUNCTION("""COMPUTED_VALUE""")," মোছাঃ আকলিমা বেগম ")</f>
        <v> মোছাঃ আকলিমা বেগম </v>
      </c>
      <c r="G82" s="10" t="str">
        <f>IFERROR(__xludf.DUMMYFUNCTION("""COMPUTED_VALUE""")," ০৬/০১/১৯৮৩ ")</f>
        <v> ০৬/০১/১৯৮৩ </v>
      </c>
      <c r="H82" s="10" t="str">
        <f>IFERROR(__xludf.DUMMYFUNCTION("""COMPUTED_VALUE""")," ছাত্র/ছাত্রী ")</f>
        <v> ছাত্র/ছাত্রী </v>
      </c>
      <c r="I82" s="10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83">
      <c r="A83" s="9" t="s">
        <v>2791</v>
      </c>
      <c r="B83" s="10">
        <f>IFERROR(__xludf.DUMMYFUNCTION("SPLIT(A83,""|"")"),78.0)</f>
        <v>78</v>
      </c>
      <c r="C83" s="10" t="str">
        <f>IFERROR(__xludf.DUMMYFUNCTION("""COMPUTED_VALUE""")," মোছাঃ সাহেদা খাতুন ")</f>
        <v> মোছাঃ সাহেদা খাতুন </v>
      </c>
      <c r="D83" s="10">
        <f>IFERROR(__xludf.DUMMYFUNCTION("""COMPUTED_VALUE"""),5.70556377369E11)</f>
        <v>570556377369</v>
      </c>
      <c r="E83" s="10" t="str">
        <f>IFERROR(__xludf.DUMMYFUNCTION("""COMPUTED_VALUE""")," সাবদাল মন্ডল ")</f>
        <v> সাবদাল মন্ডল </v>
      </c>
      <c r="F83" s="10" t="str">
        <f>IFERROR(__xludf.DUMMYFUNCTION("""COMPUTED_VALUE""")," নূরজাহান ")</f>
        <v> নূরজাহান </v>
      </c>
      <c r="G83" s="10" t="str">
        <f>IFERROR(__xludf.DUMMYFUNCTION("""COMPUTED_VALUE""")," ০৯/১০/১৯৮২ ")</f>
        <v> ০৯/১০/১৯৮২ </v>
      </c>
      <c r="H83" s="10" t="str">
        <f>IFERROR(__xludf.DUMMYFUNCTION("""COMPUTED_VALUE""")," গৃহিনী ")</f>
        <v> গৃহিনী </v>
      </c>
      <c r="I83" s="10" t="str">
        <f>IFERROR(__xludf.DUMMYFUNCTION("""COMPUTED_VALUE""")," জালতকা, গাংনী, মেহেরপুর ")</f>
        <v> জালতকা, গাংনী, মেহেরপুর </v>
      </c>
    </row>
    <row r="84">
      <c r="A84" s="9" t="s">
        <v>2792</v>
      </c>
      <c r="B84" s="10">
        <f>IFERROR(__xludf.DUMMYFUNCTION("SPLIT(A84,""|"")"),79.0)</f>
        <v>79</v>
      </c>
      <c r="C84" s="10" t="str">
        <f>IFERROR(__xludf.DUMMYFUNCTION("""COMPUTED_VALUE""")," মোছাঃ জবেদা খাতুন ")</f>
        <v> মোছাঃ জবেদা খাতুন </v>
      </c>
      <c r="D84" s="10">
        <f>IFERROR(__xludf.DUMMYFUNCTION("""COMPUTED_VALUE"""),5.7055637737E11)</f>
        <v>570556377370</v>
      </c>
      <c r="E84" s="10" t="str">
        <f>IFERROR(__xludf.DUMMYFUNCTION("""COMPUTED_VALUE""")," আইনউদ্দীন ")</f>
        <v> আইনউদ্দীন </v>
      </c>
      <c r="F84" s="10" t="str">
        <f>IFERROR(__xludf.DUMMYFUNCTION("""COMPUTED_VALUE""")," মোছাঃ ছারা খাতুন ")</f>
        <v> মোছাঃ ছারা খাতুন </v>
      </c>
      <c r="G84" s="10" t="str">
        <f>IFERROR(__xludf.DUMMYFUNCTION("""COMPUTED_VALUE""")," ১২/০২/১৯৪৭ ")</f>
        <v> ১২/০২/১৯৪৭ </v>
      </c>
      <c r="H84" s="10" t="str">
        <f>IFERROR(__xludf.DUMMYFUNCTION("""COMPUTED_VALUE""")," গৃহিনী ")</f>
        <v> গৃহিনী </v>
      </c>
      <c r="I84" s="10" t="str">
        <f>IFERROR(__xludf.DUMMYFUNCTION("""COMPUTED_VALUE""")," জালতকা, গাংনী, মেহেরপুর ")</f>
        <v> জালতকা, গাংনী, মেহেরপুর </v>
      </c>
    </row>
    <row r="85">
      <c r="A85" s="9" t="s">
        <v>2793</v>
      </c>
      <c r="B85" s="10">
        <f>IFERROR(__xludf.DUMMYFUNCTION("SPLIT(A85,""|"")"),80.0)</f>
        <v>80</v>
      </c>
      <c r="C85" s="10" t="str">
        <f>IFERROR(__xludf.DUMMYFUNCTION("""COMPUTED_VALUE""")," নামঃ সেলিনা খাতুন ")</f>
        <v> নামঃ সেলিনা খাতুন </v>
      </c>
      <c r="D85" s="10">
        <f>IFERROR(__xludf.DUMMYFUNCTION("""COMPUTED_VALUE"""),5.70556377371E11)</f>
        <v>570556377371</v>
      </c>
      <c r="E85" s="10" t="str">
        <f>IFERROR(__xludf.DUMMYFUNCTION("""COMPUTED_VALUE""")," মোঃ নজরুল ইসলাম ")</f>
        <v> মোঃ নজরুল ইসলাম </v>
      </c>
      <c r="F85" s="10" t="str">
        <f>IFERROR(__xludf.DUMMYFUNCTION("""COMPUTED_VALUE""")," মোছাঃ আরবী খাতুন ")</f>
        <v> মোছাঃ আরবী খাতুন </v>
      </c>
      <c r="G85" s="10" t="str">
        <f>IFERROR(__xludf.DUMMYFUNCTION("""COMPUTED_VALUE""")," ১১/০৪/১৯৭৬ ")</f>
        <v> ১১/০৪/১৯৭৬ </v>
      </c>
      <c r="H85" s="10" t="str">
        <f>IFERROR(__xludf.DUMMYFUNCTION("""COMPUTED_VALUE""")," গৃহিনী ")</f>
        <v> গৃহিনী </v>
      </c>
      <c r="I85" s="10" t="str">
        <f>IFERROR(__xludf.DUMMYFUNCTION("""COMPUTED_VALUE""")," জালতকা, গাংনী, মেহেরপুর ")</f>
        <v> জালতকা, গাংনী, মেহেরপুর </v>
      </c>
    </row>
    <row r="86">
      <c r="A86" s="9" t="s">
        <v>2794</v>
      </c>
      <c r="B86" s="10">
        <f>IFERROR(__xludf.DUMMYFUNCTION("SPLIT(A86,""|"")"),81.0)</f>
        <v>81</v>
      </c>
      <c r="C86" s="10" t="str">
        <f>IFERROR(__xludf.DUMMYFUNCTION("""COMPUTED_VALUE""")," মোছাঃ কাঞ্চন মালা ")</f>
        <v> মোছাঃ কাঞ্চন মালা </v>
      </c>
      <c r="D86" s="10">
        <f>IFERROR(__xludf.DUMMYFUNCTION("""COMPUTED_VALUE"""),5.70556377372E11)</f>
        <v>570556377372</v>
      </c>
      <c r="E86" s="10" t="str">
        <f>IFERROR(__xludf.DUMMYFUNCTION("""COMPUTED_VALUE""")," মোঃ আমিকুল ইসলাম ")</f>
        <v> মোঃ আমিকুল ইসলাম </v>
      </c>
      <c r="F86" s="10" t="str">
        <f>IFERROR(__xludf.DUMMYFUNCTION("""COMPUTED_VALUE""")," মোছাঃ মর্জিনা খাতুন ")</f>
        <v> মোছাঃ মর্জিনা খাতুন </v>
      </c>
      <c r="G86" s="10" t="str">
        <f>IFERROR(__xludf.DUMMYFUNCTION("""COMPUTED_VALUE""")," ১৮/০৫/১৯৮২ ")</f>
        <v> ১৮/০৫/১৯৮২ </v>
      </c>
      <c r="H86" s="10" t="str">
        <f>IFERROR(__xludf.DUMMYFUNCTION("""COMPUTED_VALUE""")," গৃহিনী ")</f>
        <v> গৃহিনী </v>
      </c>
      <c r="I86" s="10" t="str">
        <f>IFERROR(__xludf.DUMMYFUNCTION("""COMPUTED_VALUE""")," জালতকা, গাংনী, মেহেরপুর ")</f>
        <v> জালতকা, গাংনী, মেহেরপুর </v>
      </c>
    </row>
    <row r="87">
      <c r="A87" s="9" t="s">
        <v>2795</v>
      </c>
      <c r="B87" s="10">
        <f>IFERROR(__xludf.DUMMYFUNCTION("SPLIT(A87,""|"")"),82.0)</f>
        <v>82</v>
      </c>
      <c r="C87" s="10" t="str">
        <f>IFERROR(__xludf.DUMMYFUNCTION("""COMPUTED_VALUE""")," মোছাঃ শেফালী খাতুন ")</f>
        <v> মোছাঃ শেফালী খাতুন </v>
      </c>
      <c r="D87" s="10">
        <f>IFERROR(__xludf.DUMMYFUNCTION("""COMPUTED_VALUE"""),5.70556377373E11)</f>
        <v>570556377373</v>
      </c>
      <c r="E87" s="10" t="str">
        <f>IFERROR(__xludf.DUMMYFUNCTION("""COMPUTED_VALUE""")," মোঃ আমজাদ হোসেন ")</f>
        <v> মোঃ আমজাদ হোসেন </v>
      </c>
      <c r="F87" s="10" t="str">
        <f>IFERROR(__xludf.DUMMYFUNCTION("""COMPUTED_VALUE""")," মোছাঃ সাহেদা খাতুন ")</f>
        <v> মোছাঃ সাহেদা খাতুন </v>
      </c>
      <c r="G87" s="10" t="str">
        <f>IFERROR(__xludf.DUMMYFUNCTION("""COMPUTED_VALUE""")," ২২/০৫/১৯৮৬ ")</f>
        <v> ২২/০৫/১৯৮৬ </v>
      </c>
      <c r="H87" s="10" t="str">
        <f>IFERROR(__xludf.DUMMYFUNCTION("""COMPUTED_VALUE""")," গৃহিনী ")</f>
        <v> গৃহিনী </v>
      </c>
      <c r="I87" s="10" t="str">
        <f>IFERROR(__xludf.DUMMYFUNCTION("""COMPUTED_VALUE""")," জালতকা, গাংনী, মেহেরপুর ")</f>
        <v> জালতকা, গাংনী, মেহেরপুর </v>
      </c>
    </row>
    <row r="88">
      <c r="A88" s="9" t="s">
        <v>2796</v>
      </c>
      <c r="B88" s="10">
        <f>IFERROR(__xludf.DUMMYFUNCTION("SPLIT(A88,""|"")"),83.0)</f>
        <v>83</v>
      </c>
      <c r="C88" s="10" t="str">
        <f>IFERROR(__xludf.DUMMYFUNCTION("""COMPUTED_VALUE""")," মোছাঃ রেহেনা খাতুন ")</f>
        <v> মোছাঃ রেহেনা খাতুন </v>
      </c>
      <c r="D88" s="10">
        <f>IFERROR(__xludf.DUMMYFUNCTION("""COMPUTED_VALUE"""),5.70556377376E11)</f>
        <v>570556377376</v>
      </c>
      <c r="E88" s="10" t="str">
        <f>IFERROR(__xludf.DUMMYFUNCTION("""COMPUTED_VALUE""")," মোঃ লোকমান হোসেন ")</f>
        <v> মোঃ লোকমান হোসেন </v>
      </c>
      <c r="F88" s="10" t="str">
        <f>IFERROR(__xludf.DUMMYFUNCTION("""COMPUTED_VALUE""")," মোছাঃ ছবিরন নেছা ")</f>
        <v> মোছাঃ ছবিরন নেছা </v>
      </c>
      <c r="G88" s="10" t="str">
        <f>IFERROR(__xludf.DUMMYFUNCTION("""COMPUTED_VALUE""")," ১৭/০১/১৯৮১ ")</f>
        <v> ১৭/০১/১৯৮১ </v>
      </c>
      <c r="H88" s="10" t="str">
        <f>IFERROR(__xludf.DUMMYFUNCTION("""COMPUTED_VALUE""")," গৃহিনী ")</f>
        <v> গৃহিনী </v>
      </c>
      <c r="I88" s="10" t="str">
        <f>IFERROR(__xludf.DUMMYFUNCTION("""COMPUTED_VALUE""")," জালতকা, গাংনী, মেহেরপুর ")</f>
        <v> জালতকা, গাংনী, মেহেরপুর </v>
      </c>
    </row>
    <row r="89">
      <c r="A89" s="9" t="s">
        <v>2797</v>
      </c>
      <c r="B89" s="10">
        <f>IFERROR(__xludf.DUMMYFUNCTION("SPLIT(A89,""|"")"),84.0)</f>
        <v>84</v>
      </c>
      <c r="C89" s="10" t="str">
        <f>IFERROR(__xludf.DUMMYFUNCTION("""COMPUTED_VALUE""")," মোছাঃ বিউটি খাতুন ")</f>
        <v> মোছাঃ বিউটি খাতুন </v>
      </c>
      <c r="D89" s="10">
        <f>IFERROR(__xludf.DUMMYFUNCTION("""COMPUTED_VALUE"""),5.70556377379E11)</f>
        <v>570556377379</v>
      </c>
      <c r="E89" s="10" t="str">
        <f>IFERROR(__xludf.DUMMYFUNCTION("""COMPUTED_VALUE""")," মোঃ শফিরদ্দিন ")</f>
        <v> মোঃ শফিরদ্দিন </v>
      </c>
      <c r="F89" s="10" t="str">
        <f>IFERROR(__xludf.DUMMYFUNCTION("""COMPUTED_VALUE""")," মোছাঃ নুরজাহান ")</f>
        <v> মোছাঃ নুরজাহান </v>
      </c>
      <c r="G89" s="10" t="str">
        <f>IFERROR(__xludf.DUMMYFUNCTION("""COMPUTED_VALUE""")," ১৭/১০/১৯৮২ ")</f>
        <v> ১৭/১০/১৯৮২ </v>
      </c>
      <c r="H89" s="10" t="str">
        <f>IFERROR(__xludf.DUMMYFUNCTION("""COMPUTED_VALUE""")," গৃহিনী ")</f>
        <v> গৃহিনী </v>
      </c>
      <c r="I89" s="10" t="str">
        <f>IFERROR(__xludf.DUMMYFUNCTION("""COMPUTED_VALUE""")," জালতকা, গাংনী, মেহেরপুর ")</f>
        <v> জালতকা, গাংনী, মেহেরপুর </v>
      </c>
    </row>
    <row r="90">
      <c r="A90" s="9" t="s">
        <v>2798</v>
      </c>
      <c r="B90" s="10">
        <f>IFERROR(__xludf.DUMMYFUNCTION("SPLIT(A90,""|"")"),85.0)</f>
        <v>85</v>
      </c>
      <c r="C90" s="10" t="str">
        <f>IFERROR(__xludf.DUMMYFUNCTION("""COMPUTED_VALUE""")," মোছাঃ আদুরি খাতুন ")</f>
        <v> মোছাঃ আদুরি খাতুন </v>
      </c>
      <c r="D90" s="10">
        <f>IFERROR(__xludf.DUMMYFUNCTION("""COMPUTED_VALUE"""),5.7055637738E11)</f>
        <v>570556377380</v>
      </c>
      <c r="E90" s="10" t="str">
        <f>IFERROR(__xludf.DUMMYFUNCTION("""COMPUTED_VALUE""")," কাষ্ঠি মালিথা ")</f>
        <v> কাষ্ঠি মালিথা </v>
      </c>
      <c r="F90" s="10" t="str">
        <f>IFERROR(__xludf.DUMMYFUNCTION("""COMPUTED_VALUE""")," মোছাঃ ফেলি খাতুন ")</f>
        <v> মোছাঃ ফেলি খাতুন </v>
      </c>
      <c r="G90" s="10" t="str">
        <f>IFERROR(__xludf.DUMMYFUNCTION("""COMPUTED_VALUE""")," ২৬/০৩/১৯৬৭ ")</f>
        <v> ২৬/০৩/১৯৬৭ </v>
      </c>
      <c r="H90" s="10" t="str">
        <f>IFERROR(__xludf.DUMMYFUNCTION("""COMPUTED_VALUE""")," গৃহিনী ")</f>
        <v> গৃহিনী </v>
      </c>
      <c r="I90" s="10" t="str">
        <f>IFERROR(__xludf.DUMMYFUNCTION("""COMPUTED_VALUE""")," জালতকা, গাংনী, মেহেরপুর ")</f>
        <v> জালতকা, গাংনী, মেহেরপুর </v>
      </c>
    </row>
    <row r="91">
      <c r="A91" s="9" t="s">
        <v>2799</v>
      </c>
      <c r="B91" s="10">
        <f>IFERROR(__xludf.DUMMYFUNCTION("SPLIT(A91,""|"")"),86.0)</f>
        <v>86</v>
      </c>
      <c r="C91" s="10" t="str">
        <f>IFERROR(__xludf.DUMMYFUNCTION("""COMPUTED_VALUE""")," মোছাঃ আজমিয়ারা খাতুন ")</f>
        <v> মোছাঃ আজমিয়ারা খাতুন </v>
      </c>
      <c r="D91" s="10">
        <f>IFERROR(__xludf.DUMMYFUNCTION("""COMPUTED_VALUE"""),5.70556377382E11)</f>
        <v>570556377382</v>
      </c>
      <c r="E91" s="10" t="str">
        <f>IFERROR(__xludf.DUMMYFUNCTION("""COMPUTED_VALUE""")," দিদার বিশ্বাস ")</f>
        <v> দিদার বিশ্বাস </v>
      </c>
      <c r="F91" s="10" t="str">
        <f>IFERROR(__xludf.DUMMYFUNCTION("""COMPUTED_VALUE""")," মোছাঃ নহিমা নেছা ")</f>
        <v> মোছাঃ নহিমা নেছা </v>
      </c>
      <c r="G91" s="10" t="str">
        <f>IFERROR(__xludf.DUMMYFUNCTION("""COMPUTED_VALUE""")," ১৪/০৫/১৯৭৭ ")</f>
        <v> ১৪/০৫/১৯৭৭ </v>
      </c>
      <c r="H91" s="10" t="str">
        <f>IFERROR(__xludf.DUMMYFUNCTION("""COMPUTED_VALUE""")," গৃহিনী ")</f>
        <v> গৃহিনী </v>
      </c>
      <c r="I91" s="10" t="str">
        <f>IFERROR(__xludf.DUMMYFUNCTION("""COMPUTED_VALUE""")," জালতকা, গাংনী, মেহেরপুর ")</f>
        <v> জালতকা, গাংনী, মেহেরপুর </v>
      </c>
    </row>
    <row r="92">
      <c r="A92" s="9" t="s">
        <v>2800</v>
      </c>
      <c r="B92" s="10">
        <f>IFERROR(__xludf.DUMMYFUNCTION("SPLIT(A92,""|"")"),87.0)</f>
        <v>87</v>
      </c>
      <c r="C92" s="10" t="str">
        <f>IFERROR(__xludf.DUMMYFUNCTION("""COMPUTED_VALUE""")," মোছাঃ কুলছুম নাহার ")</f>
        <v> মোছাঃ কুলছুম নাহার </v>
      </c>
      <c r="D92" s="10">
        <f>IFERROR(__xludf.DUMMYFUNCTION("""COMPUTED_VALUE"""),5.70556377385E11)</f>
        <v>570556377385</v>
      </c>
      <c r="E92" s="10" t="str">
        <f>IFERROR(__xludf.DUMMYFUNCTION("""COMPUTED_VALUE""")," মোঃ বসির উদ্দীন ")</f>
        <v> মোঃ বসির উদ্দীন </v>
      </c>
      <c r="F92" s="10" t="str">
        <f>IFERROR(__xludf.DUMMYFUNCTION("""COMPUTED_VALUE""")," মোছাঃ জাহানারা ")</f>
        <v> মোছাঃ জাহানারা </v>
      </c>
      <c r="G92" s="10" t="str">
        <f>IFERROR(__xludf.DUMMYFUNCTION("""COMPUTED_VALUE""")," ১৪/১০/১৯৭৭ ")</f>
        <v> ১৪/১০/১৯৭৭ </v>
      </c>
      <c r="H92" s="10" t="str">
        <f>IFERROR(__xludf.DUMMYFUNCTION("""COMPUTED_VALUE""")," গৃহিনী ")</f>
        <v> গৃহিনী </v>
      </c>
      <c r="I92" s="10" t="str">
        <f>IFERROR(__xludf.DUMMYFUNCTION("""COMPUTED_VALUE""")," জালতকা, গাংনী, মেহেরপুর ")</f>
        <v> জালতকা, গাংনী, মেহেরপুর </v>
      </c>
    </row>
    <row r="93">
      <c r="A93" s="9" t="s">
        <v>2801</v>
      </c>
      <c r="B93" s="10">
        <f>IFERROR(__xludf.DUMMYFUNCTION("SPLIT(A93,""|"")"),88.0)</f>
        <v>88</v>
      </c>
      <c r="C93" s="10" t="str">
        <f>IFERROR(__xludf.DUMMYFUNCTION("""COMPUTED_VALUE""")," মোছাঃ রংফুল খাতুন ")</f>
        <v> মোছাঃ রংফুল খাতুন </v>
      </c>
      <c r="D93" s="10">
        <f>IFERROR(__xludf.DUMMYFUNCTION("""COMPUTED_VALUE"""),5.70556377369E11)</f>
        <v>570556377369</v>
      </c>
      <c r="E93" s="10" t="str">
        <f>IFERROR(__xludf.DUMMYFUNCTION("""COMPUTED_VALUE""")," মোঃ রফিকুল ইসলাম ")</f>
        <v> মোঃ রফিকুল ইসলাম </v>
      </c>
      <c r="F93" s="10" t="str">
        <f>IFERROR(__xludf.DUMMYFUNCTION("""COMPUTED_VALUE""")," মোছাঃ হাসেনা খাতুন ")</f>
        <v> মোছাঃ হাসেনা খাতুন </v>
      </c>
      <c r="G93" s="10" t="str">
        <f>IFERROR(__xludf.DUMMYFUNCTION("""COMPUTED_VALUE""")," ০১/০১/১৯৮২ ")</f>
        <v> ০১/০১/১৯৮২ </v>
      </c>
      <c r="H93" s="10" t="str">
        <f>IFERROR(__xludf.DUMMYFUNCTION("""COMPUTED_VALUE""")," গৃহিনী ")</f>
        <v> গৃহিনী </v>
      </c>
      <c r="I93" s="10" t="str">
        <f>IFERROR(__xludf.DUMMYFUNCTION("""COMPUTED_VALUE""")," জালতকা, গাংনী, মেহেরপুর ")</f>
        <v> জালতকা, গাংনী, মেহেরপুর </v>
      </c>
    </row>
    <row r="94">
      <c r="A94" s="9" t="s">
        <v>2802</v>
      </c>
      <c r="B94" s="10">
        <f>IFERROR(__xludf.DUMMYFUNCTION("SPLIT(A94,""|"")"),89.0)</f>
        <v>89</v>
      </c>
      <c r="C94" s="10" t="str">
        <f>IFERROR(__xludf.DUMMYFUNCTION("""COMPUTED_VALUE""")," মোছাঃ মেহেরনিগার ")</f>
        <v> মোছাঃ মেহেরনিগার </v>
      </c>
      <c r="D94" s="10">
        <f>IFERROR(__xludf.DUMMYFUNCTION("""COMPUTED_VALUE"""),5.7055637739E11)</f>
        <v>570556377390</v>
      </c>
      <c r="E94" s="10" t="str">
        <f>IFERROR(__xludf.DUMMYFUNCTION("""COMPUTED_VALUE""")," মোঃ ফজলুল হক ")</f>
        <v> মোঃ ফজলুল হক </v>
      </c>
      <c r="F94" s="10" t="str">
        <f>IFERROR(__xludf.DUMMYFUNCTION("""COMPUTED_VALUE""")," মোছাঃ কবেদ খাতুন ")</f>
        <v> মোছাঃ কবেদ খাতুন </v>
      </c>
      <c r="G94" s="10" t="str">
        <f>IFERROR(__xludf.DUMMYFUNCTION("""COMPUTED_VALUE""")," ০৬/১০/১৯৭২ ")</f>
        <v> ০৬/১০/১৯৭২ </v>
      </c>
      <c r="H94" s="10" t="str">
        <f>IFERROR(__xludf.DUMMYFUNCTION("""COMPUTED_VALUE""")," গৃহিনী ")</f>
        <v> গৃহিনী </v>
      </c>
      <c r="I94" s="10" t="str">
        <f>IFERROR(__xludf.DUMMYFUNCTION("""COMPUTED_VALUE""")," জালতকা, গাংনী, মেহেরপুর ")</f>
        <v> জালতকা, গাংনী, মেহেরপুর </v>
      </c>
    </row>
    <row r="95">
      <c r="A95" s="9" t="s">
        <v>2803</v>
      </c>
      <c r="B95" s="10">
        <f>IFERROR(__xludf.DUMMYFUNCTION("SPLIT(A95,""|"")"),90.0)</f>
        <v>90</v>
      </c>
      <c r="C95" s="10" t="str">
        <f>IFERROR(__xludf.DUMMYFUNCTION("""COMPUTED_VALUE""")," মোছাঃ হোসনেয়ারা বেগম ")</f>
        <v> মোছাঃ হোসনেয়ারা বেগম </v>
      </c>
      <c r="D95" s="10">
        <f>IFERROR(__xludf.DUMMYFUNCTION("""COMPUTED_VALUE"""),5.70556377391E11)</f>
        <v>570556377391</v>
      </c>
      <c r="E95" s="10" t="str">
        <f>IFERROR(__xludf.DUMMYFUNCTION("""COMPUTED_VALUE""")," মোঃ ফজলুল হক ")</f>
        <v> মোঃ ফজলুল হক </v>
      </c>
      <c r="F95" s="10" t="str">
        <f>IFERROR(__xludf.DUMMYFUNCTION("""COMPUTED_VALUE""")," মোছাঃ জবেদা খাতুন ")</f>
        <v> মোছাঃ জবেদা খাতুন </v>
      </c>
      <c r="G95" s="10" t="str">
        <f>IFERROR(__xludf.DUMMYFUNCTION("""COMPUTED_VALUE""")," ১৬/১১/১৯৭৭ ")</f>
        <v> ১৬/১১/১৯৭৭ </v>
      </c>
      <c r="H95" s="10" t="str">
        <f>IFERROR(__xludf.DUMMYFUNCTION("""COMPUTED_VALUE""")," গৃহিনী ")</f>
        <v> গৃহিনী </v>
      </c>
      <c r="I95" s="10" t="str">
        <f>IFERROR(__xludf.DUMMYFUNCTION("""COMPUTED_VALUE""")," জালতকা, গাংনী, মেহেরপুর ")</f>
        <v> জালতকা, গাংনী, মেহেরপুর </v>
      </c>
    </row>
    <row r="96">
      <c r="A96" s="9" t="s">
        <v>2804</v>
      </c>
      <c r="B96" s="10">
        <f>IFERROR(__xludf.DUMMYFUNCTION("SPLIT(A96,""|"")"),91.0)</f>
        <v>91</v>
      </c>
      <c r="C96" s="10" t="str">
        <f>IFERROR(__xludf.DUMMYFUNCTION("""COMPUTED_VALUE""")," মোছাঃ রেহেনা খাতুন ")</f>
        <v> মোছাঃ রেহেনা খাতুন </v>
      </c>
      <c r="D96" s="10">
        <f>IFERROR(__xludf.DUMMYFUNCTION("""COMPUTED_VALUE"""),5.70556377392E11)</f>
        <v>570556377392</v>
      </c>
      <c r="E96" s="10" t="str">
        <f>IFERROR(__xludf.DUMMYFUNCTION("""COMPUTED_VALUE""")," মোঃ মুনসুর আলী ")</f>
        <v> মোঃ মুনসুর আলী </v>
      </c>
      <c r="F96" s="10" t="str">
        <f>IFERROR(__xludf.DUMMYFUNCTION("""COMPUTED_VALUE""")," মোছাঃ নুরজাহান ")</f>
        <v> মোছাঃ নুরজাহান </v>
      </c>
      <c r="G96" s="10" t="str">
        <f>IFERROR(__xludf.DUMMYFUNCTION("""COMPUTED_VALUE""")," ০৬/১২/১৯৮০ ")</f>
        <v> ০৬/১২/১৯৮০ </v>
      </c>
      <c r="H96" s="10" t="str">
        <f>IFERROR(__xludf.DUMMYFUNCTION("""COMPUTED_VALUE""")," গৃহিনী ")</f>
        <v> গৃহিনী </v>
      </c>
      <c r="I96" s="10" t="str">
        <f>IFERROR(__xludf.DUMMYFUNCTION("""COMPUTED_VALUE""")," জালতকা, গাংনী, মেহেরপুর ")</f>
        <v> জালতকা, গাংনী, মেহেরপুর </v>
      </c>
    </row>
    <row r="97">
      <c r="A97" s="9" t="s">
        <v>2805</v>
      </c>
      <c r="B97" s="10">
        <f>IFERROR(__xludf.DUMMYFUNCTION("SPLIT(A97,""|"")"),92.0)</f>
        <v>92</v>
      </c>
      <c r="C97" s="10" t="str">
        <f>IFERROR(__xludf.DUMMYFUNCTION("""COMPUTED_VALUE""")," মোছাঃ ছাবিনা খাতুন ")</f>
        <v> মোছাঃ ছাবিনা খাতুন </v>
      </c>
      <c r="D97" s="10">
        <f>IFERROR(__xludf.DUMMYFUNCTION("""COMPUTED_VALUE"""),5.70556377393E11)</f>
        <v>570556377393</v>
      </c>
      <c r="E97" s="10" t="str">
        <f>IFERROR(__xludf.DUMMYFUNCTION("""COMPUTED_VALUE""")," মোঃ ছাদের আলী ")</f>
        <v> মোঃ ছাদের আলী </v>
      </c>
      <c r="F97" s="10" t="str">
        <f>IFERROR(__xludf.DUMMYFUNCTION("""COMPUTED_VALUE""")," মোছাঃ শাহানারা ")</f>
        <v> মোছাঃ শাহানারা </v>
      </c>
      <c r="G97" s="10" t="str">
        <f>IFERROR(__xludf.DUMMYFUNCTION("""COMPUTED_VALUE""")," ০৮/১০/১৯৮৫ ")</f>
        <v> ০৮/১০/১৯৮৫ </v>
      </c>
      <c r="H97" s="10" t="str">
        <f>IFERROR(__xludf.DUMMYFUNCTION("""COMPUTED_VALUE""")," গৃহিনী ")</f>
        <v> গৃহিনী </v>
      </c>
      <c r="I97" s="10" t="str">
        <f>IFERROR(__xludf.DUMMYFUNCTION("""COMPUTED_VALUE""")," জালতকা, গাংনী, মেহেরপুর ")</f>
        <v> জালতকা, গাংনী, মেহেরপুর </v>
      </c>
    </row>
    <row r="98">
      <c r="A98" s="9" t="s">
        <v>2806</v>
      </c>
      <c r="B98" s="10">
        <f>IFERROR(__xludf.DUMMYFUNCTION("SPLIT(A98,""|"")"),93.0)</f>
        <v>93</v>
      </c>
      <c r="C98" s="10" t="str">
        <f>IFERROR(__xludf.DUMMYFUNCTION("""COMPUTED_VALUE""")," মোছাঃ আবেদা খাতুন ")</f>
        <v> মোছাঃ আবেদা খাতুন </v>
      </c>
      <c r="D98" s="10">
        <f>IFERROR(__xludf.DUMMYFUNCTION("""COMPUTED_VALUE"""),5.70556377394E11)</f>
        <v>570556377394</v>
      </c>
      <c r="E98" s="10" t="str">
        <f>IFERROR(__xludf.DUMMYFUNCTION("""COMPUTED_VALUE""")," মোঃ আবুল হোসেন ")</f>
        <v> মোঃ আবুল হোসেন </v>
      </c>
      <c r="F98" s="10" t="str">
        <f>IFERROR(__xludf.DUMMYFUNCTION("""COMPUTED_VALUE""")," মোছাঃ ফরিদা খাতুন ")</f>
        <v> মোছাঃ ফরিদা খাতুন </v>
      </c>
      <c r="G98" s="10" t="str">
        <f>IFERROR(__xludf.DUMMYFUNCTION("""COMPUTED_VALUE""")," ১২/০৪/১৯৮১ ")</f>
        <v> ১২/০৪/১৯৮১ </v>
      </c>
      <c r="H98" s="10" t="str">
        <f>IFERROR(__xludf.DUMMYFUNCTION("""COMPUTED_VALUE""")," গৃহিনী ")</f>
        <v> গৃহিনী </v>
      </c>
      <c r="I98" s="10" t="str">
        <f>IFERROR(__xludf.DUMMYFUNCTION("""COMPUTED_VALUE""")," জালতকা, গাংনী, মেহেরপুর ")</f>
        <v> জালতকা, গাংনী, মেহেরপুর </v>
      </c>
    </row>
    <row r="99">
      <c r="A99" s="9" t="s">
        <v>2807</v>
      </c>
      <c r="B99" s="10">
        <f>IFERROR(__xludf.DUMMYFUNCTION("SPLIT(A99,""|"")"),94.0)</f>
        <v>94</v>
      </c>
      <c r="C99" s="10" t="str">
        <f>IFERROR(__xludf.DUMMYFUNCTION("""COMPUTED_VALUE""")," মোছাঃ পারিছা খাতুন ")</f>
        <v> মোছাঃ পারিছা খাতুন </v>
      </c>
      <c r="D99" s="10">
        <f>IFERROR(__xludf.DUMMYFUNCTION("""COMPUTED_VALUE"""),5.70556377397E11)</f>
        <v>570556377397</v>
      </c>
      <c r="E99" s="10" t="str">
        <f>IFERROR(__xludf.DUMMYFUNCTION("""COMPUTED_VALUE""")," মোঃ আবুল কাশেম ")</f>
        <v> মোঃ আবুল কাশেম </v>
      </c>
      <c r="F99" s="10" t="str">
        <f>IFERROR(__xludf.DUMMYFUNCTION("""COMPUTED_VALUE""")," মোছাঃ মনোয়ারা খাতুন ")</f>
        <v> মোছাঃ মনোয়ারা খাতুন </v>
      </c>
      <c r="G99" s="10" t="str">
        <f>IFERROR(__xludf.DUMMYFUNCTION("""COMPUTED_VALUE""")," ০১/১০/১৯৮৩ ")</f>
        <v> ০১/১০/১৯৮৩ </v>
      </c>
      <c r="H99" s="10" t="str">
        <f>IFERROR(__xludf.DUMMYFUNCTION("""COMPUTED_VALUE""")," গৃহিনী ")</f>
        <v> গৃহিনী </v>
      </c>
      <c r="I99" s="10" t="str">
        <f>IFERROR(__xludf.DUMMYFUNCTION("""COMPUTED_VALUE""")," জালতকা, গাংনী, মেহেরপুর ")</f>
        <v> জালতকা, গাংনী, মেহেরপুর </v>
      </c>
    </row>
    <row r="100">
      <c r="A100" s="9" t="s">
        <v>2808</v>
      </c>
      <c r="B100" s="10">
        <f>IFERROR(__xludf.DUMMYFUNCTION("SPLIT(A100,""|"")"),95.0)</f>
        <v>95</v>
      </c>
      <c r="C100" s="10" t="str">
        <f>IFERROR(__xludf.DUMMYFUNCTION("""COMPUTED_VALUE""")," মোছাঃ মোমেনা খাতুন ")</f>
        <v> মোছাঃ মোমেনা খাতুন </v>
      </c>
      <c r="D100" s="10">
        <f>IFERROR(__xludf.DUMMYFUNCTION("""COMPUTED_VALUE"""),5.70556377408E11)</f>
        <v>570556377408</v>
      </c>
      <c r="E100" s="10" t="str">
        <f>IFERROR(__xludf.DUMMYFUNCTION("""COMPUTED_VALUE""")," মোঃ মিরাজ আলী ")</f>
        <v> মোঃ মিরাজ আলী </v>
      </c>
      <c r="F100" s="10" t="str">
        <f>IFERROR(__xludf.DUMMYFUNCTION("""COMPUTED_VALUE""")," মোছাঃ সালেহার বেগম ")</f>
        <v> মোছাঃ সালেহার বেগম </v>
      </c>
      <c r="G100" s="10" t="str">
        <f>IFERROR(__xludf.DUMMYFUNCTION("""COMPUTED_VALUE""")," ১০/০৯/১৯৮৩ ")</f>
        <v> ১০/০৯/১৯৮৩ </v>
      </c>
      <c r="H100" s="10" t="str">
        <f>IFERROR(__xludf.DUMMYFUNCTION("""COMPUTED_VALUE""")," গৃহিনী ")</f>
        <v> গৃহিনী </v>
      </c>
      <c r="I100" s="10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101">
      <c r="A101" s="9" t="s">
        <v>2809</v>
      </c>
      <c r="B101" s="10">
        <f>IFERROR(__xludf.DUMMYFUNCTION("SPLIT(A101,""|"")"),96.0)</f>
        <v>96</v>
      </c>
      <c r="C101" s="10" t="str">
        <f>IFERROR(__xludf.DUMMYFUNCTION("""COMPUTED_VALUE""")," মোছাঃ জুলেখা খাতুন ")</f>
        <v> মোছাঃ জুলেখা খাতুন </v>
      </c>
      <c r="D101" s="10">
        <f>IFERROR(__xludf.DUMMYFUNCTION("""COMPUTED_VALUE"""),5.70556377411E11)</f>
        <v>570556377411</v>
      </c>
      <c r="E101" s="10" t="str">
        <f>IFERROR(__xludf.DUMMYFUNCTION("""COMPUTED_VALUE""")," মোঃ আঃ জব্বার ")</f>
        <v> মোঃ আঃ জব্বার </v>
      </c>
      <c r="F101" s="10" t="str">
        <f>IFERROR(__xludf.DUMMYFUNCTION("""COMPUTED_VALUE""")," মোছাঃ সুরাতন ")</f>
        <v> মোছাঃ সুরাতন </v>
      </c>
      <c r="G101" s="10" t="str">
        <f>IFERROR(__xludf.DUMMYFUNCTION("""COMPUTED_VALUE""")," ১০/১০/১৯৮৪ ")</f>
        <v> ১০/১০/১৯৮৪ </v>
      </c>
      <c r="H101" s="10" t="str">
        <f>IFERROR(__xludf.DUMMYFUNCTION("""COMPUTED_VALUE""")," গৃহিনী ")</f>
        <v> গৃহিনী </v>
      </c>
      <c r="I101" s="10" t="str">
        <f>IFERROR(__xludf.DUMMYFUNCTION("""COMPUTED_VALUE""")," জালতকা, গাংনী, মেহেরপুর ")</f>
        <v> জালতকা, গাংনী, মেহেরপুর </v>
      </c>
    </row>
    <row r="102">
      <c r="A102" s="9" t="s">
        <v>2810</v>
      </c>
      <c r="B102" s="10">
        <f>IFERROR(__xludf.DUMMYFUNCTION("SPLIT(A102,""|"")"),97.0)</f>
        <v>97</v>
      </c>
      <c r="C102" s="10" t="str">
        <f>IFERROR(__xludf.DUMMYFUNCTION("""COMPUTED_VALUE""")," মোছাঃ সাবিনা ইয়াসমিন ")</f>
        <v> মোছাঃ সাবিনা ইয়াসমিন </v>
      </c>
      <c r="D102" s="10">
        <f>IFERROR(__xludf.DUMMYFUNCTION("""COMPUTED_VALUE"""),5.70556377415E11)</f>
        <v>570556377415</v>
      </c>
      <c r="E102" s="10" t="str">
        <f>IFERROR(__xludf.DUMMYFUNCTION("""COMPUTED_VALUE""")," মোঃ শাহাদৎ মন্ডল ")</f>
        <v> মোঃ শাহাদৎ মন্ডল </v>
      </c>
      <c r="F102" s="10" t="str">
        <f>IFERROR(__xludf.DUMMYFUNCTION("""COMPUTED_VALUE""")," মোছাঃ পানছুরাতন ")</f>
        <v> মোছাঃ পানছুরাতন </v>
      </c>
      <c r="G102" s="10" t="str">
        <f>IFERROR(__xludf.DUMMYFUNCTION("""COMPUTED_VALUE""")," ০১/০১/১৯৮৭ ")</f>
        <v> ০১/০১/১৯৮৭ </v>
      </c>
      <c r="H102" s="10" t="str">
        <f>IFERROR(__xludf.DUMMYFUNCTION("""COMPUTED_VALUE""")," ছাত্র/ছাত্রী ")</f>
        <v> ছাত্র/ছাত্রী </v>
      </c>
      <c r="I102" s="10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103">
      <c r="A103" s="9" t="s">
        <v>2811</v>
      </c>
      <c r="B103" s="10">
        <f>IFERROR(__xludf.DUMMYFUNCTION("SPLIT(A103,""|"")"),98.0)</f>
        <v>98</v>
      </c>
      <c r="C103" s="10" t="str">
        <f>IFERROR(__xludf.DUMMYFUNCTION("""COMPUTED_VALUE""")," মোছাঃ রোকসোনা খাতুন ")</f>
        <v> মোছাঃ রোকসোনা খাতুন </v>
      </c>
      <c r="D103" s="10">
        <f>IFERROR(__xludf.DUMMYFUNCTION("""COMPUTED_VALUE"""),5.70556377417E11)</f>
        <v>570556377417</v>
      </c>
      <c r="E103" s="10" t="str">
        <f>IFERROR(__xludf.DUMMYFUNCTION("""COMPUTED_VALUE""")," আশরাফ আলী ")</f>
        <v> আশরাফ আলী </v>
      </c>
      <c r="F103" s="10" t="str">
        <f>IFERROR(__xludf.DUMMYFUNCTION("""COMPUTED_VALUE""")," মোছাঃ জাহানারা ")</f>
        <v> মোছাঃ জাহানারা </v>
      </c>
      <c r="G103" s="10" t="str">
        <f>IFERROR(__xludf.DUMMYFUNCTION("""COMPUTED_VALUE""")," ০১/০৫/১৯৮৫ ")</f>
        <v> ০১/০৫/১৯৮৫ </v>
      </c>
      <c r="H103" s="10" t="str">
        <f>IFERROR(__xludf.DUMMYFUNCTION("""COMPUTED_VALUE""")," গৃহিনী ")</f>
        <v> গৃহিনী </v>
      </c>
      <c r="I103" s="10" t="str">
        <f>IFERROR(__xludf.DUMMYFUNCTION("""COMPUTED_VALUE""")," জালতকা, গাংনী, মেহেরপুর ")</f>
        <v> জালতকা, গাংনী, মেহেরপুর </v>
      </c>
    </row>
    <row r="104">
      <c r="A104" s="9" t="s">
        <v>2812</v>
      </c>
      <c r="B104" s="10">
        <f>IFERROR(__xludf.DUMMYFUNCTION("SPLIT(A104,""|"")"),99.0)</f>
        <v>99</v>
      </c>
      <c r="C104" s="10" t="str">
        <f>IFERROR(__xludf.DUMMYFUNCTION("""COMPUTED_VALUE""")," মোছাঃ খদেজা খাতুন ")</f>
        <v> মোছাঃ খদেজা খাতুন </v>
      </c>
      <c r="D104" s="10">
        <f>IFERROR(__xludf.DUMMYFUNCTION("""COMPUTED_VALUE"""),5.7055637742E11)</f>
        <v>570556377420</v>
      </c>
      <c r="E104" s="10" t="str">
        <f>IFERROR(__xludf.DUMMYFUNCTION("""COMPUTED_VALUE""")," মোঃ আঃ করিম ")</f>
        <v> মোঃ আঃ করিম </v>
      </c>
      <c r="F104" s="10" t="str">
        <f>IFERROR(__xludf.DUMMYFUNCTION("""COMPUTED_VALUE""")," মোছাঃ হামিরন নেছা ")</f>
        <v> মোছাঃ হামিরন নেছা </v>
      </c>
      <c r="G104" s="10" t="str">
        <f>IFERROR(__xludf.DUMMYFUNCTION("""COMPUTED_VALUE""")," ০৮/০৭/১৯৪৭ ")</f>
        <v> ০৮/০৭/১৯৪৭ </v>
      </c>
      <c r="H104" s="10" t="str">
        <f>IFERROR(__xludf.DUMMYFUNCTION("""COMPUTED_VALUE""")," গৃহিনী ")</f>
        <v> গৃহিনী </v>
      </c>
      <c r="I104" s="10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5">
      <c r="A105" s="9" t="s">
        <v>2813</v>
      </c>
      <c r="B105" s="10">
        <f>IFERROR(__xludf.DUMMYFUNCTION("SPLIT(A105,""|"")"),100.0)</f>
        <v>100</v>
      </c>
      <c r="C105" s="10" t="str">
        <f>IFERROR(__xludf.DUMMYFUNCTION("""COMPUTED_VALUE""")," মোছাঃ নুরুন্নাহার ")</f>
        <v> মোছাঃ নুরুন্নাহার </v>
      </c>
      <c r="D105" s="10">
        <f>IFERROR(__xludf.DUMMYFUNCTION("""COMPUTED_VALUE"""),5.70556377424E11)</f>
        <v>570556377424</v>
      </c>
      <c r="E105" s="10" t="str">
        <f>IFERROR(__xludf.DUMMYFUNCTION("""COMPUTED_VALUE""")," মোছাঃ আবু বক্কর ")</f>
        <v> মোছাঃ আবু বক্কর </v>
      </c>
      <c r="F105" s="10" t="str">
        <f>IFERROR(__xludf.DUMMYFUNCTION("""COMPUTED_VALUE""")," মোছাঃ হাচেনা বেগম ")</f>
        <v> মোছাঃ হাচেনা বেগম </v>
      </c>
      <c r="G105" s="10" t="str">
        <f>IFERROR(__xludf.DUMMYFUNCTION("""COMPUTED_VALUE""")," ০৮/০৬/১৯৮৩ ")</f>
        <v> ০৮/০৬/১৯৮৩ </v>
      </c>
      <c r="H105" s="10" t="str">
        <f>IFERROR(__xludf.DUMMYFUNCTION("""COMPUTED_VALUE""")," গৃহিনী ")</f>
        <v> গৃহিনী </v>
      </c>
      <c r="I105" s="10" t="str">
        <f>IFERROR(__xludf.DUMMYFUNCTION("""COMPUTED_VALUE""")," জালতকা উত্তরপাড়া, গাংনী, মেহেরপুর ")</f>
        <v> জালতকা উত্তরপাড়া, গাংনী, মেহেরপুর </v>
      </c>
    </row>
    <row r="106">
      <c r="A106" s="9" t="s">
        <v>2814</v>
      </c>
      <c r="B106" s="10">
        <f>IFERROR(__xludf.DUMMYFUNCTION("SPLIT(A106,""|"")"),101.0)</f>
        <v>101</v>
      </c>
      <c r="C106" s="10" t="str">
        <f>IFERROR(__xludf.DUMMYFUNCTION("""COMPUTED_VALUE""")," মোছাঃ হালিমা খাতুন ")</f>
        <v> মোছাঃ হালিমা খাতুন </v>
      </c>
      <c r="D106" s="10">
        <f>IFERROR(__xludf.DUMMYFUNCTION("""COMPUTED_VALUE"""),5.70556377429E11)</f>
        <v>570556377429</v>
      </c>
      <c r="E106" s="10" t="str">
        <f>IFERROR(__xludf.DUMMYFUNCTION("""COMPUTED_VALUE""")," মোছাঃ আত্তাব আলি ")</f>
        <v> মোছাঃ আত্তাব আলি </v>
      </c>
      <c r="F106" s="10" t="str">
        <f>IFERROR(__xludf.DUMMYFUNCTION("""COMPUTED_VALUE""")," মোছাঃ লুৎফন নেছা ")</f>
        <v> মোছাঃ লুৎফন নেছা </v>
      </c>
      <c r="G106" s="10" t="str">
        <f>IFERROR(__xludf.DUMMYFUNCTION("""COMPUTED_VALUE""")," ০৮/১১/১৯৮৮ ")</f>
        <v> ০৮/১১/১৯৮৮ </v>
      </c>
      <c r="H106" s="10" t="str">
        <f>IFERROR(__xludf.DUMMYFUNCTION("""COMPUTED_VALUE""")," গৃহিনী ")</f>
        <v> গৃহিনী </v>
      </c>
      <c r="I106" s="10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7">
      <c r="A107" s="9" t="s">
        <v>2815</v>
      </c>
      <c r="B107" s="10">
        <f>IFERROR(__xludf.DUMMYFUNCTION("SPLIT(A107,""|"")"),102.0)</f>
        <v>102</v>
      </c>
      <c r="C107" s="10" t="str">
        <f>IFERROR(__xludf.DUMMYFUNCTION("""COMPUTED_VALUE""")," মোছাঃ আরিফা খাতুন ")</f>
        <v> মোছাঃ আরিফা খাতুন </v>
      </c>
      <c r="D107" s="10">
        <f>IFERROR(__xludf.DUMMYFUNCTION("""COMPUTED_VALUE"""),5.70556377431E11)</f>
        <v>570556377431</v>
      </c>
      <c r="E107" s="10" t="str">
        <f>IFERROR(__xludf.DUMMYFUNCTION("""COMPUTED_VALUE""")," মোছাঃ আনারুল ইসলাম ")</f>
        <v> মোছাঃ আনারুল ইসলাম </v>
      </c>
      <c r="F107" s="10" t="str">
        <f>IFERROR(__xludf.DUMMYFUNCTION("""COMPUTED_VALUE""")," মোছাঃ আয়েজা খাতুন ")</f>
        <v> মোছাঃ আয়েজা খাতুন </v>
      </c>
      <c r="G107" s="10" t="str">
        <f>IFERROR(__xludf.DUMMYFUNCTION("""COMPUTED_VALUE""")," ২৬/০৭/১৯৮৮ ")</f>
        <v> ২৬/০৭/১৯৮৮ </v>
      </c>
      <c r="H107" s="10" t="str">
        <f>IFERROR(__xludf.DUMMYFUNCTION("""COMPUTED_VALUE""")," গৃহিনী ")</f>
        <v> গৃহিনী </v>
      </c>
      <c r="I107" s="10" t="str">
        <f>IFERROR(__xludf.DUMMYFUNCTION("""COMPUTED_VALUE""")," জালতকা, গাংনী, মেহেরপুর ")</f>
        <v> জালতকা, গাংনী, মেহেরপুর </v>
      </c>
    </row>
    <row r="108">
      <c r="A108" s="9" t="s">
        <v>2816</v>
      </c>
      <c r="B108" s="10">
        <f>IFERROR(__xludf.DUMMYFUNCTION("SPLIT(A108,""|"")"),103.0)</f>
        <v>103</v>
      </c>
      <c r="C108" s="10" t="str">
        <f>IFERROR(__xludf.DUMMYFUNCTION("""COMPUTED_VALUE""")," মোছাঃ রহিমা খাতুন ")</f>
        <v> মোছাঃ রহিমা খাতুন </v>
      </c>
      <c r="D108" s="10">
        <f>IFERROR(__xludf.DUMMYFUNCTION("""COMPUTED_VALUE"""),5.70556377432E11)</f>
        <v>570556377432</v>
      </c>
      <c r="E108" s="10" t="str">
        <f>IFERROR(__xludf.DUMMYFUNCTION("""COMPUTED_VALUE""")," মোছাঃ আছেনদ্দিন ")</f>
        <v> মোছাঃ আছেনদ্দিন </v>
      </c>
      <c r="F108" s="10" t="str">
        <f>IFERROR(__xludf.DUMMYFUNCTION("""COMPUTED_VALUE""")," মোছাঃ আমেনা ")</f>
        <v> মোছাঃ আমেনা </v>
      </c>
      <c r="G108" s="10" t="str">
        <f>IFERROR(__xludf.DUMMYFUNCTION("""COMPUTED_VALUE""")," ১৯/০৮/১৯৮২ ")</f>
        <v> ১৯/০৮/১৯৮২ </v>
      </c>
      <c r="H108" s="10" t="str">
        <f>IFERROR(__xludf.DUMMYFUNCTION("""COMPUTED_VALUE""")," গৃহিনী ")</f>
        <v> গৃহিনী </v>
      </c>
      <c r="I108" s="10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9">
      <c r="A109" s="9" t="s">
        <v>2817</v>
      </c>
      <c r="B109" s="10">
        <f>IFERROR(__xludf.DUMMYFUNCTION("SPLIT(A109,""|"")"),104.0)</f>
        <v>104</v>
      </c>
      <c r="C109" s="10" t="str">
        <f>IFERROR(__xludf.DUMMYFUNCTION("""COMPUTED_VALUE""")," মোছাঃ লিপিয়ার ")</f>
        <v> মোছাঃ লিপিয়ার </v>
      </c>
      <c r="D109" s="10">
        <f>IFERROR(__xludf.DUMMYFUNCTION("""COMPUTED_VALUE"""),5.70556377433E11)</f>
        <v>570556377433</v>
      </c>
      <c r="E109" s="10" t="str">
        <f>IFERROR(__xludf.DUMMYFUNCTION("""COMPUTED_VALUE""")," মোছাঃ অনাউদ্দীন ")</f>
        <v> মোছাঃ অনাউদ্দীন </v>
      </c>
      <c r="F109" s="10" t="str">
        <f>IFERROR(__xludf.DUMMYFUNCTION("""COMPUTED_VALUE""")," মোছাঃ আমেনা খাতুন ")</f>
        <v> মোছাঃ আমেনা খাতুন </v>
      </c>
      <c r="G109" s="10" t="str">
        <f>IFERROR(__xludf.DUMMYFUNCTION("""COMPUTED_VALUE""")," ২৫/০৪/১৯৮৮ ")</f>
        <v> ২৫/০৪/১৯৮৮ </v>
      </c>
      <c r="H109" s="10" t="str">
        <f>IFERROR(__xludf.DUMMYFUNCTION("""COMPUTED_VALUE""")," গৃহিনী ")</f>
        <v> গৃহিনী </v>
      </c>
      <c r="I109" s="10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110">
      <c r="A110" s="9" t="s">
        <v>2818</v>
      </c>
      <c r="B110" s="10">
        <f>IFERROR(__xludf.DUMMYFUNCTION("SPLIT(A110,""|"")"),105.0)</f>
        <v>105</v>
      </c>
      <c r="C110" s="10" t="str">
        <f>IFERROR(__xludf.DUMMYFUNCTION("""COMPUTED_VALUE""")," মোছাঃ বানুয়ারা ")</f>
        <v> মোছাঃ বানুয়ারা </v>
      </c>
      <c r="D110" s="10">
        <f>IFERROR(__xludf.DUMMYFUNCTION("""COMPUTED_VALUE"""),5.70556377434E11)</f>
        <v>570556377434</v>
      </c>
      <c r="E110" s="10" t="str">
        <f>IFERROR(__xludf.DUMMYFUNCTION("""COMPUTED_VALUE""")," মোয়াজ্জেম ")</f>
        <v> মোয়াজ্জেম </v>
      </c>
      <c r="F110" s="10" t="str">
        <f>IFERROR(__xludf.DUMMYFUNCTION("""COMPUTED_VALUE""")," মোছাঃ নেকজান ")</f>
        <v> মোছাঃ নেকজান </v>
      </c>
      <c r="G110" s="10" t="str">
        <f>IFERROR(__xludf.DUMMYFUNCTION("""COMPUTED_VALUE""")," ০৮/১০/১৯৮৭ ")</f>
        <v> ০৮/১০/১৯৮৭ </v>
      </c>
      <c r="H110" s="10" t="str">
        <f>IFERROR(__xludf.DUMMYFUNCTION("""COMPUTED_VALUE""")," গৃহিনী ")</f>
        <v> গৃহিনী </v>
      </c>
      <c r="I110" s="10" t="str">
        <f>IFERROR(__xludf.DUMMYFUNCTION("""COMPUTED_VALUE""")," জালতকা, গাংনী, মেহেরপুর ")</f>
        <v> জালতকা, গাংনী, মেহেরপুর </v>
      </c>
    </row>
    <row r="111">
      <c r="A111" s="9" t="s">
        <v>2712</v>
      </c>
      <c r="B111" s="10" t="str">
        <f>IFERROR(__xludf.DUMMYFUNCTION("SPLIT(A111,""|"")")," ক্রমিক নং ")</f>
        <v> ক্রমিক নং </v>
      </c>
      <c r="C111" s="10" t="str">
        <f>IFERROR(__xludf.DUMMYFUNCTION("""COMPUTED_VALUE""")," নাম ")</f>
        <v> নাম </v>
      </c>
      <c r="D111" s="10" t="str">
        <f>IFERROR(__xludf.DUMMYFUNCTION("""COMPUTED_VALUE""")," ভোটার নং ")</f>
        <v> ভোটার নং </v>
      </c>
      <c r="E111" s="10" t="str">
        <f>IFERROR(__xludf.DUMMYFUNCTION("""COMPUTED_VALUE""")," পিতা ")</f>
        <v> পিতা </v>
      </c>
      <c r="F111" s="10" t="str">
        <f>IFERROR(__xludf.DUMMYFUNCTION("""COMPUTED_VALUE""")," মাতা ")</f>
        <v> মাতা </v>
      </c>
      <c r="G111" s="10" t="str">
        <f>IFERROR(__xludf.DUMMYFUNCTION("""COMPUTED_VALUE""")," জন্ম তারিখ ")</f>
        <v> জন্ম তারিখ </v>
      </c>
      <c r="H111" s="10" t="str">
        <f>IFERROR(__xludf.DUMMYFUNCTION("""COMPUTED_VALUE""")," পেশা ")</f>
        <v> পেশা </v>
      </c>
      <c r="I111" s="10" t="str">
        <f>IFERROR(__xludf.DUMMYFUNCTION("""COMPUTED_VALUE""")," ঠিকানা ")</f>
        <v> ঠিকানা </v>
      </c>
    </row>
    <row r="112">
      <c r="A112" s="9" t="s">
        <v>2713</v>
      </c>
      <c r="B112" s="10" t="str">
        <f>IFERROR(__xludf.DUMMYFUNCTION("SPLIT(A112,""|"")"),"---")</f>
        <v>---</v>
      </c>
      <c r="C112" s="10" t="str">
        <f>IFERROR(__xludf.DUMMYFUNCTION("""COMPUTED_VALUE"""),"---")</f>
        <v>---</v>
      </c>
      <c r="D112" s="10" t="str">
        <f>IFERROR(__xludf.DUMMYFUNCTION("""COMPUTED_VALUE"""),"---")</f>
        <v>---</v>
      </c>
      <c r="E112" s="10" t="str">
        <f>IFERROR(__xludf.DUMMYFUNCTION("""COMPUTED_VALUE"""),"---")</f>
        <v>---</v>
      </c>
      <c r="F112" s="10" t="str">
        <f>IFERROR(__xludf.DUMMYFUNCTION("""COMPUTED_VALUE"""),"---")</f>
        <v>---</v>
      </c>
      <c r="G112" s="10" t="str">
        <f>IFERROR(__xludf.DUMMYFUNCTION("""COMPUTED_VALUE"""),"---")</f>
        <v>---</v>
      </c>
      <c r="H112" s="10" t="str">
        <f>IFERROR(__xludf.DUMMYFUNCTION("""COMPUTED_VALUE"""),"---")</f>
        <v>---</v>
      </c>
      <c r="I112" s="10" t="str">
        <f>IFERROR(__xludf.DUMMYFUNCTION("""COMPUTED_VALUE"""),"---")</f>
        <v>---</v>
      </c>
    </row>
    <row r="113">
      <c r="A113" s="9" t="s">
        <v>2819</v>
      </c>
      <c r="B113" s="10">
        <f>IFERROR(__xludf.DUMMYFUNCTION("SPLIT(A113,""|"")"),106.0)</f>
        <v>106</v>
      </c>
      <c r="C113" s="10" t="str">
        <f>IFERROR(__xludf.DUMMYFUNCTION("""COMPUTED_VALUE""")," মোছাঃ নিহারন নেছা ")</f>
        <v> মোছাঃ নিহারন নেছা </v>
      </c>
      <c r="D113" s="10">
        <f>IFERROR(__xludf.DUMMYFUNCTION("""COMPUTED_VALUE"""),5.70056377843E11)</f>
        <v>570056377843</v>
      </c>
      <c r="E113" s="10" t="str">
        <f>IFERROR(__xludf.DUMMYFUNCTION("""COMPUTED_VALUE""")," আজিমুদ্দীন মোল্লা ")</f>
        <v> আজিমুদ্দীন মোল্লা </v>
      </c>
      <c r="F113" s="10" t="str">
        <f>IFERROR(__xludf.DUMMYFUNCTION("""COMPUTED_VALUE""")," ছারা খাতুন ")</f>
        <v> ছারা খাতুন </v>
      </c>
      <c r="G113" s="10" t="str">
        <f>IFERROR(__xludf.DUMMYFUNCTION("""COMPUTED_VALUE""")," ০৩/০৪/১৯৪৭ ")</f>
        <v> ০৩/০৪/১৯৪৭ </v>
      </c>
      <c r="H113" s="10" t="str">
        <f>IFERROR(__xludf.DUMMYFUNCTION("""COMPUTED_VALUE""")," গৃহিনী ")</f>
        <v> গৃহিনী </v>
      </c>
      <c r="I113" s="10" t="str">
        <f>IFERROR(__xludf.DUMMYFUNCTION("""COMPUTED_VALUE""")," জালতকা, গাংনী, মেহেরপুর ")</f>
        <v> জালতকা, গাংনী, মেহেরপুর </v>
      </c>
    </row>
    <row r="114">
      <c r="A114" s="9" t="s">
        <v>2820</v>
      </c>
      <c r="B114" s="10">
        <f>IFERROR(__xludf.DUMMYFUNCTION("SPLIT(A114,""|"")"),107.0)</f>
        <v>107</v>
      </c>
      <c r="C114" s="10" t="str">
        <f>IFERROR(__xludf.DUMMYFUNCTION("""COMPUTED_VALUE""")," মোছাঃ হাওয়া খাতুন ")</f>
        <v> মোছাঃ হাওয়া খাতুন </v>
      </c>
      <c r="D114" s="10">
        <f>IFERROR(__xludf.DUMMYFUNCTION("""COMPUTED_VALUE"""),5.70056377844E11)</f>
        <v>570056377844</v>
      </c>
      <c r="E114" s="10" t="str">
        <f>IFERROR(__xludf.DUMMYFUNCTION("""COMPUTED_VALUE""")," সামছুদ্দীন ")</f>
        <v> সামছুদ্দীন </v>
      </c>
      <c r="F114" s="10" t="str">
        <f>IFERROR(__xludf.DUMMYFUNCTION("""COMPUTED_VALUE""")," মোছাঃ রাবিয়া খাতুন ")</f>
        <v> মোছাঃ রাবিয়া খাতুন </v>
      </c>
      <c r="G114" s="10" t="str">
        <f>IFERROR(__xludf.DUMMYFUNCTION("""COMPUTED_VALUE""")," ০৩/০২/১৯৬৯ ")</f>
        <v> ০৩/০২/১৯৬৯ </v>
      </c>
      <c r="H114" s="10" t="str">
        <f>IFERROR(__xludf.DUMMYFUNCTION("""COMPUTED_VALUE""")," গৃহিনী ")</f>
        <v> গৃহিনী </v>
      </c>
      <c r="I114" s="10" t="str">
        <f>IFERROR(__xludf.DUMMYFUNCTION("""COMPUTED_VALUE""")," জালতকা, গাংনী, মেহেরপুর ")</f>
        <v> জালতকা, গাংনী, মেহেরপুর </v>
      </c>
    </row>
    <row r="115">
      <c r="A115" s="9" t="s">
        <v>2821</v>
      </c>
      <c r="B115" s="10">
        <f>IFERROR(__xludf.DUMMYFUNCTION("SPLIT(A115,""|"")"),108.0)</f>
        <v>108</v>
      </c>
      <c r="C115" s="10" t="str">
        <f>IFERROR(__xludf.DUMMYFUNCTION("""COMPUTED_VALUE""")," মোছাঃ হালিমা খাতুন ")</f>
        <v> মোছাঃ হালিমা খাতুন </v>
      </c>
      <c r="D115" s="10">
        <f>IFERROR(__xludf.DUMMYFUNCTION("""COMPUTED_VALUE"""),5.70056377847E11)</f>
        <v>570056377847</v>
      </c>
      <c r="E115" s="10" t="str">
        <f>IFERROR(__xludf.DUMMYFUNCTION("""COMPUTED_VALUE""")," মোঃ আনসার আলী ")</f>
        <v> মোঃ আনসার আলী </v>
      </c>
      <c r="F115" s="10" t="str">
        <f>IFERROR(__xludf.DUMMYFUNCTION("""COMPUTED_VALUE""")," মো: ভানুয়ারা ")</f>
        <v> মো: ভানুয়ারা </v>
      </c>
      <c r="G115" s="10" t="str">
        <f>IFERROR(__xludf.DUMMYFUNCTION("""COMPUTED_VALUE""")," ০২/০৩/১৯৮২ ")</f>
        <v> ০২/০৩/১৯৮২ </v>
      </c>
      <c r="H115" s="10" t="str">
        <f>IFERROR(__xludf.DUMMYFUNCTION("""COMPUTED_VALUE""")," গৃহিনী ")</f>
        <v> গৃহিনী </v>
      </c>
      <c r="I115" s="10" t="str">
        <f>IFERROR(__xludf.DUMMYFUNCTION("""COMPUTED_VALUE""")," জালতকা, গাংনী, মেহেরপুর ")</f>
        <v> জালতকা, গাংনী, মেহেরপুর </v>
      </c>
    </row>
    <row r="116">
      <c r="A116" s="9" t="s">
        <v>2822</v>
      </c>
      <c r="B116" s="10">
        <f>IFERROR(__xludf.DUMMYFUNCTION("SPLIT(A116,""|"")"),109.0)</f>
        <v>109</v>
      </c>
      <c r="C116" s="10" t="str">
        <f>IFERROR(__xludf.DUMMYFUNCTION("""COMPUTED_VALUE""")," মোছাঃ সুরাতন নেছা ")</f>
        <v> মোছাঃ সুরাতন নেছা </v>
      </c>
      <c r="D116" s="10">
        <f>IFERROR(__xludf.DUMMYFUNCTION("""COMPUTED_VALUE"""),5.70056377855E11)</f>
        <v>570056377855</v>
      </c>
      <c r="E116" s="10" t="str">
        <f>IFERROR(__xludf.DUMMYFUNCTION("""COMPUTED_VALUE""")," ছালেহার ")</f>
        <v> ছালেহার </v>
      </c>
      <c r="F116" s="10" t="str">
        <f>IFERROR(__xludf.DUMMYFUNCTION("""COMPUTED_VALUE""")," মোছাঃ উলফাতন ")</f>
        <v> মোছাঃ উলফাতন </v>
      </c>
      <c r="G116" s="10" t="str">
        <f>IFERROR(__xludf.DUMMYFUNCTION("""COMPUTED_VALUE""")," ১১/০৪/১৯৬২ ")</f>
        <v> ১১/০৪/১৯৬২ </v>
      </c>
      <c r="H116" s="10" t="str">
        <f>IFERROR(__xludf.DUMMYFUNCTION("""COMPUTED_VALUE""")," গৃহিনী ")</f>
        <v> গৃহিনী </v>
      </c>
      <c r="I116" s="10" t="str">
        <f>IFERROR(__xludf.DUMMYFUNCTION("""COMPUTED_VALUE""")," জালতকা, গাংনী, মেহেরপুর ")</f>
        <v> জালতকা, গাংনী, মেহেরপুর </v>
      </c>
    </row>
    <row r="117">
      <c r="A117" s="9" t="s">
        <v>2823</v>
      </c>
      <c r="B117" s="10">
        <f>IFERROR(__xludf.DUMMYFUNCTION("SPLIT(A117,""|"")"),110.0)</f>
        <v>110</v>
      </c>
      <c r="C117" s="10" t="str">
        <f>IFERROR(__xludf.DUMMYFUNCTION("""COMPUTED_VALUE""")," মোছাঃ বিউটি খাতুন ")</f>
        <v> মোছাঃ বিউটি খাতুন </v>
      </c>
      <c r="D117" s="10">
        <f>IFERROR(__xludf.DUMMYFUNCTION("""COMPUTED_VALUE"""),5.70056377856E11)</f>
        <v>570056377856</v>
      </c>
      <c r="E117" s="10" t="str">
        <f>IFERROR(__xludf.DUMMYFUNCTION("""COMPUTED_VALUE""")," মোঃ বাবুর আলি ")</f>
        <v> মোঃ বাবুর আলি </v>
      </c>
      <c r="F117" s="10" t="str">
        <f>IFERROR(__xludf.DUMMYFUNCTION("""COMPUTED_VALUE""")," মোছাঃ ছহিরা খাতুন ")</f>
        <v> মোছাঃ ছহিরা খাতুন </v>
      </c>
      <c r="G117" s="10" t="str">
        <f>IFERROR(__xludf.DUMMYFUNCTION("""COMPUTED_VALUE""")," ১৪/১০/১৯৮২ ")</f>
        <v> ১৪/১০/১৯৮২ </v>
      </c>
      <c r="H117" s="10" t="str">
        <f>IFERROR(__xludf.DUMMYFUNCTION("""COMPUTED_VALUE""")," গৃহিনী ")</f>
        <v> গৃহিনী </v>
      </c>
      <c r="I117" s="10" t="str">
        <f>IFERROR(__xludf.DUMMYFUNCTION("""COMPUTED_VALUE""")," জালতকা, গাংনী, মেহেরপুর ")</f>
        <v> জালতকা, গাংনী, মেহেরপুর </v>
      </c>
    </row>
    <row r="118">
      <c r="A118" s="9" t="s">
        <v>2824</v>
      </c>
      <c r="B118" s="10">
        <f>IFERROR(__xludf.DUMMYFUNCTION("SPLIT(A118,""|"")"),111.0)</f>
        <v>111</v>
      </c>
      <c r="C118" s="10" t="str">
        <f>IFERROR(__xludf.DUMMYFUNCTION("""COMPUTED_VALUE""")," মোছাঃ রুবিয়া খাতুন ")</f>
        <v> মোছাঃ রুবিয়া খাতুন </v>
      </c>
      <c r="D118" s="10">
        <f>IFERROR(__xludf.DUMMYFUNCTION("""COMPUTED_VALUE"""),5.70056377857E11)</f>
        <v>570056377857</v>
      </c>
      <c r="E118" s="10" t="str">
        <f>IFERROR(__xludf.DUMMYFUNCTION("""COMPUTED_VALUE""")," মোঃ ইউসুফ আলী ")</f>
        <v> মোঃ ইউসুফ আলী </v>
      </c>
      <c r="F118" s="10" t="str">
        <f>IFERROR(__xludf.DUMMYFUNCTION("""COMPUTED_VALUE""")," মোছাঃ হামিদা বেগম ")</f>
        <v> মোছাঃ হামিদা বেগম </v>
      </c>
      <c r="G118" s="10" t="str">
        <f>IFERROR(__xludf.DUMMYFUNCTION("""COMPUTED_VALUE""")," ১৬/০৪/১৯৭৩ ")</f>
        <v> ১৬/০৪/১৯৭৩ </v>
      </c>
      <c r="H118" s="10" t="str">
        <f>IFERROR(__xludf.DUMMYFUNCTION("""COMPUTED_VALUE""")," গৃহিনী ")</f>
        <v> গৃহিনী </v>
      </c>
      <c r="I118" s="10" t="str">
        <f>IFERROR(__xludf.DUMMYFUNCTION("""COMPUTED_VALUE""")," জালতকা, গাংনী, মেহেরপুর ")</f>
        <v> জালতকা, গাংনী, মেহেরপুর </v>
      </c>
    </row>
    <row r="119">
      <c r="A119" s="9" t="s">
        <v>2825</v>
      </c>
      <c r="B119" s="10">
        <f>IFERROR(__xludf.DUMMYFUNCTION("SPLIT(A119,""|"")"),112.0)</f>
        <v>112</v>
      </c>
      <c r="C119" s="10" t="str">
        <f>IFERROR(__xludf.DUMMYFUNCTION("""COMPUTED_VALUE""")," মোছাঃ আরজিনা খাতুন ")</f>
        <v> মোছাঃ আরজিনা খাতুন </v>
      </c>
      <c r="D119" s="10">
        <f>IFERROR(__xludf.DUMMYFUNCTION("""COMPUTED_VALUE"""),5.70056377859E11)</f>
        <v>570056377859</v>
      </c>
      <c r="E119" s="10" t="str">
        <f>IFERROR(__xludf.DUMMYFUNCTION("""COMPUTED_VALUE""")," মোঃ আফসার আলি ")</f>
        <v> মোঃ আফসার আলি </v>
      </c>
      <c r="F119" s="10" t="str">
        <f>IFERROR(__xludf.DUMMYFUNCTION("""COMPUTED_VALUE""")," আনোয়ারা ")</f>
        <v> আনোয়ারা </v>
      </c>
      <c r="G119" s="10" t="str">
        <f>IFERROR(__xludf.DUMMYFUNCTION("""COMPUTED_VALUE""")," ০৬/০৬/১৯৬৫ ")</f>
        <v> ০৬/০৬/১৯৬৫ </v>
      </c>
      <c r="H119" s="10" t="str">
        <f>IFERROR(__xludf.DUMMYFUNCTION("""COMPUTED_VALUE""")," গৃহিনী ")</f>
        <v> গৃহিনী </v>
      </c>
      <c r="I119" s="10" t="str">
        <f>IFERROR(__xludf.DUMMYFUNCTION("""COMPUTED_VALUE""")," জালতকা, গাংনী, মেহেরপুর ")</f>
        <v> জালতকা, গাংনী, মেহেরপুর </v>
      </c>
    </row>
    <row r="120">
      <c r="A120" s="9" t="s">
        <v>2826</v>
      </c>
      <c r="B120" s="10">
        <f>IFERROR(__xludf.DUMMYFUNCTION("SPLIT(A120,""|"")"),113.0)</f>
        <v>113</v>
      </c>
      <c r="C120" s="10" t="str">
        <f>IFERROR(__xludf.DUMMYFUNCTION("""COMPUTED_VALUE""")," মোছাঃ নাজমুননাহার খাতুন ")</f>
        <v> মোছাঃ নাজমুননাহার খাতুন </v>
      </c>
      <c r="D120" s="10">
        <f>IFERROR(__xludf.DUMMYFUNCTION("""COMPUTED_VALUE"""),5.70056377872E11)</f>
        <v>570056377872</v>
      </c>
      <c r="E120" s="10" t="str">
        <f>IFERROR(__xludf.DUMMYFUNCTION("""COMPUTED_VALUE""")," মোঃ জাফর আলী ")</f>
        <v> মোঃ জাফর আলী </v>
      </c>
      <c r="F120" s="10" t="str">
        <f>IFERROR(__xludf.DUMMYFUNCTION("""COMPUTED_VALUE""")," মোছাঃ সহিদা বেগম ")</f>
        <v> মোছাঃ সহিদা বেগম </v>
      </c>
      <c r="G120" s="10" t="str">
        <f>IFERROR(__xludf.DUMMYFUNCTION("""COMPUTED_VALUE""")," ১৭/০৫/১৯৮৬ ")</f>
        <v> ১৭/০৫/১৯৮৬ </v>
      </c>
      <c r="H120" s="10" t="str">
        <f>IFERROR(__xludf.DUMMYFUNCTION("""COMPUTED_VALUE""")," গৃহিনী ")</f>
        <v> গৃহিনী </v>
      </c>
      <c r="I120" s="10" t="str">
        <f>IFERROR(__xludf.DUMMYFUNCTION("""COMPUTED_VALUE""")," আড়পাড়া, গাংনী, মেহেরপুর ")</f>
        <v> আড়পাড়া, গাংনী, মেহেরপুর </v>
      </c>
    </row>
    <row r="121">
      <c r="A121" s="9" t="s">
        <v>2827</v>
      </c>
      <c r="B121" s="10">
        <f>IFERROR(__xludf.DUMMYFUNCTION("SPLIT(A121,""|"")"),114.0)</f>
        <v>114</v>
      </c>
      <c r="C121" s="10" t="str">
        <f>IFERROR(__xludf.DUMMYFUNCTION("""COMPUTED_VALUE""")," মোছাঃ বেদেনা খাতুন ")</f>
        <v> মোছাঃ বেদেনা খাতুন </v>
      </c>
      <c r="D121" s="10">
        <f>IFERROR(__xludf.DUMMYFUNCTION("""COMPUTED_VALUE"""),5.70056377802E11)</f>
        <v>570056377802</v>
      </c>
      <c r="E121" s="10" t="str">
        <f>IFERROR(__xludf.DUMMYFUNCTION("""COMPUTED_VALUE""")," মোঃ আঃ কাদের শেখ ")</f>
        <v> মোঃ আঃ কাদের শেখ </v>
      </c>
      <c r="F121" s="10" t="str">
        <f>IFERROR(__xludf.DUMMYFUNCTION("""COMPUTED_VALUE""")," মোছাঃ জমেলা খাতুন ")</f>
        <v> মোছাঃ জমেলা খাতুন </v>
      </c>
      <c r="G121" s="10" t="str">
        <f>IFERROR(__xludf.DUMMYFUNCTION("""COMPUTED_VALUE""")," ২৫/০৯/১৯৭৯ ")</f>
        <v> ২৫/০৯/১৯৭৯ </v>
      </c>
      <c r="H121" s="10" t="str">
        <f>IFERROR(__xludf.DUMMYFUNCTION("""COMPUTED_VALUE""")," গৃহিনী ")</f>
        <v> গৃহিনী </v>
      </c>
      <c r="I121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2">
      <c r="A122" s="9" t="s">
        <v>2828</v>
      </c>
      <c r="B122" s="10">
        <f>IFERROR(__xludf.DUMMYFUNCTION("SPLIT(A122,""|"")"),115.0)</f>
        <v>115</v>
      </c>
      <c r="C122" s="10" t="str">
        <f>IFERROR(__xludf.DUMMYFUNCTION("""COMPUTED_VALUE""")," মোছাঃ মোন্তারা খাতুন ")</f>
        <v> মোছাঃ মোন্তারা খাতুন </v>
      </c>
      <c r="D122" s="10">
        <f>IFERROR(__xludf.DUMMYFUNCTION("""COMPUTED_VALUE"""),5.70056378005E11)</f>
        <v>570056378005</v>
      </c>
      <c r="E122" s="10" t="str">
        <f>IFERROR(__xludf.DUMMYFUNCTION("""COMPUTED_VALUE""")," মোঃ আঃ রাজ্জাক ")</f>
        <v> মোঃ আঃ রাজ্জাক </v>
      </c>
      <c r="F122" s="10" t="str">
        <f>IFERROR(__xludf.DUMMYFUNCTION("""COMPUTED_VALUE""")," মোছাঃ মর্জিনা খাতুন ")</f>
        <v> মোছাঃ মর্জিনা খাতুন </v>
      </c>
      <c r="G122" s="10" t="str">
        <f>IFERROR(__xludf.DUMMYFUNCTION("""COMPUTED_VALUE""")," ০১/০১/১৯৮৬ ")</f>
        <v> ০১/০১/১৯৮৬ </v>
      </c>
      <c r="H122" s="10" t="str">
        <f>IFERROR(__xludf.DUMMYFUNCTION("""COMPUTED_VALUE""")," গৃহিনী ")</f>
        <v> গৃহিনী </v>
      </c>
      <c r="I122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3">
      <c r="A123" s="9" t="s">
        <v>2829</v>
      </c>
      <c r="B123" s="10">
        <f>IFERROR(__xludf.DUMMYFUNCTION("SPLIT(A123,""|"")"),116.0)</f>
        <v>116</v>
      </c>
      <c r="C123" s="10" t="str">
        <f>IFERROR(__xludf.DUMMYFUNCTION("""COMPUTED_VALUE""")," মোছাঃ হালিমা খাতুন ")</f>
        <v> মোছাঃ হালিমা খাতুন </v>
      </c>
      <c r="D123" s="10">
        <f>IFERROR(__xludf.DUMMYFUNCTION("""COMPUTED_VALUE"""),5.7005637801E11)</f>
        <v>570056378010</v>
      </c>
      <c r="E123" s="10" t="str">
        <f>IFERROR(__xludf.DUMMYFUNCTION("""COMPUTED_VALUE""")," ছলেমান বিশ্বাস ")</f>
        <v> ছলেমান বিশ্বাস </v>
      </c>
      <c r="F123" s="10" t="str">
        <f>IFERROR(__xludf.DUMMYFUNCTION("""COMPUTED_VALUE""")," আমেনা খাতুন ")</f>
        <v> আমেনা খাতুন </v>
      </c>
      <c r="G123" s="10" t="str">
        <f>IFERROR(__xludf.DUMMYFUNCTION("""COMPUTED_VALUE""")," ৩০/০৪/১৯৫৭ ")</f>
        <v> ৩০/০৪/১৯৫৭ </v>
      </c>
      <c r="H123" s="10" t="str">
        <f>IFERROR(__xludf.DUMMYFUNCTION("""COMPUTED_VALUE""")," গৃহিনী ")</f>
        <v> গৃহিনী </v>
      </c>
      <c r="I123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4">
      <c r="A124" s="9" t="s">
        <v>2830</v>
      </c>
      <c r="B124" s="10">
        <f>IFERROR(__xludf.DUMMYFUNCTION("SPLIT(A124,""|"")"),117.0)</f>
        <v>117</v>
      </c>
      <c r="C124" s="10" t="str">
        <f>IFERROR(__xludf.DUMMYFUNCTION("""COMPUTED_VALUE""")," মোছাঃ সোনা ভানু খাতুন ")</f>
        <v> মোছাঃ সোনা ভানু খাতুন </v>
      </c>
      <c r="D124" s="10">
        <f>IFERROR(__xludf.DUMMYFUNCTION("""COMPUTED_VALUE"""),5.70056378011E11)</f>
        <v>570056378011</v>
      </c>
      <c r="E124" s="10" t="str">
        <f>IFERROR(__xludf.DUMMYFUNCTION("""COMPUTED_VALUE""")," মোঃ শুকুর আলী ")</f>
        <v> মোঃ শুকুর আলী </v>
      </c>
      <c r="F124" s="10" t="str">
        <f>IFERROR(__xludf.DUMMYFUNCTION("""COMPUTED_VALUE""")," মোছাঃ হালিমা খাতুন ")</f>
        <v> মোছাঃ হালিমা খাতুন </v>
      </c>
      <c r="G124" s="10" t="str">
        <f>IFERROR(__xludf.DUMMYFUNCTION("""COMPUTED_VALUE""")," ২১/১০/১৯৮১ ")</f>
        <v> ২১/১০/১৯৮১ </v>
      </c>
      <c r="H124" s="10" t="str">
        <f>IFERROR(__xludf.DUMMYFUNCTION("""COMPUTED_VALUE""")," গৃহিনী ")</f>
        <v> গৃহিনী </v>
      </c>
      <c r="I124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5">
      <c r="A125" s="9" t="s">
        <v>2831</v>
      </c>
      <c r="B125" s="10">
        <f>IFERROR(__xludf.DUMMYFUNCTION("SPLIT(A125,""|"")"),118.0)</f>
        <v>118</v>
      </c>
      <c r="C125" s="10" t="str">
        <f>IFERROR(__xludf.DUMMYFUNCTION("""COMPUTED_VALUE""")," মোছাঃ রেহেনা খাতুন ")</f>
        <v> মোছাঃ রেহেনা খাতুন </v>
      </c>
      <c r="D125" s="10">
        <f>IFERROR(__xludf.DUMMYFUNCTION("""COMPUTED_VALUE"""),5.70056378012E11)</f>
        <v>570056378012</v>
      </c>
      <c r="E125" s="10" t="str">
        <f>IFERROR(__xludf.DUMMYFUNCTION("""COMPUTED_VALUE""")," মোঃ মঈনদ্দীন ")</f>
        <v> মোঃ মঈনদ্দীন </v>
      </c>
      <c r="F125" s="10" t="str">
        <f>IFERROR(__xludf.DUMMYFUNCTION("""COMPUTED_VALUE""")," মোছাঃ মালেকা ")</f>
        <v> মোছাঃ মালেকা </v>
      </c>
      <c r="G125" s="10" t="str">
        <f>IFERROR(__xludf.DUMMYFUNCTION("""COMPUTED_VALUE""")," ০১/০১/১৯৮৭ ")</f>
        <v> ০১/০১/১৯৮৭ </v>
      </c>
      <c r="H125" s="10" t="str">
        <f>IFERROR(__xludf.DUMMYFUNCTION("""COMPUTED_VALUE""")," গৃহিনী ")</f>
        <v> গৃহিনী </v>
      </c>
      <c r="I125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6">
      <c r="A126" s="9" t="s">
        <v>2832</v>
      </c>
      <c r="B126" s="10">
        <f>IFERROR(__xludf.DUMMYFUNCTION("SPLIT(A126,""|"")"),119.0)</f>
        <v>119</v>
      </c>
      <c r="C126" s="10" t="str">
        <f>IFERROR(__xludf.DUMMYFUNCTION("""COMPUTED_VALUE""")," মোছাঃ সারা খাতুন ")</f>
        <v> মোছাঃ সারা খাতুন </v>
      </c>
      <c r="D126" s="10">
        <f>IFERROR(__xludf.DUMMYFUNCTION("""COMPUTED_VALUE"""),5.70056378014E11)</f>
        <v>570056378014</v>
      </c>
      <c r="E126" s="10" t="str">
        <f>IFERROR(__xludf.DUMMYFUNCTION("""COMPUTED_VALUE""")," ছলেমান বিশ্বাস ")</f>
        <v> ছলেমান বিশ্বাস </v>
      </c>
      <c r="F126" s="10" t="str">
        <f>IFERROR(__xludf.DUMMYFUNCTION("""COMPUTED_VALUE""")," আমেনা খাতুন ")</f>
        <v> আমেনা খাতুন </v>
      </c>
      <c r="G126" s="10" t="str">
        <f>IFERROR(__xludf.DUMMYFUNCTION("""COMPUTED_VALUE""")," ২৪/০৫/১৯৫২ ")</f>
        <v> ২৪/০৫/১৯৫২ </v>
      </c>
      <c r="H126" s="10" t="str">
        <f>IFERROR(__xludf.DUMMYFUNCTION("""COMPUTED_VALUE""")," গৃহিনী ")</f>
        <v> গৃহিনী </v>
      </c>
      <c r="I126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7">
      <c r="A127" s="9" t="s">
        <v>2833</v>
      </c>
      <c r="B127" s="10">
        <f>IFERROR(__xludf.DUMMYFUNCTION("SPLIT(A127,""|"")"),120.0)</f>
        <v>120</v>
      </c>
      <c r="C127" s="10" t="str">
        <f>IFERROR(__xludf.DUMMYFUNCTION("""COMPUTED_VALUE""")," মোছাঃ রহিলা খাতুন ")</f>
        <v> মোছাঃ রহিলা খাতুন </v>
      </c>
      <c r="D127" s="10">
        <f>IFERROR(__xludf.DUMMYFUNCTION("""COMPUTED_VALUE"""),5.70056378017E11)</f>
        <v>570056378017</v>
      </c>
      <c r="E127" s="10" t="str">
        <f>IFERROR(__xludf.DUMMYFUNCTION("""COMPUTED_VALUE""")," শওকত মালিথা ")</f>
        <v> শওকত মালিথা </v>
      </c>
      <c r="F127" s="10" t="str">
        <f>IFERROR(__xludf.DUMMYFUNCTION("""COMPUTED_VALUE""")," আবরা খাতুন ")</f>
        <v> আবরা খাতুন </v>
      </c>
      <c r="G127" s="10" t="str">
        <f>IFERROR(__xludf.DUMMYFUNCTION("""COMPUTED_VALUE""")," ১০/১০/১৯৬৭ ")</f>
        <v> ১০/১০/১৯৬৭ </v>
      </c>
      <c r="H127" s="10" t="str">
        <f>IFERROR(__xludf.DUMMYFUNCTION("""COMPUTED_VALUE""")," গৃহিনী ")</f>
        <v> গৃহিনী </v>
      </c>
      <c r="I127" s="10" t="str">
        <f>IFERROR(__xludf.DUMMYFUNCTION("""COMPUTED_VALUE""")," জালতকা, গাংনী, মেহেরপুর ")</f>
        <v> জালতকা, গাংনী, মেহেরপুর </v>
      </c>
    </row>
    <row r="128">
      <c r="A128" s="9" t="s">
        <v>2834</v>
      </c>
      <c r="B128" s="10">
        <f>IFERROR(__xludf.DUMMYFUNCTION("SPLIT(A128,""|"")"),121.0)</f>
        <v>121</v>
      </c>
      <c r="C128" s="10" t="str">
        <f>IFERROR(__xludf.DUMMYFUNCTION("""COMPUTED_VALUE""")," মোছাঃ বাশিরন নেছা ")</f>
        <v> মোছাঃ বাশিরন নেছা </v>
      </c>
      <c r="D128" s="10">
        <f>IFERROR(__xludf.DUMMYFUNCTION("""COMPUTED_VALUE"""),5.70056378019E11)</f>
        <v>570056378019</v>
      </c>
      <c r="E128" s="10" t="str">
        <f>IFERROR(__xludf.DUMMYFUNCTION("""COMPUTED_VALUE""")," তমেজনদ্দীন ")</f>
        <v> তমেজনদ্দীন </v>
      </c>
      <c r="F128" s="10" t="str">
        <f>IFERROR(__xludf.DUMMYFUNCTION("""COMPUTED_VALUE""")," নীহারন নেছা ")</f>
        <v> নীহারন নেছা </v>
      </c>
      <c r="G128" s="10" t="str">
        <f>IFERROR(__xludf.DUMMYFUNCTION("""COMPUTED_VALUE""")," ১১/১০/১৯৬৭ ")</f>
        <v> ১১/১০/১৯৬৭ </v>
      </c>
      <c r="H128" s="10" t="str">
        <f>IFERROR(__xludf.DUMMYFUNCTION("""COMPUTED_VALUE""")," গৃহিনী ")</f>
        <v> গৃহিনী </v>
      </c>
      <c r="I128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9">
      <c r="A129" s="9" t="s">
        <v>2835</v>
      </c>
      <c r="B129" s="10">
        <f>IFERROR(__xludf.DUMMYFUNCTION("SPLIT(A129,""|"")"),122.0)</f>
        <v>122</v>
      </c>
      <c r="C129" s="10" t="str">
        <f>IFERROR(__xludf.DUMMYFUNCTION("""COMPUTED_VALUE""")," মোছাঃ ছানয়ারা খাতুন ")</f>
        <v> মোছাঃ ছানয়ারা খাতুন </v>
      </c>
      <c r="D129" s="10">
        <f>IFERROR(__xludf.DUMMYFUNCTION("""COMPUTED_VALUE"""),5.7005637802E11)</f>
        <v>570056378020</v>
      </c>
      <c r="E129" s="10" t="str">
        <f>IFERROR(__xludf.DUMMYFUNCTION("""COMPUTED_VALUE""")," তাহাজ উদ্দীন মন্ডল ")</f>
        <v> তাহাজ উদ্দীন মন্ডল </v>
      </c>
      <c r="F129" s="10" t="str">
        <f>IFERROR(__xludf.DUMMYFUNCTION("""COMPUTED_VALUE""")," ছপুরা খাতুন ")</f>
        <v> ছপুরা খাতুন </v>
      </c>
      <c r="G129" s="10" t="str">
        <f>IFERROR(__xludf.DUMMYFUNCTION("""COMPUTED_VALUE""")," ১১/১১/১৯৬৭ ")</f>
        <v> ১১/১১/১৯৬৭ </v>
      </c>
      <c r="H129" s="10" t="str">
        <f>IFERROR(__xludf.DUMMYFUNCTION("""COMPUTED_VALUE""")," গৃহিনী ")</f>
        <v> গৃহিনী </v>
      </c>
      <c r="I129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0">
      <c r="A130" s="9" t="s">
        <v>2836</v>
      </c>
      <c r="B130" s="10">
        <f>IFERROR(__xludf.DUMMYFUNCTION("SPLIT(A130,""|"")"),123.0)</f>
        <v>123</v>
      </c>
      <c r="C130" s="10" t="str">
        <f>IFERROR(__xludf.DUMMYFUNCTION("""COMPUTED_VALUE""")," মোছাঃ রুশিয়া খাতুন ")</f>
        <v> মোছাঃ রুশিয়া খাতুন </v>
      </c>
      <c r="D130" s="10">
        <f>IFERROR(__xludf.DUMMYFUNCTION("""COMPUTED_VALUE"""),5.70056378022E11)</f>
        <v>570056378022</v>
      </c>
      <c r="E130" s="10" t="str">
        <f>IFERROR(__xludf.DUMMYFUNCTION("""COMPUTED_VALUE""")," মোঃ ইয়ার আলী ")</f>
        <v> মোঃ ইয়ার আলী </v>
      </c>
      <c r="F130" s="10" t="str">
        <f>IFERROR(__xludf.DUMMYFUNCTION("""COMPUTED_VALUE""")," মোছাঃ মমতাজ খাতুন ")</f>
        <v> মোছাঃ মমতাজ খাতুন </v>
      </c>
      <c r="G130" s="10" t="str">
        <f>IFERROR(__xludf.DUMMYFUNCTION("""COMPUTED_VALUE""")," ০১/০১/১৯৪৫ ")</f>
        <v> ০১/০১/১৯৪৫ </v>
      </c>
      <c r="H130" s="10" t="str">
        <f>IFERROR(__xludf.DUMMYFUNCTION("""COMPUTED_VALUE""")," গৃহিনী ")</f>
        <v> গৃহিনী </v>
      </c>
      <c r="I130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1">
      <c r="A131" s="9" t="s">
        <v>2837</v>
      </c>
      <c r="B131" s="10">
        <f>IFERROR(__xludf.DUMMYFUNCTION("SPLIT(A131,""|"")"),124.0)</f>
        <v>124</v>
      </c>
      <c r="C131" s="10" t="str">
        <f>IFERROR(__xludf.DUMMYFUNCTION("""COMPUTED_VALUE""")," মোছাঃ রুপালী খাতুন ")</f>
        <v> মোছাঃ রুপালী খাতুন </v>
      </c>
      <c r="D131" s="10">
        <f>IFERROR(__xludf.DUMMYFUNCTION("""COMPUTED_VALUE"""),5.70056378023E11)</f>
        <v>570056378023</v>
      </c>
      <c r="E131" s="10" t="str">
        <f>IFERROR(__xludf.DUMMYFUNCTION("""COMPUTED_VALUE""")," আজিজুল হক ")</f>
        <v> আজিজুল হক </v>
      </c>
      <c r="F131" s="10" t="str">
        <f>IFERROR(__xludf.DUMMYFUNCTION("""COMPUTED_VALUE""")," মোছাঃ মাবিয়া খাতুন ")</f>
        <v> মোছাঃ মাবিয়া খাতুন </v>
      </c>
      <c r="G131" s="10" t="str">
        <f>IFERROR(__xludf.DUMMYFUNCTION("""COMPUTED_VALUE""")," ০১/০১/১৯৮৭ ")</f>
        <v> ০১/০১/১৯৮৭ </v>
      </c>
      <c r="H131" s="10" t="str">
        <f>IFERROR(__xludf.DUMMYFUNCTION("""COMPUTED_VALUE""")," গৃহিনী ")</f>
        <v> গৃহিনী </v>
      </c>
      <c r="I131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2">
      <c r="A132" s="9" t="s">
        <v>2838</v>
      </c>
      <c r="B132" s="10">
        <f>IFERROR(__xludf.DUMMYFUNCTION("SPLIT(A132,""|"")"),125.0)</f>
        <v>125</v>
      </c>
      <c r="C132" s="10" t="str">
        <f>IFERROR(__xludf.DUMMYFUNCTION("""COMPUTED_VALUE""")," মোছাঃ নুপুর খাতুন ")</f>
        <v> মোছাঃ নুপুর খাতুন </v>
      </c>
      <c r="D132" s="10">
        <f>IFERROR(__xludf.DUMMYFUNCTION("""COMPUTED_VALUE"""),5.70056378025E11)</f>
        <v>570056378025</v>
      </c>
      <c r="E132" s="10" t="str">
        <f>IFERROR(__xludf.DUMMYFUNCTION("""COMPUTED_VALUE""")," মোঃ নফর আলী ")</f>
        <v> মোঃ নফর আলী </v>
      </c>
      <c r="F132" s="10" t="str">
        <f>IFERROR(__xludf.DUMMYFUNCTION("""COMPUTED_VALUE""")," মোছাঃ কাজল রেখা ")</f>
        <v> মোছাঃ কাজল রেখা </v>
      </c>
      <c r="G132" s="10" t="str">
        <f>IFERROR(__xludf.DUMMYFUNCTION("""COMPUTED_VALUE""")," ১০/০২/১৯৬৬ ")</f>
        <v> ১০/০২/১৯৬৬ </v>
      </c>
      <c r="H132" s="10" t="str">
        <f>IFERROR(__xludf.DUMMYFUNCTION("""COMPUTED_VALUE""")," গৃহিনী ")</f>
        <v> গৃহিনী </v>
      </c>
      <c r="I132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3">
      <c r="A133" s="9" t="s">
        <v>2839</v>
      </c>
      <c r="B133" s="10">
        <f>IFERROR(__xludf.DUMMYFUNCTION("SPLIT(A133,""|"")"),126.0)</f>
        <v>126</v>
      </c>
      <c r="C133" s="10" t="str">
        <f>IFERROR(__xludf.DUMMYFUNCTION("""COMPUTED_VALUE""")," মোছাঃ নূরজাহান খাতুন ")</f>
        <v> মোছাঃ নূরজাহান খাতুন </v>
      </c>
      <c r="D133" s="10">
        <f>IFERROR(__xludf.DUMMYFUNCTION("""COMPUTED_VALUE"""),5.70056378028E11)</f>
        <v>570056378028</v>
      </c>
      <c r="E133" s="10" t="str">
        <f>IFERROR(__xludf.DUMMYFUNCTION("""COMPUTED_VALUE""")," নিয়ামত মন্ডল ")</f>
        <v> নিয়ামত মন্ডল </v>
      </c>
      <c r="F133" s="10" t="str">
        <f>IFERROR(__xludf.DUMMYFUNCTION("""COMPUTED_VALUE""")," মোছাঃ আলেপন ")</f>
        <v> মোছাঃ আলেপন </v>
      </c>
      <c r="G133" s="10" t="str">
        <f>IFERROR(__xludf.DUMMYFUNCTION("""COMPUTED_VALUE""")," ১৮/০৮/১৯৪২ ")</f>
        <v> ১৮/০৮/১৯৪২ </v>
      </c>
      <c r="H133" s="10" t="str">
        <f>IFERROR(__xludf.DUMMYFUNCTION("""COMPUTED_VALUE""")," গৃহিনী ")</f>
        <v> গৃহিনী </v>
      </c>
      <c r="I133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4">
      <c r="A134" s="9" t="s">
        <v>2840</v>
      </c>
      <c r="B134" s="10">
        <f>IFERROR(__xludf.DUMMYFUNCTION("SPLIT(A134,""|"")"),127.0)</f>
        <v>127</v>
      </c>
      <c r="C134" s="10" t="str">
        <f>IFERROR(__xludf.DUMMYFUNCTION("""COMPUTED_VALUE""")," মোছাঃ মদিনা খাতুন ")</f>
        <v> মোছাঃ মদিনা খাতুন </v>
      </c>
      <c r="D134" s="10">
        <f>IFERROR(__xludf.DUMMYFUNCTION("""COMPUTED_VALUE"""),5.70056378032E11)</f>
        <v>570056378032</v>
      </c>
      <c r="E134" s="10" t="str">
        <f>IFERROR(__xludf.DUMMYFUNCTION("""COMPUTED_VALUE""")," মোঃ গমের আলী ")</f>
        <v> মোঃ গমের আলী </v>
      </c>
      <c r="F134" s="10" t="str">
        <f>IFERROR(__xludf.DUMMYFUNCTION("""COMPUTED_VALUE""")," আমেনা খাতুন ")</f>
        <v> আমেনা খাতুন </v>
      </c>
      <c r="G134" s="10" t="str">
        <f>IFERROR(__xludf.DUMMYFUNCTION("""COMPUTED_VALUE""")," ১১/০৯/১৯৮১ ")</f>
        <v> ১১/০৯/১৯৮১ </v>
      </c>
      <c r="H134" s="10" t="str">
        <f>IFERROR(__xludf.DUMMYFUNCTION("""COMPUTED_VALUE""")," গৃহিনী ")</f>
        <v> গৃহিনী </v>
      </c>
      <c r="I134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5">
      <c r="A135" s="9" t="s">
        <v>2841</v>
      </c>
      <c r="B135" s="10">
        <f>IFERROR(__xludf.DUMMYFUNCTION("SPLIT(A135,""|"")"),128.0)</f>
        <v>128</v>
      </c>
      <c r="C135" s="10" t="str">
        <f>IFERROR(__xludf.DUMMYFUNCTION("""COMPUTED_VALUE""")," মোছাঃ রেহেনা খাতুন ")</f>
        <v> মোছাঃ রেহেনা খাতুন </v>
      </c>
      <c r="D135" s="10">
        <f>IFERROR(__xludf.DUMMYFUNCTION("""COMPUTED_VALUE"""),5.70056378033E11)</f>
        <v>570056378033</v>
      </c>
      <c r="E135" s="10" t="str">
        <f>IFERROR(__xludf.DUMMYFUNCTION("""COMPUTED_VALUE""")," মোঃ নবীছুদ্দীন ")</f>
        <v> মোঃ নবীছুদ্দীন </v>
      </c>
      <c r="F135" s="10" t="str">
        <f>IFERROR(__xludf.DUMMYFUNCTION("""COMPUTED_VALUE""")," জামিরন ")</f>
        <v> জামিরন </v>
      </c>
      <c r="G135" s="10" t="str">
        <f>IFERROR(__xludf.DUMMYFUNCTION("""COMPUTED_VALUE""")," ০১/০৬/১৯৭৯ ")</f>
        <v> ০১/০৬/১৯৭৯ </v>
      </c>
      <c r="H135" s="10" t="str">
        <f>IFERROR(__xludf.DUMMYFUNCTION("""COMPUTED_VALUE""")," গৃহিনী ")</f>
        <v> গৃহিনী </v>
      </c>
      <c r="I135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6">
      <c r="A136" s="9" t="s">
        <v>2842</v>
      </c>
      <c r="B136" s="10">
        <f>IFERROR(__xludf.DUMMYFUNCTION("SPLIT(A136,""|"")"),129.0)</f>
        <v>129</v>
      </c>
      <c r="C136" s="10" t="str">
        <f>IFERROR(__xludf.DUMMYFUNCTION("""COMPUTED_VALUE""")," মোছাঃ চায়না খাতুন ")</f>
        <v> মোছাঃ চায়না খাতুন </v>
      </c>
      <c r="D136" s="10">
        <f>IFERROR(__xludf.DUMMYFUNCTION("""COMPUTED_VALUE"""),5.70056378037E11)</f>
        <v>570056378037</v>
      </c>
      <c r="E136" s="10" t="str">
        <f>IFERROR(__xludf.DUMMYFUNCTION("""COMPUTED_VALUE""")," মোঃ আজির বসক ")</f>
        <v> মোঃ আজির বসক </v>
      </c>
      <c r="F136" s="10" t="str">
        <f>IFERROR(__xludf.DUMMYFUNCTION("""COMPUTED_VALUE""")," মোছাঃ সারেজান খাতুন ")</f>
        <v> মোছাঃ সারেজান খাতুন </v>
      </c>
      <c r="G136" s="10" t="str">
        <f>IFERROR(__xludf.DUMMYFUNCTION("""COMPUTED_VALUE""")," ১০/০২/১৯৮৭ ")</f>
        <v> ১০/০২/১৯৮৭ </v>
      </c>
      <c r="H136" s="10" t="str">
        <f>IFERROR(__xludf.DUMMYFUNCTION("""COMPUTED_VALUE""")," গৃহিনী ")</f>
        <v> গৃহিনী </v>
      </c>
      <c r="I136" s="10" t="str">
        <f>IFERROR(__xludf.DUMMYFUNCTION("""COMPUTED_VALUE""")," জালতকা, গাংনী, মেহেরপুর ")</f>
        <v> জালতকা, গাংনী, মেহেরপুর </v>
      </c>
    </row>
    <row r="137">
      <c r="A137" s="9" t="s">
        <v>2843</v>
      </c>
      <c r="B137" s="10">
        <f>IFERROR(__xludf.DUMMYFUNCTION("SPLIT(A137,""|"")"),130.0)</f>
        <v>130</v>
      </c>
      <c r="C137" s="10" t="str">
        <f>IFERROR(__xludf.DUMMYFUNCTION("""COMPUTED_VALUE""")," মোছাঃ নাজমা খাতুন ")</f>
        <v> মোছাঃ নাজমা খাতুন </v>
      </c>
      <c r="D137" s="10">
        <f>IFERROR(__xludf.DUMMYFUNCTION("""COMPUTED_VALUE"""),5.7005637804E11)</f>
        <v>570056378040</v>
      </c>
      <c r="E137" s="10" t="str">
        <f>IFERROR(__xludf.DUMMYFUNCTION("""COMPUTED_VALUE""")," মোঃ আলিম উদ্দীন ")</f>
        <v> মোঃ আলিম উদ্দীন </v>
      </c>
      <c r="F137" s="10" t="str">
        <f>IFERROR(__xludf.DUMMYFUNCTION("""COMPUTED_VALUE""")," মোছাঃ জরিনা খাতুন ")</f>
        <v> মোছাঃ জরিনা খাতুন </v>
      </c>
      <c r="G137" s="10" t="str">
        <f>IFERROR(__xludf.DUMMYFUNCTION("""COMPUTED_VALUE""")," ১০/১০/১৯৮২ ")</f>
        <v> ১০/১০/১৯৮২ </v>
      </c>
      <c r="H137" s="10" t="str">
        <f>IFERROR(__xludf.DUMMYFUNCTION("""COMPUTED_VALUE""")," গৃহিনী ")</f>
        <v> গৃহিনী </v>
      </c>
      <c r="I137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8">
      <c r="A138" s="9" t="s">
        <v>2844</v>
      </c>
      <c r="B138" s="10">
        <f>IFERROR(__xludf.DUMMYFUNCTION("SPLIT(A138,""|"")"),131.0)</f>
        <v>131</v>
      </c>
      <c r="C138" s="10" t="str">
        <f>IFERROR(__xludf.DUMMYFUNCTION("""COMPUTED_VALUE""")," মাইগ্রেট হয়েছে ")</f>
        <v> মাইগ্রেট হয়েছে </v>
      </c>
      <c r="D138" s="10" t="str">
        <f>IFERROR(__xludf.DUMMYFUNCTION("""COMPUTED_VALUE"""),"  ")</f>
        <v>  </v>
      </c>
      <c r="E138" s="10" t="str">
        <f>IFERROR(__xludf.DUMMYFUNCTION("""COMPUTED_VALUE"""),"  ")</f>
        <v>  </v>
      </c>
      <c r="F138" s="10" t="str">
        <f>IFERROR(__xludf.DUMMYFUNCTION("""COMPUTED_VALUE"""),"  ")</f>
        <v>  </v>
      </c>
      <c r="G138" s="10" t="str">
        <f>IFERROR(__xludf.DUMMYFUNCTION("""COMPUTED_VALUE"""),"  ")</f>
        <v>  </v>
      </c>
      <c r="H138" s="10" t="str">
        <f>IFERROR(__xludf.DUMMYFUNCTION("""COMPUTED_VALUE"""),"  ")</f>
        <v>  </v>
      </c>
      <c r="I138" s="10" t="str">
        <f>IFERROR(__xludf.DUMMYFUNCTION("""COMPUTED_VALUE"""),"  ")</f>
        <v>  </v>
      </c>
    </row>
    <row r="139">
      <c r="A139" s="9" t="s">
        <v>2845</v>
      </c>
      <c r="B139" s="10">
        <f>IFERROR(__xludf.DUMMYFUNCTION("SPLIT(A139,""|"")"),132.0)</f>
        <v>132</v>
      </c>
      <c r="C139" s="10" t="str">
        <f>IFERROR(__xludf.DUMMYFUNCTION("""COMPUTED_VALUE""")," মোছাঃ ফরিদা খাতুন ")</f>
        <v> মোছাঃ ফরিদা খাতুন </v>
      </c>
      <c r="D139" s="10">
        <f>IFERROR(__xludf.DUMMYFUNCTION("""COMPUTED_VALUE"""),5.70056378045E11)</f>
        <v>570056378045</v>
      </c>
      <c r="E139" s="10" t="str">
        <f>IFERROR(__xludf.DUMMYFUNCTION("""COMPUTED_VALUE""")," মোঃ শাহান আলী ")</f>
        <v> মোঃ শাহান আলী </v>
      </c>
      <c r="F139" s="10" t="str">
        <f>IFERROR(__xludf.DUMMYFUNCTION("""COMPUTED_VALUE""")," রুশিয়া খাতুন ")</f>
        <v> রুশিয়া খাতুন </v>
      </c>
      <c r="G139" s="10" t="str">
        <f>IFERROR(__xludf.DUMMYFUNCTION("""COMPUTED_VALUE""")," ০১/০১/১৯৮৪ ")</f>
        <v> ০১/০১/১৯৮৪ </v>
      </c>
      <c r="H139" s="10" t="str">
        <f>IFERROR(__xludf.DUMMYFUNCTION("""COMPUTED_VALUE""")," গৃহিনী ")</f>
        <v> গৃহিনী </v>
      </c>
      <c r="I139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0">
      <c r="A140" s="9" t="s">
        <v>2846</v>
      </c>
      <c r="B140" s="10">
        <f>IFERROR(__xludf.DUMMYFUNCTION("SPLIT(A140,""|"")"),133.0)</f>
        <v>133</v>
      </c>
      <c r="C140" s="10" t="str">
        <f>IFERROR(__xludf.DUMMYFUNCTION("""COMPUTED_VALUE""")," মোছাঃ মুক্তা খাতুন ")</f>
        <v> মোছাঃ মুক্তা খাতুন </v>
      </c>
      <c r="D140" s="10">
        <f>IFERROR(__xludf.DUMMYFUNCTION("""COMPUTED_VALUE"""),5.70056378047E11)</f>
        <v>570056378047</v>
      </c>
      <c r="E140" s="10" t="str">
        <f>IFERROR(__xludf.DUMMYFUNCTION("""COMPUTED_VALUE""")," মোঃ নূর আলী ")</f>
        <v> মোঃ নূর আলী </v>
      </c>
      <c r="F140" s="10" t="str">
        <f>IFERROR(__xludf.DUMMYFUNCTION("""COMPUTED_VALUE""")," মোছাঃ সকিনা খাতুন ")</f>
        <v> মোছাঃ সকিনা খাতুন </v>
      </c>
      <c r="G140" s="10" t="str">
        <f>IFERROR(__xludf.DUMMYFUNCTION("""COMPUTED_VALUE""")," ০১/০১/১৯৮৬ ")</f>
        <v> ০১/০১/১৯৮৬ </v>
      </c>
      <c r="H140" s="10" t="str">
        <f>IFERROR(__xludf.DUMMYFUNCTION("""COMPUTED_VALUE""")," গৃহিনী ")</f>
        <v> গৃহিনী </v>
      </c>
      <c r="I140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1">
      <c r="A141" s="9" t="s">
        <v>2847</v>
      </c>
      <c r="B141" s="10">
        <f>IFERROR(__xludf.DUMMYFUNCTION("SPLIT(A141,""|"")"),134.0)</f>
        <v>134</v>
      </c>
      <c r="C141" s="10" t="str">
        <f>IFERROR(__xludf.DUMMYFUNCTION("""COMPUTED_VALUE""")," মোছাঃ সজিনা খাতুন ")</f>
        <v> মোছাঃ সজিনা খাতুন </v>
      </c>
      <c r="D141" s="10">
        <f>IFERROR(__xludf.DUMMYFUNCTION("""COMPUTED_VALUE"""),5.7005637805E11)</f>
        <v>570056378050</v>
      </c>
      <c r="E141" s="10" t="str">
        <f>IFERROR(__xludf.DUMMYFUNCTION("""COMPUTED_VALUE""")," মোঃ হুজুর আলী ")</f>
        <v> মোঃ হুজুর আলী </v>
      </c>
      <c r="F141" s="10" t="str">
        <f>IFERROR(__xludf.DUMMYFUNCTION("""COMPUTED_VALUE""")," মোছাঃ মেহেরনীগার ")</f>
        <v> মোছাঃ মেহেরনীগার </v>
      </c>
      <c r="G141" s="10" t="str">
        <f>IFERROR(__xludf.DUMMYFUNCTION("""COMPUTED_VALUE""")," ০১/০১/১৯৪৫ ")</f>
        <v> ০১/০১/১৯৪৫ </v>
      </c>
      <c r="H141" s="10" t="str">
        <f>IFERROR(__xludf.DUMMYFUNCTION("""COMPUTED_VALUE""")," গৃহিনী ")</f>
        <v> গৃহিনী </v>
      </c>
      <c r="I141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2">
      <c r="A142" s="9" t="s">
        <v>2848</v>
      </c>
      <c r="B142" s="10">
        <f>IFERROR(__xludf.DUMMYFUNCTION("SPLIT(A142,""|"")"),135.0)</f>
        <v>135</v>
      </c>
      <c r="C142" s="10" t="str">
        <f>IFERROR(__xludf.DUMMYFUNCTION("""COMPUTED_VALUE""")," মোছাঃ কুলছন খাতুন ")</f>
        <v> মোছাঃ কুলছন খাতুন </v>
      </c>
      <c r="D142" s="10">
        <f>IFERROR(__xludf.DUMMYFUNCTION("""COMPUTED_VALUE"""),5.70056378051E11)</f>
        <v>570056378051</v>
      </c>
      <c r="E142" s="10" t="str">
        <f>IFERROR(__xludf.DUMMYFUNCTION("""COMPUTED_VALUE""")," মকছেদ মোল্লা ")</f>
        <v> মকছেদ মোল্লা </v>
      </c>
      <c r="F142" s="10" t="str">
        <f>IFERROR(__xludf.DUMMYFUNCTION("""COMPUTED_VALUE""")," মোছাঃ ছাহারন নেছা ")</f>
        <v> মোছাঃ ছাহারন নেছা </v>
      </c>
      <c r="G142" s="10" t="str">
        <f>IFERROR(__xludf.DUMMYFUNCTION("""COMPUTED_VALUE""")," ২১/০৩/১৯৬৯ ")</f>
        <v> ২১/০৩/১৯৬৯ </v>
      </c>
      <c r="H142" s="10" t="str">
        <f>IFERROR(__xludf.DUMMYFUNCTION("""COMPUTED_VALUE""")," গৃহিনী ")</f>
        <v> গৃহিনী </v>
      </c>
      <c r="I142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3">
      <c r="A143" s="9" t="s">
        <v>2849</v>
      </c>
      <c r="B143" s="10">
        <f>IFERROR(__xludf.DUMMYFUNCTION("SPLIT(A143,""|"")"),136.0)</f>
        <v>136</v>
      </c>
      <c r="C143" s="10" t="str">
        <f>IFERROR(__xludf.DUMMYFUNCTION("""COMPUTED_VALUE""")," মোছাঃ সাহার বানু ")</f>
        <v> মোছাঃ সাহার বানু </v>
      </c>
      <c r="D143" s="10">
        <f>IFERROR(__xludf.DUMMYFUNCTION("""COMPUTED_VALUE"""),5.70056378052E11)</f>
        <v>570056378052</v>
      </c>
      <c r="E143" s="10" t="str">
        <f>IFERROR(__xludf.DUMMYFUNCTION("""COMPUTED_VALUE""")," শফির উদ্দীন ")</f>
        <v> শফির উদ্দীন </v>
      </c>
      <c r="F143" s="10" t="str">
        <f>IFERROR(__xludf.DUMMYFUNCTION("""COMPUTED_VALUE""")," সবজান বেগম ")</f>
        <v> সবজান বেগম </v>
      </c>
      <c r="G143" s="10" t="str">
        <f>IFERROR(__xludf.DUMMYFUNCTION("""COMPUTED_VALUE""")," ০৯/০৬/১৯৬৯ ")</f>
        <v> ০৯/০৬/১৯৬৯ </v>
      </c>
      <c r="H143" s="10" t="str">
        <f>IFERROR(__xludf.DUMMYFUNCTION("""COMPUTED_VALUE""")," গৃহিনী ")</f>
        <v> গৃহিনী </v>
      </c>
      <c r="I143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4">
      <c r="A144" s="9" t="s">
        <v>2850</v>
      </c>
      <c r="B144" s="10">
        <f>IFERROR(__xludf.DUMMYFUNCTION("SPLIT(A144,""|"")"),137.0)</f>
        <v>137</v>
      </c>
      <c r="C144" s="10" t="str">
        <f>IFERROR(__xludf.DUMMYFUNCTION("""COMPUTED_VALUE""")," মোছাঃ মমতাজ খাতুন ")</f>
        <v> মোছাঃ মমতাজ খাতুন </v>
      </c>
      <c r="D144" s="10">
        <f>IFERROR(__xludf.DUMMYFUNCTION("""COMPUTED_VALUE"""),5.70056378053E11)</f>
        <v>570056378053</v>
      </c>
      <c r="E144" s="10" t="str">
        <f>IFERROR(__xludf.DUMMYFUNCTION("""COMPUTED_VALUE""")," মোঃ আকবর আলী ")</f>
        <v> মোঃ আকবর আলী </v>
      </c>
      <c r="F144" s="10" t="str">
        <f>IFERROR(__xludf.DUMMYFUNCTION("""COMPUTED_VALUE""")," মোছাঃ জাহানারা খাতুন ")</f>
        <v> মোছাঃ জাহানারা খাতুন </v>
      </c>
      <c r="G144" s="10" t="str">
        <f>IFERROR(__xludf.DUMMYFUNCTION("""COMPUTED_VALUE""")," ৩০/০১/১৯৭৭ ")</f>
        <v> ৩০/০১/১৯৭৭ </v>
      </c>
      <c r="H144" s="10" t="str">
        <f>IFERROR(__xludf.DUMMYFUNCTION("""COMPUTED_VALUE""")," গৃহিনী ")</f>
        <v> গৃহিনী </v>
      </c>
      <c r="I144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5">
      <c r="A145" s="9" t="s">
        <v>2851</v>
      </c>
      <c r="B145" s="10">
        <f>IFERROR(__xludf.DUMMYFUNCTION("SPLIT(A145,""|"")"),138.0)</f>
        <v>138</v>
      </c>
      <c r="C145" s="10" t="str">
        <f>IFERROR(__xludf.DUMMYFUNCTION("""COMPUTED_VALUE""")," মোছাঃ কুলছন নেছা ")</f>
        <v> মোছাঃ কুলছন নেছা </v>
      </c>
      <c r="D145" s="10">
        <f>IFERROR(__xludf.DUMMYFUNCTION("""COMPUTED_VALUE"""),5.70056378054E11)</f>
        <v>570056378054</v>
      </c>
      <c r="E145" s="10" t="str">
        <f>IFERROR(__xludf.DUMMYFUNCTION("""COMPUTED_VALUE""")," আকবর আলী ")</f>
        <v> আকবর আলী </v>
      </c>
      <c r="F145" s="10" t="str">
        <f>IFERROR(__xludf.DUMMYFUNCTION("""COMPUTED_VALUE""")," মোছাঃ আকিরন নেছা ")</f>
        <v> মোছাঃ আকিরন নেছা </v>
      </c>
      <c r="G145" s="10" t="str">
        <f>IFERROR(__xludf.DUMMYFUNCTION("""COMPUTED_VALUE""")," ০১/০১/১৯৬০ ")</f>
        <v> ০১/০১/১৯৬০ </v>
      </c>
      <c r="H145" s="10" t="str">
        <f>IFERROR(__xludf.DUMMYFUNCTION("""COMPUTED_VALUE""")," গৃহিনী ")</f>
        <v> গৃহিনী </v>
      </c>
      <c r="I145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6">
      <c r="A146" s="9" t="s">
        <v>2852</v>
      </c>
      <c r="B146" s="10">
        <f>IFERROR(__xludf.DUMMYFUNCTION("SPLIT(A146,""|"")"),139.0)</f>
        <v>139</v>
      </c>
      <c r="C146" s="10" t="str">
        <f>IFERROR(__xludf.DUMMYFUNCTION("""COMPUTED_VALUE""")," মোছাঃ রাবিয়া খাতুন ")</f>
        <v> মোছাঃ রাবিয়া খাতুন </v>
      </c>
      <c r="D146" s="10">
        <f>IFERROR(__xludf.DUMMYFUNCTION("""COMPUTED_VALUE"""),5.70056378055E11)</f>
        <v>570056378055</v>
      </c>
      <c r="E146" s="10" t="str">
        <f>IFERROR(__xludf.DUMMYFUNCTION("""COMPUTED_VALUE""")," নবিছুদ্দীন ")</f>
        <v> নবিছুদ্দীন </v>
      </c>
      <c r="F146" s="10" t="str">
        <f>IFERROR(__xludf.DUMMYFUNCTION("""COMPUTED_VALUE""")," মোছাঃ সাহার বানু ")</f>
        <v> মোছাঃ সাহার বানু </v>
      </c>
      <c r="G146" s="10" t="str">
        <f>IFERROR(__xludf.DUMMYFUNCTION("""COMPUTED_VALUE""")," ১০/০৬/১৯৭৪ ")</f>
        <v> ১০/০৬/১৯৭৪ </v>
      </c>
      <c r="H146" s="10" t="str">
        <f>IFERROR(__xludf.DUMMYFUNCTION("""COMPUTED_VALUE""")," গৃহিনী ")</f>
        <v> গৃহিনী </v>
      </c>
      <c r="I146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7">
      <c r="A147" s="9" t="s">
        <v>2853</v>
      </c>
      <c r="B147" s="10">
        <f>IFERROR(__xludf.DUMMYFUNCTION("SPLIT(A147,""|"")"),140.0)</f>
        <v>140</v>
      </c>
      <c r="C147" s="10" t="str">
        <f>IFERROR(__xludf.DUMMYFUNCTION("""COMPUTED_VALUE""")," মোছাঃ সাথী খাতুন ")</f>
        <v> মোছাঃ সাথী খাতুন </v>
      </c>
      <c r="D147" s="10">
        <f>IFERROR(__xludf.DUMMYFUNCTION("""COMPUTED_VALUE"""),5.70056378057E11)</f>
        <v>570056378057</v>
      </c>
      <c r="E147" s="10" t="str">
        <f>IFERROR(__xludf.DUMMYFUNCTION("""COMPUTED_VALUE""")," মোঃ নিজাম উদ্দীন ")</f>
        <v> মোঃ নিজাম উদ্দীন </v>
      </c>
      <c r="F147" s="10" t="str">
        <f>IFERROR(__xludf.DUMMYFUNCTION("""COMPUTED_VALUE""")," মোছাঃ আজরা খাতুন ")</f>
        <v> মোছাঃ আজরা খাতুন </v>
      </c>
      <c r="G147" s="10" t="str">
        <f>IFERROR(__xludf.DUMMYFUNCTION("""COMPUTED_VALUE""")," ০৬/০৪/১৯৮৪ ")</f>
        <v> ০৬/০৪/১৯৮৪ </v>
      </c>
      <c r="H147" s="10" t="str">
        <f>IFERROR(__xludf.DUMMYFUNCTION("""COMPUTED_VALUE""")," গৃহিনী ")</f>
        <v> গৃহিনী </v>
      </c>
      <c r="I147" s="10" t="str">
        <f>IFERROR(__xludf.DUMMYFUNCTION("""COMPUTED_VALUE""")," জালতকা, গাংনী, মেহেরপুর ")</f>
        <v> জালতকা, গাংনী, মেহেরপুর </v>
      </c>
    </row>
    <row r="148">
      <c r="A148" s="9" t="s">
        <v>2854</v>
      </c>
      <c r="B148" s="10">
        <f>IFERROR(__xludf.DUMMYFUNCTION("SPLIT(A148,""|"")"),141.0)</f>
        <v>141</v>
      </c>
      <c r="C148" s="10" t="str">
        <f>IFERROR(__xludf.DUMMYFUNCTION("""COMPUTED_VALUE""")," মোছাঃ মুর্শিদা খাতুন ")</f>
        <v> মোছাঃ মুর্শিদা খাতুন </v>
      </c>
      <c r="D148" s="10">
        <f>IFERROR(__xludf.DUMMYFUNCTION("""COMPUTED_VALUE"""),5.70056378059E11)</f>
        <v>570056378059</v>
      </c>
      <c r="E148" s="10" t="str">
        <f>IFERROR(__xludf.DUMMYFUNCTION("""COMPUTED_VALUE""")," মোঃ ওয়াজেদ ")</f>
        <v> মোঃ ওয়াজেদ </v>
      </c>
      <c r="F148" s="10" t="str">
        <f>IFERROR(__xludf.DUMMYFUNCTION("""COMPUTED_VALUE""")," মোছাঃ খসনুনাহার খাতুন ")</f>
        <v> মোছাঃ খসনুনাহার খাতুন </v>
      </c>
      <c r="G148" s="10" t="str">
        <f>IFERROR(__xludf.DUMMYFUNCTION("""COMPUTED_VALUE""")," ০৯/০৬/১৯৮৫ ")</f>
        <v> ০৯/০৬/১৯৮৫ </v>
      </c>
      <c r="H148" s="10" t="str">
        <f>IFERROR(__xludf.DUMMYFUNCTION("""COMPUTED_VALUE""")," গৃহিনী ")</f>
        <v> গৃহিনী </v>
      </c>
      <c r="I148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9">
      <c r="A149" s="9" t="s">
        <v>2855</v>
      </c>
      <c r="B149" s="10">
        <f>IFERROR(__xludf.DUMMYFUNCTION("SPLIT(A149,""|"")"),142.0)</f>
        <v>142</v>
      </c>
      <c r="C149" s="10" t="str">
        <f>IFERROR(__xludf.DUMMYFUNCTION("""COMPUTED_VALUE""")," মোছাঃ জমেলা খাতুন ")</f>
        <v> মোছাঃ জমেলা খাতুন </v>
      </c>
      <c r="D149" s="10">
        <f>IFERROR(__xludf.DUMMYFUNCTION("""COMPUTED_VALUE"""),5.70056378063E11)</f>
        <v>570056378063</v>
      </c>
      <c r="E149" s="10" t="str">
        <f>IFERROR(__xludf.DUMMYFUNCTION("""COMPUTED_VALUE""")," খোদাবকস মন্ডল ")</f>
        <v> খোদাবকস মন্ডল </v>
      </c>
      <c r="F149" s="10" t="str">
        <f>IFERROR(__xludf.DUMMYFUNCTION("""COMPUTED_VALUE""")," ঝুকি নেছা ")</f>
        <v> ঝুকি নেছা </v>
      </c>
      <c r="G149" s="10" t="str">
        <f>IFERROR(__xludf.DUMMYFUNCTION("""COMPUTED_VALUE""")," ১২/১১/১৯৬২ ")</f>
        <v> ১২/১১/১৯৬২ </v>
      </c>
      <c r="H149" s="10" t="str">
        <f>IFERROR(__xludf.DUMMYFUNCTION("""COMPUTED_VALUE""")," গৃহিনী ")</f>
        <v> গৃহিনী </v>
      </c>
      <c r="I149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0">
      <c r="A150" s="9" t="s">
        <v>2856</v>
      </c>
      <c r="B150" s="10">
        <f>IFERROR(__xludf.DUMMYFUNCTION("SPLIT(A150,""|"")"),143.0)</f>
        <v>143</v>
      </c>
      <c r="C150" s="10" t="str">
        <f>IFERROR(__xludf.DUMMYFUNCTION("""COMPUTED_VALUE""")," মোছাঃ রাশিদা খাতুন ")</f>
        <v> মোছাঃ রাশিদা খাতুন </v>
      </c>
      <c r="D150" s="10">
        <f>IFERROR(__xludf.DUMMYFUNCTION("""COMPUTED_VALUE"""),5.70056378068E11)</f>
        <v>570056378068</v>
      </c>
      <c r="E150" s="10" t="str">
        <f>IFERROR(__xludf.DUMMYFUNCTION("""COMPUTED_VALUE""")," মোঃ আশকার আলী ")</f>
        <v> মোঃ আশকার আলী </v>
      </c>
      <c r="F150" s="10" t="str">
        <f>IFERROR(__xludf.DUMMYFUNCTION("""COMPUTED_VALUE""")," মোছাঃ গনি আরা ")</f>
        <v> মোছাঃ গনি আরা </v>
      </c>
      <c r="G150" s="10" t="str">
        <f>IFERROR(__xludf.DUMMYFUNCTION("""COMPUTED_VALUE""")," ২৬/০৪/১৯৪২ ")</f>
        <v> ২৬/০৪/১৯৪২ </v>
      </c>
      <c r="H150" s="10" t="str">
        <f>IFERROR(__xludf.DUMMYFUNCTION("""COMPUTED_VALUE""")," গৃহিনী ")</f>
        <v> গৃহিনী </v>
      </c>
      <c r="I150" s="10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151">
      <c r="A151" s="9" t="s">
        <v>2857</v>
      </c>
      <c r="B151" s="10">
        <f>IFERROR(__xludf.DUMMYFUNCTION("SPLIT(A151,""|"")"),144.0)</f>
        <v>144</v>
      </c>
      <c r="C151" s="10" t="str">
        <f>IFERROR(__xludf.DUMMYFUNCTION("""COMPUTED_VALUE""")," মোছাঃ পপিয়ারা বেগম ")</f>
        <v> মোছাঃ পপিয়ারা বেগম </v>
      </c>
      <c r="D151" s="10">
        <f>IFERROR(__xludf.DUMMYFUNCTION("""COMPUTED_VALUE"""),5.7005637807E11)</f>
        <v>570056378070</v>
      </c>
      <c r="E151" s="10" t="str">
        <f>IFERROR(__xludf.DUMMYFUNCTION("""COMPUTED_VALUE""")," মোঃ আব্দুল খায়ের ")</f>
        <v> মোঃ আব্দুল খায়ের </v>
      </c>
      <c r="F151" s="10" t="str">
        <f>IFERROR(__xludf.DUMMYFUNCTION("""COMPUTED_VALUE""")," মোঃ সোনাভানু ")</f>
        <v> মোঃ সোনাভানু </v>
      </c>
      <c r="G151" s="10" t="str">
        <f>IFERROR(__xludf.DUMMYFUNCTION("""COMPUTED_VALUE""")," ২৪/০৭/১৯৮২ ")</f>
        <v> ২৪/০৭/১৯৮২ </v>
      </c>
      <c r="H151" s="10" t="str">
        <f>IFERROR(__xludf.DUMMYFUNCTION("""COMPUTED_VALUE""")," গৃহিনী ")</f>
        <v> গৃহিনী </v>
      </c>
      <c r="I151" s="10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152">
      <c r="A152" s="9" t="s">
        <v>2858</v>
      </c>
      <c r="B152" s="10">
        <f>IFERROR(__xludf.DUMMYFUNCTION("SPLIT(A152,""|"")"),145.0)</f>
        <v>145</v>
      </c>
      <c r="C152" s="10" t="str">
        <f>IFERROR(__xludf.DUMMYFUNCTION("""COMPUTED_VALUE""")," মোছাঃ শাহানাজ খাতুন ")</f>
        <v> মোছাঃ শাহানাজ খাতুন </v>
      </c>
      <c r="D152" s="10">
        <f>IFERROR(__xludf.DUMMYFUNCTION("""COMPUTED_VALUE"""),5.70056378073E11)</f>
        <v>570056378073</v>
      </c>
      <c r="E152" s="10" t="str">
        <f>IFERROR(__xludf.DUMMYFUNCTION("""COMPUTED_VALUE""")," মোঃ মসলেম আলী ")</f>
        <v> মোঃ মসলেম আলী </v>
      </c>
      <c r="F152" s="10" t="str">
        <f>IFERROR(__xludf.DUMMYFUNCTION("""COMPUTED_VALUE""")," মোছাঃ সাবেরা খাতুন ")</f>
        <v> মোছাঃ সাবেরা খাতুন </v>
      </c>
      <c r="G152" s="10" t="str">
        <f>IFERROR(__xludf.DUMMYFUNCTION("""COMPUTED_VALUE""")," ০৭/০৮/১৯৮১ ")</f>
        <v> ০৭/০৮/১৯৮১ </v>
      </c>
      <c r="H152" s="10" t="str">
        <f>IFERROR(__xludf.DUMMYFUNCTION("""COMPUTED_VALUE""")," গৃহিনী ")</f>
        <v> গৃহিনী </v>
      </c>
      <c r="I152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153">
      <c r="A153" s="9" t="s">
        <v>2859</v>
      </c>
      <c r="B153" s="10">
        <f>IFERROR(__xludf.DUMMYFUNCTION("SPLIT(A153,""|"")"),146.0)</f>
        <v>146</v>
      </c>
      <c r="C153" s="10" t="str">
        <f>IFERROR(__xludf.DUMMYFUNCTION("""COMPUTED_VALUE""")," মোছাঃ মুর্শিদা খাতুন ")</f>
        <v> মোছাঃ মুর্শিদা খাতুন </v>
      </c>
      <c r="D153" s="10">
        <f>IFERROR(__xludf.DUMMYFUNCTION("""COMPUTED_VALUE"""),5.70056378081E11)</f>
        <v>570056378081</v>
      </c>
      <c r="E153" s="10" t="str">
        <f>IFERROR(__xludf.DUMMYFUNCTION("""COMPUTED_VALUE""")," মোঃ নূরইসলাম ")</f>
        <v> মোঃ নূরইসলাম </v>
      </c>
      <c r="F153" s="10" t="str">
        <f>IFERROR(__xludf.DUMMYFUNCTION("""COMPUTED_VALUE""")," মোছাঃ নিহারন ")</f>
        <v> মোছাঃ নিহারন </v>
      </c>
      <c r="G153" s="10" t="str">
        <f>IFERROR(__xludf.DUMMYFUNCTION("""COMPUTED_VALUE""")," ০৭/০৬/১৯৮২ ")</f>
        <v> ০৭/০৬/১৯৮২ </v>
      </c>
      <c r="H153" s="10" t="str">
        <f>IFERROR(__xludf.DUMMYFUNCTION("""COMPUTED_VALUE""")," গৃহিনী ")</f>
        <v> গৃহিনী </v>
      </c>
      <c r="I153" s="10" t="str">
        <f>IFERROR(__xludf.DUMMYFUNCTION("""COMPUTED_VALUE""")," জালতকা, গাংনী, মেহেরপুর ")</f>
        <v> জালতকা, গাংনী, মেহেরপুর </v>
      </c>
    </row>
    <row r="154">
      <c r="A154" s="9" t="s">
        <v>2860</v>
      </c>
      <c r="B154" s="10">
        <f>IFERROR(__xludf.DUMMYFUNCTION("SPLIT(A154,""|"")"),147.0)</f>
        <v>147</v>
      </c>
      <c r="C154" s="10" t="str">
        <f>IFERROR(__xludf.DUMMYFUNCTION("""COMPUTED_VALUE""")," মোছাঃ ছামসুন্নাহার ")</f>
        <v> মোছাঃ ছামসুন্নাহার </v>
      </c>
      <c r="D154" s="10">
        <f>IFERROR(__xludf.DUMMYFUNCTION("""COMPUTED_VALUE"""),5.70056378082E11)</f>
        <v>570056378082</v>
      </c>
      <c r="E154" s="10" t="str">
        <f>IFERROR(__xludf.DUMMYFUNCTION("""COMPUTED_VALUE""")," মোঃ মহির উদ্দীন ")</f>
        <v> মোঃ মহির উদ্দীন </v>
      </c>
      <c r="F154" s="10" t="str">
        <f>IFERROR(__xludf.DUMMYFUNCTION("""COMPUTED_VALUE""")," মোছাঃ নুরজাহান ")</f>
        <v> মোছাঃ নুরজাহান </v>
      </c>
      <c r="G154" s="10" t="str">
        <f>IFERROR(__xludf.DUMMYFUNCTION("""COMPUTED_VALUE""")," ২৯/০৯/১৯৮৭ ")</f>
        <v> ২৯/০৯/১৯৮৭ </v>
      </c>
      <c r="H154" s="10" t="str">
        <f>IFERROR(__xludf.DUMMYFUNCTION("""COMPUTED_VALUE""")," গৃহিনী ")</f>
        <v> গৃহিনী </v>
      </c>
      <c r="I154" s="10" t="str">
        <f>IFERROR(__xludf.DUMMYFUNCTION("""COMPUTED_VALUE""")," জালতকা, গাংনী, মেহেরপুর ")</f>
        <v> জালতকা, গাংনী, মেহেরপুর </v>
      </c>
    </row>
    <row r="155">
      <c r="A155" s="9" t="s">
        <v>2861</v>
      </c>
      <c r="B155" s="10">
        <f>IFERROR(__xludf.DUMMYFUNCTION("SPLIT(A155,""|"")"),148.0)</f>
        <v>148</v>
      </c>
      <c r="C155" s="10" t="str">
        <f>IFERROR(__xludf.DUMMYFUNCTION("""COMPUTED_VALUE""")," মোছাঃ জহুরা খাতুন ")</f>
        <v> মোছাঃ জহুরা খাতুন </v>
      </c>
      <c r="D155" s="10">
        <f>IFERROR(__xludf.DUMMYFUNCTION("""COMPUTED_VALUE"""),5.70056378089E11)</f>
        <v>570056378089</v>
      </c>
      <c r="E155" s="10" t="str">
        <f>IFERROR(__xludf.DUMMYFUNCTION("""COMPUTED_VALUE""")," আবুল হোসেন ")</f>
        <v> আবুল হোসেন </v>
      </c>
      <c r="F155" s="10" t="str">
        <f>IFERROR(__xludf.DUMMYFUNCTION("""COMPUTED_VALUE""")," মোছাঃ ছিয়ারন নেছা ")</f>
        <v> মোছাঃ ছিয়ারন নেছা </v>
      </c>
      <c r="G155" s="10" t="str">
        <f>IFERROR(__xludf.DUMMYFUNCTION("""COMPUTED_VALUE""")," ০১/০১/১৯৫৮ ")</f>
        <v> ০১/০১/১৯৫৮ </v>
      </c>
      <c r="H155" s="10" t="str">
        <f>IFERROR(__xludf.DUMMYFUNCTION("""COMPUTED_VALUE""")," গৃহিনী ")</f>
        <v> গৃহিনী </v>
      </c>
      <c r="I155" s="10" t="str">
        <f>IFERROR(__xludf.DUMMYFUNCTION("""COMPUTED_VALUE""")," জালতকা, গাংনী, মেহেরপুর ")</f>
        <v> জালতকা, গাংনী, মেহেরপুর </v>
      </c>
    </row>
    <row r="156">
      <c r="A156" s="9" t="s">
        <v>2862</v>
      </c>
      <c r="B156" s="10">
        <f>IFERROR(__xludf.DUMMYFUNCTION("SPLIT(A156,""|"")"),149.0)</f>
        <v>149</v>
      </c>
      <c r="C156" s="10" t="str">
        <f>IFERROR(__xludf.DUMMYFUNCTION("""COMPUTED_VALUE""")," মোছাঃ সাহার বানু ")</f>
        <v> মোছাঃ সাহার বানু </v>
      </c>
      <c r="D156" s="10">
        <f>IFERROR(__xludf.DUMMYFUNCTION("""COMPUTED_VALUE"""),5.7005637809E11)</f>
        <v>570056378090</v>
      </c>
      <c r="E156" s="10" t="str">
        <f>IFERROR(__xludf.DUMMYFUNCTION("""COMPUTED_VALUE""")," কাসেম আলী ")</f>
        <v> কাসেম আলী </v>
      </c>
      <c r="F156" s="10" t="str">
        <f>IFERROR(__xludf.DUMMYFUNCTION("""COMPUTED_VALUE""")," মোছাঃ নাজমা খাতুন ")</f>
        <v> মোছাঃ নাজমা খাতুন </v>
      </c>
      <c r="G156" s="10" t="str">
        <f>IFERROR(__xludf.DUMMYFUNCTION("""COMPUTED_VALUE""")," ১০/০৩/১৯৫২ ")</f>
        <v> ১০/০৩/১৯৫২ </v>
      </c>
      <c r="H156" s="10" t="str">
        <f>IFERROR(__xludf.DUMMYFUNCTION("""COMPUTED_VALUE""")," গৃহিনী ")</f>
        <v> গৃহিনী </v>
      </c>
      <c r="I156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7">
      <c r="A157" s="9" t="s">
        <v>2863</v>
      </c>
      <c r="B157" s="10">
        <f>IFERROR(__xludf.DUMMYFUNCTION("SPLIT(A157,""|"")"),150.0)</f>
        <v>150</v>
      </c>
      <c r="C157" s="10" t="str">
        <f>IFERROR(__xludf.DUMMYFUNCTION("""COMPUTED_VALUE""")," মোছাঃ রমেছা খাতুন ")</f>
        <v> মোছাঃ রমেছা খাতুন </v>
      </c>
      <c r="D157" s="10">
        <f>IFERROR(__xludf.DUMMYFUNCTION("""COMPUTED_VALUE"""),5.70056378091E11)</f>
        <v>570056378091</v>
      </c>
      <c r="E157" s="10" t="str">
        <f>IFERROR(__xludf.DUMMYFUNCTION("""COMPUTED_VALUE""")," মোঃ মশলেম মন্ডল ")</f>
        <v> মোঃ মশলেম মন্ডল </v>
      </c>
      <c r="F157" s="10" t="str">
        <f>IFERROR(__xludf.DUMMYFUNCTION("""COMPUTED_VALUE""")," মোছাঃ মনোয়ারা ")</f>
        <v> মোছাঃ মনোয়ারা </v>
      </c>
      <c r="G157" s="10" t="str">
        <f>IFERROR(__xludf.DUMMYFUNCTION("""COMPUTED_VALUE""")," ১৭/০১/১৯৭৩ ")</f>
        <v> ১৭/০১/১৯৭৩ </v>
      </c>
      <c r="H157" s="10" t="str">
        <f>IFERROR(__xludf.DUMMYFUNCTION("""COMPUTED_VALUE""")," গৃহিনী ")</f>
        <v> গৃহিনী </v>
      </c>
      <c r="I157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8">
      <c r="A158" s="9" t="s">
        <v>2864</v>
      </c>
      <c r="B158" s="10">
        <f>IFERROR(__xludf.DUMMYFUNCTION("SPLIT(A158,""|"")"),151.0)</f>
        <v>151</v>
      </c>
      <c r="C158" s="10" t="str">
        <f>IFERROR(__xludf.DUMMYFUNCTION("""COMPUTED_VALUE""")," মোছাঃ নুরজাহান বেগম ")</f>
        <v> মোছাঃ নুরজাহান বেগম </v>
      </c>
      <c r="D158" s="10">
        <f>IFERROR(__xludf.DUMMYFUNCTION("""COMPUTED_VALUE"""),5.70056378093E11)</f>
        <v>570056378093</v>
      </c>
      <c r="E158" s="10" t="str">
        <f>IFERROR(__xludf.DUMMYFUNCTION("""COMPUTED_VALUE""")," মুনছার মন্ডল ")</f>
        <v> মুনছার মন্ডল </v>
      </c>
      <c r="F158" s="10" t="str">
        <f>IFERROR(__xludf.DUMMYFUNCTION("""COMPUTED_VALUE""")," সবুরন নেছা ")</f>
        <v> সবুরন নেছা </v>
      </c>
      <c r="G158" s="10" t="str">
        <f>IFERROR(__xludf.DUMMYFUNCTION("""COMPUTED_VALUE""")," ১৩/১২/১৯৪২ ")</f>
        <v> ১৩/১২/১৯৪২ </v>
      </c>
      <c r="H158" s="10" t="str">
        <f>IFERROR(__xludf.DUMMYFUNCTION("""COMPUTED_VALUE""")," গৃহিনী ")</f>
        <v> গৃহিনী </v>
      </c>
      <c r="I158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159">
      <c r="A159" s="9" t="s">
        <v>2865</v>
      </c>
      <c r="B159" s="10">
        <f>IFERROR(__xludf.DUMMYFUNCTION("SPLIT(A159,""|"")"),152.0)</f>
        <v>152</v>
      </c>
      <c r="C159" s="10" t="str">
        <f>IFERROR(__xludf.DUMMYFUNCTION("""COMPUTED_VALUE""")," মোছাঃ হাসিনা খাতুন ")</f>
        <v> মোছাঃ হাসিনা খাতুন </v>
      </c>
      <c r="D159" s="10">
        <f>IFERROR(__xludf.DUMMYFUNCTION("""COMPUTED_VALUE"""),5.70056378094E11)</f>
        <v>570056378094</v>
      </c>
      <c r="E159" s="10" t="str">
        <f>IFERROR(__xludf.DUMMYFUNCTION("""COMPUTED_VALUE""")," মুবারেক আলী ")</f>
        <v> মুবারেক আলী </v>
      </c>
      <c r="F159" s="10" t="str">
        <f>IFERROR(__xludf.DUMMYFUNCTION("""COMPUTED_VALUE""")," জনুরা বিবি ")</f>
        <v> জনুরা বিবি </v>
      </c>
      <c r="G159" s="10" t="str">
        <f>IFERROR(__xludf.DUMMYFUNCTION("""COMPUTED_VALUE""")," ১৭/১১/১৯৬২ ")</f>
        <v> ১৭/১১/১৯৬২ </v>
      </c>
      <c r="H159" s="10" t="str">
        <f>IFERROR(__xludf.DUMMYFUNCTION("""COMPUTED_VALUE""")," গৃহিনী ")</f>
        <v> গৃহিনী </v>
      </c>
      <c r="I159" s="10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60">
      <c r="A160" s="9" t="s">
        <v>2866</v>
      </c>
      <c r="B160" s="10">
        <f>IFERROR(__xludf.DUMMYFUNCTION("SPLIT(A160,""|"")"),153.0)</f>
        <v>153</v>
      </c>
      <c r="C160" s="10" t="str">
        <f>IFERROR(__xludf.DUMMYFUNCTION("""COMPUTED_VALUE""")," মোছাঃ পাপিয়া খাতুন ")</f>
        <v> মোছাঃ পাপিয়া খাতুন </v>
      </c>
      <c r="D160" s="10">
        <f>IFERROR(__xludf.DUMMYFUNCTION("""COMPUTED_VALUE"""),5.70056378097E11)</f>
        <v>570056378097</v>
      </c>
      <c r="E160" s="10" t="str">
        <f>IFERROR(__xludf.DUMMYFUNCTION("""COMPUTED_VALUE""")," মোঃ খায়রুল ইসলাম ")</f>
        <v> মোঃ খায়রুল ইসলাম </v>
      </c>
      <c r="F160" s="10" t="str">
        <f>IFERROR(__xludf.DUMMYFUNCTION("""COMPUTED_VALUE""")," মোছাঃ কলবানু খাতুন ")</f>
        <v> মোছাঃ কলবানু খাতুন </v>
      </c>
      <c r="G160" s="10" t="str">
        <f>IFERROR(__xludf.DUMMYFUNCTION("""COMPUTED_VALUE""")," ০১/০১/১৯৮৮ ")</f>
        <v> ০১/০১/১৯৮৮ </v>
      </c>
      <c r="H160" s="10" t="str">
        <f>IFERROR(__xludf.DUMMYFUNCTION("""COMPUTED_VALUE""")," গৃহিনী ")</f>
        <v> গৃহিনী </v>
      </c>
      <c r="I160" s="10" t="str">
        <f>IFERROR(__xludf.DUMMYFUNCTION("""COMPUTED_VALUE""")," জালতকা, গাংনী, মেহেরপুর ")</f>
        <v> জালতকা, গাংনী, মেহেরপুর </v>
      </c>
    </row>
    <row r="161">
      <c r="A161" s="9" t="s">
        <v>2867</v>
      </c>
      <c r="B161" s="10">
        <f>IFERROR(__xludf.DUMMYFUNCTION("SPLIT(A161,""|"")"),154.0)</f>
        <v>154</v>
      </c>
      <c r="C161" s="10" t="str">
        <f>IFERROR(__xludf.DUMMYFUNCTION("""COMPUTED_VALUE""")," মোছাঃ পারভিনা খাতুন ")</f>
        <v> মোছাঃ পারভিনা খাতুন </v>
      </c>
      <c r="D161" s="10">
        <f>IFERROR(__xludf.DUMMYFUNCTION("""COMPUTED_VALUE"""),5.700563781E11)</f>
        <v>570056378100</v>
      </c>
      <c r="E161" s="10" t="str">
        <f>IFERROR(__xludf.DUMMYFUNCTION("""COMPUTED_VALUE""")," মোঃ হাফিজ উদ্দীন ")</f>
        <v> মোঃ হাফিজ উদ্দীন </v>
      </c>
      <c r="F161" s="10" t="str">
        <f>IFERROR(__xludf.DUMMYFUNCTION("""COMPUTED_VALUE""")," মোছাঃ রাবিয়া খাতুন ")</f>
        <v> মোছাঃ রাবিয়া খাতুন </v>
      </c>
      <c r="G161" s="10" t="str">
        <f>IFERROR(__xludf.DUMMYFUNCTION("""COMPUTED_VALUE""")," ০৩/০২/১৯৭৪ ")</f>
        <v> ০৩/০২/১৯৭৪ </v>
      </c>
      <c r="H161" s="10" t="str">
        <f>IFERROR(__xludf.DUMMYFUNCTION("""COMPUTED_VALUE""")," গৃহিনী ")</f>
        <v> গৃহিনী </v>
      </c>
      <c r="I161" s="10" t="str">
        <f>IFERROR(__xludf.DUMMYFUNCTION("""COMPUTED_VALUE""")," জালতকা উত্তরপাড়া, কসবা, গাংনী, মেহেরপুর ")</f>
        <v> জালতকা উত্তরপাড়া, কসবা, গাংনী, মেহেরপুর </v>
      </c>
    </row>
    <row r="162">
      <c r="A162" s="9" t="s">
        <v>2868</v>
      </c>
      <c r="B162" s="10">
        <f>IFERROR(__xludf.DUMMYFUNCTION("SPLIT(A162,""|"")"),155.0)</f>
        <v>155</v>
      </c>
      <c r="C162" s="10" t="str">
        <f>IFERROR(__xludf.DUMMYFUNCTION("""COMPUTED_VALUE""")," মোছাঃ হাজেরা খাতুন ")</f>
        <v> মোছাঃ হাজেরা খাতুন </v>
      </c>
      <c r="D162" s="10">
        <f>IFERROR(__xludf.DUMMYFUNCTION("""COMPUTED_VALUE"""),5.70056378101E11)</f>
        <v>570056378101</v>
      </c>
      <c r="E162" s="10" t="str">
        <f>IFERROR(__xludf.DUMMYFUNCTION("""COMPUTED_VALUE""")," ইয়াকুব মন্ডল ")</f>
        <v> ইয়াকুব মন্ডল </v>
      </c>
      <c r="F162" s="10" t="str">
        <f>IFERROR(__xludf.DUMMYFUNCTION("""COMPUTED_VALUE""")," ছপুরা খাতুন ")</f>
        <v> ছপুরা খাতুন </v>
      </c>
      <c r="G162" s="10" t="str">
        <f>IFERROR(__xludf.DUMMYFUNCTION("""COMPUTED_VALUE""")," ১/১০/১৯৬৯ ")</f>
        <v> ১/১০/১৯৬৯ </v>
      </c>
      <c r="H162" s="10" t="str">
        <f>IFERROR(__xludf.DUMMYFUNCTION("""COMPUTED_VALUE""")," গৃহিনী ")</f>
        <v> গৃহিনী </v>
      </c>
      <c r="I162" s="10" t="str">
        <f>IFERROR(__xludf.DUMMYFUNCTION("""COMPUTED_VALUE""")," জালতকা, গাংনী, মেহেরপুর ")</f>
        <v> জালতকা, গাংনী, মেহেরপুর </v>
      </c>
    </row>
    <row r="163">
      <c r="A163" s="9" t="s">
        <v>2869</v>
      </c>
      <c r="B163" s="10">
        <f>IFERROR(__xludf.DUMMYFUNCTION("SPLIT(A163,""|"")"),156.0)</f>
        <v>156</v>
      </c>
      <c r="C163" s="10" t="str">
        <f>IFERROR(__xludf.DUMMYFUNCTION("""COMPUTED_VALUE""")," মোছাঃ রিজিয়া খাতুন ")</f>
        <v> মোছাঃ রিজিয়া খাতুন </v>
      </c>
      <c r="D163" s="10">
        <f>IFERROR(__xludf.DUMMYFUNCTION("""COMPUTED_VALUE"""),5.70056378102E11)</f>
        <v>570056378102</v>
      </c>
      <c r="E163" s="10" t="str">
        <f>IFERROR(__xludf.DUMMYFUNCTION("""COMPUTED_VALUE""")," মহব্বত আলী ")</f>
        <v> মহব্বত আলী </v>
      </c>
      <c r="F163" s="10" t="str">
        <f>IFERROR(__xludf.DUMMYFUNCTION("""COMPUTED_VALUE""")," মোছাঃ আলতাফন নেছা ")</f>
        <v> মোছাঃ আলতাফন নেছা </v>
      </c>
      <c r="G163" s="10" t="str">
        <f>IFERROR(__xludf.DUMMYFUNCTION("""COMPUTED_VALUE""")," ১৭/০২/১৯৬৪ ")</f>
        <v> ১৭/০২/১৯৬৪ </v>
      </c>
      <c r="H163" s="10" t="str">
        <f>IFERROR(__xludf.DUMMYFUNCTION("""COMPUTED_VALUE""")," গৃহিনী ")</f>
        <v> গৃহিনী </v>
      </c>
      <c r="I163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4">
      <c r="A164" s="9" t="s">
        <v>2870</v>
      </c>
      <c r="B164" s="10">
        <f>IFERROR(__xludf.DUMMYFUNCTION("SPLIT(A164,""|"")"),157.0)</f>
        <v>157</v>
      </c>
      <c r="C164" s="10" t="str">
        <f>IFERROR(__xludf.DUMMYFUNCTION("""COMPUTED_VALUE""")," মোছাঃ শান্তিআরা খাতুন ")</f>
        <v> মোছাঃ শান্তিআরা খাতুন </v>
      </c>
      <c r="D164" s="10">
        <f>IFERROR(__xludf.DUMMYFUNCTION("""COMPUTED_VALUE"""),5.70056378106E11)</f>
        <v>570056378106</v>
      </c>
      <c r="E164" s="10" t="str">
        <f>IFERROR(__xludf.DUMMYFUNCTION("""COMPUTED_VALUE""")," মোঃ আয়েল সর্দ্দার ")</f>
        <v> মোঃ আয়েল সর্দ্দার </v>
      </c>
      <c r="F164" s="10" t="str">
        <f>IFERROR(__xludf.DUMMYFUNCTION("""COMPUTED_VALUE""")," মোছাঃ জরিনা খাতুন ")</f>
        <v> মোছাঃ জরিনা খাতুন </v>
      </c>
      <c r="G164" s="10" t="str">
        <f>IFERROR(__xludf.DUMMYFUNCTION("""COMPUTED_VALUE""")," ২৩/০৫/১৯৭৬ ")</f>
        <v> ২৩/০৫/১৯৭৬ </v>
      </c>
      <c r="H164" s="10" t="str">
        <f>IFERROR(__xludf.DUMMYFUNCTION("""COMPUTED_VALUE""")," গৃহিনী ")</f>
        <v> গৃহিনী </v>
      </c>
      <c r="I164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5">
      <c r="A165" s="9" t="s">
        <v>2871</v>
      </c>
      <c r="B165" s="10">
        <f>IFERROR(__xludf.DUMMYFUNCTION("SPLIT(A165,""|"")"),158.0)</f>
        <v>158</v>
      </c>
      <c r="C165" s="10" t="str">
        <f>IFERROR(__xludf.DUMMYFUNCTION("""COMPUTED_VALUE""")," মোছাঃ সাবিনা ইয়াসমিন ")</f>
        <v> মোছাঃ সাবিনা ইয়াসমিন </v>
      </c>
      <c r="D165" s="10">
        <f>IFERROR(__xludf.DUMMYFUNCTION("""COMPUTED_VALUE"""),5.70056378108E11)</f>
        <v>570056378108</v>
      </c>
      <c r="E165" s="10" t="str">
        <f>IFERROR(__xludf.DUMMYFUNCTION("""COMPUTED_VALUE""")," মোঃ মোজাম্মেল হক ")</f>
        <v> মোঃ মোজাম্মেল হক </v>
      </c>
      <c r="F165" s="10" t="str">
        <f>IFERROR(__xludf.DUMMYFUNCTION("""COMPUTED_VALUE""")," মোছাঃ রোকেনা খাতুন ")</f>
        <v> মোছাঃ রোকেনা খাতুন </v>
      </c>
      <c r="G165" s="10" t="str">
        <f>IFERROR(__xludf.DUMMYFUNCTION("""COMPUTED_VALUE""")," ০৫/০৩/১৯৮৪ ")</f>
        <v> ০৫/০৩/১৯৮৪ </v>
      </c>
      <c r="H165" s="10" t="str">
        <f>IFERROR(__xludf.DUMMYFUNCTION("""COMPUTED_VALUE""")," গৃহিনী ")</f>
        <v> গৃহিনী </v>
      </c>
      <c r="I165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6">
      <c r="A166" s="9" t="s">
        <v>2872</v>
      </c>
      <c r="B166" s="10">
        <f>IFERROR(__xludf.DUMMYFUNCTION("SPLIT(A166,""|"")"),159.0)</f>
        <v>159</v>
      </c>
      <c r="C166" s="10" t="str">
        <f>IFERROR(__xludf.DUMMYFUNCTION("""COMPUTED_VALUE""")," মোছাঃ কহিনুর নেছা ")</f>
        <v> মোছাঃ কহিনুর নেছা </v>
      </c>
      <c r="D166" s="10">
        <f>IFERROR(__xludf.DUMMYFUNCTION("""COMPUTED_VALUE"""),5.70056378109E11)</f>
        <v>570056378109</v>
      </c>
      <c r="E166" s="10" t="str">
        <f>IFERROR(__xludf.DUMMYFUNCTION("""COMPUTED_VALUE""")," শাহাবুদ্দীন পরামানিক ")</f>
        <v> শাহাবুদ্দীন পরামানিক </v>
      </c>
      <c r="F166" s="10" t="str">
        <f>IFERROR(__xludf.DUMMYFUNCTION("""COMPUTED_VALUE""")," মোছাঃ নিহারন নেছা ")</f>
        <v> মোছাঃ নিহারন নেছা </v>
      </c>
      <c r="G166" s="10" t="str">
        <f>IFERROR(__xludf.DUMMYFUNCTION("""COMPUTED_VALUE""")," ১৭/০১/১৯৫২ ")</f>
        <v> ১৭/০১/১৯৫২ </v>
      </c>
      <c r="H166" s="10" t="str">
        <f>IFERROR(__xludf.DUMMYFUNCTION("""COMPUTED_VALUE""")," গৃহিনী ")</f>
        <v> গৃহিনী </v>
      </c>
      <c r="I166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7">
      <c r="A167" s="9" t="s">
        <v>2873</v>
      </c>
      <c r="B167" s="10">
        <f>IFERROR(__xludf.DUMMYFUNCTION("SPLIT(A167,""|"")"),160.0)</f>
        <v>160</v>
      </c>
      <c r="C167" s="10" t="str">
        <f>IFERROR(__xludf.DUMMYFUNCTION("""COMPUTED_VALUE""")," মোছাঃ বিউটি খাতুন ")</f>
        <v> মোছাঃ বিউটি খাতুন </v>
      </c>
      <c r="D167" s="10">
        <f>IFERROR(__xludf.DUMMYFUNCTION("""COMPUTED_VALUE"""),5.70056378111E11)</f>
        <v>570056378111</v>
      </c>
      <c r="E167" s="10" t="str">
        <f>IFERROR(__xludf.DUMMYFUNCTION("""COMPUTED_VALUE""")," রইছুদ্দীন মন্ডল ")</f>
        <v> রইছুদ্দীন মন্ডল </v>
      </c>
      <c r="F167" s="10" t="str">
        <f>IFERROR(__xludf.DUMMYFUNCTION("""COMPUTED_VALUE""")," রাবেয়া খাতুন ")</f>
        <v> রাবেয়া খাতুন </v>
      </c>
      <c r="G167" s="10" t="str">
        <f>IFERROR(__xludf.DUMMYFUNCTION("""COMPUTED_VALUE""")," ০১/০১/১৯৭৩ ")</f>
        <v> ০১/০১/১৯৭৩ </v>
      </c>
      <c r="H167" s="10" t="str">
        <f>IFERROR(__xludf.DUMMYFUNCTION("""COMPUTED_VALUE""")," গৃহিনী ")</f>
        <v> গৃহিনী </v>
      </c>
      <c r="I167" s="10" t="str">
        <f>IFERROR(__xludf.DUMMYFUNCTION("""COMPUTED_VALUE""")," জালতকা, গাংনী, মেহেরপুর ")</f>
        <v> জালতকা, গাংনী, মেহেরপুর </v>
      </c>
    </row>
    <row r="168">
      <c r="A168" s="9" t="s">
        <v>2874</v>
      </c>
      <c r="B168" s="10">
        <f>IFERROR(__xludf.DUMMYFUNCTION("SPLIT(A168,""|"")"),161.0)</f>
        <v>161</v>
      </c>
      <c r="C168" s="10" t="str">
        <f>IFERROR(__xludf.DUMMYFUNCTION("""COMPUTED_VALUE""")," মোছাঃ সাহেরা খাতুন ")</f>
        <v> মোছাঃ সাহেরা খাতুন </v>
      </c>
      <c r="D168" s="10">
        <f>IFERROR(__xludf.DUMMYFUNCTION("""COMPUTED_VALUE"""),5.70056378113E11)</f>
        <v>570056378113</v>
      </c>
      <c r="E168" s="10" t="str">
        <f>IFERROR(__xludf.DUMMYFUNCTION("""COMPUTED_VALUE""")," মোঃ তাহাজ উদ্দীন ")</f>
        <v> মোঃ তাহাজ উদ্দীন </v>
      </c>
      <c r="F168" s="10" t="str">
        <f>IFERROR(__xludf.DUMMYFUNCTION("""COMPUTED_VALUE""")," মোছাঃ কাবা খাতুন ")</f>
        <v> মোছাঃ কাবা খাতুন </v>
      </c>
      <c r="G168" s="10" t="str">
        <f>IFERROR(__xludf.DUMMYFUNCTION("""COMPUTED_VALUE""")," ৩১/১২/১৯৮৩ ")</f>
        <v> ৩১/১২/১৯৮৩ </v>
      </c>
      <c r="H168" s="10" t="str">
        <f>IFERROR(__xludf.DUMMYFUNCTION("""COMPUTED_VALUE""")," গৃহিনী ")</f>
        <v> গৃহিনী </v>
      </c>
      <c r="I168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9">
      <c r="A169" s="9" t="s">
        <v>2875</v>
      </c>
      <c r="B169" s="10">
        <f>IFERROR(__xludf.DUMMYFUNCTION("SPLIT(A169,""|"")"),162.0)</f>
        <v>162</v>
      </c>
      <c r="C169" s="10" t="str">
        <f>IFERROR(__xludf.DUMMYFUNCTION("""COMPUTED_VALUE""")," মোছাঃ মাবিয়া খাতুন ")</f>
        <v> মোছাঃ মাবিয়া খাতুন </v>
      </c>
      <c r="D169" s="10">
        <f>IFERROR(__xludf.DUMMYFUNCTION("""COMPUTED_VALUE"""),5.70056378116E11)</f>
        <v>570056378116</v>
      </c>
      <c r="E169" s="10" t="str">
        <f>IFERROR(__xludf.DUMMYFUNCTION("""COMPUTED_VALUE""")," মোঃ ছলেমান মন্ডল ")</f>
        <v> মোঃ ছলেমান মন্ডল </v>
      </c>
      <c r="F169" s="10" t="str">
        <f>IFERROR(__xludf.DUMMYFUNCTION("""COMPUTED_VALUE""")," মোছাঃ রাহেলা খাতুন ")</f>
        <v> মোছাঃ রাহেলা খাতুন </v>
      </c>
      <c r="G169" s="10" t="str">
        <f>IFERROR(__xludf.DUMMYFUNCTION("""COMPUTED_VALUE""")," ০১/০৩/১৯৭১ ")</f>
        <v> ০১/০৩/১৯৭১ </v>
      </c>
      <c r="H169" s="10" t="str">
        <f>IFERROR(__xludf.DUMMYFUNCTION("""COMPUTED_VALUE""")," গৃহিনী ")</f>
        <v> গৃহিনী </v>
      </c>
      <c r="I169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0">
      <c r="A170" s="9" t="s">
        <v>2876</v>
      </c>
      <c r="B170" s="10">
        <f>IFERROR(__xludf.DUMMYFUNCTION("SPLIT(A170,""|"")"),163.0)</f>
        <v>163</v>
      </c>
      <c r="C170" s="10" t="str">
        <f>IFERROR(__xludf.DUMMYFUNCTION("""COMPUTED_VALUE""")," মোছাঃ হাজেরা খাতুন ")</f>
        <v> মোছাঃ হাজেরা খাতুন </v>
      </c>
      <c r="D170" s="10">
        <f>IFERROR(__xludf.DUMMYFUNCTION("""COMPUTED_VALUE"""),5.70056378121E11)</f>
        <v>570056378121</v>
      </c>
      <c r="E170" s="10" t="str">
        <f>IFERROR(__xludf.DUMMYFUNCTION("""COMPUTED_VALUE""")," ছাদের আলি ")</f>
        <v> ছাদের আলি </v>
      </c>
      <c r="F170" s="10" t="str">
        <f>IFERROR(__xludf.DUMMYFUNCTION("""COMPUTED_VALUE""")," নিহারন ")</f>
        <v> নিহারন </v>
      </c>
      <c r="G170" s="10" t="str">
        <f>IFERROR(__xludf.DUMMYFUNCTION("""COMPUTED_VALUE""")," ১৩/০২/১৯৬৭ ")</f>
        <v> ১৩/০২/১৯৬৭ </v>
      </c>
      <c r="H170" s="10" t="str">
        <f>IFERROR(__xludf.DUMMYFUNCTION("""COMPUTED_VALUE""")," গৃহিনী ")</f>
        <v> গৃহিনী </v>
      </c>
      <c r="I170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1">
      <c r="A171" s="9" t="s">
        <v>2877</v>
      </c>
      <c r="B171" s="10">
        <f>IFERROR(__xludf.DUMMYFUNCTION("SPLIT(A171,""|"")"),164.0)</f>
        <v>164</v>
      </c>
      <c r="C171" s="10" t="str">
        <f>IFERROR(__xludf.DUMMYFUNCTION("""COMPUTED_VALUE""")," মোছাঃ পারুলা খাতুন ")</f>
        <v> মোছাঃ পারুলা খাতুন </v>
      </c>
      <c r="D171" s="10">
        <f>IFERROR(__xludf.DUMMYFUNCTION("""COMPUTED_VALUE"""),5.70056378122E11)</f>
        <v>570056378122</v>
      </c>
      <c r="E171" s="10" t="str">
        <f>IFERROR(__xludf.DUMMYFUNCTION("""COMPUTED_VALUE""")," সিরাজুল ইসলাম ")</f>
        <v> সিরাজুল ইসলাম </v>
      </c>
      <c r="F171" s="10" t="str">
        <f>IFERROR(__xludf.DUMMYFUNCTION("""COMPUTED_VALUE""")," মোছাঃ বুলবুলি খাতুন ")</f>
        <v> মোছাঃ বুলবুলি খাতুন </v>
      </c>
      <c r="G171" s="10" t="str">
        <f>IFERROR(__xludf.DUMMYFUNCTION("""COMPUTED_VALUE""")," ১০/০২/১৯৮৭ ")</f>
        <v> ১০/০২/১৯৮৭ </v>
      </c>
      <c r="H171" s="10" t="str">
        <f>IFERROR(__xludf.DUMMYFUNCTION("""COMPUTED_VALUE""")," গৃহিনী ")</f>
        <v> গৃহিনী </v>
      </c>
      <c r="I171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2">
      <c r="A172" s="9" t="s">
        <v>2878</v>
      </c>
      <c r="B172" s="10">
        <f>IFERROR(__xludf.DUMMYFUNCTION("SPLIT(A172,""|"")"),165.0)</f>
        <v>165</v>
      </c>
      <c r="C172" s="10" t="str">
        <f>IFERROR(__xludf.DUMMYFUNCTION("""COMPUTED_VALUE""")," মোছাঃ বছিরন নেছা ")</f>
        <v> মোছাঃ বছিরন নেছা </v>
      </c>
      <c r="D172" s="10">
        <f>IFERROR(__xludf.DUMMYFUNCTION("""COMPUTED_VALUE"""),5.70056378124E11)</f>
        <v>570056378124</v>
      </c>
      <c r="E172" s="10" t="str">
        <f>IFERROR(__xludf.DUMMYFUNCTION("""COMPUTED_VALUE""")," হয়রান মন্ডল ")</f>
        <v> হয়রান মন্ডল </v>
      </c>
      <c r="F172" s="10" t="str">
        <f>IFERROR(__xludf.DUMMYFUNCTION("""COMPUTED_VALUE""")," মোছাঃ হামেদা খাতুন ")</f>
        <v> মোছাঃ হামেদা খাতুন </v>
      </c>
      <c r="G172" s="10" t="str">
        <f>IFERROR(__xludf.DUMMYFUNCTION("""COMPUTED_VALUE""")," ০১/০১/১৯৮৩ ")</f>
        <v> ০১/০১/১৯৮৩ </v>
      </c>
      <c r="H172" s="10" t="str">
        <f>IFERROR(__xludf.DUMMYFUNCTION("""COMPUTED_VALUE""")," গৃহিনী ")</f>
        <v> গৃহিনী </v>
      </c>
      <c r="I172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3">
      <c r="A173" s="9" t="s">
        <v>2879</v>
      </c>
      <c r="B173" s="10">
        <f>IFERROR(__xludf.DUMMYFUNCTION("SPLIT(A173,""|"")"),166.0)</f>
        <v>166</v>
      </c>
      <c r="C173" s="10" t="str">
        <f>IFERROR(__xludf.DUMMYFUNCTION("""COMPUTED_VALUE""")," মোছাঃ আলেয়া খাতুন ")</f>
        <v> মোছাঃ আলেয়া খাতুন </v>
      </c>
      <c r="D173" s="10">
        <f>IFERROR(__xludf.DUMMYFUNCTION("""COMPUTED_VALUE"""),5.70056378125E11)</f>
        <v>570056378125</v>
      </c>
      <c r="E173" s="10" t="str">
        <f>IFERROR(__xludf.DUMMYFUNCTION("""COMPUTED_VALUE""")," এলাহী মন্ডল ")</f>
        <v> এলাহী মন্ডল </v>
      </c>
      <c r="F173" s="10" t="str">
        <f>IFERROR(__xludf.DUMMYFUNCTION("""COMPUTED_VALUE""")," মোছাঃ এলেপান নেছা ")</f>
        <v> মোছাঃ এলেপান নেছা </v>
      </c>
      <c r="G173" s="10" t="str">
        <f>IFERROR(__xludf.DUMMYFUNCTION("""COMPUTED_VALUE""")," ০১/০১/১৯৬০ ")</f>
        <v> ০১/০১/১৯৬০ </v>
      </c>
      <c r="H173" s="10" t="str">
        <f>IFERROR(__xludf.DUMMYFUNCTION("""COMPUTED_VALUE""")," গৃহিনী ")</f>
        <v> গৃহিনী </v>
      </c>
      <c r="I173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4">
      <c r="A174" s="9" t="s">
        <v>2880</v>
      </c>
      <c r="B174" s="10">
        <f>IFERROR(__xludf.DUMMYFUNCTION("SPLIT(A174,""|"")"),167.0)</f>
        <v>167</v>
      </c>
      <c r="C174" s="10" t="str">
        <f>IFERROR(__xludf.DUMMYFUNCTION("""COMPUTED_VALUE""")," মোছাঃ সুবারন নেছা ")</f>
        <v> মোছাঃ সুবারন নেছা </v>
      </c>
      <c r="D174" s="10">
        <f>IFERROR(__xludf.DUMMYFUNCTION("""COMPUTED_VALUE"""),5.70056378126E11)</f>
        <v>570056378126</v>
      </c>
      <c r="E174" s="10" t="str">
        <f>IFERROR(__xludf.DUMMYFUNCTION("""COMPUTED_VALUE""")," এলাহী মন্ডল ")</f>
        <v> এলাহী মন্ডল </v>
      </c>
      <c r="F174" s="10" t="str">
        <f>IFERROR(__xludf.DUMMYFUNCTION("""COMPUTED_VALUE""")," মোছাঃ এলেপান ")</f>
        <v> মোছাঃ এলেপান </v>
      </c>
      <c r="G174" s="10" t="str">
        <f>IFERROR(__xludf.DUMMYFUNCTION("""COMPUTED_VALUE""")," ০৫/০৫/১৯৭৯ ")</f>
        <v> ০৫/০৫/১৯৭৯ </v>
      </c>
      <c r="H174" s="10" t="str">
        <f>IFERROR(__xludf.DUMMYFUNCTION("""COMPUTED_VALUE""")," গৃহিনী ")</f>
        <v> গৃহিনী </v>
      </c>
      <c r="I174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5">
      <c r="A175" s="9" t="s">
        <v>2881</v>
      </c>
      <c r="B175" s="10">
        <f>IFERROR(__xludf.DUMMYFUNCTION("SPLIT(A175,""|"")"),168.0)</f>
        <v>168</v>
      </c>
      <c r="C175" s="10" t="str">
        <f>IFERROR(__xludf.DUMMYFUNCTION("""COMPUTED_VALUE""")," মোছাঃ জাহানারা খাতুন ")</f>
        <v> মোছাঃ জাহানারা খাতুন </v>
      </c>
      <c r="D175" s="10">
        <f>IFERROR(__xludf.DUMMYFUNCTION("""COMPUTED_VALUE"""),5.70056378132E11)</f>
        <v>570056378132</v>
      </c>
      <c r="E175" s="10" t="str">
        <f>IFERROR(__xludf.DUMMYFUNCTION("""COMPUTED_VALUE""")," মকছেদ আলী ")</f>
        <v> মকছেদ আলী </v>
      </c>
      <c r="F175" s="10" t="str">
        <f>IFERROR(__xludf.DUMMYFUNCTION("""COMPUTED_VALUE""")," জুলেখা খাতুন ")</f>
        <v> জুলেখা খাতুন </v>
      </c>
      <c r="G175" s="10" t="str">
        <f>IFERROR(__xludf.DUMMYFUNCTION("""COMPUTED_VALUE""")," ১০/১০/১৯৫৭ ")</f>
        <v> ১০/১০/১৯৫৭ </v>
      </c>
      <c r="H175" s="10" t="str">
        <f>IFERROR(__xludf.DUMMYFUNCTION("""COMPUTED_VALUE""")," গৃহিনী ")</f>
        <v> গৃহিনী </v>
      </c>
      <c r="I175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6">
      <c r="A176" s="9" t="s">
        <v>2882</v>
      </c>
      <c r="B176" s="10">
        <f>IFERROR(__xludf.DUMMYFUNCTION("SPLIT(A176,""|"")"),169.0)</f>
        <v>169</v>
      </c>
      <c r="C176" s="10" t="str">
        <f>IFERROR(__xludf.DUMMYFUNCTION("""COMPUTED_VALUE""")," মোছাঃ আইমানা খাতুন ")</f>
        <v> মোছাঃ আইমানা খাতুন </v>
      </c>
      <c r="D176" s="10">
        <f>IFERROR(__xludf.DUMMYFUNCTION("""COMPUTED_VALUE"""),5.70056378134E11)</f>
        <v>570056378134</v>
      </c>
      <c r="E176" s="10" t="str">
        <f>IFERROR(__xludf.DUMMYFUNCTION("""COMPUTED_VALUE""")," আছির উদ্দীন ")</f>
        <v> আছির উদ্দীন </v>
      </c>
      <c r="F176" s="10" t="str">
        <f>IFERROR(__xludf.DUMMYFUNCTION("""COMPUTED_VALUE""")," মোছাঃ রাবিয়া খাতুন ")</f>
        <v> মোছাঃ রাবিয়া খাতুন </v>
      </c>
      <c r="G176" s="10" t="str">
        <f>IFERROR(__xludf.DUMMYFUNCTION("""COMPUTED_VALUE""")," ০১/০১/১৯৮৮ ")</f>
        <v> ০১/০১/১৯৮৮ </v>
      </c>
      <c r="H176" s="10" t="str">
        <f>IFERROR(__xludf.DUMMYFUNCTION("""COMPUTED_VALUE""")," গৃহিনী ")</f>
        <v> গৃহিনী </v>
      </c>
      <c r="I176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7">
      <c r="A177" s="9" t="s">
        <v>2883</v>
      </c>
      <c r="B177" s="10">
        <f>IFERROR(__xludf.DUMMYFUNCTION("SPLIT(A177,""|"")"),170.0)</f>
        <v>170</v>
      </c>
      <c r="C177" s="10" t="str">
        <f>IFERROR(__xludf.DUMMYFUNCTION("""COMPUTED_VALUE""")," মোছাঃ ফিরোজা খাতুন ")</f>
        <v> মোছাঃ ফিরোজা খাতুন </v>
      </c>
      <c r="D177" s="10">
        <f>IFERROR(__xludf.DUMMYFUNCTION("""COMPUTED_VALUE"""),5.70056378135E11)</f>
        <v>570056378135</v>
      </c>
      <c r="E177" s="10" t="str">
        <f>IFERROR(__xludf.DUMMYFUNCTION("""COMPUTED_VALUE""")," মোঃ জোস্কার মন্ডল ")</f>
        <v> মোঃ জোস্কার মন্ডল </v>
      </c>
      <c r="F177" s="10" t="str">
        <f>IFERROR(__xludf.DUMMYFUNCTION("""COMPUTED_VALUE""")," মোছাঃ ফাতেমা খাতুন ")</f>
        <v> মোছাঃ ফাতেমা খাতুন </v>
      </c>
      <c r="G177" s="10" t="str">
        <f>IFERROR(__xludf.DUMMYFUNCTION("""COMPUTED_VALUE""")," ০৫/০৫/১৯৭৯ ")</f>
        <v> ০৫/০৫/১৯৭৯ </v>
      </c>
      <c r="H177" s="10" t="str">
        <f>IFERROR(__xludf.DUMMYFUNCTION("""COMPUTED_VALUE""")," গৃহিনী ")</f>
        <v> গৃহিনী </v>
      </c>
      <c r="I177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8">
      <c r="A178" s="9" t="s">
        <v>2884</v>
      </c>
      <c r="B178" s="10">
        <f>IFERROR(__xludf.DUMMYFUNCTION("SPLIT(A178,""|"")"),171.0)</f>
        <v>171</v>
      </c>
      <c r="C178" s="10" t="str">
        <f>IFERROR(__xludf.DUMMYFUNCTION("""COMPUTED_VALUE""")," মোছাঃ রেহছনা খাতুন ")</f>
        <v> মোছাঃ রেহছনা খাতুন </v>
      </c>
      <c r="D178" s="10">
        <f>IFERROR(__xludf.DUMMYFUNCTION("""COMPUTED_VALUE"""),5.70056378137E11)</f>
        <v>570056378137</v>
      </c>
      <c r="E178" s="10" t="str">
        <f>IFERROR(__xludf.DUMMYFUNCTION("""COMPUTED_VALUE""")," মোঃ মোছার উদ্দীন মন্ডল ")</f>
        <v> মোঃ মোছার উদ্দীন মন্ডল </v>
      </c>
      <c r="F178" s="10" t="str">
        <f>IFERROR(__xludf.DUMMYFUNCTION("""COMPUTED_VALUE""")," মোছাঃ খদেজা খাতুন ")</f>
        <v> মোছাঃ খদেজা খাতুন </v>
      </c>
      <c r="G178" s="10" t="str">
        <f>IFERROR(__xludf.DUMMYFUNCTION("""COMPUTED_VALUE""")," ২৮/১০/১৯৮৭ ")</f>
        <v> ২৮/১০/১৯৮৭ </v>
      </c>
      <c r="H178" s="10" t="str">
        <f>IFERROR(__xludf.DUMMYFUNCTION("""COMPUTED_VALUE""")," গৃহিনী ")</f>
        <v> গৃহিনী </v>
      </c>
      <c r="I178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9">
      <c r="A179" s="9" t="s">
        <v>2885</v>
      </c>
      <c r="B179" s="10">
        <f>IFERROR(__xludf.DUMMYFUNCTION("SPLIT(A179,""|"")"),172.0)</f>
        <v>172</v>
      </c>
      <c r="C179" s="10" t="str">
        <f>IFERROR(__xludf.DUMMYFUNCTION("""COMPUTED_VALUE""")," মাইগ্রেট হয়েছে ")</f>
        <v> মাইগ্রেট হয়েছে </v>
      </c>
      <c r="D179" s="10" t="str">
        <f>IFERROR(__xludf.DUMMYFUNCTION("""COMPUTED_VALUE"""),"  ")</f>
        <v>  </v>
      </c>
      <c r="E179" s="10" t="str">
        <f>IFERROR(__xludf.DUMMYFUNCTION("""COMPUTED_VALUE"""),"  ")</f>
        <v>  </v>
      </c>
      <c r="F179" s="10" t="str">
        <f>IFERROR(__xludf.DUMMYFUNCTION("""COMPUTED_VALUE"""),"  ")</f>
        <v>  </v>
      </c>
      <c r="G179" s="10" t="str">
        <f>IFERROR(__xludf.DUMMYFUNCTION("""COMPUTED_VALUE"""),"  ")</f>
        <v>  </v>
      </c>
      <c r="H179" s="10" t="str">
        <f>IFERROR(__xludf.DUMMYFUNCTION("""COMPUTED_VALUE"""),"  ")</f>
        <v>  </v>
      </c>
      <c r="I179" s="10" t="str">
        <f>IFERROR(__xludf.DUMMYFUNCTION("""COMPUTED_VALUE"""),"  ")</f>
        <v>  </v>
      </c>
    </row>
    <row r="180">
      <c r="A180" s="9" t="s">
        <v>2886</v>
      </c>
      <c r="B180" s="10">
        <f>IFERROR(__xludf.DUMMYFUNCTION("SPLIT(A180,""|"")"),173.0)</f>
        <v>173</v>
      </c>
      <c r="C180" s="10" t="str">
        <f>IFERROR(__xludf.DUMMYFUNCTION("""COMPUTED_VALUE""")," মোছাঃ সুফিয়া খাতুন ")</f>
        <v> মোছাঃ সুফিয়া খাতুন </v>
      </c>
      <c r="D180" s="10">
        <f>IFERROR(__xludf.DUMMYFUNCTION("""COMPUTED_VALUE"""),5.70056378139E11)</f>
        <v>570056378139</v>
      </c>
      <c r="E180" s="10" t="str">
        <f>IFERROR(__xludf.DUMMYFUNCTION("""COMPUTED_VALUE""")," রহমান মন্ডল ")</f>
        <v> রহমান মন্ডল </v>
      </c>
      <c r="F180" s="10" t="str">
        <f>IFERROR(__xludf.DUMMYFUNCTION("""COMPUTED_VALUE""")," আমেনা খাতুন ")</f>
        <v> আমেনা খাতুন </v>
      </c>
      <c r="G180" s="10" t="str">
        <f>IFERROR(__xludf.DUMMYFUNCTION("""COMPUTED_VALUE""")," ০৭/০৬/১৯৫৯ ")</f>
        <v> ০৭/০৬/১৯৫৯ </v>
      </c>
      <c r="H180" s="10" t="str">
        <f>IFERROR(__xludf.DUMMYFUNCTION("""COMPUTED_VALUE""")," গৃহিনী ")</f>
        <v> গৃহিনী </v>
      </c>
      <c r="I180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1">
      <c r="A181" s="9" t="s">
        <v>2887</v>
      </c>
      <c r="B181" s="10">
        <f>IFERROR(__xludf.DUMMYFUNCTION("SPLIT(A181,""|"")"),174.0)</f>
        <v>174</v>
      </c>
      <c r="C181" s="10" t="str">
        <f>IFERROR(__xludf.DUMMYFUNCTION("""COMPUTED_VALUE""")," মোছাঃ নিছারন নেছা ")</f>
        <v> মোছাঃ নিছারন নেছা </v>
      </c>
      <c r="D181" s="10">
        <f>IFERROR(__xludf.DUMMYFUNCTION("""COMPUTED_VALUE"""),5.70056378141E11)</f>
        <v>570056378141</v>
      </c>
      <c r="E181" s="10" t="str">
        <f>IFERROR(__xludf.DUMMYFUNCTION("""COMPUTED_VALUE""")," নবিছুদ্দীন বিশ্বাস ")</f>
        <v> নবিছুদ্দীন বিশ্বাস </v>
      </c>
      <c r="F181" s="10" t="str">
        <f>IFERROR(__xludf.DUMMYFUNCTION("""COMPUTED_VALUE""")," ফিরোজা খাতুন ")</f>
        <v> ফিরোজা খাতুন </v>
      </c>
      <c r="G181" s="10" t="str">
        <f>IFERROR(__xludf.DUMMYFUNCTION("""COMPUTED_VALUE""")," ১২/১১/১৯৬২ ")</f>
        <v> ১২/১১/১৯৬২ </v>
      </c>
      <c r="H181" s="10" t="str">
        <f>IFERROR(__xludf.DUMMYFUNCTION("""COMPUTED_VALUE""")," গৃহিনী ")</f>
        <v> গৃহিনী </v>
      </c>
      <c r="I181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2">
      <c r="A182" s="9" t="s">
        <v>2888</v>
      </c>
      <c r="B182" s="10">
        <f>IFERROR(__xludf.DUMMYFUNCTION("SPLIT(A182,""|"")"),175.0)</f>
        <v>175</v>
      </c>
      <c r="C182" s="10" t="str">
        <f>IFERROR(__xludf.DUMMYFUNCTION("""COMPUTED_VALUE""")," মোছাঃ আজিফা খাতুন ")</f>
        <v> মোছাঃ আজিফা খাতুন </v>
      </c>
      <c r="D182" s="10">
        <f>IFERROR(__xludf.DUMMYFUNCTION("""COMPUTED_VALUE"""),5.70056378142E11)</f>
        <v>570056378142</v>
      </c>
      <c r="E182" s="10" t="str">
        <f>IFERROR(__xludf.DUMMYFUNCTION("""COMPUTED_VALUE""")," মোঃ ওয়াজেল মন্ডল ")</f>
        <v> মোঃ ওয়াজেল মন্ডল </v>
      </c>
      <c r="F182" s="10" t="str">
        <f>IFERROR(__xludf.DUMMYFUNCTION("""COMPUTED_VALUE""")," মোছাঃ জমেলা খাতুন ")</f>
        <v> মোছাঃ জমেলা খাতুন </v>
      </c>
      <c r="G182" s="10" t="str">
        <f>IFERROR(__xludf.DUMMYFUNCTION("""COMPUTED_VALUE""")," ২৩/০৮/১৯৬৯ ")</f>
        <v> ২৩/০৮/১৯৬৯ </v>
      </c>
      <c r="H182" s="10" t="str">
        <f>IFERROR(__xludf.DUMMYFUNCTION("""COMPUTED_VALUE""")," গৃহিনী ")</f>
        <v> গৃহিনী </v>
      </c>
      <c r="I182" s="10" t="str">
        <f>IFERROR(__xludf.DUMMYFUNCTION("""COMPUTED_VALUE""")," জালতকা, গাংনী, মেহেরপুর ")</f>
        <v> জালতকা, গাংনী, মেহেরপুর </v>
      </c>
    </row>
    <row r="183">
      <c r="A183" s="9" t="s">
        <v>2889</v>
      </c>
      <c r="B183" s="10">
        <f>IFERROR(__xludf.DUMMYFUNCTION("SPLIT(A183,""|"")"),176.0)</f>
        <v>176</v>
      </c>
      <c r="C183" s="10" t="str">
        <f>IFERROR(__xludf.DUMMYFUNCTION("""COMPUTED_VALUE""")," মোছাঃ শাহামারা খাতুন ")</f>
        <v> মোছাঃ শাহামারা খাতুন </v>
      </c>
      <c r="D183" s="10">
        <f>IFERROR(__xludf.DUMMYFUNCTION("""COMPUTED_VALUE"""),5.70056378144E11)</f>
        <v>570056378144</v>
      </c>
      <c r="E183" s="10" t="str">
        <f>IFERROR(__xludf.DUMMYFUNCTION("""COMPUTED_VALUE""")," আব্দুল্লাহ মন্ডল ")</f>
        <v> আব্দুল্লাহ মন্ডল </v>
      </c>
      <c r="F183" s="10" t="str">
        <f>IFERROR(__xludf.DUMMYFUNCTION("""COMPUTED_VALUE""")," মোছাঃ ফয়জান নেছা ")</f>
        <v> মোছাঃ ফয়জান নেছা </v>
      </c>
      <c r="G183" s="10" t="str">
        <f>IFERROR(__xludf.DUMMYFUNCTION("""COMPUTED_VALUE""")," ১১/১০/১৯৭২ ")</f>
        <v> ১১/১০/১৯৭২ </v>
      </c>
      <c r="H183" s="10" t="str">
        <f>IFERROR(__xludf.DUMMYFUNCTION("""COMPUTED_VALUE""")," গৃহিনী ")</f>
        <v> গৃহিনী </v>
      </c>
      <c r="I183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4">
      <c r="A184" s="9" t="s">
        <v>2890</v>
      </c>
      <c r="B184" s="10">
        <f>IFERROR(__xludf.DUMMYFUNCTION("SPLIT(A184,""|"")"),177.0)</f>
        <v>177</v>
      </c>
      <c r="C184" s="10" t="str">
        <f>IFERROR(__xludf.DUMMYFUNCTION("""COMPUTED_VALUE""")," মোছাঃ মজিরন নেছা ")</f>
        <v> মোছাঃ মজিরন নেছা </v>
      </c>
      <c r="D184" s="10">
        <f>IFERROR(__xludf.DUMMYFUNCTION("""COMPUTED_VALUE"""),5.70056378151E11)</f>
        <v>570056378151</v>
      </c>
      <c r="E184" s="10" t="str">
        <f>IFERROR(__xludf.DUMMYFUNCTION("""COMPUTED_VALUE""")," মোঃ তোফাজ্জেল হক ")</f>
        <v> মোঃ তোফাজ্জেল হক </v>
      </c>
      <c r="F184" s="10" t="str">
        <f>IFERROR(__xludf.DUMMYFUNCTION("""COMPUTED_VALUE""")," মোছাঃ জলে খাতুন ")</f>
        <v> মোছাঃ জলে খাতুন </v>
      </c>
      <c r="G184" s="10" t="str">
        <f>IFERROR(__xludf.DUMMYFUNCTION("""COMPUTED_VALUE""")," ২৩/০৭/১৯৭৫ ")</f>
        <v> ২৩/০৭/১৯৭৫ </v>
      </c>
      <c r="H184" s="10" t="str">
        <f>IFERROR(__xludf.DUMMYFUNCTION("""COMPUTED_VALUE""")," গৃহিনী ")</f>
        <v> গৃহিনী </v>
      </c>
      <c r="I184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5">
      <c r="A185" s="9" t="s">
        <v>2712</v>
      </c>
      <c r="B185" s="10" t="str">
        <f>IFERROR(__xludf.DUMMYFUNCTION("SPLIT(A185,""|"")")," ক্রমিক নং ")</f>
        <v> ক্রমিক নং </v>
      </c>
      <c r="C185" s="10" t="str">
        <f>IFERROR(__xludf.DUMMYFUNCTION("""COMPUTED_VALUE""")," নাম ")</f>
        <v> নাম </v>
      </c>
      <c r="D185" s="10" t="str">
        <f>IFERROR(__xludf.DUMMYFUNCTION("""COMPUTED_VALUE""")," ভোটার নং ")</f>
        <v> ভোটার নং </v>
      </c>
      <c r="E185" s="10" t="str">
        <f>IFERROR(__xludf.DUMMYFUNCTION("""COMPUTED_VALUE""")," পিতা ")</f>
        <v> পিতা </v>
      </c>
      <c r="F185" s="10" t="str">
        <f>IFERROR(__xludf.DUMMYFUNCTION("""COMPUTED_VALUE""")," মাতা ")</f>
        <v> মাতা </v>
      </c>
      <c r="G185" s="10" t="str">
        <f>IFERROR(__xludf.DUMMYFUNCTION("""COMPUTED_VALUE""")," জন্ম তারিখ ")</f>
        <v> জন্ম তারিখ </v>
      </c>
      <c r="H185" s="10" t="str">
        <f>IFERROR(__xludf.DUMMYFUNCTION("""COMPUTED_VALUE""")," পেশা ")</f>
        <v> পেশা </v>
      </c>
      <c r="I185" s="10" t="str">
        <f>IFERROR(__xludf.DUMMYFUNCTION("""COMPUTED_VALUE""")," ঠিকানা ")</f>
        <v> ঠিকানা </v>
      </c>
    </row>
    <row r="186">
      <c r="A186" s="9" t="s">
        <v>2713</v>
      </c>
      <c r="B186" s="10" t="str">
        <f>IFERROR(__xludf.DUMMYFUNCTION("SPLIT(A186,""|"")"),"---")</f>
        <v>---</v>
      </c>
      <c r="C186" s="10" t="str">
        <f>IFERROR(__xludf.DUMMYFUNCTION("""COMPUTED_VALUE"""),"---")</f>
        <v>---</v>
      </c>
      <c r="D186" s="10" t="str">
        <f>IFERROR(__xludf.DUMMYFUNCTION("""COMPUTED_VALUE"""),"---")</f>
        <v>---</v>
      </c>
      <c r="E186" s="10" t="str">
        <f>IFERROR(__xludf.DUMMYFUNCTION("""COMPUTED_VALUE"""),"---")</f>
        <v>---</v>
      </c>
      <c r="F186" s="10" t="str">
        <f>IFERROR(__xludf.DUMMYFUNCTION("""COMPUTED_VALUE"""),"---")</f>
        <v>---</v>
      </c>
      <c r="G186" s="10" t="str">
        <f>IFERROR(__xludf.DUMMYFUNCTION("""COMPUTED_VALUE"""),"---")</f>
        <v>---</v>
      </c>
      <c r="H186" s="10" t="str">
        <f>IFERROR(__xludf.DUMMYFUNCTION("""COMPUTED_VALUE"""),"---")</f>
        <v>---</v>
      </c>
      <c r="I186" s="10" t="str">
        <f>IFERROR(__xludf.DUMMYFUNCTION("""COMPUTED_VALUE"""),"---")</f>
        <v>---</v>
      </c>
    </row>
    <row r="187">
      <c r="A187" s="9" t="s">
        <v>2891</v>
      </c>
      <c r="B187" s="10">
        <f>IFERROR(__xludf.DUMMYFUNCTION("SPLIT(A187,""|"")"),178.0)</f>
        <v>178</v>
      </c>
      <c r="C187" s="10" t="str">
        <f>IFERROR(__xludf.DUMMYFUNCTION("""COMPUTED_VALUE""")," মোছাঃ বিলকিচ খাতুন ")</f>
        <v> মোছাঃ বিলকিচ খাতুন </v>
      </c>
      <c r="D187" s="10">
        <f>IFERROR(__xludf.DUMMYFUNCTION("""COMPUTED_VALUE"""),5.70056378155E11)</f>
        <v>570056378155</v>
      </c>
      <c r="E187" s="10" t="str">
        <f>IFERROR(__xludf.DUMMYFUNCTION("""COMPUTED_VALUE""")," মো: আ: লতিফ ")</f>
        <v> মো: আ: লতিফ </v>
      </c>
      <c r="F187" s="10" t="str">
        <f>IFERROR(__xludf.DUMMYFUNCTION("""COMPUTED_VALUE""")," মোছাঃ সারেজান ")</f>
        <v> মোছাঃ সারেজান </v>
      </c>
      <c r="G187" s="10" t="str">
        <f>IFERROR(__xludf.DUMMYFUNCTION("""COMPUTED_VALUE""")," ০১/০১/১৯৮৫ ")</f>
        <v> ০১/০১/১৯৮৫ </v>
      </c>
      <c r="H187" s="10" t="str">
        <f>IFERROR(__xludf.DUMMYFUNCTION("""COMPUTED_VALUE""")," গৃহিনী ")</f>
        <v> গৃহিনী </v>
      </c>
      <c r="I187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8">
      <c r="A188" s="9" t="s">
        <v>2892</v>
      </c>
      <c r="B188" s="10">
        <f>IFERROR(__xludf.DUMMYFUNCTION("SPLIT(A188,""|"")"),179.0)</f>
        <v>179</v>
      </c>
      <c r="C188" s="10" t="str">
        <f>IFERROR(__xludf.DUMMYFUNCTION("""COMPUTED_VALUE""")," মোছাঃ মনোয়ারা খাতুন ")</f>
        <v> মোছাঃ মনোয়ারা খাতুন </v>
      </c>
      <c r="D188" s="10">
        <f>IFERROR(__xludf.DUMMYFUNCTION("""COMPUTED_VALUE"""),5.70056378156E11)</f>
        <v>570056378156</v>
      </c>
      <c r="E188" s="10" t="str">
        <f>IFERROR(__xludf.DUMMYFUNCTION("""COMPUTED_VALUE""")," মো: দেলবার হোসেন ")</f>
        <v> মো: দেলবার হোসেন </v>
      </c>
      <c r="F188" s="10" t="str">
        <f>IFERROR(__xludf.DUMMYFUNCTION("""COMPUTED_VALUE""")," রইমন নেছা ")</f>
        <v> রইমন নেছা </v>
      </c>
      <c r="G188" s="10" t="str">
        <f>IFERROR(__xludf.DUMMYFUNCTION("""COMPUTED_VALUE""")," ১২/১১/১৯৮২ ")</f>
        <v> ১২/১১/১৯৮২ </v>
      </c>
      <c r="H188" s="10" t="str">
        <f>IFERROR(__xludf.DUMMYFUNCTION("""COMPUTED_VALUE""")," গৃহিনী ")</f>
        <v> গৃহিনী </v>
      </c>
      <c r="I188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9">
      <c r="A189" s="9" t="s">
        <v>2893</v>
      </c>
      <c r="B189" s="10">
        <f>IFERROR(__xludf.DUMMYFUNCTION("SPLIT(A189,""|"")"),180.0)</f>
        <v>180</v>
      </c>
      <c r="C189" s="10" t="str">
        <f>IFERROR(__xludf.DUMMYFUNCTION("""COMPUTED_VALUE""")," মোছাঃ হালিমা খাতুন ")</f>
        <v> মোছাঃ হালিমা খাতুন </v>
      </c>
      <c r="D189" s="10">
        <f>IFERROR(__xludf.DUMMYFUNCTION("""COMPUTED_VALUE"""),5.70056378158E11)</f>
        <v>570056378158</v>
      </c>
      <c r="E189" s="10" t="str">
        <f>IFERROR(__xludf.DUMMYFUNCTION("""COMPUTED_VALUE""")," মো: বজলু হক ")</f>
        <v> মো: বজলু হক </v>
      </c>
      <c r="F189" s="10" t="str">
        <f>IFERROR(__xludf.DUMMYFUNCTION("""COMPUTED_VALUE""")," মোছাঃ আরজিনা খাতুন ")</f>
        <v> মোছাঃ আরজিনা খাতুন </v>
      </c>
      <c r="G189" s="10" t="str">
        <f>IFERROR(__xludf.DUMMYFUNCTION("""COMPUTED_VALUE""")," ০৭/০৬/১৯৮২ ")</f>
        <v> ০৭/০৬/১৯৮২ </v>
      </c>
      <c r="H189" s="10" t="str">
        <f>IFERROR(__xludf.DUMMYFUNCTION("""COMPUTED_VALUE""")," গৃহিনী ")</f>
        <v> গৃহিনী </v>
      </c>
      <c r="I189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0">
      <c r="A190" s="9" t="s">
        <v>2894</v>
      </c>
      <c r="B190" s="10">
        <f>IFERROR(__xludf.DUMMYFUNCTION("SPLIT(A190,""|"")"),181.0)</f>
        <v>181</v>
      </c>
      <c r="C190" s="10" t="str">
        <f>IFERROR(__xludf.DUMMYFUNCTION("""COMPUTED_VALUE""")," মাইগ্রেট হয়েছে ")</f>
        <v> মাইগ্রেট হয়েছে </v>
      </c>
      <c r="D190" s="10" t="str">
        <f>IFERROR(__xludf.DUMMYFUNCTION("""COMPUTED_VALUE"""),"  ")</f>
        <v>  </v>
      </c>
      <c r="E190" s="10" t="str">
        <f>IFERROR(__xludf.DUMMYFUNCTION("""COMPUTED_VALUE"""),"  ")</f>
        <v>  </v>
      </c>
      <c r="F190" s="10" t="str">
        <f>IFERROR(__xludf.DUMMYFUNCTION("""COMPUTED_VALUE"""),"  ")</f>
        <v>  </v>
      </c>
      <c r="G190" s="10" t="str">
        <f>IFERROR(__xludf.DUMMYFUNCTION("""COMPUTED_VALUE"""),"  ")</f>
        <v>  </v>
      </c>
      <c r="H190" s="10" t="str">
        <f>IFERROR(__xludf.DUMMYFUNCTION("""COMPUTED_VALUE"""),"  ")</f>
        <v>  </v>
      </c>
      <c r="I190" s="10" t="str">
        <f>IFERROR(__xludf.DUMMYFUNCTION("""COMPUTED_VALUE"""),"  ")</f>
        <v>  </v>
      </c>
    </row>
    <row r="191">
      <c r="A191" s="9" t="s">
        <v>2895</v>
      </c>
      <c r="B191" s="10">
        <f>IFERROR(__xludf.DUMMYFUNCTION("SPLIT(A191,""|"")"),182.0)</f>
        <v>182</v>
      </c>
      <c r="C191" s="10" t="str">
        <f>IFERROR(__xludf.DUMMYFUNCTION("""COMPUTED_VALUE""")," মোছাঃ ফজিলা খাতুন ")</f>
        <v> মোছাঃ ফজিলা খাতুন </v>
      </c>
      <c r="D191" s="10">
        <f>IFERROR(__xludf.DUMMYFUNCTION("""COMPUTED_VALUE"""),5.70056378165E11)</f>
        <v>570056378165</v>
      </c>
      <c r="E191" s="10" t="str">
        <f>IFERROR(__xludf.DUMMYFUNCTION("""COMPUTED_VALUE""")," মো: আসান উদ্দীন ")</f>
        <v> মো: আসান উদ্দীন </v>
      </c>
      <c r="F191" s="10" t="str">
        <f>IFERROR(__xludf.DUMMYFUNCTION("""COMPUTED_VALUE""")," মোছাঃ মর্জিনা খাতুন ")</f>
        <v> মোছাঃ মর্জিনা খাতুন </v>
      </c>
      <c r="G191" s="10" t="str">
        <f>IFERROR(__xludf.DUMMYFUNCTION("""COMPUTED_VALUE""")," ০৮/০৯/১৯৮২ ")</f>
        <v> ০৮/০৯/১৯৮২ </v>
      </c>
      <c r="H191" s="10" t="str">
        <f>IFERROR(__xludf.DUMMYFUNCTION("""COMPUTED_VALUE""")," গৃহিনী ")</f>
        <v> গৃহিনী </v>
      </c>
      <c r="I191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2">
      <c r="A192" s="9" t="s">
        <v>2896</v>
      </c>
      <c r="B192" s="10">
        <f>IFERROR(__xludf.DUMMYFUNCTION("SPLIT(A192,""|"")"),183.0)</f>
        <v>183</v>
      </c>
      <c r="C192" s="10" t="str">
        <f>IFERROR(__xludf.DUMMYFUNCTION("""COMPUTED_VALUE""")," মাইগ্রেট হয়েছে ")</f>
        <v> মাইগ্রেট হয়েছে </v>
      </c>
      <c r="D192" s="10" t="str">
        <f>IFERROR(__xludf.DUMMYFUNCTION("""COMPUTED_VALUE"""),"  ")</f>
        <v>  </v>
      </c>
      <c r="E192" s="10" t="str">
        <f>IFERROR(__xludf.DUMMYFUNCTION("""COMPUTED_VALUE"""),"  ")</f>
        <v>  </v>
      </c>
      <c r="F192" s="10" t="str">
        <f>IFERROR(__xludf.DUMMYFUNCTION("""COMPUTED_VALUE"""),"  ")</f>
        <v>  </v>
      </c>
      <c r="G192" s="10" t="str">
        <f>IFERROR(__xludf.DUMMYFUNCTION("""COMPUTED_VALUE"""),"  ")</f>
        <v>  </v>
      </c>
      <c r="H192" s="10" t="str">
        <f>IFERROR(__xludf.DUMMYFUNCTION("""COMPUTED_VALUE"""),"  ")</f>
        <v>  </v>
      </c>
      <c r="I192" s="10" t="str">
        <f>IFERROR(__xludf.DUMMYFUNCTION("""COMPUTED_VALUE"""),"  ")</f>
        <v>  </v>
      </c>
    </row>
    <row r="193">
      <c r="A193" s="9" t="s">
        <v>2897</v>
      </c>
      <c r="B193" s="10">
        <f>IFERROR(__xludf.DUMMYFUNCTION("SPLIT(A193,""|"")"),184.0)</f>
        <v>184</v>
      </c>
      <c r="C193" s="10" t="str">
        <f>IFERROR(__xludf.DUMMYFUNCTION("""COMPUTED_VALUE""")," মোছাঃ মর্জিনা খাতুন ")</f>
        <v> মোছাঃ মর্জিনা খাতুন </v>
      </c>
      <c r="D193" s="10">
        <f>IFERROR(__xludf.DUMMYFUNCTION("""COMPUTED_VALUE"""),5.70056378167E11)</f>
        <v>570056378167</v>
      </c>
      <c r="E193" s="10" t="str">
        <f>IFERROR(__xludf.DUMMYFUNCTION("""COMPUTED_VALUE""")," নবীছুদ্দীন মন্ডল ")</f>
        <v> নবীছুদ্দীন মন্ডল </v>
      </c>
      <c r="F193" s="10" t="str">
        <f>IFERROR(__xludf.DUMMYFUNCTION("""COMPUTED_VALUE""")," মোছাঃ ছাকেনা খাতুন ")</f>
        <v> মোছাঃ ছাকেনা খাতুন </v>
      </c>
      <c r="G193" s="10" t="str">
        <f>IFERROR(__xludf.DUMMYFUNCTION("""COMPUTED_VALUE""")," ১১/১১/১৯৬৫ ")</f>
        <v> ১১/১১/১৯৬৫ </v>
      </c>
      <c r="H193" s="10" t="str">
        <f>IFERROR(__xludf.DUMMYFUNCTION("""COMPUTED_VALUE""")," গৃহিনী ")</f>
        <v> গৃহিনী </v>
      </c>
      <c r="I193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4">
      <c r="A194" s="9" t="s">
        <v>2898</v>
      </c>
      <c r="B194" s="10">
        <f>IFERROR(__xludf.DUMMYFUNCTION("SPLIT(A194,""|"")"),185.0)</f>
        <v>185</v>
      </c>
      <c r="C194" s="10" t="str">
        <f>IFERROR(__xludf.DUMMYFUNCTION("""COMPUTED_VALUE""")," মোছাঃ নুরজাহান খাতুন ")</f>
        <v> মোছাঃ নুরজাহান খাতুন </v>
      </c>
      <c r="D194" s="10">
        <f>IFERROR(__xludf.DUMMYFUNCTION("""COMPUTED_VALUE"""),5.70056378169E11)</f>
        <v>570056378169</v>
      </c>
      <c r="E194" s="10" t="str">
        <f>IFERROR(__xludf.DUMMYFUNCTION("""COMPUTED_VALUE""")," কেরামত মন্ডল ")</f>
        <v> কেরামত মন্ডল </v>
      </c>
      <c r="F194" s="10" t="str">
        <f>IFERROR(__xludf.DUMMYFUNCTION("""COMPUTED_VALUE""")," মোছাঃ ছাহেরা খাতুন ")</f>
        <v> মোছাঃ ছাহেরা খাতুন </v>
      </c>
      <c r="G194" s="10" t="str">
        <f>IFERROR(__xludf.DUMMYFUNCTION("""COMPUTED_VALUE""")," ০২/০৩/১৯৭২ ")</f>
        <v> ০২/০৩/১৯৭২ </v>
      </c>
      <c r="H194" s="10" t="str">
        <f>IFERROR(__xludf.DUMMYFUNCTION("""COMPUTED_VALUE""")," গৃহিনী ")</f>
        <v> গৃহিনী </v>
      </c>
      <c r="I194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5">
      <c r="A195" s="9" t="s">
        <v>2899</v>
      </c>
      <c r="B195" s="10">
        <f>IFERROR(__xludf.DUMMYFUNCTION("SPLIT(A195,""|"")"),186.0)</f>
        <v>186</v>
      </c>
      <c r="C195" s="10" t="str">
        <f>IFERROR(__xludf.DUMMYFUNCTION("""COMPUTED_VALUE""")," মোছাঃ পারুলা খাতুন ")</f>
        <v> মোছাঃ পারুলা খাতুন </v>
      </c>
      <c r="D195" s="10">
        <f>IFERROR(__xludf.DUMMYFUNCTION("""COMPUTED_VALUE"""),5.70056378171E11)</f>
        <v>570056378171</v>
      </c>
      <c r="E195" s="10" t="str">
        <f>IFERROR(__xludf.DUMMYFUNCTION("""COMPUTED_VALUE""")," মো: ইউনুচ আলী ")</f>
        <v> মো: ইউনুচ আলী </v>
      </c>
      <c r="F195" s="10" t="str">
        <f>IFERROR(__xludf.DUMMYFUNCTION("""COMPUTED_VALUE""")," মোছাঃ আয়েশা খাতুন ")</f>
        <v> মোছাঃ আয়েশা খাতুন </v>
      </c>
      <c r="G195" s="10" t="str">
        <f>IFERROR(__xludf.DUMMYFUNCTION("""COMPUTED_VALUE""")," ৩০/০৪/১৯৭৭ ")</f>
        <v> ৩০/০৪/১৯৭৭ </v>
      </c>
      <c r="H195" s="10" t="str">
        <f>IFERROR(__xludf.DUMMYFUNCTION("""COMPUTED_VALUE""")," গৃহিনী ")</f>
        <v> গৃহিনী </v>
      </c>
      <c r="I195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6">
      <c r="A196" s="9" t="s">
        <v>2900</v>
      </c>
      <c r="B196" s="10">
        <f>IFERROR(__xludf.DUMMYFUNCTION("SPLIT(A196,""|"")"),187.0)</f>
        <v>187</v>
      </c>
      <c r="C196" s="10" t="str">
        <f>IFERROR(__xludf.DUMMYFUNCTION("""COMPUTED_VALUE""")," মোছাঃ আইমনা খাতুন ")</f>
        <v> মোছাঃ আইমনা খাতুন </v>
      </c>
      <c r="D196" s="10">
        <f>IFERROR(__xludf.DUMMYFUNCTION("""COMPUTED_VALUE"""),5.70056378175E11)</f>
        <v>570056378175</v>
      </c>
      <c r="E196" s="10" t="str">
        <f>IFERROR(__xludf.DUMMYFUNCTION("""COMPUTED_VALUE""")," মভল মন্ডল ")</f>
        <v> মভল মন্ডল </v>
      </c>
      <c r="F196" s="10" t="str">
        <f>IFERROR(__xludf.DUMMYFUNCTION("""COMPUTED_VALUE""")," মোছাঃ রাকেলা খাতুন ")</f>
        <v> মোছাঃ রাকেলা খাতুন </v>
      </c>
      <c r="G196" s="10" t="str">
        <f>IFERROR(__xludf.DUMMYFUNCTION("""COMPUTED_VALUE""")," ০৭/০৬/১৯৮২ ")</f>
        <v> ০৭/০৬/১৯৮২ </v>
      </c>
      <c r="H196" s="10" t="str">
        <f>IFERROR(__xludf.DUMMYFUNCTION("""COMPUTED_VALUE""")," গৃহিনী ")</f>
        <v> গৃহিনী </v>
      </c>
      <c r="I196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7">
      <c r="A197" s="9" t="s">
        <v>2901</v>
      </c>
      <c r="B197" s="10">
        <f>IFERROR(__xludf.DUMMYFUNCTION("SPLIT(A197,""|"")"),188.0)</f>
        <v>188</v>
      </c>
      <c r="C197" s="10" t="str">
        <f>IFERROR(__xludf.DUMMYFUNCTION("""COMPUTED_VALUE""")," মাইগ্রেট হয়েছে ")</f>
        <v> মাইগ্রেট হয়েছে </v>
      </c>
      <c r="D197" s="10" t="str">
        <f>IFERROR(__xludf.DUMMYFUNCTION("""COMPUTED_VALUE"""),"  ")</f>
        <v>  </v>
      </c>
      <c r="E197" s="10" t="str">
        <f>IFERROR(__xludf.DUMMYFUNCTION("""COMPUTED_VALUE"""),"  ")</f>
        <v>  </v>
      </c>
      <c r="F197" s="10" t="str">
        <f>IFERROR(__xludf.DUMMYFUNCTION("""COMPUTED_VALUE"""),"  ")</f>
        <v>  </v>
      </c>
      <c r="G197" s="10" t="str">
        <f>IFERROR(__xludf.DUMMYFUNCTION("""COMPUTED_VALUE"""),"  ")</f>
        <v>  </v>
      </c>
      <c r="H197" s="10" t="str">
        <f>IFERROR(__xludf.DUMMYFUNCTION("""COMPUTED_VALUE"""),"  ")</f>
        <v>  </v>
      </c>
      <c r="I197" s="10" t="str">
        <f>IFERROR(__xludf.DUMMYFUNCTION("""COMPUTED_VALUE"""),"  ")</f>
        <v>  </v>
      </c>
    </row>
    <row r="198">
      <c r="A198" s="9" t="s">
        <v>2902</v>
      </c>
      <c r="B198" s="10">
        <f>IFERROR(__xludf.DUMMYFUNCTION("SPLIT(A198,""|"")"),189.0)</f>
        <v>189</v>
      </c>
      <c r="C198" s="10" t="str">
        <f>IFERROR(__xludf.DUMMYFUNCTION("""COMPUTED_VALUE""")," মোছাঃ জরিমন নেছা ")</f>
        <v> মোছাঃ জরিমন নেছা </v>
      </c>
      <c r="D198" s="10">
        <f>IFERROR(__xludf.DUMMYFUNCTION("""COMPUTED_VALUE"""),5.70056378178E11)</f>
        <v>570056378178</v>
      </c>
      <c r="E198" s="10" t="str">
        <f>IFERROR(__xludf.DUMMYFUNCTION("""COMPUTED_VALUE""")," মনছুর মালিথা ")</f>
        <v> মনছুর মালিথা </v>
      </c>
      <c r="F198" s="10" t="str">
        <f>IFERROR(__xludf.DUMMYFUNCTION("""COMPUTED_VALUE""")," মোছাঃ জহিরন নেছা ")</f>
        <v> মোছাঃ জহিরন নেছা </v>
      </c>
      <c r="G198" s="10" t="str">
        <f>IFERROR(__xludf.DUMMYFUNCTION("""COMPUTED_VALUE""")," ০১/০৪/১৯৫৭ ")</f>
        <v> ০১/০৪/১৯৫৭ </v>
      </c>
      <c r="H198" s="10" t="str">
        <f>IFERROR(__xludf.DUMMYFUNCTION("""COMPUTED_VALUE""")," গৃহিনী ")</f>
        <v> গৃহিনী </v>
      </c>
      <c r="I198" s="10" t="str">
        <f>IFERROR(__xludf.DUMMYFUNCTION("""COMPUTED_VALUE""")," জালতকা, গাংনী, মেহেরপুর ")</f>
        <v> জালতকা, গাংনী, মেহেরপুর </v>
      </c>
    </row>
    <row r="199">
      <c r="A199" s="9" t="s">
        <v>2903</v>
      </c>
      <c r="B199" s="10">
        <f>IFERROR(__xludf.DUMMYFUNCTION("SPLIT(A199,""|"")"),190.0)</f>
        <v>190</v>
      </c>
      <c r="C199" s="10" t="str">
        <f>IFERROR(__xludf.DUMMYFUNCTION("""COMPUTED_VALUE""")," মোছাঃ নাসিমা খাতুন ")</f>
        <v> মোছাঃ নাসিমা খাতুন </v>
      </c>
      <c r="D199" s="10">
        <f>IFERROR(__xludf.DUMMYFUNCTION("""COMPUTED_VALUE"""),5.70056378181E11)</f>
        <v>570056378181</v>
      </c>
      <c r="E199" s="10" t="str">
        <f>IFERROR(__xludf.DUMMYFUNCTION("""COMPUTED_VALUE""")," মো: নাসির আলী ")</f>
        <v> মো: নাসির আলী </v>
      </c>
      <c r="F199" s="10" t="str">
        <f>IFERROR(__xludf.DUMMYFUNCTION("""COMPUTED_VALUE""")," মোছাঃ সেলিনা খাতুন ")</f>
        <v> মোছাঃ সেলিনা খাতুন </v>
      </c>
      <c r="G199" s="10" t="str">
        <f>IFERROR(__xludf.DUMMYFUNCTION("""COMPUTED_VALUE""")," ০১/০৪/১৯৭০ ")</f>
        <v> ০১/০৪/১৯৭০ </v>
      </c>
      <c r="H199" s="10" t="str">
        <f>IFERROR(__xludf.DUMMYFUNCTION("""COMPUTED_VALUE""")," গৃহিনী ")</f>
        <v> গৃহিনী </v>
      </c>
      <c r="I199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0">
      <c r="A200" s="9" t="s">
        <v>2904</v>
      </c>
      <c r="B200" s="10">
        <f>IFERROR(__xludf.DUMMYFUNCTION("SPLIT(A200,""|"")"),191.0)</f>
        <v>191</v>
      </c>
      <c r="C200" s="10" t="str">
        <f>IFERROR(__xludf.DUMMYFUNCTION("""COMPUTED_VALUE""")," মোছাঃ কহিনুর খাতুন ")</f>
        <v> মোছাঃ কহিনুর খাতুন </v>
      </c>
      <c r="D200" s="10">
        <f>IFERROR(__xludf.DUMMYFUNCTION("""COMPUTED_VALUE"""),5.70056378182E11)</f>
        <v>570056378182</v>
      </c>
      <c r="E200" s="10" t="str">
        <f>IFERROR(__xludf.DUMMYFUNCTION("""COMPUTED_VALUE""")," মো: দুল্লপ হোসেন ")</f>
        <v> মো: দুল্লপ হোসেন </v>
      </c>
      <c r="F200" s="10" t="str">
        <f>IFERROR(__xludf.DUMMYFUNCTION("""COMPUTED_VALUE""")," মোছাঃ ওয়েদান নেছা ")</f>
        <v> মোছাঃ ওয়েদান নেছা </v>
      </c>
      <c r="G200" s="10" t="str">
        <f>IFERROR(__xludf.DUMMYFUNCTION("""COMPUTED_VALUE""")," ০১/০১/১৯৬৪ ")</f>
        <v> ০১/০১/১৯৬৪ </v>
      </c>
      <c r="H200" s="10" t="str">
        <f>IFERROR(__xludf.DUMMYFUNCTION("""COMPUTED_VALUE""")," গৃহিনী ")</f>
        <v> গৃহিনী </v>
      </c>
      <c r="I200" s="10" t="str">
        <f>IFERROR(__xludf.DUMMYFUNCTION("""COMPUTED_VALUE""")," জালতকা, গাংনী, মেহেরপুর ")</f>
        <v> জালতকা, গাংনী, মেহেরপুর </v>
      </c>
    </row>
    <row r="201">
      <c r="A201" s="9" t="s">
        <v>2905</v>
      </c>
      <c r="B201" s="10">
        <f>IFERROR(__xludf.DUMMYFUNCTION("SPLIT(A201,""|"")"),192.0)</f>
        <v>192</v>
      </c>
      <c r="C201" s="10" t="str">
        <f>IFERROR(__xludf.DUMMYFUNCTION("""COMPUTED_VALUE""")," মোছাঃ সাবিনা খাতুন ")</f>
        <v> মোছাঃ সাবিনা খাতুন </v>
      </c>
      <c r="D201" s="10">
        <f>IFERROR(__xludf.DUMMYFUNCTION("""COMPUTED_VALUE"""),5.70056378183E11)</f>
        <v>570056378183</v>
      </c>
      <c r="E201" s="10" t="str">
        <f>IFERROR(__xludf.DUMMYFUNCTION("""COMPUTED_VALUE""")," মো: সমশের আলী ")</f>
        <v> মো: সমশের আলী </v>
      </c>
      <c r="F201" s="10" t="str">
        <f>IFERROR(__xludf.DUMMYFUNCTION("""COMPUTED_VALUE""")," মোছাঃ রহিমা খাতুন ")</f>
        <v> মোছাঃ রহিমা খাতুন </v>
      </c>
      <c r="G201" s="10" t="str">
        <f>IFERROR(__xludf.DUMMYFUNCTION("""COMPUTED_VALUE""")," ০১/০১/১৯৮৪ ")</f>
        <v> ০১/০১/১৯৮৪ </v>
      </c>
      <c r="H201" s="10" t="str">
        <f>IFERROR(__xludf.DUMMYFUNCTION("""COMPUTED_VALUE""")," গৃহিনী ")</f>
        <v> গৃহিনী </v>
      </c>
      <c r="I201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2">
      <c r="A202" s="9" t="s">
        <v>2906</v>
      </c>
      <c r="B202" s="10">
        <f>IFERROR(__xludf.DUMMYFUNCTION("SPLIT(A202,""|"")"),193.0)</f>
        <v>193</v>
      </c>
      <c r="C202" s="10" t="str">
        <f>IFERROR(__xludf.DUMMYFUNCTION("""COMPUTED_VALUE""")," মোছাঃ বেলী খাতুন ")</f>
        <v> মোছাঃ বেলী খাতুন </v>
      </c>
      <c r="D202" s="10">
        <f>IFERROR(__xludf.DUMMYFUNCTION("""COMPUTED_VALUE"""),5.70056378184E11)</f>
        <v>570056378184</v>
      </c>
      <c r="E202" s="10" t="str">
        <f>IFERROR(__xludf.DUMMYFUNCTION("""COMPUTED_VALUE""")," ইদ্রীস আলী ")</f>
        <v> ইদ্রীস আলী </v>
      </c>
      <c r="F202" s="10" t="str">
        <f>IFERROR(__xludf.DUMMYFUNCTION("""COMPUTED_VALUE""")," মোছাঃ মর্জিনা খাতুন ")</f>
        <v> মোছাঃ মর্জিনা খাতুন </v>
      </c>
      <c r="G202" s="10" t="str">
        <f>IFERROR(__xludf.DUMMYFUNCTION("""COMPUTED_VALUE""")," ০১/০৬/১৯৭৯ ")</f>
        <v> ০১/০৬/১৯৭৯ </v>
      </c>
      <c r="H202" s="10" t="str">
        <f>IFERROR(__xludf.DUMMYFUNCTION("""COMPUTED_VALUE""")," গৃহিনী ")</f>
        <v> গৃহিনী </v>
      </c>
      <c r="I202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3">
      <c r="A203" s="9" t="s">
        <v>2907</v>
      </c>
      <c r="B203" s="10">
        <f>IFERROR(__xludf.DUMMYFUNCTION("SPLIT(A203,""|"")"),194.0)</f>
        <v>194</v>
      </c>
      <c r="C203" s="10" t="str">
        <f>IFERROR(__xludf.DUMMYFUNCTION("""COMPUTED_VALUE""")," মোছাঃ আসমিনা খাতুন ")</f>
        <v> মোছাঃ আসমিনা খাতুন </v>
      </c>
      <c r="D203" s="10">
        <f>IFERROR(__xludf.DUMMYFUNCTION("""COMPUTED_VALUE"""),5.70056378186E11)</f>
        <v>570056378186</v>
      </c>
      <c r="E203" s="10" t="str">
        <f>IFERROR(__xludf.DUMMYFUNCTION("""COMPUTED_VALUE""")," হারান মালিথা ")</f>
        <v> হারান মালিথা </v>
      </c>
      <c r="F203" s="10" t="str">
        <f>IFERROR(__xludf.DUMMYFUNCTION("""COMPUTED_VALUE""")," মোছাঃ খুকীমালা ")</f>
        <v> মোছাঃ খুকীমালা </v>
      </c>
      <c r="G203" s="10" t="str">
        <f>IFERROR(__xludf.DUMMYFUNCTION("""COMPUTED_VALUE""")," ২৫/০৮/১৯৬৯ ")</f>
        <v> ২৫/০৮/১৯৬৯ </v>
      </c>
      <c r="H203" s="10" t="str">
        <f>IFERROR(__xludf.DUMMYFUNCTION("""COMPUTED_VALUE""")," গৃহিনী ")</f>
        <v> গৃহিনী </v>
      </c>
      <c r="I203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4">
      <c r="A204" s="9" t="s">
        <v>2908</v>
      </c>
      <c r="B204" s="10">
        <f>IFERROR(__xludf.DUMMYFUNCTION("SPLIT(A204,""|"")"),195.0)</f>
        <v>195</v>
      </c>
      <c r="C204" s="10" t="str">
        <f>IFERROR(__xludf.DUMMYFUNCTION("""COMPUTED_VALUE""")," মোছাঃ নুরুন্নাহার খাতুন ")</f>
        <v> মোছাঃ নুরুন্নাহার খাতুন </v>
      </c>
      <c r="D204" s="10">
        <f>IFERROR(__xludf.DUMMYFUNCTION("""COMPUTED_VALUE"""),5.70056378188E11)</f>
        <v>570056378188</v>
      </c>
      <c r="E204" s="10" t="str">
        <f>IFERROR(__xludf.DUMMYFUNCTION("""COMPUTED_VALUE""")," মো: রুহুল আমিন ")</f>
        <v> মো: রুহুল আমিন </v>
      </c>
      <c r="F204" s="10" t="str">
        <f>IFERROR(__xludf.DUMMYFUNCTION("""COMPUTED_VALUE""")," মোছাঃ আছিয়া খাতুন ")</f>
        <v> মোছাঃ আছিয়া খাতুন </v>
      </c>
      <c r="G204" s="10" t="str">
        <f>IFERROR(__xludf.DUMMYFUNCTION("""COMPUTED_VALUE""")," ০৯/০৩/১৯৮৪ ")</f>
        <v> ০৯/০৩/১৯৮৪ </v>
      </c>
      <c r="H204" s="10" t="str">
        <f>IFERROR(__xludf.DUMMYFUNCTION("""COMPUTED_VALUE""")," গৃহিনী ")</f>
        <v> গৃহিনী </v>
      </c>
      <c r="I204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5">
      <c r="A205" s="9" t="s">
        <v>2909</v>
      </c>
      <c r="B205" s="10">
        <f>IFERROR(__xludf.DUMMYFUNCTION("SPLIT(A205,""|"")"),196.0)</f>
        <v>196</v>
      </c>
      <c r="C205" s="10" t="str">
        <f>IFERROR(__xludf.DUMMYFUNCTION("""COMPUTED_VALUE""")," মোছাঃ তাসলিমা খাতুন ")</f>
        <v> মোছাঃ তাসলিমা খাতুন </v>
      </c>
      <c r="D205" s="10">
        <f>IFERROR(__xludf.DUMMYFUNCTION("""COMPUTED_VALUE"""),5.70056378189E11)</f>
        <v>570056378189</v>
      </c>
      <c r="E205" s="10" t="str">
        <f>IFERROR(__xludf.DUMMYFUNCTION("""COMPUTED_VALUE""")," মো: ফজল উদ্দীন ")</f>
        <v> মো: ফজল উদ্দীন </v>
      </c>
      <c r="F205" s="10" t="str">
        <f>IFERROR(__xludf.DUMMYFUNCTION("""COMPUTED_VALUE""")," মোছাঃ আনোয়ারা খাতুন ")</f>
        <v> মোছাঃ আনোয়ারা খাতুন </v>
      </c>
      <c r="G205" s="10" t="str">
        <f>IFERROR(__xludf.DUMMYFUNCTION("""COMPUTED_VALUE""")," ০৫/১০/১৯৮৭ ")</f>
        <v> ০৫/১০/১৯৮৭ </v>
      </c>
      <c r="H205" s="10" t="str">
        <f>IFERROR(__xludf.DUMMYFUNCTION("""COMPUTED_VALUE""")," গৃহিনী ")</f>
        <v> গৃহিনী </v>
      </c>
      <c r="I205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6">
      <c r="A206" s="9" t="s">
        <v>2910</v>
      </c>
      <c r="B206" s="10">
        <f>IFERROR(__xludf.DUMMYFUNCTION("SPLIT(A206,""|"")"),197.0)</f>
        <v>197</v>
      </c>
      <c r="C206" s="10" t="str">
        <f>IFERROR(__xludf.DUMMYFUNCTION("""COMPUTED_VALUE""")," মোছাঃ নাছিমা খাতুন ")</f>
        <v> মোছাঃ নাছিমা খাতুন </v>
      </c>
      <c r="D206" s="10">
        <f>IFERROR(__xludf.DUMMYFUNCTION("""COMPUTED_VALUE"""),5.70056378191E11)</f>
        <v>570056378191</v>
      </c>
      <c r="E206" s="10" t="str">
        <f>IFERROR(__xludf.DUMMYFUNCTION("""COMPUTED_VALUE""")," মো: শাহাব উদ্দীন ")</f>
        <v> মো: শাহাব উদ্দীন </v>
      </c>
      <c r="F206" s="10" t="str">
        <f>IFERROR(__xludf.DUMMYFUNCTION("""COMPUTED_VALUE""")," মোছাঃ বেগম ")</f>
        <v> মোছাঃ বেগম </v>
      </c>
      <c r="G206" s="10" t="str">
        <f>IFERROR(__xludf.DUMMYFUNCTION("""COMPUTED_VALUE""")," ০২/০২/১৯৭৯ ")</f>
        <v> ০২/০২/১৯৭৯ </v>
      </c>
      <c r="H206" s="10" t="str">
        <f>IFERROR(__xludf.DUMMYFUNCTION("""COMPUTED_VALUE""")," গৃহিনী ")</f>
        <v> গৃহিনী </v>
      </c>
      <c r="I206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7">
      <c r="A207" s="9" t="s">
        <v>2911</v>
      </c>
      <c r="B207" s="10">
        <f>IFERROR(__xludf.DUMMYFUNCTION("SPLIT(A207,""|"")"),198.0)</f>
        <v>198</v>
      </c>
      <c r="C207" s="10" t="str">
        <f>IFERROR(__xludf.DUMMYFUNCTION("""COMPUTED_VALUE""")," মোছাঃ আসমিনা খাতুন ")</f>
        <v> মোছাঃ আসমিনা খাতুন </v>
      </c>
      <c r="D207" s="10">
        <f>IFERROR(__xludf.DUMMYFUNCTION("""COMPUTED_VALUE"""),5.70056378194E11)</f>
        <v>570056378194</v>
      </c>
      <c r="E207" s="10" t="str">
        <f>IFERROR(__xludf.DUMMYFUNCTION("""COMPUTED_VALUE""")," ইব্রাহিম মন্ডল ")</f>
        <v> ইব্রাহিম মন্ডল </v>
      </c>
      <c r="F207" s="10" t="str">
        <f>IFERROR(__xludf.DUMMYFUNCTION("""COMPUTED_VALUE""")," মোছাঃ ছানুরা খাতুন ")</f>
        <v> মোছাঃ ছানুরা খাতুন </v>
      </c>
      <c r="G207" s="10" t="str">
        <f>IFERROR(__xludf.DUMMYFUNCTION("""COMPUTED_VALUE""")," ০২/০৩/১৯৭২ ")</f>
        <v> ০২/০৩/১৯৭২ </v>
      </c>
      <c r="H207" s="10" t="str">
        <f>IFERROR(__xludf.DUMMYFUNCTION("""COMPUTED_VALUE""")," গৃহিনী ")</f>
        <v> গৃহিনী </v>
      </c>
      <c r="I207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8">
      <c r="A208" s="9" t="s">
        <v>2912</v>
      </c>
      <c r="B208" s="10">
        <f>IFERROR(__xludf.DUMMYFUNCTION("SPLIT(A208,""|"")"),199.0)</f>
        <v>199</v>
      </c>
      <c r="C208" s="10" t="str">
        <f>IFERROR(__xludf.DUMMYFUNCTION("""COMPUTED_VALUE""")," মোছাঃ ববিতা খাতুন ")</f>
        <v> মোছাঃ ববিতা খাতুন </v>
      </c>
      <c r="D208" s="10">
        <f>IFERROR(__xludf.DUMMYFUNCTION("""COMPUTED_VALUE"""),5.70056378196E11)</f>
        <v>570056378196</v>
      </c>
      <c r="E208" s="10" t="str">
        <f>IFERROR(__xludf.DUMMYFUNCTION("""COMPUTED_VALUE""")," মো: আব্দুল কাদের শেখ ")</f>
        <v> মো: আব্দুল কাদের শেখ </v>
      </c>
      <c r="F208" s="10" t="str">
        <f>IFERROR(__xludf.DUMMYFUNCTION("""COMPUTED_VALUE""")," মোছাঃ জমেলা খাতুন ")</f>
        <v> মোছাঃ জমেলা খাতুন </v>
      </c>
      <c r="G208" s="10" t="str">
        <f>IFERROR(__xludf.DUMMYFUNCTION("""COMPUTED_VALUE""")," ১০/১০/১৯৮৭ ")</f>
        <v> ১০/১০/১৯৮৭ </v>
      </c>
      <c r="H208" s="10" t="str">
        <f>IFERROR(__xludf.DUMMYFUNCTION("""COMPUTED_VALUE""")," গৃহিনী ")</f>
        <v> গৃহিনী </v>
      </c>
      <c r="I208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9">
      <c r="A209" s="9" t="s">
        <v>2913</v>
      </c>
      <c r="B209" s="10">
        <f>IFERROR(__xludf.DUMMYFUNCTION("SPLIT(A209,""|"")"),200.0)</f>
        <v>200</v>
      </c>
      <c r="C209" s="10" t="str">
        <f>IFERROR(__xludf.DUMMYFUNCTION("""COMPUTED_VALUE""")," মোছাঃ মাকছুরা খাতুন ")</f>
        <v> মোছাঃ মাকছুরা খাতুন </v>
      </c>
      <c r="D209" s="10">
        <f>IFERROR(__xludf.DUMMYFUNCTION("""COMPUTED_VALUE"""),5.70056378199E11)</f>
        <v>570056378199</v>
      </c>
      <c r="E209" s="10" t="str">
        <f>IFERROR(__xludf.DUMMYFUNCTION("""COMPUTED_VALUE""")," মো: মহিন উদ্দীন ")</f>
        <v> মো: মহিন উদ্দীন </v>
      </c>
      <c r="F209" s="10" t="str">
        <f>IFERROR(__xludf.DUMMYFUNCTION("""COMPUTED_VALUE""")," মোছাঃ মালেকা খাতুন ")</f>
        <v> মোছাঃ মালেকা খাতুন </v>
      </c>
      <c r="G209" s="10" t="str">
        <f>IFERROR(__xludf.DUMMYFUNCTION("""COMPUTED_VALUE""")," ১০/০৩/১৯৮৪ ")</f>
        <v> ১০/০৩/১৯৮৪ </v>
      </c>
      <c r="H209" s="10" t="str">
        <f>IFERROR(__xludf.DUMMYFUNCTION("""COMPUTED_VALUE""")," গৃহিনী ")</f>
        <v> গৃহিনী </v>
      </c>
      <c r="I209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10">
      <c r="A210" s="9" t="s">
        <v>2914</v>
      </c>
      <c r="B210" s="10">
        <f>IFERROR(__xludf.DUMMYFUNCTION("SPLIT(A210,""|"")"),201.0)</f>
        <v>201</v>
      </c>
      <c r="C210" s="10" t="str">
        <f>IFERROR(__xludf.DUMMYFUNCTION("""COMPUTED_VALUE""")," মোছাঃ মুসলিমা খাতুন ")</f>
        <v> মোছাঃ মুসলিমা খাতুন </v>
      </c>
      <c r="D210" s="10">
        <f>IFERROR(__xludf.DUMMYFUNCTION("""COMPUTED_VALUE"""),5.70056378202E11)</f>
        <v>570056378202</v>
      </c>
      <c r="E210" s="10" t="str">
        <f>IFERROR(__xludf.DUMMYFUNCTION("""COMPUTED_VALUE""")," মো: বাবুল আলী ")</f>
        <v> মো: বাবুল আলী </v>
      </c>
      <c r="F210" s="10" t="str">
        <f>IFERROR(__xludf.DUMMYFUNCTION("""COMPUTED_VALUE""")," মোছাঃ আলিয়া খাতুন ")</f>
        <v> মোছাঃ আলিয়া খাতুন </v>
      </c>
      <c r="G210" s="10" t="str">
        <f>IFERROR(__xludf.DUMMYFUNCTION("""COMPUTED_VALUE""")," ১১/০৮/১৯৮৩ ")</f>
        <v> ১১/০৮/১৯৮৩ </v>
      </c>
      <c r="H210" s="10" t="str">
        <f>IFERROR(__xludf.DUMMYFUNCTION("""COMPUTED_VALUE""")," গৃহিনী ")</f>
        <v> গৃহিনী </v>
      </c>
      <c r="I210" s="10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11">
      <c r="A211" s="9" t="s">
        <v>2915</v>
      </c>
      <c r="B211" s="10">
        <f>IFERROR(__xludf.DUMMYFUNCTION("SPLIT(A211,""|"")"),202.0)</f>
        <v>202</v>
      </c>
      <c r="C211" s="10" t="str">
        <f>IFERROR(__xludf.DUMMYFUNCTION("""COMPUTED_VALUE""")," মোছাঃ মাস্তুরা পারভীন ")</f>
        <v> মোছাঃ মাস্তুরা পারভীন </v>
      </c>
      <c r="D211" s="10">
        <f>IFERROR(__xludf.DUMMYFUNCTION("""COMPUTED_VALUE"""),5.70056378204E11)</f>
        <v>570056378204</v>
      </c>
      <c r="E211" s="10" t="str">
        <f>IFERROR(__xludf.DUMMYFUNCTION("""COMPUTED_VALUE""")," মো: আ: মান্নান ")</f>
        <v> মো: আ: মান্নান </v>
      </c>
      <c r="F211" s="10" t="str">
        <f>IFERROR(__xludf.DUMMYFUNCTION("""COMPUTED_VALUE""")," মোছাঃ সাহেরা বেগম ")</f>
        <v> মোছাঃ সাহেরা বেগম </v>
      </c>
      <c r="G211" s="10" t="str">
        <f>IFERROR(__xludf.DUMMYFUNCTION("""COMPUTED_VALUE""")," ২১/০৩/১৯৮২ ")</f>
        <v> ২১/০৩/১৯৮২ </v>
      </c>
      <c r="H211" s="10" t="str">
        <f>IFERROR(__xludf.DUMMYFUNCTION("""COMPUTED_VALUE""")," গৃহিনী ")</f>
        <v> গৃহিনী </v>
      </c>
      <c r="I211" s="10" t="str">
        <f>IFERROR(__xludf.DUMMYFUNCTION("""COMPUTED_VALUE""")," জালতকা, গাংনী, মেহেরপুর ")</f>
        <v> জালতকা, গাংনী, মেহেরপুর </v>
      </c>
    </row>
    <row r="212">
      <c r="A212" s="9" t="s">
        <v>2916</v>
      </c>
      <c r="B212" s="10">
        <f>IFERROR(__xludf.DUMMYFUNCTION("SPLIT(A212,""|"")"),203.0)</f>
        <v>203</v>
      </c>
      <c r="C212" s="10" t="str">
        <f>IFERROR(__xludf.DUMMYFUNCTION("""COMPUTED_VALUE""")," মোছাঃ রূপালী খাতুন ")</f>
        <v> মোছাঃ রূপালী খাতুন </v>
      </c>
      <c r="D212" s="10">
        <f>IFERROR(__xludf.DUMMYFUNCTION("""COMPUTED_VALUE"""),5.70056378205E11)</f>
        <v>570056378205</v>
      </c>
      <c r="E212" s="10" t="str">
        <f>IFERROR(__xludf.DUMMYFUNCTION("""COMPUTED_VALUE""")," মো: খাইরুল ইসলাম ")</f>
        <v> মো: খাইরুল ইসলাম </v>
      </c>
      <c r="F212" s="10" t="str">
        <f>IFERROR(__xludf.DUMMYFUNCTION("""COMPUTED_VALUE""")," মোছাঃ ফিরোজা বেগম ")</f>
        <v> মোছাঃ ফিরোজা বেগম </v>
      </c>
      <c r="G212" s="10" t="str">
        <f>IFERROR(__xludf.DUMMYFUNCTION("""COMPUTED_VALUE""")," ০৭/০৫/১৯৮৭ ")</f>
        <v> ০৭/০৫/১৯৮৭ </v>
      </c>
      <c r="H212" s="10" t="str">
        <f>IFERROR(__xludf.DUMMYFUNCTION("""COMPUTED_VALUE""")," গৃহিনী ")</f>
        <v> গৃহিনী </v>
      </c>
      <c r="I212" s="10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213">
      <c r="A213" s="9" t="s">
        <v>2917</v>
      </c>
      <c r="B213" s="10">
        <f>IFERROR(__xludf.DUMMYFUNCTION("SPLIT(A213,""|"")"),204.0)</f>
        <v>204</v>
      </c>
      <c r="C213" s="10" t="str">
        <f>IFERROR(__xludf.DUMMYFUNCTION("""COMPUTED_VALUE""")," মোছাঃ মৌসুমী আক্তার ")</f>
        <v> মোছাঃ মৌসুমী আক্তার </v>
      </c>
      <c r="D213" s="10">
        <f>IFERROR(__xludf.DUMMYFUNCTION("""COMPUTED_VALUE"""),5.70056378206E11)</f>
        <v>570056378206</v>
      </c>
      <c r="E213" s="10" t="str">
        <f>IFERROR(__xludf.DUMMYFUNCTION("""COMPUTED_VALUE""")," মো: মুকুল হোসেন ")</f>
        <v> মো: মুকুল হোসেন </v>
      </c>
      <c r="F213" s="10" t="str">
        <f>IFERROR(__xludf.DUMMYFUNCTION("""COMPUTED_VALUE""")," মোছাঃ চায়না বেগম ")</f>
        <v> মোছাঃ চায়না বেগম </v>
      </c>
      <c r="G213" s="10" t="str">
        <f>IFERROR(__xludf.DUMMYFUNCTION("""COMPUTED_VALUE""")," ০৪/০৯/১৯৮৫ ")</f>
        <v> ০৪/০৯/১৯৮৫ </v>
      </c>
      <c r="H213" s="10" t="str">
        <f>IFERROR(__xludf.DUMMYFUNCTION("""COMPUTED_VALUE""")," গৃহিনী ")</f>
        <v> গৃহিনী </v>
      </c>
      <c r="I213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4">
      <c r="A214" s="9" t="s">
        <v>2918</v>
      </c>
      <c r="B214" s="10">
        <f>IFERROR(__xludf.DUMMYFUNCTION("SPLIT(A214,""|"")"),205.0)</f>
        <v>205</v>
      </c>
      <c r="C214" s="10" t="str">
        <f>IFERROR(__xludf.DUMMYFUNCTION("""COMPUTED_VALUE""")," মোছাঃ রোকিয়া খাতুন ")</f>
        <v> মোছাঃ রোকিয়া খাতুন </v>
      </c>
      <c r="D214" s="10">
        <f>IFERROR(__xludf.DUMMYFUNCTION("""COMPUTED_VALUE"""),5.70056378207E11)</f>
        <v>570056378207</v>
      </c>
      <c r="E214" s="10" t="str">
        <f>IFERROR(__xludf.DUMMYFUNCTION("""COMPUTED_VALUE""")," মো: খেদালী শেখ ")</f>
        <v> মো: খেদালী শেখ </v>
      </c>
      <c r="F214" s="10" t="str">
        <f>IFERROR(__xludf.DUMMYFUNCTION("""COMPUTED_VALUE""")," মোছাঃ খদেজান ")</f>
        <v> মোছাঃ খদেজান </v>
      </c>
      <c r="G214" s="10" t="str">
        <f>IFERROR(__xludf.DUMMYFUNCTION("""COMPUTED_VALUE""")," ০৪/১০/১৯৫৯ ")</f>
        <v> ০৪/১০/১৯৫৯ </v>
      </c>
      <c r="H214" s="10" t="str">
        <f>IFERROR(__xludf.DUMMYFUNCTION("""COMPUTED_VALUE""")," গৃহিনী ")</f>
        <v> গৃহিনী </v>
      </c>
      <c r="I214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5">
      <c r="A215" s="9" t="s">
        <v>2919</v>
      </c>
      <c r="B215" s="10">
        <f>IFERROR(__xludf.DUMMYFUNCTION("SPLIT(A215,""|"")"),206.0)</f>
        <v>206</v>
      </c>
      <c r="C215" s="10" t="str">
        <f>IFERROR(__xludf.DUMMYFUNCTION("""COMPUTED_VALUE""")," মোছাঃ ইসমতারা ")</f>
        <v> মোছাঃ ইসমতারা </v>
      </c>
      <c r="D215" s="10">
        <f>IFERROR(__xludf.DUMMYFUNCTION("""COMPUTED_VALUE"""),5.7005637821E11)</f>
        <v>570056378210</v>
      </c>
      <c r="E215" s="10" t="str">
        <f>IFERROR(__xludf.DUMMYFUNCTION("""COMPUTED_VALUE""")," মো: ইলা মালিথা ")</f>
        <v> মো: ইলা মালিথা </v>
      </c>
      <c r="F215" s="10" t="str">
        <f>IFERROR(__xludf.DUMMYFUNCTION("""COMPUTED_VALUE""")," মোছাঃ হাজেরা খাতুন ")</f>
        <v> মোছাঃ হাজেরা খাতুন </v>
      </c>
      <c r="G215" s="10" t="str">
        <f>IFERROR(__xludf.DUMMYFUNCTION("""COMPUTED_VALUE""")," ০৭/০৯/১৯৮০ ")</f>
        <v> ০৭/০৯/১৯৮০ </v>
      </c>
      <c r="H215" s="10" t="str">
        <f>IFERROR(__xludf.DUMMYFUNCTION("""COMPUTED_VALUE""")," গৃহিনী ")</f>
        <v> গৃহিনী </v>
      </c>
      <c r="I215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6">
      <c r="A216" s="9" t="s">
        <v>2920</v>
      </c>
      <c r="B216" s="10">
        <f>IFERROR(__xludf.DUMMYFUNCTION("SPLIT(A216,""|"")"),207.0)</f>
        <v>207</v>
      </c>
      <c r="C216" s="10" t="str">
        <f>IFERROR(__xludf.DUMMYFUNCTION("""COMPUTED_VALUE""")," মোছাঃ মরিয়ম নেছা ")</f>
        <v> মোছাঃ মরিয়ম নেছা </v>
      </c>
      <c r="D216" s="10">
        <f>IFERROR(__xludf.DUMMYFUNCTION("""COMPUTED_VALUE"""),5.70056378213E11)</f>
        <v>570056378213</v>
      </c>
      <c r="E216" s="10" t="str">
        <f>IFERROR(__xludf.DUMMYFUNCTION("""COMPUTED_VALUE""")," মো: সুলতান মন্ডল ")</f>
        <v> মো: সুলতান মন্ডল </v>
      </c>
      <c r="F216" s="10" t="str">
        <f>IFERROR(__xludf.DUMMYFUNCTION("""COMPUTED_VALUE""")," মোছাঃ আছিয়া খাতুন ")</f>
        <v> মোছাঃ আছিয়া খাতুন </v>
      </c>
      <c r="G216" s="10" t="str">
        <f>IFERROR(__xludf.DUMMYFUNCTION("""COMPUTED_VALUE""")," ০৯/০৭/১৯৭০ ")</f>
        <v> ০৯/০৭/১৯৭০ </v>
      </c>
      <c r="H216" s="10" t="str">
        <f>IFERROR(__xludf.DUMMYFUNCTION("""COMPUTED_VALUE""")," গৃহিনী ")</f>
        <v> গৃহিনী </v>
      </c>
      <c r="I216" s="10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17">
      <c r="A217" s="9" t="s">
        <v>2921</v>
      </c>
      <c r="B217" s="10">
        <f>IFERROR(__xludf.DUMMYFUNCTION("SPLIT(A217,""|"")"),208.0)</f>
        <v>208</v>
      </c>
      <c r="C217" s="10" t="str">
        <f>IFERROR(__xludf.DUMMYFUNCTION("""COMPUTED_VALUE""")," মোছাঃ আশানুর বেগম ")</f>
        <v> মোছাঃ আশানুর বেগম </v>
      </c>
      <c r="D217" s="10">
        <f>IFERROR(__xludf.DUMMYFUNCTION("""COMPUTED_VALUE"""),5.70056378214E11)</f>
        <v>570056378214</v>
      </c>
      <c r="E217" s="10" t="str">
        <f>IFERROR(__xludf.DUMMYFUNCTION("""COMPUTED_VALUE""")," কিফাতুল্লাহ ")</f>
        <v> কিফাতুল্লাহ </v>
      </c>
      <c r="F217" s="10" t="str">
        <f>IFERROR(__xludf.DUMMYFUNCTION("""COMPUTED_VALUE""")," জহিরন নেছা ")</f>
        <v> জহিরন নেছা </v>
      </c>
      <c r="G217" s="10" t="str">
        <f>IFERROR(__xludf.DUMMYFUNCTION("""COMPUTED_VALUE""")," ১৫/০১/১৯৬৭ ")</f>
        <v> ১৫/০১/১৯৬৭ </v>
      </c>
      <c r="H217" s="10" t="str">
        <f>IFERROR(__xludf.DUMMYFUNCTION("""COMPUTED_VALUE""")," গৃহিনী ")</f>
        <v> গৃহিনী </v>
      </c>
      <c r="I217" s="10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18">
      <c r="A218" s="9" t="s">
        <v>2922</v>
      </c>
      <c r="B218" s="10">
        <f>IFERROR(__xludf.DUMMYFUNCTION("SPLIT(A218,""|"")"),209.0)</f>
        <v>209</v>
      </c>
      <c r="C218" s="10" t="str">
        <f>IFERROR(__xludf.DUMMYFUNCTION("""COMPUTED_VALUE""")," মোছাঃ শাহনাজ খাতুন ")</f>
        <v> মোছাঃ শাহনাজ খাতুন </v>
      </c>
      <c r="D218" s="10">
        <f>IFERROR(__xludf.DUMMYFUNCTION("""COMPUTED_VALUE"""),5.70056378216E11)</f>
        <v>570056378216</v>
      </c>
      <c r="E218" s="10" t="str">
        <f>IFERROR(__xludf.DUMMYFUNCTION("""COMPUTED_VALUE""")," মো: খেদালী ")</f>
        <v> মো: খেদালী </v>
      </c>
      <c r="F218" s="10" t="str">
        <f>IFERROR(__xludf.DUMMYFUNCTION("""COMPUTED_VALUE""")," মোছাঃ হাওয়া খাতুন ")</f>
        <v> মোছাঃ হাওয়া খাতুন </v>
      </c>
      <c r="G218" s="10" t="str">
        <f>IFERROR(__xludf.DUMMYFUNCTION("""COMPUTED_VALUE""")," ২৩/০৭/১৯৮২ ")</f>
        <v> ২৩/০৭/১৯৮২ </v>
      </c>
      <c r="H218" s="10" t="str">
        <f>IFERROR(__xludf.DUMMYFUNCTION("""COMPUTED_VALUE""")," গৃহিনী ")</f>
        <v> গৃহিনী </v>
      </c>
      <c r="I218" s="10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19">
      <c r="A219" s="9" t="s">
        <v>2923</v>
      </c>
      <c r="B219" s="10">
        <f>IFERROR(__xludf.DUMMYFUNCTION("SPLIT(A219,""|"")"),210.0)</f>
        <v>210</v>
      </c>
      <c r="C219" s="10" t="str">
        <f>IFERROR(__xludf.DUMMYFUNCTION("""COMPUTED_VALUE""")," মোছাঃ রেবেকা খাতুন ")</f>
        <v> মোছাঃ রেবেকা খাতুন </v>
      </c>
      <c r="D219" s="10">
        <f>IFERROR(__xludf.DUMMYFUNCTION("""COMPUTED_VALUE"""),5.70056378217E11)</f>
        <v>570056378217</v>
      </c>
      <c r="E219" s="10" t="str">
        <f>IFERROR(__xludf.DUMMYFUNCTION("""COMPUTED_VALUE""")," মো: সালেকদ্দীন ")</f>
        <v> মো: সালেকদ্দীন </v>
      </c>
      <c r="F219" s="10" t="str">
        <f>IFERROR(__xludf.DUMMYFUNCTION("""COMPUTED_VALUE""")," মোছাঃ খবিরন নেছা ")</f>
        <v> মোছাঃ খবিরন নেছা </v>
      </c>
      <c r="G219" s="10" t="str">
        <f>IFERROR(__xludf.DUMMYFUNCTION("""COMPUTED_VALUE""")," ২৫/০৪/১৯৭৭ ")</f>
        <v> ২৫/০৪/১৯৭৭ </v>
      </c>
      <c r="H219" s="10" t="str">
        <f>IFERROR(__xludf.DUMMYFUNCTION("""COMPUTED_VALUE""")," গৃহিনী ")</f>
        <v> গৃহিনী </v>
      </c>
      <c r="I219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20">
      <c r="A220" s="9" t="s">
        <v>2924</v>
      </c>
      <c r="B220" s="10">
        <f>IFERROR(__xludf.DUMMYFUNCTION("SPLIT(A220,""|"")"),211.0)</f>
        <v>211</v>
      </c>
      <c r="C220" s="10" t="str">
        <f>IFERROR(__xludf.DUMMYFUNCTION("""COMPUTED_VALUE""")," মোছাঃ আছারন ")</f>
        <v> মোছাঃ আছারন </v>
      </c>
      <c r="D220" s="10">
        <f>IFERROR(__xludf.DUMMYFUNCTION("""COMPUTED_VALUE"""),5.70056378235E11)</f>
        <v>570056378235</v>
      </c>
      <c r="E220" s="10" t="str">
        <f>IFERROR(__xludf.DUMMYFUNCTION("""COMPUTED_VALUE""")," মো: আ: জলিল ")</f>
        <v> মো: আ: জলিল </v>
      </c>
      <c r="F220" s="10" t="str">
        <f>IFERROR(__xludf.DUMMYFUNCTION("""COMPUTED_VALUE""")," মোছাঃ রেজিয়া ")</f>
        <v> মোছাঃ রেজিয়া </v>
      </c>
      <c r="G220" s="10" t="str">
        <f>IFERROR(__xludf.DUMMYFUNCTION("""COMPUTED_VALUE""")," ২২/০৪/১৯৫৭ ")</f>
        <v> ২২/০৪/১৯৫৭ </v>
      </c>
      <c r="H220" s="10" t="str">
        <f>IFERROR(__xludf.DUMMYFUNCTION("""COMPUTED_VALUE""")," গৃহিনী ")</f>
        <v> গৃহিনী </v>
      </c>
      <c r="I220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21">
      <c r="A221" s="9" t="s">
        <v>2925</v>
      </c>
      <c r="B221" s="10">
        <f>IFERROR(__xludf.DUMMYFUNCTION("SPLIT(A221,""|"")"),212.0)</f>
        <v>212</v>
      </c>
      <c r="C221" s="10" t="str">
        <f>IFERROR(__xludf.DUMMYFUNCTION("""COMPUTED_VALUE""")," মোছাঃ মনোয়ারা বেগম ")</f>
        <v> মোছাঃ মনোয়ারা বেগম </v>
      </c>
      <c r="D221" s="10">
        <f>IFERROR(__xludf.DUMMYFUNCTION("""COMPUTED_VALUE"""),5.70056378241E11)</f>
        <v>570056378241</v>
      </c>
      <c r="E221" s="10" t="str">
        <f>IFERROR(__xludf.DUMMYFUNCTION("""COMPUTED_VALUE""")," মো: নজিমদ্দিন বিশ্বাস ")</f>
        <v> মো: নজিমদ্দিন বিশ্বাস </v>
      </c>
      <c r="F221" s="10" t="str">
        <f>IFERROR(__xludf.DUMMYFUNCTION("""COMPUTED_VALUE""")," মোছাঃ ছফুরা খাতুন ")</f>
        <v> মোছাঃ ছফুরা খাতুন </v>
      </c>
      <c r="G221" s="10" t="str">
        <f>IFERROR(__xludf.DUMMYFUNCTION("""COMPUTED_VALUE""")," ০৯/০৫/১৯৫২ ")</f>
        <v> ০৯/০৫/১৯৫২ </v>
      </c>
      <c r="H221" s="10" t="str">
        <f>IFERROR(__xludf.DUMMYFUNCTION("""COMPUTED_VALUE""")," গৃহিনী ")</f>
        <v> গৃহিনী </v>
      </c>
      <c r="I221" s="10" t="str">
        <f>IFERROR(__xludf.DUMMYFUNCTION("""COMPUTED_VALUE""")," জালতকা, গাংনী, মেহেরপুর ")</f>
        <v> জালতকা, গাংনী, মেহেরপুর </v>
      </c>
    </row>
    <row r="222">
      <c r="A222" s="9" t="s">
        <v>2926</v>
      </c>
      <c r="B222" s="10">
        <f>IFERROR(__xludf.DUMMYFUNCTION("SPLIT(A222,""|"")"),213.0)</f>
        <v>213</v>
      </c>
      <c r="C222" s="10" t="str">
        <f>IFERROR(__xludf.DUMMYFUNCTION("""COMPUTED_VALUE""")," মোছাঃ সালমা ")</f>
        <v> মোছাঃ সালমা </v>
      </c>
      <c r="D222" s="10">
        <f>IFERROR(__xludf.DUMMYFUNCTION("""COMPUTED_VALUE"""),5.70056378243E11)</f>
        <v>570056378243</v>
      </c>
      <c r="E222" s="10" t="str">
        <f>IFERROR(__xludf.DUMMYFUNCTION("""COMPUTED_VALUE""")," মো: শুকুর আলী ")</f>
        <v> মো: শুকুর আলী </v>
      </c>
      <c r="F222" s="10" t="str">
        <f>IFERROR(__xludf.DUMMYFUNCTION("""COMPUTED_VALUE""")," মোছাঃ লাইলি খাতুন ")</f>
        <v> মোছাঃ লাইলি খাতুন </v>
      </c>
      <c r="G222" s="10" t="str">
        <f>IFERROR(__xludf.DUMMYFUNCTION("""COMPUTED_VALUE""")," ০১/০১/১৯৭৮ ")</f>
        <v> ০১/০১/১৯৭৮ </v>
      </c>
      <c r="H222" s="10" t="str">
        <f>IFERROR(__xludf.DUMMYFUNCTION("""COMPUTED_VALUE""")," গৃহিনী ")</f>
        <v> গৃহিনী </v>
      </c>
      <c r="I222" s="10" t="str">
        <f>IFERROR(__xludf.DUMMYFUNCTION("""COMPUTED_VALUE""")," জালতকা, গাংনী, মেহেরপুর ")</f>
        <v> জালতকা, গাংনী, মেহেরপুর </v>
      </c>
    </row>
    <row r="223">
      <c r="A223" s="9" t="s">
        <v>2927</v>
      </c>
      <c r="B223" s="10">
        <f>IFERROR(__xludf.DUMMYFUNCTION("SPLIT(A223,""|"")"),214.0)</f>
        <v>214</v>
      </c>
      <c r="C223" s="10" t="str">
        <f>IFERROR(__xludf.DUMMYFUNCTION("""COMPUTED_VALUE""")," মোছাঃ ফেরদৌসী ")</f>
        <v> মোছাঃ ফেরদৌসী </v>
      </c>
      <c r="D223" s="10">
        <f>IFERROR(__xludf.DUMMYFUNCTION("""COMPUTED_VALUE"""),5.70056378248E11)</f>
        <v>570056378248</v>
      </c>
      <c r="E223" s="10" t="str">
        <f>IFERROR(__xludf.DUMMYFUNCTION("""COMPUTED_VALUE""")," আজিমুদ্দীন ")</f>
        <v> আজিমুদ্দীন </v>
      </c>
      <c r="F223" s="10" t="str">
        <f>IFERROR(__xludf.DUMMYFUNCTION("""COMPUTED_VALUE""")," মোছাঃ মেহেরন নেছা ")</f>
        <v> মোছাঃ মেহেরন নেছা </v>
      </c>
      <c r="G223" s="10" t="str">
        <f>IFERROR(__xludf.DUMMYFUNCTION("""COMPUTED_VALUE""")," ৩০/১০/১৯৬৭ ")</f>
        <v> ৩০/১০/১৯৬৭ </v>
      </c>
      <c r="H223" s="10" t="str">
        <f>IFERROR(__xludf.DUMMYFUNCTION("""COMPUTED_VALUE""")," গৃহিনী ")</f>
        <v> গৃহিনী </v>
      </c>
      <c r="I223" s="10" t="str">
        <f>IFERROR(__xludf.DUMMYFUNCTION("""COMPUTED_VALUE""")," জালতকা, গাংনী, মেহেরপুর ")</f>
        <v> জালতকা, গাংনী, মেহেরপুর </v>
      </c>
    </row>
    <row r="224">
      <c r="A224" s="9" t="s">
        <v>2928</v>
      </c>
      <c r="B224" s="10">
        <f>IFERROR(__xludf.DUMMYFUNCTION("SPLIT(A224,""|"")"),215.0)</f>
        <v>215</v>
      </c>
      <c r="C224" s="10" t="str">
        <f>IFERROR(__xludf.DUMMYFUNCTION("""COMPUTED_VALUE""")," মোছাঃ শহেলা খাতুন ")</f>
        <v> মোছাঃ শহেলা খাতুন </v>
      </c>
      <c r="D224" s="10">
        <f>IFERROR(__xludf.DUMMYFUNCTION("""COMPUTED_VALUE"""),5.70056378253E11)</f>
        <v>570056378253</v>
      </c>
      <c r="E224" s="10" t="str">
        <f>IFERROR(__xludf.DUMMYFUNCTION("""COMPUTED_VALUE""")," মো: রমজান মন্ডল ")</f>
        <v> মো: রমজান মন্ডল </v>
      </c>
      <c r="F224" s="10" t="str">
        <f>IFERROR(__xludf.DUMMYFUNCTION("""COMPUTED_VALUE""")," মালেকা খাতুন ")</f>
        <v> মালেকা খাতুন </v>
      </c>
      <c r="G224" s="10" t="str">
        <f>IFERROR(__xludf.DUMMYFUNCTION("""COMPUTED_VALUE""")," ১৮/০৭/১৯৮২ ")</f>
        <v> ১৮/০৭/১৯৮২ </v>
      </c>
      <c r="H224" s="10" t="str">
        <f>IFERROR(__xludf.DUMMYFUNCTION("""COMPUTED_VALUE""")," গৃহিনী ")</f>
        <v> গৃহিনী </v>
      </c>
      <c r="I224" s="10" t="str">
        <f>IFERROR(__xludf.DUMMYFUNCTION("""COMPUTED_VALUE""")," জালতকা, গাংনী, মেহেরপুর ")</f>
        <v> জালতকা, গাংনী, মেহেরপুর </v>
      </c>
    </row>
    <row r="225">
      <c r="A225" s="9" t="s">
        <v>2929</v>
      </c>
      <c r="B225" s="10">
        <f>IFERROR(__xludf.DUMMYFUNCTION("SPLIT(A225,""|"")"),216.0)</f>
        <v>216</v>
      </c>
      <c r="C225" s="10" t="str">
        <f>IFERROR(__xludf.DUMMYFUNCTION("""COMPUTED_VALUE""")," মোছাঃ বেদেনা খাতুন ")</f>
        <v> মোছাঃ বেদেনা খাতুন </v>
      </c>
      <c r="D225" s="10">
        <f>IFERROR(__xludf.DUMMYFUNCTION("""COMPUTED_VALUE"""),5.70056378254E11)</f>
        <v>570056378254</v>
      </c>
      <c r="E225" s="10" t="str">
        <f>IFERROR(__xludf.DUMMYFUNCTION("""COMPUTED_VALUE""")," মো: রুহুল আমিন ")</f>
        <v> মো: রুহুল আমিন </v>
      </c>
      <c r="F225" s="10" t="str">
        <f>IFERROR(__xludf.DUMMYFUNCTION("""COMPUTED_VALUE""")," মোছাঃ আছিয়া খাতুন ")</f>
        <v> মোছাঃ আছিয়া খাতুন </v>
      </c>
      <c r="G225" s="10" t="str">
        <f>IFERROR(__xludf.DUMMYFUNCTION("""COMPUTED_VALUE""")," ২৭/১১/১৯৭০ ")</f>
        <v> ২৭/১১/১৯৭০ </v>
      </c>
      <c r="H225" s="10" t="str">
        <f>IFERROR(__xludf.DUMMYFUNCTION("""COMPUTED_VALUE""")," গৃহিনী ")</f>
        <v> গৃহিনী </v>
      </c>
      <c r="I225" s="10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26">
      <c r="A226" s="9" t="s">
        <v>2930</v>
      </c>
      <c r="B226" s="10">
        <f>IFERROR(__xludf.DUMMYFUNCTION("SPLIT(A226,""|"")"),217.0)</f>
        <v>217</v>
      </c>
      <c r="C226" s="10" t="str">
        <f>IFERROR(__xludf.DUMMYFUNCTION("""COMPUTED_VALUE""")," মোছাঃ মর্জিনা খাতুন ")</f>
        <v> মোছাঃ মর্জিনা খাতুন </v>
      </c>
      <c r="D226" s="10">
        <f>IFERROR(__xludf.DUMMYFUNCTION("""COMPUTED_VALUE"""),5.70056378256E11)</f>
        <v>570056378256</v>
      </c>
      <c r="E226" s="10" t="str">
        <f>IFERROR(__xludf.DUMMYFUNCTION("""COMPUTED_VALUE""")," আ: আজিজ ")</f>
        <v> আ: আজিজ </v>
      </c>
      <c r="F226" s="10" t="str">
        <f>IFERROR(__xludf.DUMMYFUNCTION("""COMPUTED_VALUE""")," মোছাঃ সাহার বানু ")</f>
        <v> মোছাঃ সাহার বানু </v>
      </c>
      <c r="G226" s="10" t="str">
        <f>IFERROR(__xludf.DUMMYFUNCTION("""COMPUTED_VALUE""")," ০৮/০১/১৯৬৭ ")</f>
        <v> ০৮/০১/১৯৬৭ </v>
      </c>
      <c r="H226" s="10" t="str">
        <f>IFERROR(__xludf.DUMMYFUNCTION("""COMPUTED_VALUE""")," গৃহিনী ")</f>
        <v> গৃহিনী </v>
      </c>
      <c r="I226" s="10" t="str">
        <f>IFERROR(__xludf.DUMMYFUNCTION("""COMPUTED_VALUE""")," জালতকা, গাংনী, মেহেরপুর ")</f>
        <v> জালতকা, গাংনী, মেহেরপুর </v>
      </c>
    </row>
    <row r="227">
      <c r="A227" s="9" t="s">
        <v>2931</v>
      </c>
      <c r="B227" s="10">
        <f>IFERROR(__xludf.DUMMYFUNCTION("SPLIT(A227,""|"")"),218.0)</f>
        <v>218</v>
      </c>
      <c r="C227" s="10" t="str">
        <f>IFERROR(__xludf.DUMMYFUNCTION("""COMPUTED_VALUE""")," মোছাঃ রমেলা খাতুন ")</f>
        <v> মোছাঃ রমেলা খাতুন </v>
      </c>
      <c r="D227" s="10">
        <f>IFERROR(__xludf.DUMMYFUNCTION("""COMPUTED_VALUE"""),5.7005637826E11)</f>
        <v>570056378260</v>
      </c>
      <c r="E227" s="10" t="str">
        <f>IFERROR(__xludf.DUMMYFUNCTION("""COMPUTED_VALUE""")," শামসুল হক ")</f>
        <v> শামসুল হক </v>
      </c>
      <c r="F227" s="10" t="str">
        <f>IFERROR(__xludf.DUMMYFUNCTION("""COMPUTED_VALUE""")," মোছাঃ সারা খাতুন ")</f>
        <v> মোছাঃ সারা খাতুন </v>
      </c>
      <c r="G227" s="10" t="str">
        <f>IFERROR(__xludf.DUMMYFUNCTION("""COMPUTED_VALUE""")," ১৯/০৮/১৯৮২ ")</f>
        <v> ১৯/০৮/১৯৮২ </v>
      </c>
      <c r="H227" s="10" t="str">
        <f>IFERROR(__xludf.DUMMYFUNCTION("""COMPUTED_VALUE""")," গৃহিনী ")</f>
        <v> গৃহিনী </v>
      </c>
      <c r="I227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28">
      <c r="A228" s="9" t="s">
        <v>2932</v>
      </c>
      <c r="B228" s="10">
        <f>IFERROR(__xludf.DUMMYFUNCTION("SPLIT(A228,""|"")"),219.0)</f>
        <v>219</v>
      </c>
      <c r="C228" s="10" t="str">
        <f>IFERROR(__xludf.DUMMYFUNCTION("""COMPUTED_VALUE""")," মোছাঃ জরিনা খাতুন ")</f>
        <v> মোছাঃ জরিনা খাতুন </v>
      </c>
      <c r="D228" s="10">
        <f>IFERROR(__xludf.DUMMYFUNCTION("""COMPUTED_VALUE"""),5.70056378266E11)</f>
        <v>570056378266</v>
      </c>
      <c r="E228" s="10" t="str">
        <f>IFERROR(__xludf.DUMMYFUNCTION("""COMPUTED_VALUE""")," রমজান মন্ডল ")</f>
        <v> রমজান মন্ডল </v>
      </c>
      <c r="F228" s="10" t="str">
        <f>IFERROR(__xludf.DUMMYFUNCTION("""COMPUTED_VALUE""")," লতিফন্নেছা ")</f>
        <v> লতিফন্নেছা </v>
      </c>
      <c r="G228" s="10" t="str">
        <f>IFERROR(__xludf.DUMMYFUNCTION("""COMPUTED_VALUE""")," ০৭/০২/১৯৭৪ ")</f>
        <v> ০৭/০২/১৯৭৪ </v>
      </c>
      <c r="H228" s="10" t="str">
        <f>IFERROR(__xludf.DUMMYFUNCTION("""COMPUTED_VALUE""")," গৃহিনী ")</f>
        <v> গৃহিনী </v>
      </c>
      <c r="I228" s="10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29">
      <c r="A229" s="9" t="s">
        <v>2933</v>
      </c>
      <c r="B229" s="10">
        <f>IFERROR(__xludf.DUMMYFUNCTION("SPLIT(A229,""|"")"),220.0)</f>
        <v>220</v>
      </c>
      <c r="C229" s="10" t="str">
        <f>IFERROR(__xludf.DUMMYFUNCTION("""COMPUTED_VALUE""")," মোছাঃ রাহেলা খাতুন ")</f>
        <v> মোছাঃ রাহেলা খাতুন </v>
      </c>
      <c r="D229" s="10">
        <f>IFERROR(__xludf.DUMMYFUNCTION("""COMPUTED_VALUE"""),5.70056378268E11)</f>
        <v>570056378268</v>
      </c>
      <c r="E229" s="10" t="str">
        <f>IFERROR(__xludf.DUMMYFUNCTION("""COMPUTED_VALUE""")," রহিম বক্স ")</f>
        <v> রহিম বক্স </v>
      </c>
      <c r="F229" s="10" t="str">
        <f>IFERROR(__xludf.DUMMYFUNCTION("""COMPUTED_VALUE""")," মোছাঃ ফতেজান ")</f>
        <v> মোছাঃ ফতেজান </v>
      </c>
      <c r="G229" s="10" t="str">
        <f>IFERROR(__xludf.DUMMYFUNCTION("""COMPUTED_VALUE""")," ১৫/০৮/১৯৩২ ")</f>
        <v> ১৫/০৮/১৯৩২ </v>
      </c>
      <c r="H229" s="10" t="str">
        <f>IFERROR(__xludf.DUMMYFUNCTION("""COMPUTED_VALUE""")," গৃহিনী ")</f>
        <v> গৃহিনী </v>
      </c>
      <c r="I229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0">
      <c r="A230" s="9" t="s">
        <v>2934</v>
      </c>
      <c r="B230" s="10">
        <f>IFERROR(__xludf.DUMMYFUNCTION("SPLIT(A230,""|"")"),221.0)</f>
        <v>221</v>
      </c>
      <c r="C230" s="10" t="str">
        <f>IFERROR(__xludf.DUMMYFUNCTION("""COMPUTED_VALUE""")," ফরিদা খাতুন ")</f>
        <v> ফরিদা খাতুন </v>
      </c>
      <c r="D230" s="10">
        <f>IFERROR(__xludf.DUMMYFUNCTION("""COMPUTED_VALUE"""),5.70056378271E11)</f>
        <v>570056378271</v>
      </c>
      <c r="E230" s="10" t="str">
        <f>IFERROR(__xludf.DUMMYFUNCTION("""COMPUTED_VALUE""")," মো: করিম মন্ডল ")</f>
        <v> মো: করিম মন্ডল </v>
      </c>
      <c r="F230" s="10" t="str">
        <f>IFERROR(__xludf.DUMMYFUNCTION("""COMPUTED_VALUE""")," মোছাঃ আমেনা খাতুন ")</f>
        <v> মোছাঃ আমেনা খাতুন </v>
      </c>
      <c r="G230" s="10" t="str">
        <f>IFERROR(__xludf.DUMMYFUNCTION("""COMPUTED_VALUE""")," ০২/০১/১৯৭৬ ")</f>
        <v> ০২/০১/১৯৭৬ </v>
      </c>
      <c r="H230" s="10" t="str">
        <f>IFERROR(__xludf.DUMMYFUNCTION("""COMPUTED_VALUE""")," গৃহিনী ")</f>
        <v> গৃহিনী </v>
      </c>
      <c r="I230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1">
      <c r="A231" s="9" t="s">
        <v>2935</v>
      </c>
      <c r="B231" s="10">
        <f>IFERROR(__xludf.DUMMYFUNCTION("SPLIT(A231,""|"")"),222.0)</f>
        <v>222</v>
      </c>
      <c r="C231" s="10" t="str">
        <f>IFERROR(__xludf.DUMMYFUNCTION("""COMPUTED_VALUE""")," মোছাঃ বেদানা খাতুন ")</f>
        <v> মোছাঃ বেদানা খাতুন </v>
      </c>
      <c r="D231" s="10">
        <f>IFERROR(__xludf.DUMMYFUNCTION("""COMPUTED_VALUE"""),5.70056378272E11)</f>
        <v>570056378272</v>
      </c>
      <c r="E231" s="10" t="str">
        <f>IFERROR(__xludf.DUMMYFUNCTION("""COMPUTED_VALUE""")," আ: গনি ")</f>
        <v> আ: গনি </v>
      </c>
      <c r="F231" s="10" t="str">
        <f>IFERROR(__xludf.DUMMYFUNCTION("""COMPUTED_VALUE""")," আনোয়ারা খাতুন ")</f>
        <v> আনোয়ারা খাতুন </v>
      </c>
      <c r="G231" s="10" t="str">
        <f>IFERROR(__xludf.DUMMYFUNCTION("""COMPUTED_VALUE""")," ০৮/০১/১৯৭০ ")</f>
        <v> ০৮/০১/১৯৭০ </v>
      </c>
      <c r="H231" s="10" t="str">
        <f>IFERROR(__xludf.DUMMYFUNCTION("""COMPUTED_VALUE""")," গৃহিনী ")</f>
        <v> গৃহিনী </v>
      </c>
      <c r="I231" s="10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32">
      <c r="A232" s="9" t="s">
        <v>2936</v>
      </c>
      <c r="B232" s="10">
        <f>IFERROR(__xludf.DUMMYFUNCTION("SPLIT(A232,""|"")"),223.0)</f>
        <v>223</v>
      </c>
      <c r="C232" s="10" t="str">
        <f>IFERROR(__xludf.DUMMYFUNCTION("""COMPUTED_VALUE""")," মোছাঃ মাহিরন নেছা ")</f>
        <v> মোছাঃ মাহিরন নেছা </v>
      </c>
      <c r="D232" s="10">
        <f>IFERROR(__xludf.DUMMYFUNCTION("""COMPUTED_VALUE"""),5.70056378276E11)</f>
        <v>570056378276</v>
      </c>
      <c r="E232" s="10" t="str">
        <f>IFERROR(__xludf.DUMMYFUNCTION("""COMPUTED_VALUE""")," আত্তর মালিথা ")</f>
        <v> আত্তর মালিথা </v>
      </c>
      <c r="F232" s="10" t="str">
        <f>IFERROR(__xludf.DUMMYFUNCTION("""COMPUTED_VALUE""")," মোছাঃ মইরন নেছা ")</f>
        <v> মোছাঃ মইরন নেছা </v>
      </c>
      <c r="G232" s="10" t="str">
        <f>IFERROR(__xludf.DUMMYFUNCTION("""COMPUTED_VALUE""")," ১২/০৫/১৯৪২ ")</f>
        <v> ১২/০৫/১৯৪২ </v>
      </c>
      <c r="H232" s="10" t="str">
        <f>IFERROR(__xludf.DUMMYFUNCTION("""COMPUTED_VALUE""")," গৃহিনী ")</f>
        <v> গৃহিনী </v>
      </c>
      <c r="I232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3">
      <c r="A233" s="9" t="s">
        <v>2937</v>
      </c>
      <c r="B233" s="10">
        <f>IFERROR(__xludf.DUMMYFUNCTION("SPLIT(A233,""|"")"),224.0)</f>
        <v>224</v>
      </c>
      <c r="C233" s="10" t="str">
        <f>IFERROR(__xludf.DUMMYFUNCTION("""COMPUTED_VALUE""")," মোছাঃ আরজিনা খাতুন ")</f>
        <v> মোছাঃ আরজিনা খাতুন </v>
      </c>
      <c r="D233" s="10">
        <f>IFERROR(__xludf.DUMMYFUNCTION("""COMPUTED_VALUE"""),5.7005637828E11)</f>
        <v>570056378280</v>
      </c>
      <c r="E233" s="10" t="str">
        <f>IFERROR(__xludf.DUMMYFUNCTION("""COMPUTED_VALUE""")," মো: আবুল হোসেন ")</f>
        <v> মো: আবুল হোসেন </v>
      </c>
      <c r="F233" s="10" t="str">
        <f>IFERROR(__xludf.DUMMYFUNCTION("""COMPUTED_VALUE""")," মোছাঃ রেনু আরা ")</f>
        <v> মোছাঃ রেনু আরা </v>
      </c>
      <c r="G233" s="10" t="str">
        <f>IFERROR(__xludf.DUMMYFUNCTION("""COMPUTED_VALUE""")," ২০/১০/১৯৮৭ ")</f>
        <v> ২০/১০/১৯৮৭ </v>
      </c>
      <c r="H233" s="10" t="str">
        <f>IFERROR(__xludf.DUMMYFUNCTION("""COMPUTED_VALUE""")," গৃহিনী ")</f>
        <v> গৃহিনী </v>
      </c>
      <c r="I233" s="10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34">
      <c r="A234" s="9" t="s">
        <v>2938</v>
      </c>
      <c r="B234" s="10">
        <f>IFERROR(__xludf.DUMMYFUNCTION("SPLIT(A234,""|"")"),225.0)</f>
        <v>225</v>
      </c>
      <c r="C234" s="10" t="str">
        <f>IFERROR(__xludf.DUMMYFUNCTION("""COMPUTED_VALUE""")," মোছাঃ মালিয়া খাতুন ")</f>
        <v> মোছাঃ মালিয়া খাতুন </v>
      </c>
      <c r="D234" s="10">
        <f>IFERROR(__xludf.DUMMYFUNCTION("""COMPUTED_VALUE"""),5.70056378283E11)</f>
        <v>570056378283</v>
      </c>
      <c r="E234" s="10" t="str">
        <f>IFERROR(__xludf.DUMMYFUNCTION("""COMPUTED_VALUE""")," মো: ঈমান আলী ")</f>
        <v> মো: ঈমান আলী </v>
      </c>
      <c r="F234" s="10" t="str">
        <f>IFERROR(__xludf.DUMMYFUNCTION("""COMPUTED_VALUE""")," মোছাঃ রুশিয়া খাতুন ")</f>
        <v> মোছাঃ রুশিয়া খাতুন </v>
      </c>
      <c r="G234" s="10" t="str">
        <f>IFERROR(__xludf.DUMMYFUNCTION("""COMPUTED_VALUE""")," ০৪/০৭/১৯৭৫ ")</f>
        <v> ০৪/০৭/১৯৭৫ </v>
      </c>
      <c r="H234" s="10" t="str">
        <f>IFERROR(__xludf.DUMMYFUNCTION("""COMPUTED_VALUE""")," গৃহিনী ")</f>
        <v> গৃহিনী </v>
      </c>
      <c r="I234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5">
      <c r="A235" s="9" t="s">
        <v>2939</v>
      </c>
      <c r="B235" s="10">
        <f>IFERROR(__xludf.DUMMYFUNCTION("SPLIT(A235,""|"")"),226.0)</f>
        <v>226</v>
      </c>
      <c r="C235" s="10" t="str">
        <f>IFERROR(__xludf.DUMMYFUNCTION("""COMPUTED_VALUE""")," মোছাঃ সাজেদা বেগম ")</f>
        <v> মোছাঃ সাজেদা বেগম </v>
      </c>
      <c r="D235" s="10">
        <f>IFERROR(__xludf.DUMMYFUNCTION("""COMPUTED_VALUE"""),5.70056378288E11)</f>
        <v>570056378288</v>
      </c>
      <c r="E235" s="10" t="str">
        <f>IFERROR(__xludf.DUMMYFUNCTION("""COMPUTED_VALUE""")," বছিরুদ্দীন ")</f>
        <v> বছিরুদ্দীন </v>
      </c>
      <c r="F235" s="10" t="str">
        <f>IFERROR(__xludf.DUMMYFUNCTION("""COMPUTED_VALUE""")," মোছাঃ আয়শা বেগম ")</f>
        <v> মোছাঃ আয়শা বেগম </v>
      </c>
      <c r="G235" s="10" t="str">
        <f>IFERROR(__xludf.DUMMYFUNCTION("""COMPUTED_VALUE""")," ২২/০৯/১৯৭২ ")</f>
        <v> ২২/০৯/১৯৭২ </v>
      </c>
      <c r="H235" s="10" t="str">
        <f>IFERROR(__xludf.DUMMYFUNCTION("""COMPUTED_VALUE""")," গৃহিনী ")</f>
        <v> গৃহিনী </v>
      </c>
      <c r="I235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6">
      <c r="A236" s="9" t="s">
        <v>2940</v>
      </c>
      <c r="B236" s="10">
        <f>IFERROR(__xludf.DUMMYFUNCTION("SPLIT(A236,""|"")"),227.0)</f>
        <v>227</v>
      </c>
      <c r="C236" s="10" t="str">
        <f>IFERROR(__xludf.DUMMYFUNCTION("""COMPUTED_VALUE""")," মোছাঃ আলিয়া খাতুন ")</f>
        <v> মোছাঃ আলিয়া খাতুন </v>
      </c>
      <c r="D236" s="10">
        <f>IFERROR(__xludf.DUMMYFUNCTION("""COMPUTED_VALUE"""),5.70056378289E11)</f>
        <v>570056378289</v>
      </c>
      <c r="E236" s="10" t="str">
        <f>IFERROR(__xludf.DUMMYFUNCTION("""COMPUTED_VALUE""")," মো: গোলাম রসুল ")</f>
        <v> মো: গোলাম রসুল </v>
      </c>
      <c r="F236" s="10" t="str">
        <f>IFERROR(__xludf.DUMMYFUNCTION("""COMPUTED_VALUE""")," মোছাঃ মজেদা খাতুন ")</f>
        <v> মোছাঃ মজেদা খাতুন </v>
      </c>
      <c r="G236" s="10" t="str">
        <f>IFERROR(__xludf.DUMMYFUNCTION("""COMPUTED_VALUE""")," ০৫/০৭/১৯৮২ ")</f>
        <v> ০৫/০৭/১৯৮২ </v>
      </c>
      <c r="H236" s="10" t="str">
        <f>IFERROR(__xludf.DUMMYFUNCTION("""COMPUTED_VALUE""")," গৃহিনী ")</f>
        <v> গৃহিনী </v>
      </c>
      <c r="I236" s="10" t="str">
        <f>IFERROR(__xludf.DUMMYFUNCTION("""COMPUTED_VALUE""")," জালতকা, গাংনী, মেহেরপুর ")</f>
        <v> জালতকা, গাংনী, মেহেরপুর </v>
      </c>
    </row>
    <row r="237">
      <c r="A237" s="9" t="s">
        <v>2941</v>
      </c>
      <c r="B237" s="10">
        <f>IFERROR(__xludf.DUMMYFUNCTION("SPLIT(A237,""|"")"),228.0)</f>
        <v>228</v>
      </c>
      <c r="C237" s="10" t="str">
        <f>IFERROR(__xludf.DUMMYFUNCTION("""COMPUTED_VALUE""")," মোছাঃ ডলিয়া খাতুন ")</f>
        <v> মোছাঃ ডলিয়া খাতুন </v>
      </c>
      <c r="D237" s="10">
        <f>IFERROR(__xludf.DUMMYFUNCTION("""COMPUTED_VALUE"""),5.7005637829E11)</f>
        <v>570056378290</v>
      </c>
      <c r="E237" s="10" t="str">
        <f>IFERROR(__xludf.DUMMYFUNCTION("""COMPUTED_VALUE""")," মো: আইয়ুব আলী ")</f>
        <v> মো: আইয়ুব আলী </v>
      </c>
      <c r="F237" s="10" t="str">
        <f>IFERROR(__xludf.DUMMYFUNCTION("""COMPUTED_VALUE""")," মোছাঃ জবেদা খাতুন ")</f>
        <v> মোছাঃ জবেদা খাতুন </v>
      </c>
      <c r="G237" s="10" t="str">
        <f>IFERROR(__xludf.DUMMYFUNCTION("""COMPUTED_VALUE""")," ০২/০৫/১৯৭৫ ")</f>
        <v> ০২/০৫/১৯৭৫ </v>
      </c>
      <c r="H237" s="10" t="str">
        <f>IFERROR(__xludf.DUMMYFUNCTION("""COMPUTED_VALUE""")," গৃহিনী ")</f>
        <v> গৃহিনী </v>
      </c>
      <c r="I237" s="10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8">
      <c r="A238" s="9" t="s">
        <v>2942</v>
      </c>
      <c r="B238" s="10">
        <f>IFERROR(__xludf.DUMMYFUNCTION("SPLIT(A238,""|"")"),229.0)</f>
        <v>229</v>
      </c>
      <c r="C238" s="10" t="str">
        <f>IFERROR(__xludf.DUMMYFUNCTION("""COMPUTED_VALUE""")," মোছাঃ বেবী খাতুন ")</f>
        <v> মোছাঃ বেবী খাতুন </v>
      </c>
      <c r="D238" s="10">
        <f>IFERROR(__xludf.DUMMYFUNCTION("""COMPUTED_VALUE"""),5.70056378297E11)</f>
        <v>570056378297</v>
      </c>
      <c r="E238" s="10" t="str">
        <f>IFERROR(__xludf.DUMMYFUNCTION("""COMPUTED_VALUE""")," মো: ঠান্ডু মিয়া ")</f>
        <v> মো: ঠান্ডু মিয়া </v>
      </c>
      <c r="F238" s="10" t="str">
        <f>IFERROR(__xludf.DUMMYFUNCTION("""COMPUTED_VALUE""")," মোছাঃ কহিনুর খাতুন ")</f>
        <v> মোছাঃ কহিনুর খাতুন </v>
      </c>
      <c r="G238" s="10" t="str">
        <f>IFERROR(__xludf.DUMMYFUNCTION("""COMPUTED_VALUE""")," ২০/১০/১৯৮৭ ")</f>
        <v> ২০/১০/১৯৮৭ </v>
      </c>
      <c r="H238" s="10" t="str">
        <f>IFERROR(__xludf.DUMMYFUNCTION("""COMPUTED_VALUE""")," গৃহিনী ")</f>
        <v> গৃহিনী </v>
      </c>
      <c r="I238" s="10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39">
      <c r="A239" s="9" t="s">
        <v>2943</v>
      </c>
      <c r="B239" s="10">
        <f>IFERROR(__xludf.DUMMYFUNCTION("SPLIT(A239,""|"")"),230.0)</f>
        <v>230</v>
      </c>
      <c r="C239" s="10" t="str">
        <f>IFERROR(__xludf.DUMMYFUNCTION("""COMPUTED_VALUE""")," মোছাঃ বেবীয়ারা ")</f>
        <v> মোছাঃ বেবীয়ারা </v>
      </c>
      <c r="D239" s="10">
        <f>IFERROR(__xludf.DUMMYFUNCTION("""COMPUTED_VALUE"""),5.70056378299E11)</f>
        <v>570056378299</v>
      </c>
      <c r="E239" s="10" t="str">
        <f>IFERROR(__xludf.DUMMYFUNCTION("""COMPUTED_VALUE""")," মো: জামির হোসেন ")</f>
        <v> মো: জামির হোসেন </v>
      </c>
      <c r="F239" s="10" t="str">
        <f>IFERROR(__xludf.DUMMYFUNCTION("""COMPUTED_VALUE""")," মোছাঃ নাসের খাতুন ")</f>
        <v> মোছাঃ নাসের খাতুন </v>
      </c>
      <c r="G239" s="10" t="str">
        <f>IFERROR(__xludf.DUMMYFUNCTION("""COMPUTED_VALUE""")," ১৮/১০/১৯৮৩ ")</f>
        <v> ১৮/১০/১৯৮৩ </v>
      </c>
      <c r="H239" s="10" t="str">
        <f>IFERROR(__xludf.DUMMYFUNCTION("""COMPUTED_VALUE""")," গৃহিনী ")</f>
        <v> গৃহিনী </v>
      </c>
      <c r="I239" s="10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40">
      <c r="A240" s="9" t="s">
        <v>2944</v>
      </c>
      <c r="B240" s="10">
        <f>IFERROR(__xludf.DUMMYFUNCTION("SPLIT(A240,""|"")"),231.0)</f>
        <v>231</v>
      </c>
      <c r="C240" s="10" t="str">
        <f>IFERROR(__xludf.DUMMYFUNCTION("""COMPUTED_VALUE""")," নাসের খাতুন ")</f>
        <v> নাসের খাতুন </v>
      </c>
      <c r="D240" s="10">
        <f>IFERROR(__xludf.DUMMYFUNCTION("""COMPUTED_VALUE"""),5.700563783E11)</f>
        <v>570056378300</v>
      </c>
      <c r="E240" s="10" t="str">
        <f>IFERROR(__xludf.DUMMYFUNCTION("""COMPUTED_VALUE""")," রেজাউল হক ")</f>
        <v> রেজাউল হক </v>
      </c>
      <c r="F240" s="10" t="str">
        <f>IFERROR(__xludf.DUMMYFUNCTION("""COMPUTED_VALUE""")," মোছাঃ নিরাতন নেছা ")</f>
        <v> মোছাঃ নিরাতন নেছা </v>
      </c>
      <c r="G240" s="10" t="str">
        <f>IFERROR(__xludf.DUMMYFUNCTION("""COMPUTED_VALUE""")," ২০/১১/১৯৮৭ ")</f>
        <v> ২০/১১/১৯৮৭ </v>
      </c>
      <c r="H240" s="10" t="str">
        <f>IFERROR(__xludf.DUMMYFUNCTION("""COMPUTED_VALUE""")," গৃহিনী ")</f>
        <v> গৃহিনী </v>
      </c>
      <c r="I240" s="10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41">
      <c r="A241" s="9" t="s">
        <v>2945</v>
      </c>
      <c r="B241" s="10">
        <f>IFERROR(__xludf.DUMMYFUNCTION("SPLIT(A241,""|"")"),232.0)</f>
        <v>232</v>
      </c>
      <c r="C241" s="10" t="str">
        <f>IFERROR(__xludf.DUMMYFUNCTION("""COMPUTED_VALUE""")," মোছাঃ রেহেনা খাতুন ")</f>
        <v> মোছাঃ রেহেনা খাতুন </v>
      </c>
      <c r="D241" s="10">
        <f>IFERROR(__xludf.DUMMYFUNCTION("""COMPUTED_VALUE"""),5.70056378302E11)</f>
        <v>570056378302</v>
      </c>
      <c r="E241" s="10" t="str">
        <f>IFERROR(__xludf.DUMMYFUNCTION("""COMPUTED_VALUE""")," ইছামুদ্দীন ")</f>
        <v> ইছামুদ্দীন </v>
      </c>
      <c r="F241" s="10" t="str">
        <f>IFERROR(__xludf.DUMMYFUNCTION("""COMPUTED_VALUE""")," মোছাঃ রমেলা খাতুন ")</f>
        <v> মোছাঃ রমেলা খাতুন </v>
      </c>
      <c r="G241" s="10" t="str">
        <f>IFERROR(__xludf.DUMMYFUNCTION("""COMPUTED_VALUE""")," ১২/০৯/১৯৫৬ ")</f>
        <v> ১২/০৯/১৯৫৬ </v>
      </c>
      <c r="H241" s="10" t="str">
        <f>IFERROR(__xludf.DUMMYFUNCTION("""COMPUTED_VALUE""")," গৃহিনী ")</f>
        <v> গৃহিনী </v>
      </c>
      <c r="I241" s="10" t="str">
        <f>IFERROR(__xludf.DUMMYFUNCTION("""COMPUTED_VALUE""")," জালতকা, গাংনী, মেহেরপুর ")</f>
        <v> জালতকা, গাংনী, মেহেরপুর </v>
      </c>
    </row>
    <row r="242">
      <c r="A242" s="9" t="s">
        <v>2946</v>
      </c>
      <c r="B242" s="10">
        <f>IFERROR(__xludf.DUMMYFUNCTION("SPLIT(A242,""|"")"),233.0)</f>
        <v>233</v>
      </c>
      <c r="C242" s="10" t="str">
        <f>IFERROR(__xludf.DUMMYFUNCTION("""COMPUTED_VALUE""")," মোছাঃ মুর্শিদা ")</f>
        <v> মোছাঃ মুর্শিদা </v>
      </c>
      <c r="D242" s="10">
        <f>IFERROR(__xludf.DUMMYFUNCTION("""COMPUTED_VALUE"""),5.70056378304E11)</f>
        <v>570056378304</v>
      </c>
      <c r="E242" s="10" t="str">
        <f>IFERROR(__xludf.DUMMYFUNCTION("""COMPUTED_VALUE""")," মোছাঃ ছাদেক আলি ")</f>
        <v> মোছাঃ ছাদেক আলি </v>
      </c>
      <c r="F242" s="10" t="str">
        <f>IFERROR(__xludf.DUMMYFUNCTION("""COMPUTED_VALUE""")," মোছাঃ মদিনা খাতুন ")</f>
        <v> মোছাঃ মদিনা খাতুন </v>
      </c>
      <c r="G242" s="10" t="str">
        <f>IFERROR(__xludf.DUMMYFUNCTION("""COMPUTED_VALUE""")," ১১/১০/১৯৭৬ ")</f>
        <v> ১১/১০/১৯৭৬ </v>
      </c>
      <c r="H242" s="10" t="str">
        <f>IFERROR(__xludf.DUMMYFUNCTION("""COMPUTED_VALUE""")," গৃহিনী ")</f>
        <v> গৃহিনী </v>
      </c>
      <c r="I242" s="10" t="str">
        <f>IFERROR(__xludf.DUMMYFUNCTION("""COMPUTED_VALUE""")," জালতকা, গাংনী, মেহেরপুর ")</f>
        <v> জালতকা, গাংনী, মেহেরপুর </v>
      </c>
    </row>
    <row r="243">
      <c r="A243" s="9" t="s">
        <v>2947</v>
      </c>
      <c r="B243" s="10">
        <f>IFERROR(__xludf.DUMMYFUNCTION("SPLIT(A243,""|"")"),234.0)</f>
        <v>234</v>
      </c>
      <c r="C243" s="10" t="str">
        <f>IFERROR(__xludf.DUMMYFUNCTION("""COMPUTED_VALUE""")," মোছাঃ আহারোন ")</f>
        <v> মোছাঃ আহারোন </v>
      </c>
      <c r="D243" s="10">
        <f>IFERROR(__xludf.DUMMYFUNCTION("""COMPUTED_VALUE"""),5.70056378306E11)</f>
        <v>570056378306</v>
      </c>
      <c r="E243" s="10" t="str">
        <f>IFERROR(__xludf.DUMMYFUNCTION("""COMPUTED_VALUE""")," মোছাঃ আবুল মন্ডল ")</f>
        <v> মোছাঃ আবুল মন্ডল </v>
      </c>
      <c r="F243" s="10" t="str">
        <f>IFERROR(__xludf.DUMMYFUNCTION("""COMPUTED_VALUE""")," মোছাঃ ইশারন ")</f>
        <v> মোছাঃ ইশারন </v>
      </c>
      <c r="G243" s="10" t="str">
        <f>IFERROR(__xludf.DUMMYFUNCTION("""COMPUTED_VALUE""")," ১০/১১/১৯৬৮ ")</f>
        <v> ১০/১১/১৯৬৮ </v>
      </c>
      <c r="H243" s="10" t="str">
        <f>IFERROR(__xludf.DUMMYFUNCTION("""COMPUTED_VALUE""")," গৃহিনী ")</f>
        <v> গৃহিনী </v>
      </c>
      <c r="I243" s="10" t="str">
        <f>IFERROR(__xludf.DUMMYFUNCTION("""COMPUTED_VALUE""")," জালতকা, গাংনী, মেহেরপুর ")</f>
        <v> জালতকা, গাংনী, মেহেরপুর </v>
      </c>
    </row>
    <row r="244">
      <c r="A244" s="9" t="s">
        <v>2948</v>
      </c>
      <c r="B244" s="10">
        <f>IFERROR(__xludf.DUMMYFUNCTION("SPLIT(A244,""|"")"),235.0)</f>
        <v>235</v>
      </c>
      <c r="C244" s="10" t="str">
        <f>IFERROR(__xludf.DUMMYFUNCTION("""COMPUTED_VALUE""")," মোছাঃ পিকিলা (আসমা) ")</f>
        <v> মোছাঃ পিকিলা (আসমা) </v>
      </c>
      <c r="D244" s="10">
        <f>IFERROR(__xludf.DUMMYFUNCTION("""COMPUTED_VALUE"""),5.70056378311E11)</f>
        <v>570056378311</v>
      </c>
      <c r="E244" s="10" t="str">
        <f>IFERROR(__xludf.DUMMYFUNCTION("""COMPUTED_VALUE""")," মোছাঃ মহিক ")</f>
        <v> মোছাঃ মহিক </v>
      </c>
      <c r="F244" s="10" t="str">
        <f>IFERROR(__xludf.DUMMYFUNCTION("""COMPUTED_VALUE""")," মোছাঃ টুনটুনি ")</f>
        <v> মোছাঃ টুনটুনি </v>
      </c>
      <c r="G244" s="10" t="str">
        <f>IFERROR(__xludf.DUMMYFUNCTION("""COMPUTED_VALUE""")," ১০/০৬/১৯৮৪ ")</f>
        <v> ১০/০৬/১৯৮৪ </v>
      </c>
      <c r="H244" s="10" t="str">
        <f>IFERROR(__xludf.DUMMYFUNCTION("""COMPUTED_VALUE""")," গৃহিনী ")</f>
        <v> গৃহিনী </v>
      </c>
      <c r="I244" s="10" t="str">
        <f>IFERROR(__xludf.DUMMYFUNCTION("""COMPUTED_VALUE""")," জালতকা, গাংনী, মেহেরপুর ")</f>
        <v> জালতকা, গাংনী, মেহেরপুর </v>
      </c>
    </row>
    <row r="245">
      <c r="A245" s="9" t="s">
        <v>2949</v>
      </c>
      <c r="B245" s="10">
        <f>IFERROR(__xludf.DUMMYFUNCTION("SPLIT(A245,""|"")"),236.0)</f>
        <v>236</v>
      </c>
      <c r="C245" s="10" t="str">
        <f>IFERROR(__xludf.DUMMYFUNCTION("""COMPUTED_VALUE""")," মোছাঃ আনোয়ারা ")</f>
        <v> মোছাঃ আনোয়ারা </v>
      </c>
      <c r="D245" s="10">
        <f>IFERROR(__xludf.DUMMYFUNCTION("""COMPUTED_VALUE"""),5.70056378313E11)</f>
        <v>570056378313</v>
      </c>
      <c r="E245" s="10" t="str">
        <f>IFERROR(__xludf.DUMMYFUNCTION("""COMPUTED_VALUE""")," নায়েব আলি ")</f>
        <v> নায়েব আলি </v>
      </c>
      <c r="F245" s="10" t="str">
        <f>IFERROR(__xludf.DUMMYFUNCTION("""COMPUTED_VALUE""")," জেলেহার ")</f>
        <v> জেলেহার </v>
      </c>
      <c r="G245" s="10" t="str">
        <f>IFERROR(__xludf.DUMMYFUNCTION("""COMPUTED_VALUE""")," ১০/০২/১৯৭৭ ")</f>
        <v> ১০/০২/১৯৭৭ </v>
      </c>
      <c r="H245" s="10" t="str">
        <f>IFERROR(__xludf.DUMMYFUNCTION("""COMPUTED_VALUE""")," গৃহিনী ")</f>
        <v> গৃহিনী </v>
      </c>
      <c r="I245" s="10" t="str">
        <f>IFERROR(__xludf.DUMMYFUNCTION("""COMPUTED_VALUE""")," জালতকা, গাংনী, মেহেরপুর ")</f>
        <v> জালতকা, গাংনী, মেহেরপুর </v>
      </c>
    </row>
    <row r="246">
      <c r="A246" s="9" t="s">
        <v>2950</v>
      </c>
      <c r="B246" s="10">
        <f>IFERROR(__xludf.DUMMYFUNCTION("SPLIT(A246,""|"")"),237.0)</f>
        <v>237</v>
      </c>
      <c r="C246" s="10" t="str">
        <f>IFERROR(__xludf.DUMMYFUNCTION("""COMPUTED_VALUE""")," মোছাঃ শ্যামলী খাতুন ")</f>
        <v> মোছাঃ শ্যামলী খাতুন </v>
      </c>
      <c r="D246" s="10">
        <f>IFERROR(__xludf.DUMMYFUNCTION("""COMPUTED_VALUE"""),5.70056378315E11)</f>
        <v>570056378315</v>
      </c>
      <c r="E246" s="10" t="str">
        <f>IFERROR(__xludf.DUMMYFUNCTION("""COMPUTED_VALUE""")," মোছাঃ উছমান আলি ")</f>
        <v> মোছাঃ উছমান আলি </v>
      </c>
      <c r="F246" s="10" t="str">
        <f>IFERROR(__xludf.DUMMYFUNCTION("""COMPUTED_VALUE""")," মোছাঃ হালিমা খাতুন ")</f>
        <v> মোছাঃ হালিমা খাতুন </v>
      </c>
      <c r="G246" s="10" t="str">
        <f>IFERROR(__xludf.DUMMYFUNCTION("""COMPUTED_VALUE""")," ১২/১০/১৯৮৬ ")</f>
        <v> ১২/১০/১৯৮৬ </v>
      </c>
      <c r="H246" s="10" t="str">
        <f>IFERROR(__xludf.DUMMYFUNCTION("""COMPUTED_VALUE""")," গৃহিনী ")</f>
        <v> গৃহিনী </v>
      </c>
      <c r="I246" s="10" t="str">
        <f>IFERROR(__xludf.DUMMYFUNCTION("""COMPUTED_VALUE""")," জালতকা, গাংনী, মেহেরপুর ")</f>
        <v> জালতকা, গাংনী, মেহেরপুর </v>
      </c>
    </row>
    <row r="247">
      <c r="A247" s="9" t="s">
        <v>2951</v>
      </c>
      <c r="B247" s="10">
        <f>IFERROR(__xludf.DUMMYFUNCTION("SPLIT(A247,""|"")"),238.0)</f>
        <v>238</v>
      </c>
      <c r="C247" s="10" t="str">
        <f>IFERROR(__xludf.DUMMYFUNCTION("""COMPUTED_VALUE""")," মোছাঃ রমেছা খাতুন ")</f>
        <v> মোছাঃ রমেছা খাতুন </v>
      </c>
      <c r="D247" s="10">
        <f>IFERROR(__xludf.DUMMYFUNCTION("""COMPUTED_VALUE"""),5.70056378318E11)</f>
        <v>570056378318</v>
      </c>
      <c r="E247" s="10" t="str">
        <f>IFERROR(__xludf.DUMMYFUNCTION("""COMPUTED_VALUE""")," মোছাঃ পাতান মন্ডল ")</f>
        <v> মোছাঃ পাতান মন্ডল </v>
      </c>
      <c r="F247" s="10" t="str">
        <f>IFERROR(__xludf.DUMMYFUNCTION("""COMPUTED_VALUE""")," মোছাঃ রওশন আরা ")</f>
        <v> মোছাঃ রওশন আরা </v>
      </c>
      <c r="G247" s="10" t="str">
        <f>IFERROR(__xludf.DUMMYFUNCTION("""COMPUTED_VALUE""")," ১০/১০/১৯৮৮ ")</f>
        <v> ১০/১০/১৯৮৮ </v>
      </c>
      <c r="H247" s="10" t="str">
        <f>IFERROR(__xludf.DUMMYFUNCTION("""COMPUTED_VALUE""")," গৃহিনী ")</f>
        <v> গৃহিনী </v>
      </c>
      <c r="I247" s="10" t="str">
        <f>IFERROR(__xludf.DUMMYFUNCTION("""COMPUTED_VALUE""")," জালতকা, গাংনী, মেহেরপুর ")</f>
        <v> জালতকা, গাংনী, মেহেরপুর </v>
      </c>
    </row>
    <row r="248">
      <c r="A248" s="9" t="s">
        <v>2952</v>
      </c>
      <c r="B248" s="10">
        <f>IFERROR(__xludf.DUMMYFUNCTION("SPLIT(A248,""|"")"),239.0)</f>
        <v>239</v>
      </c>
      <c r="C248" s="10" t="str">
        <f>IFERROR(__xludf.DUMMYFUNCTION("""COMPUTED_VALUE""")," মোছাঃ সাহার বানু ")</f>
        <v> মোছাঃ সাহার বানু </v>
      </c>
      <c r="D248" s="10">
        <f>IFERROR(__xludf.DUMMYFUNCTION("""COMPUTED_VALUE"""),5.7005637832E11)</f>
        <v>570056378320</v>
      </c>
      <c r="E248" s="10" t="str">
        <f>IFERROR(__xludf.DUMMYFUNCTION("""COMPUTED_VALUE""")," রবজেল ")</f>
        <v> রবজেল </v>
      </c>
      <c r="F248" s="10" t="str">
        <f>IFERROR(__xludf.DUMMYFUNCTION("""COMPUTED_VALUE""")," মোছাঃ হামেদা ")</f>
        <v> মোছাঃ হামেদা </v>
      </c>
      <c r="G248" s="10" t="str">
        <f>IFERROR(__xludf.DUMMYFUNCTION("""COMPUTED_VALUE""")," ০৪/০৩/১৯৬১ ")</f>
        <v> ০৪/০৩/১৯৬১ </v>
      </c>
      <c r="H248" s="10" t="str">
        <f>IFERROR(__xludf.DUMMYFUNCTION("""COMPUTED_VALUE""")," গৃহিনী ")</f>
        <v> গৃহিনী </v>
      </c>
      <c r="I248" s="10" t="str">
        <f>IFERROR(__xludf.DUMMYFUNCTION("""COMPUTED_VALUE""")," জালতকা, গাংনী, মেহেরপুর ")</f>
        <v> জালতকা, গাংনী, মেহেরপুর </v>
      </c>
    </row>
    <row r="249">
      <c r="A249" s="9" t="s">
        <v>2953</v>
      </c>
      <c r="B249" s="10">
        <f>IFERROR(__xludf.DUMMYFUNCTION("SPLIT(A249,""|"")"),240.0)</f>
        <v>240</v>
      </c>
      <c r="C249" s="10" t="str">
        <f>IFERROR(__xludf.DUMMYFUNCTION("""COMPUTED_VALUE""")," মোছাঃ নাছিমা খাতুন ")</f>
        <v> মোছাঃ নাছিমা খাতুন </v>
      </c>
      <c r="D249" s="10">
        <f>IFERROR(__xludf.DUMMYFUNCTION("""COMPUTED_VALUE"""),5.70056378322E11)</f>
        <v>570056378322</v>
      </c>
      <c r="E249" s="10" t="str">
        <f>IFERROR(__xludf.DUMMYFUNCTION("""COMPUTED_VALUE""")," আবুল হাসেম ")</f>
        <v> আবুল হাসেম </v>
      </c>
      <c r="F249" s="10" t="str">
        <f>IFERROR(__xludf.DUMMYFUNCTION("""COMPUTED_VALUE""")," মোছাঃ সুফিয়া ")</f>
        <v> মোছাঃ সুফিয়া </v>
      </c>
      <c r="G249" s="10" t="str">
        <f>IFERROR(__xludf.DUMMYFUNCTION("""COMPUTED_VALUE""")," ১১/১০/১৯৮০ ")</f>
        <v> ১১/১০/১৯৮০ </v>
      </c>
      <c r="H249" s="10" t="str">
        <f>IFERROR(__xludf.DUMMYFUNCTION("""COMPUTED_VALUE""")," গৃহিনী ")</f>
        <v> গৃহিনী </v>
      </c>
      <c r="I249" s="10" t="str">
        <f>IFERROR(__xludf.DUMMYFUNCTION("""COMPUTED_VALUE""")," জালতকা, গাংনী, মেহেরপুর ")</f>
        <v> জালতকা, গাংনী, মেহেরপুর </v>
      </c>
    </row>
    <row r="250">
      <c r="A250" s="9" t="s">
        <v>2954</v>
      </c>
      <c r="B250" s="10">
        <f>IFERROR(__xludf.DUMMYFUNCTION("SPLIT(A250,""|"")"),241.0)</f>
        <v>241</v>
      </c>
      <c r="C250" s="10" t="str">
        <f>IFERROR(__xludf.DUMMYFUNCTION("""COMPUTED_VALUE""")," মোছাঃ মর্জিনা খাতুন ")</f>
        <v> মোছাঃ মর্জিনা খাতুন </v>
      </c>
      <c r="D250" s="10">
        <f>IFERROR(__xludf.DUMMYFUNCTION("""COMPUTED_VALUE"""),5.70056378325E11)</f>
        <v>570056378325</v>
      </c>
      <c r="E250" s="10" t="str">
        <f>IFERROR(__xludf.DUMMYFUNCTION("""COMPUTED_VALUE""")," মরজেম ")</f>
        <v> মরজেম </v>
      </c>
      <c r="F250" s="10" t="str">
        <f>IFERROR(__xludf.DUMMYFUNCTION("""COMPUTED_VALUE""")," মোছাঃ সফুরা ")</f>
        <v> মোছাঃ সফুরা </v>
      </c>
      <c r="G250" s="10" t="str">
        <f>IFERROR(__xludf.DUMMYFUNCTION("""COMPUTED_VALUE""")," ০১/০৫/১৯৬২ ")</f>
        <v> ০১/০৫/১৯৬২ </v>
      </c>
      <c r="H250" s="10" t="str">
        <f>IFERROR(__xludf.DUMMYFUNCTION("""COMPUTED_VALUE""")," গৃহিনী ")</f>
        <v> গৃহিনী </v>
      </c>
      <c r="I250" s="10" t="str">
        <f>IFERROR(__xludf.DUMMYFUNCTION("""COMPUTED_VALUE""")," জালতকা, গাংনী, মেহেরপুর ")</f>
        <v> জালতকা, গাংনী, মেহেরপুর </v>
      </c>
    </row>
    <row r="251">
      <c r="A251" s="9" t="s">
        <v>2955</v>
      </c>
      <c r="B251" s="10">
        <f>IFERROR(__xludf.DUMMYFUNCTION("SPLIT(A251,""|"")"),242.0)</f>
        <v>242</v>
      </c>
      <c r="C251" s="10" t="str">
        <f>IFERROR(__xludf.DUMMYFUNCTION("""COMPUTED_VALUE""")," মোছাঃ মিনা খাতুন ")</f>
        <v> মোছাঃ মিনা খাতুন </v>
      </c>
      <c r="D251" s="10">
        <f>IFERROR(__xludf.DUMMYFUNCTION("""COMPUTED_VALUE"""),5.7005637833E11)</f>
        <v>570056378330</v>
      </c>
      <c r="E251" s="10" t="str">
        <f>IFERROR(__xludf.DUMMYFUNCTION("""COMPUTED_VALUE""")," মোছাঃ হাবিবুর বিশ্বাস ")</f>
        <v> মোছাঃ হাবিবুর বিশ্বাস </v>
      </c>
      <c r="F251" s="10" t="str">
        <f>IFERROR(__xludf.DUMMYFUNCTION("""COMPUTED_VALUE""")," মোছাঃ ছামেনা খাতুন ")</f>
        <v> মোছাঃ ছামেনা খাতুন </v>
      </c>
      <c r="G251" s="10" t="str">
        <f>IFERROR(__xludf.DUMMYFUNCTION("""COMPUTED_VALUE""")," ০১/০৪/১৯৮২ ")</f>
        <v> ০১/০৪/১৯৮২ </v>
      </c>
      <c r="H251" s="10" t="str">
        <f>IFERROR(__xludf.DUMMYFUNCTION("""COMPUTED_VALUE""")," গৃহিনী ")</f>
        <v> গৃহিনী </v>
      </c>
      <c r="I251" s="10" t="str">
        <f>IFERROR(__xludf.DUMMYFUNCTION("""COMPUTED_VALUE""")," জালতকা, গাংনী, মেহেরপুর ")</f>
        <v> জালতকা, গাংনী, মেহেরপুর </v>
      </c>
    </row>
    <row r="252">
      <c r="A252" s="9" t="s">
        <v>2956</v>
      </c>
      <c r="B252" s="10">
        <f>IFERROR(__xludf.DUMMYFUNCTION("SPLIT(A252,""|"")"),243.0)</f>
        <v>243</v>
      </c>
      <c r="C252" s="10" t="str">
        <f>IFERROR(__xludf.DUMMYFUNCTION("""COMPUTED_VALUE""")," মোছাঃ কমেলা খাতুন ")</f>
        <v> মোছাঃ কমেলা খাতুন </v>
      </c>
      <c r="D252" s="10">
        <f>IFERROR(__xludf.DUMMYFUNCTION("""COMPUTED_VALUE"""),5.70056378332E11)</f>
        <v>570056378332</v>
      </c>
      <c r="E252" s="10" t="str">
        <f>IFERROR(__xludf.DUMMYFUNCTION("""COMPUTED_VALUE""")," আব্দুল জব্বার ")</f>
        <v> আব্দুল জব্বার </v>
      </c>
      <c r="F252" s="10" t="str">
        <f>IFERROR(__xludf.DUMMYFUNCTION("""COMPUTED_VALUE""")," ঠান্টা বুড়ি ")</f>
        <v> ঠান্টা বুড়ি </v>
      </c>
      <c r="G252" s="10" t="str">
        <f>IFERROR(__xludf.DUMMYFUNCTION("""COMPUTED_VALUE""")," ১২/১০/১৯৫৬ ")</f>
        <v> ১২/১০/১৯৫৬ </v>
      </c>
      <c r="H252" s="10" t="str">
        <f>IFERROR(__xludf.DUMMYFUNCTION("""COMPUTED_VALUE""")," গৃহিনী ")</f>
        <v> গৃহিনী </v>
      </c>
      <c r="I252" s="10" t="str">
        <f>IFERROR(__xludf.DUMMYFUNCTION("""COMPUTED_VALUE""")," জালতকা, গাংনী, মেহেরপুর ")</f>
        <v> জালতকা, গাংনী, মেহেরপুর </v>
      </c>
    </row>
    <row r="253">
      <c r="A253" s="9" t="s">
        <v>2957</v>
      </c>
      <c r="B253" s="10">
        <f>IFERROR(__xludf.DUMMYFUNCTION("SPLIT(A253,""|"")"),244.0)</f>
        <v>244</v>
      </c>
      <c r="C253" s="10" t="str">
        <f>IFERROR(__xludf.DUMMYFUNCTION("""COMPUTED_VALUE""")," মোছাঃ রেবেকা ")</f>
        <v> মোছাঃ রেবেকা </v>
      </c>
      <c r="D253" s="10">
        <f>IFERROR(__xludf.DUMMYFUNCTION("""COMPUTED_VALUE"""),5.70056378333E11)</f>
        <v>570056378333</v>
      </c>
      <c r="E253" s="10" t="str">
        <f>IFERROR(__xludf.DUMMYFUNCTION("""COMPUTED_VALUE""")," মোছাঃ ইয়াছিন ")</f>
        <v> মোছাঃ ইয়াছিন </v>
      </c>
      <c r="F253" s="10" t="str">
        <f>IFERROR(__xludf.DUMMYFUNCTION("""COMPUTED_VALUE""")," মোছাঃ আয়েশা ")</f>
        <v> মোছাঃ আয়েশা </v>
      </c>
      <c r="G253" s="10" t="str">
        <f>IFERROR(__xludf.DUMMYFUNCTION("""COMPUTED_VALUE""")," ০১/০৪/১৯৭২ ")</f>
        <v> ০১/০৪/১৯৭২ </v>
      </c>
      <c r="H253" s="10" t="str">
        <f>IFERROR(__xludf.DUMMYFUNCTION("""COMPUTED_VALUE""")," গৃহিনী ")</f>
        <v> গৃহিনী </v>
      </c>
      <c r="I253" s="10" t="str">
        <f>IFERROR(__xludf.DUMMYFUNCTION("""COMPUTED_VALUE""")," জালতকা, গাংনী, মেহেরপুর ")</f>
        <v> জালতকা, গাংনী, মেহেরপুর </v>
      </c>
    </row>
    <row r="254">
      <c r="A254" s="9" t="s">
        <v>2958</v>
      </c>
      <c r="B254" s="10">
        <f>IFERROR(__xludf.DUMMYFUNCTION("SPLIT(A254,""|"")"),245.0)</f>
        <v>245</v>
      </c>
      <c r="C254" s="10" t="str">
        <f>IFERROR(__xludf.DUMMYFUNCTION("""COMPUTED_VALUE""")," মোছাঃ মহিমা খাতুন ")</f>
        <v> মোছাঃ মহিমা খাতুন </v>
      </c>
      <c r="D254" s="10">
        <f>IFERROR(__xludf.DUMMYFUNCTION("""COMPUTED_VALUE"""),5.70056378337E11)</f>
        <v>570056378337</v>
      </c>
      <c r="E254" s="10" t="str">
        <f>IFERROR(__xludf.DUMMYFUNCTION("""COMPUTED_VALUE""")," আবুল মন্ডল ")</f>
        <v> আবুল মন্ডল </v>
      </c>
      <c r="F254" s="10" t="str">
        <f>IFERROR(__xludf.DUMMYFUNCTION("""COMPUTED_VALUE""")," আবেদা ")</f>
        <v> আবেদা </v>
      </c>
      <c r="G254" s="10" t="str">
        <f>IFERROR(__xludf.DUMMYFUNCTION("""COMPUTED_VALUE""")," ১০/১১/১৯৭০ ")</f>
        <v> ১০/১১/১৯৭০ </v>
      </c>
      <c r="H254" s="10" t="str">
        <f>IFERROR(__xludf.DUMMYFUNCTION("""COMPUTED_VALUE""")," গৃহিনী ")</f>
        <v> গৃহিনী </v>
      </c>
      <c r="I254" s="10" t="str">
        <f>IFERROR(__xludf.DUMMYFUNCTION("""COMPUTED_VALUE""")," জালতকা, গাংনী, মেহেরপুর ")</f>
        <v> জালতকা, গাংনী, মেহেরপুর </v>
      </c>
    </row>
    <row r="255">
      <c r="A255" s="9" t="s">
        <v>2959</v>
      </c>
      <c r="B255" s="10">
        <f>IFERROR(__xludf.DUMMYFUNCTION("SPLIT(A255,""|"")"),246.0)</f>
        <v>246</v>
      </c>
      <c r="C255" s="10" t="str">
        <f>IFERROR(__xludf.DUMMYFUNCTION("""COMPUTED_VALUE""")," মোছাঃ নাসিমা খাতুন ")</f>
        <v> মোছাঃ নাসিমা খাতুন </v>
      </c>
      <c r="D255" s="10">
        <f>IFERROR(__xludf.DUMMYFUNCTION("""COMPUTED_VALUE"""),5.70056378338E11)</f>
        <v>570056378338</v>
      </c>
      <c r="E255" s="10" t="str">
        <f>IFERROR(__xludf.DUMMYFUNCTION("""COMPUTED_VALUE""")," মকছেদ আলি ")</f>
        <v> মকছেদ আলি </v>
      </c>
      <c r="F255" s="10" t="str">
        <f>IFERROR(__xludf.DUMMYFUNCTION("""COMPUTED_VALUE""")," মোছাঃ রশিদা ")</f>
        <v> মোছাঃ রশিদা </v>
      </c>
      <c r="G255" s="10" t="str">
        <f>IFERROR(__xludf.DUMMYFUNCTION("""COMPUTED_VALUE""")," ০৫/০৬/১৯৭১ ")</f>
        <v> ০৫/০৬/১৯৭১ </v>
      </c>
      <c r="H255" s="10" t="str">
        <f>IFERROR(__xludf.DUMMYFUNCTION("""COMPUTED_VALUE""")," গৃহিনী ")</f>
        <v> গৃহিনী </v>
      </c>
      <c r="I255" s="10" t="str">
        <f>IFERROR(__xludf.DUMMYFUNCTION("""COMPUTED_VALUE""")," জালতকা, গাংনী, মেহেরপুর ")</f>
        <v> জালতকা, গাংনী, মেহেরপুর </v>
      </c>
    </row>
    <row r="256">
      <c r="A256" s="9" t="s">
        <v>2960</v>
      </c>
      <c r="B256" s="10">
        <f>IFERROR(__xludf.DUMMYFUNCTION("SPLIT(A256,""|"")"),247.0)</f>
        <v>247</v>
      </c>
      <c r="C256" s="10" t="str">
        <f>IFERROR(__xludf.DUMMYFUNCTION("""COMPUTED_VALUE""")," মোছাঃ রেশমা ")</f>
        <v> মোছাঃ রেশমা </v>
      </c>
      <c r="D256" s="10">
        <f>IFERROR(__xludf.DUMMYFUNCTION("""COMPUTED_VALUE"""),5.70056378341E11)</f>
        <v>570056378341</v>
      </c>
      <c r="E256" s="10" t="str">
        <f>IFERROR(__xludf.DUMMYFUNCTION("""COMPUTED_VALUE""")," মোছাঃ মজিদ ")</f>
        <v> মোছাঃ মজিদ </v>
      </c>
      <c r="F256" s="10" t="str">
        <f>IFERROR(__xludf.DUMMYFUNCTION("""COMPUTED_VALUE""")," মোছাঃ ফজিয়া ")</f>
        <v> মোছাঃ ফজিয়া </v>
      </c>
      <c r="G256" s="10" t="str">
        <f>IFERROR(__xludf.DUMMYFUNCTION("""COMPUTED_VALUE""")," ০৪/০২/১৯৮০ ")</f>
        <v> ০৪/০২/১৯৮০ </v>
      </c>
      <c r="H256" s="10" t="str">
        <f>IFERROR(__xludf.DUMMYFUNCTION("""COMPUTED_VALUE""")," গৃহিনী ")</f>
        <v> গৃহিনী </v>
      </c>
      <c r="I256" s="10" t="str">
        <f>IFERROR(__xludf.DUMMYFUNCTION("""COMPUTED_VALUE""")," জালতকা, গাংনী, মেহেরপুর ")</f>
        <v> জালতকা, গাংনী, মেহেরপুর </v>
      </c>
    </row>
    <row r="257">
      <c r="A257" s="9" t="s">
        <v>2961</v>
      </c>
      <c r="B257" s="10">
        <f>IFERROR(__xludf.DUMMYFUNCTION("SPLIT(A257,""|"")"),248.0)</f>
        <v>248</v>
      </c>
      <c r="C257" s="10" t="str">
        <f>IFERROR(__xludf.DUMMYFUNCTION("""COMPUTED_VALUE""")," মোছাঃ লাভলি খাতুন ")</f>
        <v> মোছাঃ লাভলি খাতুন </v>
      </c>
      <c r="D257" s="10">
        <f>IFERROR(__xludf.DUMMYFUNCTION("""COMPUTED_VALUE"""),5.70056378342E11)</f>
        <v>570056378342</v>
      </c>
      <c r="E257" s="10" t="str">
        <f>IFERROR(__xludf.DUMMYFUNCTION("""COMPUTED_VALUE""")," নুরুল ইসলাম ")</f>
        <v> নুরুল ইসলাম </v>
      </c>
      <c r="F257" s="10" t="str">
        <f>IFERROR(__xludf.DUMMYFUNCTION("""COMPUTED_VALUE""")," মোছাঃ শামসুন্নাহার ")</f>
        <v> মোছাঃ শামসুন্নাহার </v>
      </c>
      <c r="G257" s="10" t="str">
        <f>IFERROR(__xludf.DUMMYFUNCTION("""COMPUTED_VALUE""")," ০৪/০৫/১৯৭৫ ")</f>
        <v> ০৪/০৫/১৯৭৫ </v>
      </c>
      <c r="H257" s="10" t="str">
        <f>IFERROR(__xludf.DUMMYFUNCTION("""COMPUTED_VALUE""")," গৃহিনী ")</f>
        <v> গৃহিনী </v>
      </c>
      <c r="I257" s="10" t="str">
        <f>IFERROR(__xludf.DUMMYFUNCTION("""COMPUTED_VALUE""")," জালতকা, গাংনী, মেহেরপুর ")</f>
        <v> জালতকা, গাংনী, মেহেরপুর </v>
      </c>
    </row>
    <row r="258">
      <c r="A258" s="9" t="s">
        <v>2962</v>
      </c>
      <c r="B258" s="10">
        <f>IFERROR(__xludf.DUMMYFUNCTION("SPLIT(A258,""|"")"),249.0)</f>
        <v>249</v>
      </c>
      <c r="C258" s="10" t="str">
        <f>IFERROR(__xludf.DUMMYFUNCTION("""COMPUTED_VALUE""")," মোছাঃ জুলেখা খাতুন ")</f>
        <v> মোছাঃ জুলেখা খাতুন </v>
      </c>
      <c r="D258" s="10">
        <f>IFERROR(__xludf.DUMMYFUNCTION("""COMPUTED_VALUE"""),5.70056378345E11)</f>
        <v>570056378345</v>
      </c>
      <c r="E258" s="10" t="str">
        <f>IFERROR(__xludf.DUMMYFUNCTION("""COMPUTED_VALUE""")," মোছাঃ শহিদ মালিথা ")</f>
        <v> মোছাঃ শহিদ মালিথা </v>
      </c>
      <c r="F258" s="10" t="str">
        <f>IFERROR(__xludf.DUMMYFUNCTION("""COMPUTED_VALUE""")," মোছাঃ ছালেহা ")</f>
        <v> মোছাঃ ছালেহা </v>
      </c>
      <c r="G258" s="10" t="str">
        <f>IFERROR(__xludf.DUMMYFUNCTION("""COMPUTED_VALUE""")," ১১/১০/১৯৮৪ ")</f>
        <v> ১১/১০/১৯৮৪ </v>
      </c>
      <c r="H258" s="10" t="str">
        <f>IFERROR(__xludf.DUMMYFUNCTION("""COMPUTED_VALUE""")," গৃহিনী ")</f>
        <v> গৃহিনী </v>
      </c>
      <c r="I258" s="10" t="str">
        <f>IFERROR(__xludf.DUMMYFUNCTION("""COMPUTED_VALUE""")," জালতকা, গাংনী, মেহেরপুর ")</f>
        <v> জালতকা, গাংনী, মেহেরপুর </v>
      </c>
    </row>
    <row r="259">
      <c r="A259" s="9" t="s">
        <v>2712</v>
      </c>
      <c r="B259" s="10" t="str">
        <f>IFERROR(__xludf.DUMMYFUNCTION("SPLIT(A259,""|"")")," ক্রমিক নং ")</f>
        <v> ক্রমিক নং </v>
      </c>
      <c r="C259" s="10" t="str">
        <f>IFERROR(__xludf.DUMMYFUNCTION("""COMPUTED_VALUE""")," নাম ")</f>
        <v> নাম </v>
      </c>
      <c r="D259" s="10" t="str">
        <f>IFERROR(__xludf.DUMMYFUNCTION("""COMPUTED_VALUE""")," ভোটার নং ")</f>
        <v> ভোটার নং </v>
      </c>
      <c r="E259" s="10" t="str">
        <f>IFERROR(__xludf.DUMMYFUNCTION("""COMPUTED_VALUE""")," পিতা ")</f>
        <v> পিতা </v>
      </c>
      <c r="F259" s="10" t="str">
        <f>IFERROR(__xludf.DUMMYFUNCTION("""COMPUTED_VALUE""")," মাতা ")</f>
        <v> মাতা </v>
      </c>
      <c r="G259" s="10" t="str">
        <f>IFERROR(__xludf.DUMMYFUNCTION("""COMPUTED_VALUE""")," জন্ম তারিখ ")</f>
        <v> জন্ম তারিখ </v>
      </c>
      <c r="H259" s="10" t="str">
        <f>IFERROR(__xludf.DUMMYFUNCTION("""COMPUTED_VALUE""")," পেশা ")</f>
        <v> পেশা </v>
      </c>
      <c r="I259" s="10" t="str">
        <f>IFERROR(__xludf.DUMMYFUNCTION("""COMPUTED_VALUE""")," ঠিকানা ")</f>
        <v> ঠিকানা </v>
      </c>
    </row>
    <row r="260">
      <c r="A260" s="9" t="s">
        <v>2713</v>
      </c>
      <c r="B260" s="10" t="str">
        <f>IFERROR(__xludf.DUMMYFUNCTION("SPLIT(A260,""|"")"),"---")</f>
        <v>---</v>
      </c>
      <c r="C260" s="10" t="str">
        <f>IFERROR(__xludf.DUMMYFUNCTION("""COMPUTED_VALUE"""),"---")</f>
        <v>---</v>
      </c>
      <c r="D260" s="10" t="str">
        <f>IFERROR(__xludf.DUMMYFUNCTION("""COMPUTED_VALUE"""),"---")</f>
        <v>---</v>
      </c>
      <c r="E260" s="10" t="str">
        <f>IFERROR(__xludf.DUMMYFUNCTION("""COMPUTED_VALUE"""),"---")</f>
        <v>---</v>
      </c>
      <c r="F260" s="10" t="str">
        <f>IFERROR(__xludf.DUMMYFUNCTION("""COMPUTED_VALUE"""),"---")</f>
        <v>---</v>
      </c>
      <c r="G260" s="10" t="str">
        <f>IFERROR(__xludf.DUMMYFUNCTION("""COMPUTED_VALUE"""),"---")</f>
        <v>---</v>
      </c>
      <c r="H260" s="10" t="str">
        <f>IFERROR(__xludf.DUMMYFUNCTION("""COMPUTED_VALUE"""),"---")</f>
        <v>---</v>
      </c>
      <c r="I260" s="10" t="str">
        <f>IFERROR(__xludf.DUMMYFUNCTION("""COMPUTED_VALUE"""),"---")</f>
        <v>---</v>
      </c>
    </row>
    <row r="261">
      <c r="A261" s="9" t="s">
        <v>2963</v>
      </c>
      <c r="B261" s="10">
        <f>IFERROR(__xludf.DUMMYFUNCTION("SPLIT(A261,""|"")"),250.0)</f>
        <v>250</v>
      </c>
      <c r="C261" s="10" t="str">
        <f>IFERROR(__xludf.DUMMYFUNCTION("""COMPUTED_VALUE""")," মোছাঃ হাছেনা ")</f>
        <v> মোছাঃ হাছেনা </v>
      </c>
      <c r="D261" s="10">
        <f>IFERROR(__xludf.DUMMYFUNCTION("""COMPUTED_VALUE"""),5.70056378346E11)</f>
        <v>570056378346</v>
      </c>
      <c r="E261" s="10" t="str">
        <f>IFERROR(__xludf.DUMMYFUNCTION("""COMPUTED_VALUE""")," আহাম্মদ ")</f>
        <v> আহাম্মদ </v>
      </c>
      <c r="F261" s="10" t="str">
        <f>IFERROR(__xludf.DUMMYFUNCTION("""COMPUTED_VALUE""")," মোছাঃ আজিরন ")</f>
        <v> মোছাঃ আজিরন </v>
      </c>
      <c r="G261" s="10" t="str">
        <f>IFERROR(__xludf.DUMMYFUNCTION("""COMPUTED_VALUE""")," ১১/১১/১৯৫৬ ")</f>
        <v> ১১/১১/১৯৫৬ </v>
      </c>
      <c r="H261" s="10" t="str">
        <f>IFERROR(__xludf.DUMMYFUNCTION("""COMPUTED_VALUE""")," গৃহিনী ")</f>
        <v> গৃহিনী </v>
      </c>
      <c r="I261" s="10" t="str">
        <f>IFERROR(__xludf.DUMMYFUNCTION("""COMPUTED_VALUE""")," জালশুকা, গাংনী, মেহেরপুর ")</f>
        <v> জালশুকা, গাংনী, মেহেরপুর </v>
      </c>
    </row>
    <row r="262">
      <c r="A262" s="9" t="s">
        <v>2964</v>
      </c>
      <c r="B262" s="10">
        <f>IFERROR(__xludf.DUMMYFUNCTION("SPLIT(A262,""|"")"),251.0)</f>
        <v>251</v>
      </c>
      <c r="C262" s="10" t="str">
        <f>IFERROR(__xludf.DUMMYFUNCTION("""COMPUTED_VALUE""")," মোছাঃ সইরন ")</f>
        <v> মোছাঃ সইরন </v>
      </c>
      <c r="D262" s="10">
        <f>IFERROR(__xludf.DUMMYFUNCTION("""COMPUTED_VALUE"""),5.70056378347E11)</f>
        <v>570056378347</v>
      </c>
      <c r="E262" s="10" t="str">
        <f>IFERROR(__xludf.DUMMYFUNCTION("""COMPUTED_VALUE""")," মোহাঃ কফিলদ্দ ")</f>
        <v> মোহাঃ কফিলদ্দ </v>
      </c>
      <c r="F262" s="10" t="str">
        <f>IFERROR(__xludf.DUMMYFUNCTION("""COMPUTED_VALUE""")," মোছাঃ আছিয়া খাতুন ")</f>
        <v> মোছাঃ আছিয়া খাতুন </v>
      </c>
      <c r="G262" s="10" t="str">
        <f>IFERROR(__xludf.DUMMYFUNCTION("""COMPUTED_VALUE""")," ০৫/০৫/১৯৬৫ ")</f>
        <v> ০৫/০৫/১৯৬৫ </v>
      </c>
      <c r="H262" s="10" t="str">
        <f>IFERROR(__xludf.DUMMYFUNCTION("""COMPUTED_VALUE""")," গৃহিনী ")</f>
        <v> গৃহিনী </v>
      </c>
      <c r="I262" s="10" t="str">
        <f>IFERROR(__xludf.DUMMYFUNCTION("""COMPUTED_VALUE""")," জালশুকা, গাংনী, মেহেরপুর ")</f>
        <v> জালশুকা, গাংনী, মেহেরপুর </v>
      </c>
    </row>
    <row r="263">
      <c r="A263" s="9" t="s">
        <v>2965</v>
      </c>
      <c r="B263" s="10">
        <f>IFERROR(__xludf.DUMMYFUNCTION("SPLIT(A263,""|"")"),252.0)</f>
        <v>252</v>
      </c>
      <c r="C263" s="10" t="str">
        <f>IFERROR(__xludf.DUMMYFUNCTION("""COMPUTED_VALUE""")," মোছাঃ সেলিনা খাতুন ")</f>
        <v> মোছাঃ সেলিনা খাতুন </v>
      </c>
      <c r="D263" s="10">
        <f>IFERROR(__xludf.DUMMYFUNCTION("""COMPUTED_VALUE"""),5.70056378348E11)</f>
        <v>570056378348</v>
      </c>
      <c r="E263" s="10" t="str">
        <f>IFERROR(__xludf.DUMMYFUNCTION("""COMPUTED_VALUE""")," মোহাঃ বশিরউদ্দিন ")</f>
        <v> মোহাঃ বশিরউদ্দিন </v>
      </c>
      <c r="F263" s="10" t="str">
        <f>IFERROR(__xludf.DUMMYFUNCTION("""COMPUTED_VALUE""")," মোছাঃ আকলিমা ")</f>
        <v> মোছাঃ আকলিমা </v>
      </c>
      <c r="G263" s="10" t="str">
        <f>IFERROR(__xludf.DUMMYFUNCTION("""COMPUTED_VALUE""")," ১১/০৯/১৯৭৪ ")</f>
        <v> ১১/০৯/১৯৭৪ </v>
      </c>
      <c r="H263" s="10" t="str">
        <f>IFERROR(__xludf.DUMMYFUNCTION("""COMPUTED_VALUE""")," গৃহিনী ")</f>
        <v> গৃহিনী </v>
      </c>
      <c r="I263" s="10" t="str">
        <f>IFERROR(__xludf.DUMMYFUNCTION("""COMPUTED_VALUE""")," জালশুকা, গাংনী, মেহেরপুর ")</f>
        <v> জালশুকা, গাংনী, মেহেরপুর </v>
      </c>
    </row>
    <row r="264">
      <c r="A264" s="9" t="s">
        <v>2966</v>
      </c>
      <c r="B264" s="10">
        <f>IFERROR(__xludf.DUMMYFUNCTION("SPLIT(A264,""|"")"),253.0)</f>
        <v>253</v>
      </c>
      <c r="C264" s="10" t="str">
        <f>IFERROR(__xludf.DUMMYFUNCTION("""COMPUTED_VALUE""")," মোছাঃ চাইনা খাতুন ")</f>
        <v> মোছাঃ চাইনা খাতুন </v>
      </c>
      <c r="D264" s="10">
        <f>IFERROR(__xludf.DUMMYFUNCTION("""COMPUTED_VALUE"""),5.70056378351E11)</f>
        <v>570056378351</v>
      </c>
      <c r="E264" s="10" t="str">
        <f>IFERROR(__xludf.DUMMYFUNCTION("""COMPUTED_VALUE""")," মোহাঃ নুরুল ইসলাম ")</f>
        <v> মোহাঃ নুরুল ইসলাম </v>
      </c>
      <c r="F264" s="10" t="str">
        <f>IFERROR(__xludf.DUMMYFUNCTION("""COMPUTED_VALUE""")," মোছাঃ সুন্দরী খাতুন ")</f>
        <v> মোছাঃ সুন্দরী খাতুন </v>
      </c>
      <c r="G264" s="10" t="str">
        <f>IFERROR(__xludf.DUMMYFUNCTION("""COMPUTED_VALUE""")," ১২/১০/১৯৭৮ ")</f>
        <v> ১২/১০/১৯৭৮ </v>
      </c>
      <c r="H264" s="10" t="str">
        <f>IFERROR(__xludf.DUMMYFUNCTION("""COMPUTED_VALUE""")," গৃহিনী ")</f>
        <v> গৃহিনী </v>
      </c>
      <c r="I264" s="10" t="str">
        <f>IFERROR(__xludf.DUMMYFUNCTION("""COMPUTED_VALUE""")," জালশুকা, গাংনী, মেহেরপুর ")</f>
        <v> জালশুকা, গাংনী, মেহেরপুর </v>
      </c>
    </row>
    <row r="265">
      <c r="A265" s="9" t="s">
        <v>2967</v>
      </c>
      <c r="B265" s="10">
        <f>IFERROR(__xludf.DUMMYFUNCTION("SPLIT(A265,""|"")"),254.0)</f>
        <v>254</v>
      </c>
      <c r="C265" s="10" t="str">
        <f>IFERROR(__xludf.DUMMYFUNCTION("""COMPUTED_VALUE""")," মোছাঃ কফিরন ")</f>
        <v> মোছাঃ কফিরন </v>
      </c>
      <c r="D265" s="10">
        <f>IFERROR(__xludf.DUMMYFUNCTION("""COMPUTED_VALUE"""),5.70056378351E11)</f>
        <v>570056378351</v>
      </c>
      <c r="E265" s="10" t="str">
        <f>IFERROR(__xludf.DUMMYFUNCTION("""COMPUTED_VALUE""")," হাতেম আলী ")</f>
        <v> হাতেম আলী </v>
      </c>
      <c r="F265" s="10" t="str">
        <f>IFERROR(__xludf.DUMMYFUNCTION("""COMPUTED_VALUE""")," মোছাঃ রহিমা ")</f>
        <v> মোছাঃ রহিমা </v>
      </c>
      <c r="G265" s="10" t="str">
        <f>IFERROR(__xludf.DUMMYFUNCTION("""COMPUTED_VALUE""")," ১০/১০/১৯৮০ ")</f>
        <v> ১০/১০/১৯৮০ </v>
      </c>
      <c r="H265" s="10" t="str">
        <f>IFERROR(__xludf.DUMMYFUNCTION("""COMPUTED_VALUE""")," গৃহিনী ")</f>
        <v> গৃহিনী </v>
      </c>
      <c r="I265" s="10" t="str">
        <f>IFERROR(__xludf.DUMMYFUNCTION("""COMPUTED_VALUE""")," জালশুকা, গাংনী, মেহেরপুর ")</f>
        <v> জালশুকা, গাংনী, মেহেরপুর </v>
      </c>
    </row>
    <row r="266">
      <c r="A266" s="9" t="s">
        <v>2968</v>
      </c>
      <c r="B266" s="10">
        <f>IFERROR(__xludf.DUMMYFUNCTION("SPLIT(A266,""|"")"),255.0)</f>
        <v>255</v>
      </c>
      <c r="C266" s="10" t="str">
        <f>IFERROR(__xludf.DUMMYFUNCTION("""COMPUTED_VALUE""")," মোছাঃ আকলিমা ")</f>
        <v> মোছাঃ আকলিমা </v>
      </c>
      <c r="D266" s="10">
        <f>IFERROR(__xludf.DUMMYFUNCTION("""COMPUTED_VALUE"""),5.70056378352E11)</f>
        <v>570056378352</v>
      </c>
      <c r="E266" s="10" t="str">
        <f>IFERROR(__xludf.DUMMYFUNCTION("""COMPUTED_VALUE""")," ওহাব ")</f>
        <v> ওহাব </v>
      </c>
      <c r="F266" s="10" t="str">
        <f>IFERROR(__xludf.DUMMYFUNCTION("""COMPUTED_VALUE""")," মোছাঃ জহিরন ")</f>
        <v> মোছাঃ জহিরন </v>
      </c>
      <c r="G266" s="10" t="str">
        <f>IFERROR(__xludf.DUMMYFUNCTION("""COMPUTED_VALUE""")," ১০/১১/১৯৮৪ ")</f>
        <v> ১০/১১/১৯৮৪ </v>
      </c>
      <c r="H266" s="10" t="str">
        <f>IFERROR(__xludf.DUMMYFUNCTION("""COMPUTED_VALUE""")," গৃহিনী ")</f>
        <v> গৃহিনী </v>
      </c>
      <c r="I266" s="10" t="str">
        <f>IFERROR(__xludf.DUMMYFUNCTION("""COMPUTED_VALUE""")," জালশুকা, গাংনী, মেহেরপুর ")</f>
        <v> জালশুকা, গাংনী, মেহেরপুর </v>
      </c>
    </row>
    <row r="267">
      <c r="A267" s="9" t="s">
        <v>2969</v>
      </c>
      <c r="B267" s="10">
        <f>IFERROR(__xludf.DUMMYFUNCTION("SPLIT(A267,""|"")"),256.0)</f>
        <v>256</v>
      </c>
      <c r="C267" s="10" t="str">
        <f>IFERROR(__xludf.DUMMYFUNCTION("""COMPUTED_VALUE""")," মোছাঃ জহুরা খাতুন ")</f>
        <v> মোছাঃ জহুরা খাতুন </v>
      </c>
      <c r="D267" s="10">
        <f>IFERROR(__xludf.DUMMYFUNCTION("""COMPUTED_VALUE"""),5.70056378353E11)</f>
        <v>570056378353</v>
      </c>
      <c r="E267" s="10" t="str">
        <f>IFERROR(__xludf.DUMMYFUNCTION("""COMPUTED_VALUE""")," তইজদ্দিন ")</f>
        <v> তইজদ্দিন </v>
      </c>
      <c r="F267" s="10" t="str">
        <f>IFERROR(__xludf.DUMMYFUNCTION("""COMPUTED_VALUE""")," ছালেহা ")</f>
        <v> ছালেহা </v>
      </c>
      <c r="G267" s="10" t="str">
        <f>IFERROR(__xludf.DUMMYFUNCTION("""COMPUTED_VALUE""")," ১১/১০/১৯৪৬ ")</f>
        <v> ১১/১০/১৯৪৬ </v>
      </c>
      <c r="H267" s="10" t="str">
        <f>IFERROR(__xludf.DUMMYFUNCTION("""COMPUTED_VALUE""")," গৃহিনী ")</f>
        <v> গৃহিনী </v>
      </c>
      <c r="I267" s="10" t="str">
        <f>IFERROR(__xludf.DUMMYFUNCTION("""COMPUTED_VALUE""")," জালশুকা, গাংনী, মেহেরপুর ")</f>
        <v> জালশুকা, গাংনী, মেহেরপুর </v>
      </c>
    </row>
    <row r="268">
      <c r="A268" s="9" t="s">
        <v>2970</v>
      </c>
      <c r="B268" s="10">
        <f>IFERROR(__xludf.DUMMYFUNCTION("SPLIT(A268,""|"")"),257.0)</f>
        <v>257</v>
      </c>
      <c r="C268" s="10" t="str">
        <f>IFERROR(__xludf.DUMMYFUNCTION("""COMPUTED_VALUE""")," মাইগ্রেট হয়েছে ")</f>
        <v> মাইগ্রেট হয়েছে </v>
      </c>
      <c r="D268" s="10" t="str">
        <f>IFERROR(__xludf.DUMMYFUNCTION("""COMPUTED_VALUE"""),"  ")</f>
        <v>  </v>
      </c>
      <c r="E268" s="10" t="str">
        <f>IFERROR(__xludf.DUMMYFUNCTION("""COMPUTED_VALUE"""),"  ")</f>
        <v>  </v>
      </c>
      <c r="F268" s="10" t="str">
        <f>IFERROR(__xludf.DUMMYFUNCTION("""COMPUTED_VALUE"""),"  ")</f>
        <v>  </v>
      </c>
      <c r="G268" s="10" t="str">
        <f>IFERROR(__xludf.DUMMYFUNCTION("""COMPUTED_VALUE"""),"  ")</f>
        <v>  </v>
      </c>
      <c r="H268" s="10" t="str">
        <f>IFERROR(__xludf.DUMMYFUNCTION("""COMPUTED_VALUE"""),"  ")</f>
        <v>  </v>
      </c>
      <c r="I268" s="10" t="str">
        <f>IFERROR(__xludf.DUMMYFUNCTION("""COMPUTED_VALUE"""),"  ")</f>
        <v>  </v>
      </c>
    </row>
    <row r="269">
      <c r="A269" s="9" t="s">
        <v>2971</v>
      </c>
      <c r="B269" s="10">
        <f>IFERROR(__xludf.DUMMYFUNCTION("SPLIT(A269,""|"")"),258.0)</f>
        <v>258</v>
      </c>
      <c r="C269" s="10" t="str">
        <f>IFERROR(__xludf.DUMMYFUNCTION("""COMPUTED_VALUE""")," মোছাঃ ময়না ")</f>
        <v> মোছাঃ ময়না </v>
      </c>
      <c r="D269" s="10">
        <f>IFERROR(__xludf.DUMMYFUNCTION("""COMPUTED_VALUE"""),5.70056378355E11)</f>
        <v>570056378355</v>
      </c>
      <c r="E269" s="10" t="str">
        <f>IFERROR(__xludf.DUMMYFUNCTION("""COMPUTED_VALUE""")," মোহাঃ আব্দুল মান্নান ")</f>
        <v> মোহাঃ আব্দুল মান্নান </v>
      </c>
      <c r="F269" s="10" t="str">
        <f>IFERROR(__xludf.DUMMYFUNCTION("""COMPUTED_VALUE""")," মোছাঃ আছিয়া ")</f>
        <v> মোছাঃ আছিয়া </v>
      </c>
      <c r="G269" s="10" t="str">
        <f>IFERROR(__xludf.DUMMYFUNCTION("""COMPUTED_VALUE""")," ১২/০৯/১৯৭৮ ")</f>
        <v> ১২/০৯/১৯৭৮ </v>
      </c>
      <c r="H269" s="10" t="str">
        <f>IFERROR(__xludf.DUMMYFUNCTION("""COMPUTED_VALUE""")," গৃহিনী ")</f>
        <v> গৃহিনী </v>
      </c>
      <c r="I269" s="10" t="str">
        <f>IFERROR(__xludf.DUMMYFUNCTION("""COMPUTED_VALUE""")," জালশুকা, গাংনী, মেহেরপুর ")</f>
        <v> জালশুকা, গাংনী, মেহেরপুর </v>
      </c>
    </row>
    <row r="270">
      <c r="A270" s="9" t="s">
        <v>2972</v>
      </c>
      <c r="B270" s="10">
        <f>IFERROR(__xludf.DUMMYFUNCTION("SPLIT(A270,""|"")"),259.0)</f>
        <v>259</v>
      </c>
      <c r="C270" s="10" t="str">
        <f>IFERROR(__xludf.DUMMYFUNCTION("""COMPUTED_VALUE""")," মোছাঃ মুক্তি ")</f>
        <v> মোছাঃ মুক্তি </v>
      </c>
      <c r="D270" s="10">
        <f>IFERROR(__xludf.DUMMYFUNCTION("""COMPUTED_VALUE"""),5.70056378357E11)</f>
        <v>570056378357</v>
      </c>
      <c r="E270" s="10" t="str">
        <f>IFERROR(__xludf.DUMMYFUNCTION("""COMPUTED_VALUE""")," মোহাঃ মহসিন মোল্লা ")</f>
        <v> মোহাঃ মহসিন মোল্লা </v>
      </c>
      <c r="F270" s="10" t="str">
        <f>IFERROR(__xludf.DUMMYFUNCTION("""COMPUTED_VALUE""")," মোছাঃ জাহানারা ")</f>
        <v> মোছাঃ জাহানারা </v>
      </c>
      <c r="G270" s="10" t="str">
        <f>IFERROR(__xludf.DUMMYFUNCTION("""COMPUTED_VALUE""")," ১১/০৯/১৯৬৮ ")</f>
        <v> ১১/০৯/১৯৬৮ </v>
      </c>
      <c r="H270" s="10" t="str">
        <f>IFERROR(__xludf.DUMMYFUNCTION("""COMPUTED_VALUE""")," গৃহিনী ")</f>
        <v> গৃহিনী </v>
      </c>
      <c r="I270" s="10" t="str">
        <f>IFERROR(__xludf.DUMMYFUNCTION("""COMPUTED_VALUE""")," জালশুকা, গাংনী, মেহেরপুর ")</f>
        <v> জালশুকা, গাংনী, মেহেরপুর </v>
      </c>
    </row>
    <row r="271">
      <c r="A271" s="9" t="s">
        <v>2973</v>
      </c>
      <c r="B271" s="10">
        <f>IFERROR(__xludf.DUMMYFUNCTION("SPLIT(A271,""|"")"),260.0)</f>
        <v>260</v>
      </c>
      <c r="C271" s="10" t="str">
        <f>IFERROR(__xludf.DUMMYFUNCTION("""COMPUTED_VALUE""")," মোছাঃ নাজিরা খাতুন ")</f>
        <v> মোছাঃ নাজিরা খাতুন </v>
      </c>
      <c r="D271" s="10">
        <f>IFERROR(__xludf.DUMMYFUNCTION("""COMPUTED_VALUE"""),5.70056378358E11)</f>
        <v>570056378358</v>
      </c>
      <c r="E271" s="10" t="str">
        <f>IFERROR(__xludf.DUMMYFUNCTION("""COMPUTED_VALUE""")," মোহাঃ আকমান ")</f>
        <v> মোহাঃ আকমান </v>
      </c>
      <c r="F271" s="10" t="str">
        <f>IFERROR(__xludf.DUMMYFUNCTION("""COMPUTED_VALUE""")," মোছাঃ আরেজা ")</f>
        <v> মোছাঃ আরেজা </v>
      </c>
      <c r="G271" s="10" t="str">
        <f>IFERROR(__xludf.DUMMYFUNCTION("""COMPUTED_VALUE""")," ১০/১১/১৯৮২ ")</f>
        <v> ১০/১১/১৯৮২ </v>
      </c>
      <c r="H271" s="10" t="str">
        <f>IFERROR(__xludf.DUMMYFUNCTION("""COMPUTED_VALUE""")," গৃহিনী ")</f>
        <v> গৃহিনী </v>
      </c>
      <c r="I271" s="10" t="str">
        <f>IFERROR(__xludf.DUMMYFUNCTION("""COMPUTED_VALUE""")," জালশুকা, গাংনী, মেহেরপুর ")</f>
        <v> জালশুকা, গাংনী, মেহেরপুর </v>
      </c>
    </row>
    <row r="272">
      <c r="A272" s="9" t="s">
        <v>2974</v>
      </c>
      <c r="B272" s="10">
        <f>IFERROR(__xludf.DUMMYFUNCTION("SPLIT(A272,""|"")"),261.0)</f>
        <v>261</v>
      </c>
      <c r="C272" s="10" t="str">
        <f>IFERROR(__xludf.DUMMYFUNCTION("""COMPUTED_VALUE""")," মোছাঃ হালিমা খাতুন ")</f>
        <v> মোছাঃ হালিমা খাতুন </v>
      </c>
      <c r="D272" s="10">
        <f>IFERROR(__xludf.DUMMYFUNCTION("""COMPUTED_VALUE"""),5.70056378359E11)</f>
        <v>570056378359</v>
      </c>
      <c r="E272" s="10" t="str">
        <f>IFERROR(__xludf.DUMMYFUNCTION("""COMPUTED_VALUE""")," নঈমদ্দিন ")</f>
        <v> নঈমদ্দিন </v>
      </c>
      <c r="F272" s="10" t="str">
        <f>IFERROR(__xludf.DUMMYFUNCTION("""COMPUTED_VALUE""")," ফয়জান ")</f>
        <v> ফয়জান </v>
      </c>
      <c r="G272" s="10" t="str">
        <f>IFERROR(__xludf.DUMMYFUNCTION("""COMPUTED_VALUE""")," ১১/১০/১৯৪৬ ")</f>
        <v> ১১/১০/১৯৪৬ </v>
      </c>
      <c r="H272" s="10" t="str">
        <f>IFERROR(__xludf.DUMMYFUNCTION("""COMPUTED_VALUE""")," গৃহিনী ")</f>
        <v> গৃহিনী </v>
      </c>
      <c r="I272" s="10" t="str">
        <f>IFERROR(__xludf.DUMMYFUNCTION("""COMPUTED_VALUE""")," জালশুকা, গাংনী, মেহেরপুর ")</f>
        <v> জালশুকা, গাংনী, মেহেরপুর </v>
      </c>
    </row>
    <row r="273">
      <c r="A273" s="9" t="s">
        <v>2975</v>
      </c>
      <c r="B273" s="10">
        <f>IFERROR(__xludf.DUMMYFUNCTION("SPLIT(A273,""|"")"),262.0)</f>
        <v>262</v>
      </c>
      <c r="C273" s="10" t="str">
        <f>IFERROR(__xludf.DUMMYFUNCTION("""COMPUTED_VALUE""")," মোছাঃ ফারজিনা ")</f>
        <v> মোছাঃ ফারজিনা </v>
      </c>
      <c r="D273" s="10">
        <f>IFERROR(__xludf.DUMMYFUNCTION("""COMPUTED_VALUE"""),5.7005637836E11)</f>
        <v>570056378360</v>
      </c>
      <c r="E273" s="10" t="str">
        <f>IFERROR(__xludf.DUMMYFUNCTION("""COMPUTED_VALUE""")," মোহাঃ দাউদ হোসেন ")</f>
        <v> মোহাঃ দাউদ হোসেন </v>
      </c>
      <c r="F273" s="10" t="str">
        <f>IFERROR(__xludf.DUMMYFUNCTION("""COMPUTED_VALUE""")," মোছাঃ আকলিমা ")</f>
        <v> মোছাঃ আকলিমা </v>
      </c>
      <c r="G273" s="10" t="str">
        <f>IFERROR(__xludf.DUMMYFUNCTION("""COMPUTED_VALUE""")," ১০/০৯/১৯৮৪ ")</f>
        <v> ১০/০৯/১৯৮৪ </v>
      </c>
      <c r="H273" s="10" t="str">
        <f>IFERROR(__xludf.DUMMYFUNCTION("""COMPUTED_VALUE""")," গৃহিনী ")</f>
        <v> গৃহিনী </v>
      </c>
      <c r="I273" s="10" t="str">
        <f>IFERROR(__xludf.DUMMYFUNCTION("""COMPUTED_VALUE""")," জালশুকা, গাংনী, মেহেরপুর ")</f>
        <v> জালশুকা, গাংনী, মেহেরপুর </v>
      </c>
    </row>
    <row r="274">
      <c r="A274" s="9" t="s">
        <v>2976</v>
      </c>
      <c r="B274" s="10">
        <f>IFERROR(__xludf.DUMMYFUNCTION("SPLIT(A274,""|"")"),263.0)</f>
        <v>263</v>
      </c>
      <c r="C274" s="10" t="str">
        <f>IFERROR(__xludf.DUMMYFUNCTION("""COMPUTED_VALUE""")," মোছাঃ রহিমা খাতুন ")</f>
        <v> মোছাঃ রহিমা খাতুন </v>
      </c>
      <c r="D274" s="10">
        <f>IFERROR(__xludf.DUMMYFUNCTION("""COMPUTED_VALUE"""),5.70056378361E11)</f>
        <v>570056378361</v>
      </c>
      <c r="E274" s="10" t="str">
        <f>IFERROR(__xludf.DUMMYFUNCTION("""COMPUTED_VALUE""")," মোহাঃ ইয়াকুব ")</f>
        <v> মোহাঃ ইয়াকুব </v>
      </c>
      <c r="F274" s="10" t="str">
        <f>IFERROR(__xludf.DUMMYFUNCTION("""COMPUTED_VALUE""")," রম্মেছা ")</f>
        <v> রম্মেছা </v>
      </c>
      <c r="G274" s="10" t="str">
        <f>IFERROR(__xludf.DUMMYFUNCTION("""COMPUTED_VALUE""")," ০১/১১/১৯৭৬ ")</f>
        <v> ০১/১১/১৯৭৬ </v>
      </c>
      <c r="H274" s="10" t="str">
        <f>IFERROR(__xludf.DUMMYFUNCTION("""COMPUTED_VALUE""")," গৃহিনী ")</f>
        <v> গৃহিনী </v>
      </c>
      <c r="I274" s="10" t="str">
        <f>IFERROR(__xludf.DUMMYFUNCTION("""COMPUTED_VALUE""")," জালশুকা, গাংনী, মেহেরপুর ")</f>
        <v> জালশুকা, গাংনী, মেহেরপুর </v>
      </c>
    </row>
    <row r="275">
      <c r="A275" s="9" t="s">
        <v>2977</v>
      </c>
      <c r="B275" s="10">
        <f>IFERROR(__xludf.DUMMYFUNCTION("SPLIT(A275,""|"")"),264.0)</f>
        <v>264</v>
      </c>
      <c r="C275" s="10" t="str">
        <f>IFERROR(__xludf.DUMMYFUNCTION("""COMPUTED_VALUE""")," মোছাঃ মনোয়ারা ")</f>
        <v> মোছাঃ মনোয়ারা </v>
      </c>
      <c r="D275" s="10">
        <f>IFERROR(__xludf.DUMMYFUNCTION("""COMPUTED_VALUE"""),5.70056378362E11)</f>
        <v>570056378362</v>
      </c>
      <c r="E275" s="10" t="str">
        <f>IFERROR(__xludf.DUMMYFUNCTION("""COMPUTED_VALUE""")," মোহাঃ আলফাজ ")</f>
        <v> মোহাঃ আলফাজ </v>
      </c>
      <c r="F275" s="10" t="str">
        <f>IFERROR(__xludf.DUMMYFUNCTION("""COMPUTED_VALUE""")," মোছাঃ আশামারা ")</f>
        <v> মোছাঃ আশামারা </v>
      </c>
      <c r="G275" s="10" t="str">
        <f>IFERROR(__xludf.DUMMYFUNCTION("""COMPUTED_VALUE""")," ১০/০৮/১৯৭২ ")</f>
        <v> ১০/০৮/১৯৭২ </v>
      </c>
      <c r="H275" s="10" t="str">
        <f>IFERROR(__xludf.DUMMYFUNCTION("""COMPUTED_VALUE""")," গৃহিনী ")</f>
        <v> গৃহিনী </v>
      </c>
      <c r="I275" s="10" t="str">
        <f>IFERROR(__xludf.DUMMYFUNCTION("""COMPUTED_VALUE""")," জালশুকা, গাংনী, মেহেরপুর ")</f>
        <v> জালশুকা, গাংনী, মেহেরপুর </v>
      </c>
    </row>
    <row r="276">
      <c r="A276" s="9" t="s">
        <v>2978</v>
      </c>
      <c r="B276" s="10">
        <f>IFERROR(__xludf.DUMMYFUNCTION("SPLIT(A276,""|"")"),265.0)</f>
        <v>265</v>
      </c>
      <c r="C276" s="10" t="str">
        <f>IFERROR(__xludf.DUMMYFUNCTION("""COMPUTED_VALUE""")," মোছাঃ কবিনুর ")</f>
        <v> মোছাঃ কবিনুর </v>
      </c>
      <c r="D276" s="10">
        <f>IFERROR(__xludf.DUMMYFUNCTION("""COMPUTED_VALUE"""),5.70056378366E11)</f>
        <v>570056378366</v>
      </c>
      <c r="E276" s="10" t="str">
        <f>IFERROR(__xludf.DUMMYFUNCTION("""COMPUTED_VALUE""")," মোহাঃ মোশারফ ")</f>
        <v> মোহাঃ মোশারফ </v>
      </c>
      <c r="F276" s="10" t="str">
        <f>IFERROR(__xludf.DUMMYFUNCTION("""COMPUTED_VALUE""")," মোছাঃ লুৎফন নেছা ")</f>
        <v> মোছাঃ লুৎফন নেছা </v>
      </c>
      <c r="G276" s="10" t="str">
        <f>IFERROR(__xludf.DUMMYFUNCTION("""COMPUTED_VALUE""")," ০১/০৩/১৯৭৫ ")</f>
        <v> ০১/০৩/১৯৭৫ </v>
      </c>
      <c r="H276" s="10" t="str">
        <f>IFERROR(__xludf.DUMMYFUNCTION("""COMPUTED_VALUE""")," গৃহিনী ")</f>
        <v> গৃহিনী </v>
      </c>
      <c r="I276" s="10" t="str">
        <f>IFERROR(__xludf.DUMMYFUNCTION("""COMPUTED_VALUE""")," জালশুকা, গাংনী, মেহেরপুর ")</f>
        <v> জালশুকা, গাংনী, মেহেরপুর </v>
      </c>
    </row>
    <row r="277">
      <c r="A277" s="9" t="s">
        <v>2979</v>
      </c>
      <c r="B277" s="10">
        <f>IFERROR(__xludf.DUMMYFUNCTION("SPLIT(A277,""|"")"),266.0)</f>
        <v>266</v>
      </c>
      <c r="C277" s="10" t="str">
        <f>IFERROR(__xludf.DUMMYFUNCTION("""COMPUTED_VALUE""")," মোছাঃ মুসলিমা ")</f>
        <v> মোছাঃ মুসলিমা </v>
      </c>
      <c r="D277" s="10">
        <f>IFERROR(__xludf.DUMMYFUNCTION("""COMPUTED_VALUE"""),5.70056378367E11)</f>
        <v>570056378367</v>
      </c>
      <c r="E277" s="10" t="str">
        <f>IFERROR(__xludf.DUMMYFUNCTION("""COMPUTED_VALUE""")," মোহাঃ ইউনুছ ")</f>
        <v> মোহাঃ ইউনুছ </v>
      </c>
      <c r="F277" s="10" t="str">
        <f>IFERROR(__xludf.DUMMYFUNCTION("""COMPUTED_VALUE""")," মোছাঃ জোহরা ")</f>
        <v> মোছাঃ জোহরা </v>
      </c>
      <c r="G277" s="10" t="str">
        <f>IFERROR(__xludf.DUMMYFUNCTION("""COMPUTED_VALUE""")," ১০/১০/১৯৭৮ ")</f>
        <v> ১০/১০/১৯৭৮ </v>
      </c>
      <c r="H277" s="10" t="str">
        <f>IFERROR(__xludf.DUMMYFUNCTION("""COMPUTED_VALUE""")," গৃহিনী ")</f>
        <v> গৃহিনী </v>
      </c>
      <c r="I277" s="10" t="str">
        <f>IFERROR(__xludf.DUMMYFUNCTION("""COMPUTED_VALUE""")," জালশুকা, গাংনী, মেহেরপুর ")</f>
        <v> জালশুকা, গাংনী, মেহেরপুর </v>
      </c>
    </row>
    <row r="278">
      <c r="A278" s="9" t="s">
        <v>2980</v>
      </c>
      <c r="B278" s="10">
        <f>IFERROR(__xludf.DUMMYFUNCTION("SPLIT(A278,""|"")"),267.0)</f>
        <v>267</v>
      </c>
      <c r="C278" s="10" t="str">
        <f>IFERROR(__xludf.DUMMYFUNCTION("""COMPUTED_VALUE""")," মোছাঃ জেসমিন ")</f>
        <v> মোছাঃ জেসমিন </v>
      </c>
      <c r="D278" s="10">
        <f>IFERROR(__xludf.DUMMYFUNCTION("""COMPUTED_VALUE"""),5.70056378368E11)</f>
        <v>570056378368</v>
      </c>
      <c r="E278" s="10" t="str">
        <f>IFERROR(__xludf.DUMMYFUNCTION("""COMPUTED_VALUE""")," মোহাঃ আবুল কাশেম ")</f>
        <v> মোহাঃ আবুল কাশেম </v>
      </c>
      <c r="F278" s="10" t="str">
        <f>IFERROR(__xludf.DUMMYFUNCTION("""COMPUTED_VALUE""")," মোছাঃ হাওয়া বিবি ")</f>
        <v> মোছাঃ হাওয়া বিবি </v>
      </c>
      <c r="G278" s="10" t="str">
        <f>IFERROR(__xludf.DUMMYFUNCTION("""COMPUTED_VALUE""")," ০৩/০১/১৯৮২ ")</f>
        <v> ০৩/০১/১৯৮২ </v>
      </c>
      <c r="H278" s="10" t="str">
        <f>IFERROR(__xludf.DUMMYFUNCTION("""COMPUTED_VALUE""")," গৃহিনী ")</f>
        <v> গৃহিনী </v>
      </c>
      <c r="I278" s="10" t="str">
        <f>IFERROR(__xludf.DUMMYFUNCTION("""COMPUTED_VALUE""")," জালশুকা, গাংনী, মেহেরপুর ")</f>
        <v> জালশুকা, গাংনী, মেহেরপুর </v>
      </c>
    </row>
    <row r="279">
      <c r="A279" s="9" t="s">
        <v>2981</v>
      </c>
      <c r="B279" s="10">
        <f>IFERROR(__xludf.DUMMYFUNCTION("SPLIT(A279,""|"")"),268.0)</f>
        <v>268</v>
      </c>
      <c r="C279" s="10" t="str">
        <f>IFERROR(__xludf.DUMMYFUNCTION("""COMPUTED_VALUE""")," মোছাঃ উম্মিয়া খাতুন (রেখা) ")</f>
        <v> মোছাঃ উম্মিয়া খাতুন (রেখা) </v>
      </c>
      <c r="D279" s="10">
        <f>IFERROR(__xludf.DUMMYFUNCTION("""COMPUTED_VALUE"""),5.70056378369E11)</f>
        <v>570056378369</v>
      </c>
      <c r="E279" s="10" t="str">
        <f>IFERROR(__xludf.DUMMYFUNCTION("""COMPUTED_VALUE""")," মোহাঃ খলিলুর ")</f>
        <v> মোহাঃ খলিলুর </v>
      </c>
      <c r="F279" s="10" t="str">
        <f>IFERROR(__xludf.DUMMYFUNCTION("""COMPUTED_VALUE""")," মোছাঃ আনেছা ")</f>
        <v> মোছাঃ আনেছা </v>
      </c>
      <c r="G279" s="10" t="str">
        <f>IFERROR(__xludf.DUMMYFUNCTION("""COMPUTED_VALUE""")," ০৩/০৫/১৯৮৪ ")</f>
        <v> ০৩/০৫/১৯৮৪ </v>
      </c>
      <c r="H279" s="10" t="str">
        <f>IFERROR(__xludf.DUMMYFUNCTION("""COMPUTED_VALUE""")," গৃহিনী ")</f>
        <v> গৃহিনী </v>
      </c>
      <c r="I279" s="10" t="str">
        <f>IFERROR(__xludf.DUMMYFUNCTION("""COMPUTED_VALUE""")," জালশুকা, গাংনী, মেহেরপুর ")</f>
        <v> জালশুকা, গাংনী, মেহেরপুর </v>
      </c>
    </row>
    <row r="280">
      <c r="A280" s="9" t="s">
        <v>2982</v>
      </c>
      <c r="B280" s="10">
        <f>IFERROR(__xludf.DUMMYFUNCTION("SPLIT(A280,""|"")"),269.0)</f>
        <v>269</v>
      </c>
      <c r="C280" s="10" t="str">
        <f>IFERROR(__xludf.DUMMYFUNCTION("""COMPUTED_VALUE""")," মোছাঃ আম্বুরা খাতুন ")</f>
        <v> মোছাঃ আম্বুরা খাতুন </v>
      </c>
      <c r="D280" s="10">
        <f>IFERROR(__xludf.DUMMYFUNCTION("""COMPUTED_VALUE"""),5.70056378372E11)</f>
        <v>570056378372</v>
      </c>
      <c r="E280" s="10" t="str">
        <f>IFERROR(__xludf.DUMMYFUNCTION("""COMPUTED_VALUE""")," মোহাঃ আব্দুল বারী ")</f>
        <v> মোহাঃ আব্দুল বারী </v>
      </c>
      <c r="F280" s="10" t="str">
        <f>IFERROR(__xludf.DUMMYFUNCTION("""COMPUTED_VALUE""")," মোছাঃ আম্বিয়া ")</f>
        <v> মোছাঃ আম্বিয়া </v>
      </c>
      <c r="G280" s="10" t="str">
        <f>IFERROR(__xludf.DUMMYFUNCTION("""COMPUTED_VALUE""")," ১০/১১/১৯৭৬ ")</f>
        <v> ১০/১১/১৯৭৬ </v>
      </c>
      <c r="H280" s="10" t="str">
        <f>IFERROR(__xludf.DUMMYFUNCTION("""COMPUTED_VALUE""")," গৃহিনী ")</f>
        <v> গৃহিনী </v>
      </c>
      <c r="I280" s="10" t="str">
        <f>IFERROR(__xludf.DUMMYFUNCTION("""COMPUTED_VALUE""")," জালশুকা, গাংনী, মেহেরপুর ")</f>
        <v> জালশুকা, গাংনী, মেহেরপুর </v>
      </c>
    </row>
    <row r="281">
      <c r="A281" s="9" t="s">
        <v>2983</v>
      </c>
      <c r="B281" s="10">
        <f>IFERROR(__xludf.DUMMYFUNCTION("SPLIT(A281,""|"")"),270.0)</f>
        <v>270</v>
      </c>
      <c r="C281" s="10" t="str">
        <f>IFERROR(__xludf.DUMMYFUNCTION("""COMPUTED_VALUE""")," মোছাঃ নাজিরা খাতুন ")</f>
        <v> মোছাঃ নাজিরা খাতুন </v>
      </c>
      <c r="D281" s="10">
        <f>IFERROR(__xludf.DUMMYFUNCTION("""COMPUTED_VALUE"""),5.70056378373E11)</f>
        <v>570056378373</v>
      </c>
      <c r="E281" s="10" t="str">
        <f>IFERROR(__xludf.DUMMYFUNCTION("""COMPUTED_VALUE""")," মোহাঃ আশান ")</f>
        <v> মোহাঃ আশান </v>
      </c>
      <c r="F281" s="10" t="str">
        <f>IFERROR(__xludf.DUMMYFUNCTION("""COMPUTED_VALUE""")," মোছাঃ ওজিফা ")</f>
        <v> মোছাঃ ওজিফা </v>
      </c>
      <c r="G281" s="10" t="str">
        <f>IFERROR(__xludf.DUMMYFUNCTION("""COMPUTED_VALUE""")," ১০/১০/১৯৮৩ ")</f>
        <v> ১০/১০/১৯৮৩ </v>
      </c>
      <c r="H281" s="10" t="str">
        <f>IFERROR(__xludf.DUMMYFUNCTION("""COMPUTED_VALUE""")," গৃহিনী ")</f>
        <v> গৃহিনী </v>
      </c>
      <c r="I281" s="10" t="str">
        <f>IFERROR(__xludf.DUMMYFUNCTION("""COMPUTED_VALUE""")," জালশুকা, গাংনী, মেহেরপুর ")</f>
        <v> জালশুকা, গাংনী, মেহেরপুর </v>
      </c>
    </row>
    <row r="282">
      <c r="A282" s="9" t="s">
        <v>2984</v>
      </c>
      <c r="B282" s="10">
        <f>IFERROR(__xludf.DUMMYFUNCTION("SPLIT(A282,""|"")"),271.0)</f>
        <v>271</v>
      </c>
      <c r="C282" s="10" t="str">
        <f>IFERROR(__xludf.DUMMYFUNCTION("""COMPUTED_VALUE""")," মোছাঃ জোহরা খাতুন ")</f>
        <v> মোছাঃ জোহরা খাতুন </v>
      </c>
      <c r="D282" s="10">
        <f>IFERROR(__xludf.DUMMYFUNCTION("""COMPUTED_VALUE"""),5.70056378375E11)</f>
        <v>570056378375</v>
      </c>
      <c r="E282" s="10" t="str">
        <f>IFERROR(__xludf.DUMMYFUNCTION("""COMPUTED_VALUE""")," আজিবার মন্ডল ")</f>
        <v> আজিবার মন্ডল </v>
      </c>
      <c r="F282" s="10" t="str">
        <f>IFERROR(__xludf.DUMMYFUNCTION("""COMPUTED_VALUE""")," মোছাঃ রহিমা ")</f>
        <v> মোছাঃ রহিমা </v>
      </c>
      <c r="G282" s="10" t="str">
        <f>IFERROR(__xludf.DUMMYFUNCTION("""COMPUTED_VALUE""")," ০৩/০১/১৯৭৫ ")</f>
        <v> ০৩/০১/১৯৭৫ </v>
      </c>
      <c r="H282" s="10" t="str">
        <f>IFERROR(__xludf.DUMMYFUNCTION("""COMPUTED_VALUE""")," গৃহিনী ")</f>
        <v> গৃহিনী </v>
      </c>
      <c r="I282" s="10" t="str">
        <f>IFERROR(__xludf.DUMMYFUNCTION("""COMPUTED_VALUE""")," জালশুকা, গাংনী, মেহেরপুর ")</f>
        <v> জালশুকা, গাংনী, মেহেরপুর </v>
      </c>
    </row>
    <row r="283">
      <c r="A283" s="9" t="s">
        <v>2985</v>
      </c>
      <c r="B283" s="10">
        <f>IFERROR(__xludf.DUMMYFUNCTION("SPLIT(A283,""|"")"),272.0)</f>
        <v>272</v>
      </c>
      <c r="C283" s="10" t="str">
        <f>IFERROR(__xludf.DUMMYFUNCTION("""COMPUTED_VALUE""")," মোছাঃ পারভীন আক্তার ")</f>
        <v> মোছাঃ পারভীন আক্তার </v>
      </c>
      <c r="D283" s="10">
        <f>IFERROR(__xludf.DUMMYFUNCTION("""COMPUTED_VALUE"""),5.70056378376E11)</f>
        <v>570056378376</v>
      </c>
      <c r="E283" s="10" t="str">
        <f>IFERROR(__xludf.DUMMYFUNCTION("""COMPUTED_VALUE""")," মোহাঃ আবু সিদ্দিক ")</f>
        <v> মোহাঃ আবু সিদ্দিক </v>
      </c>
      <c r="F283" s="10" t="str">
        <f>IFERROR(__xludf.DUMMYFUNCTION("""COMPUTED_VALUE""")," মোছাঃ রহিমা ")</f>
        <v> মোছাঃ রহিমা </v>
      </c>
      <c r="G283" s="10" t="str">
        <f>IFERROR(__xludf.DUMMYFUNCTION("""COMPUTED_VALUE""")," ০৩/০৫/১৯৮৯ ")</f>
        <v> ০৩/০৫/১৯৮৯ </v>
      </c>
      <c r="H283" s="10" t="str">
        <f>IFERROR(__xludf.DUMMYFUNCTION("""COMPUTED_VALUE""")," গৃহিনী ")</f>
        <v> গৃহিনী </v>
      </c>
      <c r="I283" s="10" t="str">
        <f>IFERROR(__xludf.DUMMYFUNCTION("""COMPUTED_VALUE""")," জালশুকা, গাংনী, মেহেরপুর ")</f>
        <v> জালশুকা, গাংনী, মেহেরপুর </v>
      </c>
    </row>
    <row r="284">
      <c r="A284" s="9" t="s">
        <v>2986</v>
      </c>
      <c r="B284" s="10">
        <f>IFERROR(__xludf.DUMMYFUNCTION("SPLIT(A284,""|"")"),273.0)</f>
        <v>273</v>
      </c>
      <c r="C284" s="10" t="str">
        <f>IFERROR(__xludf.DUMMYFUNCTION("""COMPUTED_VALUE""")," মোছাঃ হপুরা খাতুন ")</f>
        <v> মোছাঃ হপুরা খাতুন </v>
      </c>
      <c r="D284" s="10">
        <f>IFERROR(__xludf.DUMMYFUNCTION("""COMPUTED_VALUE"""),5.70056378377E11)</f>
        <v>570056378377</v>
      </c>
      <c r="E284" s="10" t="str">
        <f>IFERROR(__xludf.DUMMYFUNCTION("""COMPUTED_VALUE""")," মোহাঃ জমিরদ্দিন ")</f>
        <v> মোহাঃ জমিরদ্দিন </v>
      </c>
      <c r="F284" s="10" t="str">
        <f>IFERROR(__xludf.DUMMYFUNCTION("""COMPUTED_VALUE""")," মোছাঃ হাচেনা ")</f>
        <v> মোছাঃ হাচেনা </v>
      </c>
      <c r="G284" s="10" t="str">
        <f>IFERROR(__xludf.DUMMYFUNCTION("""COMPUTED_VALUE""")," ১১/১০/১৯৭৩ ")</f>
        <v> ১১/১০/১৯৭৩ </v>
      </c>
      <c r="H284" s="10" t="str">
        <f>IFERROR(__xludf.DUMMYFUNCTION("""COMPUTED_VALUE""")," গৃহিনী ")</f>
        <v> গৃহিনী </v>
      </c>
      <c r="I284" s="10" t="str">
        <f>IFERROR(__xludf.DUMMYFUNCTION("""COMPUTED_VALUE""")," জালশুকা, গাংনী, মেহেরপুর ")</f>
        <v> জালশুকা, গাংনী, মেহেরপুর </v>
      </c>
    </row>
    <row r="285">
      <c r="A285" s="9" t="s">
        <v>2987</v>
      </c>
      <c r="B285" s="10">
        <f>IFERROR(__xludf.DUMMYFUNCTION("SPLIT(A285,""|"")"),274.0)</f>
        <v>274</v>
      </c>
      <c r="C285" s="10" t="str">
        <f>IFERROR(__xludf.DUMMYFUNCTION("""COMPUTED_VALUE""")," মাইগ্রেট হয়েছে ")</f>
        <v> মাইগ্রেট হয়েছে </v>
      </c>
      <c r="D285" s="10" t="str">
        <f>IFERROR(__xludf.DUMMYFUNCTION("""COMPUTED_VALUE"""),"  ")</f>
        <v>  </v>
      </c>
      <c r="E285" s="10" t="str">
        <f>IFERROR(__xludf.DUMMYFUNCTION("""COMPUTED_VALUE"""),"  ")</f>
        <v>  </v>
      </c>
      <c r="F285" s="10" t="str">
        <f>IFERROR(__xludf.DUMMYFUNCTION("""COMPUTED_VALUE"""),"  ")</f>
        <v>  </v>
      </c>
      <c r="G285" s="10" t="str">
        <f>IFERROR(__xludf.DUMMYFUNCTION("""COMPUTED_VALUE"""),"  ")</f>
        <v>  </v>
      </c>
      <c r="H285" s="10" t="str">
        <f>IFERROR(__xludf.DUMMYFUNCTION("""COMPUTED_VALUE"""),"  ")</f>
        <v>  </v>
      </c>
      <c r="I285" s="10" t="str">
        <f>IFERROR(__xludf.DUMMYFUNCTION("""COMPUTED_VALUE"""),"  ")</f>
        <v>  </v>
      </c>
    </row>
    <row r="286">
      <c r="A286" s="9" t="s">
        <v>2988</v>
      </c>
      <c r="B286" s="10">
        <f>IFERROR(__xludf.DUMMYFUNCTION("SPLIT(A286,""|"")"),275.0)</f>
        <v>275</v>
      </c>
      <c r="C286" s="10" t="str">
        <f>IFERROR(__xludf.DUMMYFUNCTION("""COMPUTED_VALUE""")," মোছাঃ মলিদা ")</f>
        <v> মোছাঃ মলিদা </v>
      </c>
      <c r="D286" s="10">
        <f>IFERROR(__xludf.DUMMYFUNCTION("""COMPUTED_VALUE"""),5.70056378382E11)</f>
        <v>570056378382</v>
      </c>
      <c r="E286" s="10" t="str">
        <f>IFERROR(__xludf.DUMMYFUNCTION("""COMPUTED_VALUE""")," মোহাঃ আবুল কাশেম ")</f>
        <v> মোহাঃ আবুল কাশেম </v>
      </c>
      <c r="F286" s="10" t="str">
        <f>IFERROR(__xludf.DUMMYFUNCTION("""COMPUTED_VALUE""")," মোছাঃ সাগরি ")</f>
        <v> মোছাঃ সাগরি </v>
      </c>
      <c r="G286" s="10" t="str">
        <f>IFERROR(__xludf.DUMMYFUNCTION("""COMPUTED_VALUE""")," ১১/১০/১৯৭১ ")</f>
        <v> ১১/১০/১৯৭১ </v>
      </c>
      <c r="H286" s="10" t="str">
        <f>IFERROR(__xludf.DUMMYFUNCTION("""COMPUTED_VALUE""")," গৃহিনী ")</f>
        <v> গৃহিনী </v>
      </c>
      <c r="I286" s="10" t="str">
        <f>IFERROR(__xludf.DUMMYFUNCTION("""COMPUTED_VALUE""")," জালশুকা, গাংনী, মেহেরপুর ")</f>
        <v> জালশুকা, গাংনী, মেহেরপুর </v>
      </c>
    </row>
    <row r="287">
      <c r="A287" s="9" t="s">
        <v>2989</v>
      </c>
      <c r="B287" s="10">
        <f>IFERROR(__xludf.DUMMYFUNCTION("SPLIT(A287,""|"")"),276.0)</f>
        <v>276</v>
      </c>
      <c r="C287" s="10" t="str">
        <f>IFERROR(__xludf.DUMMYFUNCTION("""COMPUTED_VALUE""")," মোছাঃ রেহেনা খাতুন ")</f>
        <v> মোছাঃ রেহেনা খাতুন </v>
      </c>
      <c r="D287" s="10">
        <f>IFERROR(__xludf.DUMMYFUNCTION("""COMPUTED_VALUE"""),5.70056378384E11)</f>
        <v>570056378384</v>
      </c>
      <c r="E287" s="10" t="str">
        <f>IFERROR(__xludf.DUMMYFUNCTION("""COMPUTED_VALUE""")," হাবিল ")</f>
        <v> হাবিল </v>
      </c>
      <c r="F287" s="10" t="str">
        <f>IFERROR(__xludf.DUMMYFUNCTION("""COMPUTED_VALUE""")," সাহুর বানু ")</f>
        <v> সাহুর বানু </v>
      </c>
      <c r="G287" s="10" t="str">
        <f>IFERROR(__xludf.DUMMYFUNCTION("""COMPUTED_VALUE""")," ১৫/০৬/১৯৭৫ ")</f>
        <v> ১৫/০৬/১৯৭৫ </v>
      </c>
      <c r="H287" s="10" t="str">
        <f>IFERROR(__xludf.DUMMYFUNCTION("""COMPUTED_VALUE""")," গৃহিনী ")</f>
        <v> গৃহিনী </v>
      </c>
      <c r="I287" s="10" t="str">
        <f>IFERROR(__xludf.DUMMYFUNCTION("""COMPUTED_VALUE""")," জালশুকা, গাংনী, মেহেরপুর ")</f>
        <v> জালশুকা, গাংনী, মেহেরপুর </v>
      </c>
    </row>
    <row r="288">
      <c r="A288" s="9" t="s">
        <v>2990</v>
      </c>
      <c r="B288" s="10">
        <f>IFERROR(__xludf.DUMMYFUNCTION("SPLIT(A288,""|"")"),277.0)</f>
        <v>277</v>
      </c>
      <c r="C288" s="10" t="str">
        <f>IFERROR(__xludf.DUMMYFUNCTION("""COMPUTED_VALUE""")," মোছাঃ সাহামারা ")</f>
        <v> মোছাঃ সাহামারা </v>
      </c>
      <c r="D288" s="10">
        <f>IFERROR(__xludf.DUMMYFUNCTION("""COMPUTED_VALUE"""),5.70056378385E11)</f>
        <v>570056378385</v>
      </c>
      <c r="E288" s="10" t="str">
        <f>IFERROR(__xludf.DUMMYFUNCTION("""COMPUTED_VALUE""")," রবজেল ")</f>
        <v> রবজেল </v>
      </c>
      <c r="F288" s="10" t="str">
        <f>IFERROR(__xludf.DUMMYFUNCTION("""COMPUTED_VALUE""")," মোছাঃ হামিদা ")</f>
        <v> মোছাঃ হামিদা </v>
      </c>
      <c r="G288" s="10" t="str">
        <f>IFERROR(__xludf.DUMMYFUNCTION("""COMPUTED_VALUE""")," ০৪/০৬/১৯৮২ ")</f>
        <v> ০৪/০৬/১৯৮২ </v>
      </c>
      <c r="H288" s="10" t="str">
        <f>IFERROR(__xludf.DUMMYFUNCTION("""COMPUTED_VALUE""")," গৃহিনী ")</f>
        <v> গৃহিনী </v>
      </c>
      <c r="I288" s="10" t="str">
        <f>IFERROR(__xludf.DUMMYFUNCTION("""COMPUTED_VALUE""")," জালশুকা, গাংনী, মেহেরপুর ")</f>
        <v> জালশুকা, গাংনী, মেহেরপুর </v>
      </c>
    </row>
    <row r="289">
      <c r="A289" s="9" t="s">
        <v>2991</v>
      </c>
      <c r="B289" s="10">
        <f>IFERROR(__xludf.DUMMYFUNCTION("SPLIT(A289,""|"")"),278.0)</f>
        <v>278</v>
      </c>
      <c r="C289" s="10" t="str">
        <f>IFERROR(__xludf.DUMMYFUNCTION("""COMPUTED_VALUE""")," মোছাঃ রোজিনা খাতুন ")</f>
        <v> মোছাঃ রোজিনা খাতুন </v>
      </c>
      <c r="D289" s="10">
        <f>IFERROR(__xludf.DUMMYFUNCTION("""COMPUTED_VALUE"""),5.70056378386E11)</f>
        <v>570056378386</v>
      </c>
      <c r="E289" s="10" t="str">
        <f>IFERROR(__xludf.DUMMYFUNCTION("""COMPUTED_VALUE""")," মোহাঃ সলিমউদ্দীন ")</f>
        <v> মোহাঃ সলিমউদ্দীন </v>
      </c>
      <c r="F289" s="10" t="str">
        <f>IFERROR(__xludf.DUMMYFUNCTION("""COMPUTED_VALUE""")," মোছাঃ জরিনা ")</f>
        <v> মোছাঃ জরিনা </v>
      </c>
      <c r="G289" s="10" t="str">
        <f>IFERROR(__xludf.DUMMYFUNCTION("""COMPUTED_VALUE""")," ০১/০১/১৯৯০ ")</f>
        <v> ০১/০১/১৯৯০ </v>
      </c>
      <c r="H289" s="10" t="str">
        <f>IFERROR(__xludf.DUMMYFUNCTION("""COMPUTED_VALUE""")," ছাত্র/ছাত্রী ")</f>
        <v> ছাত্র/ছাত্রী </v>
      </c>
      <c r="I289" s="10" t="str">
        <f>IFERROR(__xludf.DUMMYFUNCTION("""COMPUTED_VALUE""")," জালশুকা, গাংনী, মেহেরপুর ")</f>
        <v> জালশুকা, গাংনী, মেহেরপুর </v>
      </c>
    </row>
    <row r="290">
      <c r="A290" s="9" t="s">
        <v>2992</v>
      </c>
      <c r="B290" s="10">
        <f>IFERROR(__xludf.DUMMYFUNCTION("SPLIT(A290,""|"")"),279.0)</f>
        <v>279</v>
      </c>
      <c r="C290" s="10" t="str">
        <f>IFERROR(__xludf.DUMMYFUNCTION("""COMPUTED_VALUE""")," মোছাঃ জরিনা খাতুন ")</f>
        <v> মোছাঃ জরিনা খাতুন </v>
      </c>
      <c r="D290" s="10">
        <f>IFERROR(__xludf.DUMMYFUNCTION("""COMPUTED_VALUE"""),5.70056378387E11)</f>
        <v>570056378387</v>
      </c>
      <c r="E290" s="10" t="str">
        <f>IFERROR(__xludf.DUMMYFUNCTION("""COMPUTED_VALUE""")," এলাহি বকস ")</f>
        <v> এলাহি বকস </v>
      </c>
      <c r="F290" s="10" t="str">
        <f>IFERROR(__xludf.DUMMYFUNCTION("""COMPUTED_VALUE""")," মোছাঃ জবেদা খাতুন ")</f>
        <v> মোছাঃ জবেদা খাতুন </v>
      </c>
      <c r="G290" s="10" t="str">
        <f>IFERROR(__xludf.DUMMYFUNCTION("""COMPUTED_VALUE""")," ১৫/০৫/১৯৬২ ")</f>
        <v> ১৫/০৫/১৯৬২ </v>
      </c>
      <c r="H290" s="10" t="str">
        <f>IFERROR(__xludf.DUMMYFUNCTION("""COMPUTED_VALUE""")," গৃহিনী ")</f>
        <v> গৃহিনী </v>
      </c>
      <c r="I290" s="10" t="str">
        <f>IFERROR(__xludf.DUMMYFUNCTION("""COMPUTED_VALUE""")," জালশুকা, গাংনী, মেহেরপুর ")</f>
        <v> জালশুকা, গাংনী, মেহেরপুর </v>
      </c>
    </row>
    <row r="291">
      <c r="A291" s="9" t="s">
        <v>2993</v>
      </c>
      <c r="B291" s="10">
        <f>IFERROR(__xludf.DUMMYFUNCTION("SPLIT(A291,""|"")"),280.0)</f>
        <v>280</v>
      </c>
      <c r="C291" s="10" t="str">
        <f>IFERROR(__xludf.DUMMYFUNCTION("""COMPUTED_VALUE""")," মোছাঃ মরজিনা ")</f>
        <v> মোছাঃ মরজিনা </v>
      </c>
      <c r="D291" s="10">
        <f>IFERROR(__xludf.DUMMYFUNCTION("""COMPUTED_VALUE"""),5.70056378389E11)</f>
        <v>570056378389</v>
      </c>
      <c r="E291" s="10" t="str">
        <f>IFERROR(__xludf.DUMMYFUNCTION("""COMPUTED_VALUE""")," মোহাঃ নিজামদ্দিন ")</f>
        <v> মোহাঃ নিজামদ্দিন </v>
      </c>
      <c r="F291" s="10" t="str">
        <f>IFERROR(__xludf.DUMMYFUNCTION("""COMPUTED_VALUE""")," মোছাঃ জলিমন ")</f>
        <v> মোছাঃ জলিমন </v>
      </c>
      <c r="G291" s="10" t="str">
        <f>IFERROR(__xludf.DUMMYFUNCTION("""COMPUTED_VALUE""")," ১০/১০/১৯৮৩ ")</f>
        <v> ১০/১০/১৯৮৩ </v>
      </c>
      <c r="H291" s="10" t="str">
        <f>IFERROR(__xludf.DUMMYFUNCTION("""COMPUTED_VALUE""")," গৃহিনী ")</f>
        <v> গৃহিনী </v>
      </c>
      <c r="I291" s="10" t="str">
        <f>IFERROR(__xludf.DUMMYFUNCTION("""COMPUTED_VALUE""")," জালশুকা, গাংনী, মেহেরপুর ")</f>
        <v> জালশুকা, গাংনী, মেহেরপুর </v>
      </c>
    </row>
    <row r="292">
      <c r="A292" s="9" t="s">
        <v>2994</v>
      </c>
      <c r="B292" s="10">
        <f>IFERROR(__xludf.DUMMYFUNCTION("SPLIT(A292,""|"")"),281.0)</f>
        <v>281</v>
      </c>
      <c r="C292" s="10" t="str">
        <f>IFERROR(__xludf.DUMMYFUNCTION("""COMPUTED_VALUE""")," উম্মে সালমা মোছাঃ মনোয়ারা নাসিম খানম ")</f>
        <v> উম্মে সালমা মোছাঃ মনোয়ারা নাসিম খানম </v>
      </c>
      <c r="D292" s="10">
        <f>IFERROR(__xludf.DUMMYFUNCTION("""COMPUTED_VALUE"""),5.70056378391E11)</f>
        <v>570056378391</v>
      </c>
      <c r="E292" s="10" t="str">
        <f>IFERROR(__xludf.DUMMYFUNCTION("""COMPUTED_VALUE""")," আহসান আলী ")</f>
        <v> আহসান আলী </v>
      </c>
      <c r="F292" s="10" t="str">
        <f>IFERROR(__xludf.DUMMYFUNCTION("""COMPUTED_VALUE""")," মোছাঃ ফাজিয়া নাসিম খানম ")</f>
        <v> মোছাঃ ফাজিয়া নাসিম খানম </v>
      </c>
      <c r="G292" s="10" t="str">
        <f>IFERROR(__xludf.DUMMYFUNCTION("""COMPUTED_VALUE""")," ১৫/০৪/১৯৬৩ ")</f>
        <v> ১৫/০৪/১৯৬৩ </v>
      </c>
      <c r="H292" s="10" t="str">
        <f>IFERROR(__xludf.DUMMYFUNCTION("""COMPUTED_VALUE""")," গৃহিনী ")</f>
        <v> গৃহিনী </v>
      </c>
      <c r="I292" s="10" t="str">
        <f>IFERROR(__xludf.DUMMYFUNCTION("""COMPUTED_VALUE""")," জালশুকা, গাংনী, মেহেরপুর ")</f>
        <v> জালশুকা, গাংনী, মেহেরপুর </v>
      </c>
    </row>
    <row r="293">
      <c r="A293" s="9" t="s">
        <v>2995</v>
      </c>
      <c r="B293" s="10">
        <f>IFERROR(__xludf.DUMMYFUNCTION("SPLIT(A293,""|"")"),282.0)</f>
        <v>282</v>
      </c>
      <c r="C293" s="10" t="str">
        <f>IFERROR(__xludf.DUMMYFUNCTION("""COMPUTED_VALUE""")," মোছাঃ আনজিরা খাতুন ")</f>
        <v> মোছাঃ আনজিরা খাতুন </v>
      </c>
      <c r="D293" s="10">
        <f>IFERROR(__xludf.DUMMYFUNCTION("""COMPUTED_VALUE"""),5.70056378395E11)</f>
        <v>570056378395</v>
      </c>
      <c r="E293" s="10" t="str">
        <f>IFERROR(__xludf.DUMMYFUNCTION("""COMPUTED_VALUE""")," ছছিরদ্দিন ")</f>
        <v> ছছিরদ্দিন </v>
      </c>
      <c r="F293" s="10" t="str">
        <f>IFERROR(__xludf.DUMMYFUNCTION("""COMPUTED_VALUE""")," ভানু ")</f>
        <v> ভানু </v>
      </c>
      <c r="G293" s="10" t="str">
        <f>IFERROR(__xludf.DUMMYFUNCTION("""COMPUTED_VALUE""")," ৩০/১১/১৯৬২ ")</f>
        <v> ৩০/১১/১৯৬২ </v>
      </c>
      <c r="H293" s="10" t="str">
        <f>IFERROR(__xludf.DUMMYFUNCTION("""COMPUTED_VALUE""")," গৃহিনী ")</f>
        <v> গৃহিনী </v>
      </c>
      <c r="I293" s="10" t="str">
        <f>IFERROR(__xludf.DUMMYFUNCTION("""COMPUTED_VALUE""")," জালশুকা, গাংনী, মেহেরপুর ")</f>
        <v> জালশুকা, গাংনী, মেহেরপুর </v>
      </c>
    </row>
    <row r="294">
      <c r="A294" s="9" t="s">
        <v>2996</v>
      </c>
      <c r="B294" s="10">
        <f>IFERROR(__xludf.DUMMYFUNCTION("SPLIT(A294,""|"")"),283.0)</f>
        <v>283</v>
      </c>
      <c r="C294" s="10" t="str">
        <f>IFERROR(__xludf.DUMMYFUNCTION("""COMPUTED_VALUE""")," মোছাঃ মঞ্জুরা ")</f>
        <v> মোছাঃ মঞ্জুরা </v>
      </c>
      <c r="D294" s="10">
        <f>IFERROR(__xludf.DUMMYFUNCTION("""COMPUTED_VALUE"""),5.70056378396E11)</f>
        <v>570056378396</v>
      </c>
      <c r="E294" s="10" t="str">
        <f>IFERROR(__xludf.DUMMYFUNCTION("""COMPUTED_VALUE""")," মোহাঃ আজিল মালঞ্চি ")</f>
        <v> মোহাঃ আজিল মালঞ্চি </v>
      </c>
      <c r="F294" s="10" t="str">
        <f>IFERROR(__xludf.DUMMYFUNCTION("""COMPUTED_VALUE""")," মোছাঃ হাওয়া খাতুন ")</f>
        <v> মোছাঃ হাওয়া খাতুন </v>
      </c>
      <c r="G294" s="10" t="str">
        <f>IFERROR(__xludf.DUMMYFUNCTION("""COMPUTED_VALUE""")," ১৫/১০/১৯৮৪ ")</f>
        <v> ১৫/১০/১৯৮৪ </v>
      </c>
      <c r="H294" s="10" t="str">
        <f>IFERROR(__xludf.DUMMYFUNCTION("""COMPUTED_VALUE""")," গৃহিনী ")</f>
        <v> গৃহিনী </v>
      </c>
      <c r="I294" s="10" t="str">
        <f>IFERROR(__xludf.DUMMYFUNCTION("""COMPUTED_VALUE""")," জালশুকা, গাংনী, মেহেরপুর ")</f>
        <v> জালশুকা, গাংনী, মেহেরপুর </v>
      </c>
    </row>
    <row r="295">
      <c r="A295" s="9" t="s">
        <v>2997</v>
      </c>
      <c r="B295" s="10">
        <f>IFERROR(__xludf.DUMMYFUNCTION("SPLIT(A295,""|"")"),284.0)</f>
        <v>284</v>
      </c>
      <c r="C295" s="10" t="str">
        <f>IFERROR(__xludf.DUMMYFUNCTION("""COMPUTED_VALUE""")," মোছাঃ আছিয়া খাতুন ")</f>
        <v> মোছাঃ আছিয়া খাতুন </v>
      </c>
      <c r="D295" s="10">
        <f>IFERROR(__xludf.DUMMYFUNCTION("""COMPUTED_VALUE"""),5.70056378397E11)</f>
        <v>570056378397</v>
      </c>
      <c r="E295" s="10" t="str">
        <f>IFERROR(__xludf.DUMMYFUNCTION("""COMPUTED_VALUE""")," মোজাক মন্ডল ")</f>
        <v> মোজাক মন্ডল </v>
      </c>
      <c r="F295" s="10" t="str">
        <f>IFERROR(__xludf.DUMMYFUNCTION("""COMPUTED_VALUE""")," মোছাঃ মাহিরন ")</f>
        <v> মোছাঃ মাহিরন </v>
      </c>
      <c r="G295" s="10" t="str">
        <f>IFERROR(__xludf.DUMMYFUNCTION("""COMPUTED_VALUE""")," ১০/১০/১৯৮২ ")</f>
        <v> ১০/১০/১৯৮২ </v>
      </c>
      <c r="H295" s="10" t="str">
        <f>IFERROR(__xludf.DUMMYFUNCTION("""COMPUTED_VALUE""")," গৃহিনী ")</f>
        <v> গৃহিনী </v>
      </c>
      <c r="I295" s="10" t="str">
        <f>IFERROR(__xludf.DUMMYFUNCTION("""COMPUTED_VALUE""")," জালশুকা, গাংনী, মেহেরপুর ")</f>
        <v> জালশুকা, গাংনী, মেহেরপুর </v>
      </c>
    </row>
    <row r="296">
      <c r="A296" s="9" t="s">
        <v>2998</v>
      </c>
      <c r="B296" s="10">
        <f>IFERROR(__xludf.DUMMYFUNCTION("SPLIT(A296,""|"")"),285.0)</f>
        <v>285</v>
      </c>
      <c r="C296" s="10" t="str">
        <f>IFERROR(__xludf.DUMMYFUNCTION("""COMPUTED_VALUE""")," মোছাঃ জহুরা খাতুন ")</f>
        <v> মোছাঃ জহুরা খাতুন </v>
      </c>
      <c r="D296" s="10">
        <f>IFERROR(__xludf.DUMMYFUNCTION("""COMPUTED_VALUE"""),5.70056378398E11)</f>
        <v>570056378398</v>
      </c>
      <c r="E296" s="10" t="str">
        <f>IFERROR(__xludf.DUMMYFUNCTION("""COMPUTED_VALUE""")," আব্দুল ")</f>
        <v> আব্দুল </v>
      </c>
      <c r="F296" s="10" t="str">
        <f>IFERROR(__xludf.DUMMYFUNCTION("""COMPUTED_VALUE""")," জবেদা ")</f>
        <v> জবেদা </v>
      </c>
      <c r="G296" s="10" t="str">
        <f>IFERROR(__xludf.DUMMYFUNCTION("""COMPUTED_VALUE""")," ১২/১০/১৯৫১ ")</f>
        <v> ১২/১০/১৯৫১ </v>
      </c>
      <c r="H296" s="10" t="str">
        <f>IFERROR(__xludf.DUMMYFUNCTION("""COMPUTED_VALUE""")," গৃহিনী ")</f>
        <v> গৃহিনী </v>
      </c>
      <c r="I296" s="10" t="str">
        <f>IFERROR(__xludf.DUMMYFUNCTION("""COMPUTED_VALUE""")," জালশুকা, গাংনী, মেহেরপুর ")</f>
        <v> জালশুকা, গাংনী, মেহেরপুর </v>
      </c>
    </row>
    <row r="297">
      <c r="A297" s="9" t="s">
        <v>2999</v>
      </c>
      <c r="B297" s="10">
        <f>IFERROR(__xludf.DUMMYFUNCTION("SPLIT(A297,""|"")"),286.0)</f>
        <v>286</v>
      </c>
      <c r="C297" s="10" t="str">
        <f>IFERROR(__xludf.DUMMYFUNCTION("""COMPUTED_VALUE""")," মোছাঃ নাছরিন ")</f>
        <v> মোছাঃ নাছরিন </v>
      </c>
      <c r="D297" s="10">
        <f>IFERROR(__xludf.DUMMYFUNCTION("""COMPUTED_VALUE"""),5.70056378399E11)</f>
        <v>570056378399</v>
      </c>
      <c r="E297" s="10" t="str">
        <f>IFERROR(__xludf.DUMMYFUNCTION("""COMPUTED_VALUE""")," ইসমাইল ")</f>
        <v> ইসমাইল </v>
      </c>
      <c r="F297" s="10" t="str">
        <f>IFERROR(__xludf.DUMMYFUNCTION("""COMPUTED_VALUE""")," মোছাঃ জবেদা ")</f>
        <v> মোছাঃ জবেদা </v>
      </c>
      <c r="G297" s="10" t="str">
        <f>IFERROR(__xludf.DUMMYFUNCTION("""COMPUTED_VALUE""")," ১০/১১/১৯৮০ ")</f>
        <v> ১০/১১/১৯৮০ </v>
      </c>
      <c r="H297" s="10" t="str">
        <f>IFERROR(__xludf.DUMMYFUNCTION("""COMPUTED_VALUE""")," গৃহিনী ")</f>
        <v> গৃহিনী </v>
      </c>
      <c r="I297" s="10" t="str">
        <f>IFERROR(__xludf.DUMMYFUNCTION("""COMPUTED_VALUE""")," জালশুকা, গাংনী, মেহেরপুর ")</f>
        <v> জালশুকা, গাংনী, মেহেরপুর </v>
      </c>
    </row>
    <row r="298">
      <c r="A298" s="9" t="s">
        <v>3000</v>
      </c>
      <c r="B298" s="10">
        <f>IFERROR(__xludf.DUMMYFUNCTION("SPLIT(A298,""|"")"),287.0)</f>
        <v>287</v>
      </c>
      <c r="C298" s="10" t="str">
        <f>IFERROR(__xludf.DUMMYFUNCTION("""COMPUTED_VALUE""")," মোছাঃ তহমিন ")</f>
        <v> মোছাঃ তহমিন </v>
      </c>
      <c r="D298" s="10">
        <f>IFERROR(__xludf.DUMMYFUNCTION("""COMPUTED_VALUE"""),5.700563784E11)</f>
        <v>570056378400</v>
      </c>
      <c r="E298" s="10" t="str">
        <f>IFERROR(__xludf.DUMMYFUNCTION("""COMPUTED_VALUE""")," মোহাঃ আহদ তরী ")</f>
        <v> মোহাঃ আহদ তরী </v>
      </c>
      <c r="F298" s="10" t="str">
        <f>IFERROR(__xludf.DUMMYFUNCTION("""COMPUTED_VALUE""")," লেহুর ")</f>
        <v> লেহুর </v>
      </c>
      <c r="G298" s="10" t="str">
        <f>IFERROR(__xludf.DUMMYFUNCTION("""COMPUTED_VALUE""")," ১১/০৫/১৯৮৬ ")</f>
        <v> ১১/০৫/১৯৮৬ </v>
      </c>
      <c r="H298" s="10" t="str">
        <f>IFERROR(__xludf.DUMMYFUNCTION("""COMPUTED_VALUE""")," গৃহিনী ")</f>
        <v> গৃহিনী </v>
      </c>
      <c r="I298" s="10" t="str">
        <f>IFERROR(__xludf.DUMMYFUNCTION("""COMPUTED_VALUE""")," জালশুকা, গাংনী, মেহেরপুর ")</f>
        <v> জালশুকা, গাংনী, মেহেরপুর </v>
      </c>
    </row>
    <row r="299">
      <c r="A299" s="9" t="s">
        <v>3001</v>
      </c>
      <c r="B299" s="10">
        <f>IFERROR(__xludf.DUMMYFUNCTION("SPLIT(A299,""|"")"),288.0)</f>
        <v>288</v>
      </c>
      <c r="C299" s="10" t="str">
        <f>IFERROR(__xludf.DUMMYFUNCTION("""COMPUTED_VALUE""")," মোছাঃ পিঞ্জিরা খাতুন ")</f>
        <v> মোছাঃ পিঞ্জিরা খাতুন </v>
      </c>
      <c r="D299" s="10">
        <f>IFERROR(__xludf.DUMMYFUNCTION("""COMPUTED_VALUE"""),5.70056378407E11)</f>
        <v>570056378407</v>
      </c>
      <c r="E299" s="10" t="str">
        <f>IFERROR(__xludf.DUMMYFUNCTION("""COMPUTED_VALUE""")," ছহিরদ্দিন ")</f>
        <v> ছহিরদ্দিন </v>
      </c>
      <c r="F299" s="10" t="str">
        <f>IFERROR(__xludf.DUMMYFUNCTION("""COMPUTED_VALUE""")," সোনাভানু ")</f>
        <v> সোনাভানু </v>
      </c>
      <c r="G299" s="10" t="str">
        <f>IFERROR(__xludf.DUMMYFUNCTION("""COMPUTED_VALUE""")," ১৫/১০/১৯৭০ ")</f>
        <v> ১৫/১০/১৯৭০ </v>
      </c>
      <c r="H299" s="10" t="str">
        <f>IFERROR(__xludf.DUMMYFUNCTION("""COMPUTED_VALUE""")," গৃহিনী ")</f>
        <v> গৃহিনী </v>
      </c>
      <c r="I299" s="10" t="str">
        <f>IFERROR(__xludf.DUMMYFUNCTION("""COMPUTED_VALUE""")," জালশুকা, গাংনী, মেহেরপুর ")</f>
        <v> জালশুকা, গাংনী, মেহেরপুর </v>
      </c>
    </row>
    <row r="300">
      <c r="A300" s="9" t="s">
        <v>3002</v>
      </c>
      <c r="B300" s="10">
        <f>IFERROR(__xludf.DUMMYFUNCTION("SPLIT(A300,""|"")"),289.0)</f>
        <v>289</v>
      </c>
      <c r="C300" s="10" t="str">
        <f>IFERROR(__xludf.DUMMYFUNCTION("""COMPUTED_VALUE""")," মোছাঃ জরিনা খাতুন ")</f>
        <v> মোছাঃ জরিনা খাতুন </v>
      </c>
      <c r="D300" s="10">
        <f>IFERROR(__xludf.DUMMYFUNCTION("""COMPUTED_VALUE"""),5.70056378412E11)</f>
        <v>570056378412</v>
      </c>
      <c r="E300" s="10" t="str">
        <f>IFERROR(__xludf.DUMMYFUNCTION("""COMPUTED_VALUE""")," মোহাঃ আহাদ ")</f>
        <v> মোহাঃ আহাদ </v>
      </c>
      <c r="F300" s="10" t="str">
        <f>IFERROR(__xludf.DUMMYFUNCTION("""COMPUTED_VALUE""")," শাহানুর ")</f>
        <v> শাহানুর </v>
      </c>
      <c r="G300" s="10" t="str">
        <f>IFERROR(__xludf.DUMMYFUNCTION("""COMPUTED_VALUE""")," ১০/১০/১৯৮২ ")</f>
        <v> ১০/১০/১৯৮২ </v>
      </c>
      <c r="H300" s="10" t="str">
        <f>IFERROR(__xludf.DUMMYFUNCTION("""COMPUTED_VALUE""")," গৃহিনী ")</f>
        <v> গৃহিনী </v>
      </c>
      <c r="I300" s="10" t="str">
        <f>IFERROR(__xludf.DUMMYFUNCTION("""COMPUTED_VALUE""")," জালশুকা, গাংনী, মেহেরপুর ")</f>
        <v> জালশুকা, গাংনী, মেহেরপুর </v>
      </c>
    </row>
    <row r="301">
      <c r="A301" s="9" t="s">
        <v>3003</v>
      </c>
      <c r="B301" s="10">
        <f>IFERROR(__xludf.DUMMYFUNCTION("SPLIT(A301,""|"")"),290.0)</f>
        <v>290</v>
      </c>
      <c r="C301" s="10" t="str">
        <f>IFERROR(__xludf.DUMMYFUNCTION("""COMPUTED_VALUE""")," মোছাঃ হাজেরা খাতুন ")</f>
        <v> মোছাঃ হাজেরা খাতুন </v>
      </c>
      <c r="D301" s="10">
        <f>IFERROR(__xludf.DUMMYFUNCTION("""COMPUTED_VALUE"""),5.7005637842E11)</f>
        <v>570056378420</v>
      </c>
      <c r="E301" s="10" t="str">
        <f>IFERROR(__xludf.DUMMYFUNCTION("""COMPUTED_VALUE""")," মোহাঃ আলম শেখ ")</f>
        <v> মোহাঃ আলম শেখ </v>
      </c>
      <c r="F301" s="10" t="str">
        <f>IFERROR(__xludf.DUMMYFUNCTION("""COMPUTED_VALUE""")," মোছাঃ সোহাগী খাতুন ")</f>
        <v> মোছাঃ সোহাগী খাতুন </v>
      </c>
      <c r="G301" s="10" t="str">
        <f>IFERROR(__xludf.DUMMYFUNCTION("""COMPUTED_VALUE""")," ১০/১০/১৯৬৬ ")</f>
        <v> ১০/১০/১৯৬৬ </v>
      </c>
      <c r="H301" s="10" t="str">
        <f>IFERROR(__xludf.DUMMYFUNCTION("""COMPUTED_VALUE""")," গৃহিনী ")</f>
        <v> গৃহিনী </v>
      </c>
      <c r="I301" s="10" t="str">
        <f>IFERROR(__xludf.DUMMYFUNCTION("""COMPUTED_VALUE""")," জালশুকা, গাংনী, মেহেরপুর ")</f>
        <v> জালশুকা, গাংনী, মেহেরপুর </v>
      </c>
    </row>
    <row r="302">
      <c r="A302" s="9" t="s">
        <v>3004</v>
      </c>
      <c r="B302" s="10">
        <f>IFERROR(__xludf.DUMMYFUNCTION("SPLIT(A302,""|"")"),291.0)</f>
        <v>291</v>
      </c>
      <c r="C302" s="10" t="str">
        <f>IFERROR(__xludf.DUMMYFUNCTION("""COMPUTED_VALUE""")," মোছাঃ হালিমা খাতুন ")</f>
        <v> মোছাঃ হালিমা খাতুন </v>
      </c>
      <c r="D302" s="10">
        <f>IFERROR(__xludf.DUMMYFUNCTION("""COMPUTED_VALUE"""),5.70056378422E11)</f>
        <v>570056378422</v>
      </c>
      <c r="E302" s="10" t="str">
        <f>IFERROR(__xludf.DUMMYFUNCTION("""COMPUTED_VALUE""")," আইজদ্দিন ")</f>
        <v> আইজদ্দিন </v>
      </c>
      <c r="F302" s="10" t="str">
        <f>IFERROR(__xludf.DUMMYFUNCTION("""COMPUTED_VALUE""")," মোছাঃ করিমন নেছা ")</f>
        <v> মোছাঃ করিমন নেছা </v>
      </c>
      <c r="G302" s="10" t="str">
        <f>IFERROR(__xludf.DUMMYFUNCTION("""COMPUTED_VALUE""")," ১৫/১০/১৯৭৬ ")</f>
        <v> ১৫/১০/১৯৭৬ </v>
      </c>
      <c r="H302" s="10" t="str">
        <f>IFERROR(__xludf.DUMMYFUNCTION("""COMPUTED_VALUE""")," গৃহিনী ")</f>
        <v> গৃহিনী </v>
      </c>
      <c r="I302" s="10" t="str">
        <f>IFERROR(__xludf.DUMMYFUNCTION("""COMPUTED_VALUE""")," জালশুকা, গাংনী, মেহেরপুর ")</f>
        <v> জালশুকা, গাংনী, মেহেরপুর </v>
      </c>
    </row>
    <row r="303">
      <c r="A303" s="9" t="s">
        <v>3005</v>
      </c>
      <c r="B303" s="10">
        <f>IFERROR(__xludf.DUMMYFUNCTION("SPLIT(A303,""|"")"),292.0)</f>
        <v>292</v>
      </c>
      <c r="C303" s="10" t="str">
        <f>IFERROR(__xludf.DUMMYFUNCTION("""COMPUTED_VALUE""")," মোছাঃ আনজিরা বেগম ")</f>
        <v> মোছাঃ আনজিরা বেগম </v>
      </c>
      <c r="D303" s="10">
        <f>IFERROR(__xludf.DUMMYFUNCTION("""COMPUTED_VALUE"""),5.70056378423E11)</f>
        <v>570056378423</v>
      </c>
      <c r="E303" s="10" t="str">
        <f>IFERROR(__xludf.DUMMYFUNCTION("""COMPUTED_VALUE""")," মোহাঃ পিজিরদ্দিন ")</f>
        <v> মোহাঃ পিজিরদ্দিন </v>
      </c>
      <c r="F303" s="10" t="str">
        <f>IFERROR(__xludf.DUMMYFUNCTION("""COMPUTED_VALUE""")," মোছাঃ নুরজাহান ")</f>
        <v> মোছাঃ নুরজাহান </v>
      </c>
      <c r="G303" s="10" t="str">
        <f>IFERROR(__xludf.DUMMYFUNCTION("""COMPUTED_VALUE""")," ১৫/১০/১৯৫৬ ")</f>
        <v> ১৫/১০/১৯৫৬ </v>
      </c>
      <c r="H303" s="10" t="str">
        <f>IFERROR(__xludf.DUMMYFUNCTION("""COMPUTED_VALUE""")," গৃহিনী ")</f>
        <v> গৃহিনী </v>
      </c>
      <c r="I303" s="10" t="str">
        <f>IFERROR(__xludf.DUMMYFUNCTION("""COMPUTED_VALUE""")," জালশুকা, গাংনী, মেহেরপুর ")</f>
        <v> জালশুকা, গাংনী, মেহেরপুর </v>
      </c>
    </row>
    <row r="304">
      <c r="A304" s="9" t="s">
        <v>3006</v>
      </c>
      <c r="B304" s="10">
        <f>IFERROR(__xludf.DUMMYFUNCTION("SPLIT(A304,""|"")"),293.0)</f>
        <v>293</v>
      </c>
      <c r="C304" s="10" t="str">
        <f>IFERROR(__xludf.DUMMYFUNCTION("""COMPUTED_VALUE""")," মোছাঃ সারজিনা খাতুন ")</f>
        <v> মোছাঃ সারজিনা খাতুন </v>
      </c>
      <c r="D304" s="10">
        <f>IFERROR(__xludf.DUMMYFUNCTION("""COMPUTED_VALUE"""),5.70056378424E11)</f>
        <v>570056378424</v>
      </c>
      <c r="E304" s="10" t="str">
        <f>IFERROR(__xludf.DUMMYFUNCTION("""COMPUTED_VALUE""")," মোহাঃ শরীফউদ্দিন ")</f>
        <v> মোহাঃ শরীফউদ্দিন </v>
      </c>
      <c r="F304" s="10" t="str">
        <f>IFERROR(__xludf.DUMMYFUNCTION("""COMPUTED_VALUE""")," মোছাঃ তহমিনা ")</f>
        <v> মোছাঃ তহমিনা </v>
      </c>
      <c r="G304" s="10" t="str">
        <f>IFERROR(__xludf.DUMMYFUNCTION("""COMPUTED_VALUE""")," ১০/১০/১৯৮২ ")</f>
        <v> ১০/১০/১৯৮২ </v>
      </c>
      <c r="H304" s="10" t="str">
        <f>IFERROR(__xludf.DUMMYFUNCTION("""COMPUTED_VALUE""")," গৃহিনী ")</f>
        <v> গৃহিনী </v>
      </c>
      <c r="I304" s="10" t="str">
        <f>IFERROR(__xludf.DUMMYFUNCTION("""COMPUTED_VALUE""")," জালশুকা, গাংনী, মেহেরপুর ")</f>
        <v> জালশুকা, গাংনী, মেহেরপুর </v>
      </c>
    </row>
    <row r="305">
      <c r="A305" s="9" t="s">
        <v>3007</v>
      </c>
      <c r="B305" s="10">
        <f>IFERROR(__xludf.DUMMYFUNCTION("SPLIT(A305,""|"")"),294.0)</f>
        <v>294</v>
      </c>
      <c r="C305" s="10" t="str">
        <f>IFERROR(__xludf.DUMMYFUNCTION("""COMPUTED_VALUE""")," মোছাঃ রজিলা ")</f>
        <v> মোছাঃ রজিলা </v>
      </c>
      <c r="D305" s="10">
        <f>IFERROR(__xludf.DUMMYFUNCTION("""COMPUTED_VALUE"""),5.70056378428E11)</f>
        <v>570056378428</v>
      </c>
      <c r="E305" s="10" t="str">
        <f>IFERROR(__xludf.DUMMYFUNCTION("""COMPUTED_VALUE""")," মোহাঃ একরামুল ")</f>
        <v> মোহাঃ একরামুল </v>
      </c>
      <c r="F305" s="10" t="str">
        <f>IFERROR(__xludf.DUMMYFUNCTION("""COMPUTED_VALUE""")," মোছাঃ জাহারারা ")</f>
        <v> মোছাঃ জাহারারা </v>
      </c>
      <c r="G305" s="10" t="str">
        <f>IFERROR(__xludf.DUMMYFUNCTION("""COMPUTED_VALUE""")," ১২/১০/১৯৭৪ ")</f>
        <v> ১২/১০/১৯৭৪ </v>
      </c>
      <c r="H305" s="10" t="str">
        <f>IFERROR(__xludf.DUMMYFUNCTION("""COMPUTED_VALUE""")," গৃহিনী ")</f>
        <v> গৃহিনী </v>
      </c>
      <c r="I305" s="10" t="str">
        <f>IFERROR(__xludf.DUMMYFUNCTION("""COMPUTED_VALUE""")," জালশুকা, গাংনী, মেহেরপুর ")</f>
        <v> জালশুকা, গাংনী, মেহেরপুর </v>
      </c>
    </row>
    <row r="306">
      <c r="A306" s="9" t="s">
        <v>3008</v>
      </c>
      <c r="B306" s="10">
        <f>IFERROR(__xludf.DUMMYFUNCTION("SPLIT(A306,""|"")"),295.0)</f>
        <v>295</v>
      </c>
      <c r="C306" s="10" t="str">
        <f>IFERROR(__xludf.DUMMYFUNCTION("""COMPUTED_VALUE""")," মোছাঃ চন্দনা খাতুন ")</f>
        <v> মোছাঃ চন্দনা খাতুন </v>
      </c>
      <c r="D306" s="10">
        <f>IFERROR(__xludf.DUMMYFUNCTION("""COMPUTED_VALUE"""),5.70056378429E11)</f>
        <v>570056378429</v>
      </c>
      <c r="E306" s="10" t="str">
        <f>IFERROR(__xludf.DUMMYFUNCTION("""COMPUTED_VALUE""")," মোহাঃ জালালউদ্দিন ")</f>
        <v> মোহাঃ জালালউদ্দিন </v>
      </c>
      <c r="F306" s="10" t="str">
        <f>IFERROR(__xludf.DUMMYFUNCTION("""COMPUTED_VALUE""")," মোছাঃ আমেনা ")</f>
        <v> মোছাঃ আমেনা </v>
      </c>
      <c r="G306" s="10" t="str">
        <f>IFERROR(__xludf.DUMMYFUNCTION("""COMPUTED_VALUE""")," ১০/১০/১৯৮৬ ")</f>
        <v> ১০/১০/১৯৮৬ </v>
      </c>
      <c r="H306" s="10" t="str">
        <f>IFERROR(__xludf.DUMMYFUNCTION("""COMPUTED_VALUE""")," গৃহিনী ")</f>
        <v> গৃহিনী </v>
      </c>
      <c r="I306" s="10" t="str">
        <f>IFERROR(__xludf.DUMMYFUNCTION("""COMPUTED_VALUE""")," জালশুকা, গাংনী, মেহেরপুর ")</f>
        <v> জালশুকা, গাংনী, মেহেরপুর </v>
      </c>
    </row>
    <row r="307">
      <c r="A307" s="9" t="s">
        <v>3009</v>
      </c>
      <c r="B307" s="10">
        <f>IFERROR(__xludf.DUMMYFUNCTION("SPLIT(A307,""|"")"),296.0)</f>
        <v>296</v>
      </c>
      <c r="C307" s="10" t="str">
        <f>IFERROR(__xludf.DUMMYFUNCTION("""COMPUTED_VALUE""")," মোছাঃ আকলিমা ")</f>
        <v> মোছাঃ আকলিমা </v>
      </c>
      <c r="D307" s="10">
        <f>IFERROR(__xludf.DUMMYFUNCTION("""COMPUTED_VALUE"""),5.7005637843E11)</f>
        <v>570056378430</v>
      </c>
      <c r="E307" s="10" t="str">
        <f>IFERROR(__xludf.DUMMYFUNCTION("""COMPUTED_VALUE""")," ছলেমান ")</f>
        <v> ছলেমান </v>
      </c>
      <c r="F307" s="10" t="str">
        <f>IFERROR(__xludf.DUMMYFUNCTION("""COMPUTED_VALUE""")," মোছাঃ কাছিরন ")</f>
        <v> মোছাঃ কাছিরন </v>
      </c>
      <c r="G307" s="10" t="str">
        <f>IFERROR(__xludf.DUMMYFUNCTION("""COMPUTED_VALUE""")," ১০/০৬/১৯৫২ ")</f>
        <v> ১০/০৬/১৯৫২ </v>
      </c>
      <c r="H307" s="10" t="str">
        <f>IFERROR(__xludf.DUMMYFUNCTION("""COMPUTED_VALUE""")," গৃহিনী ")</f>
        <v> গৃহিনী </v>
      </c>
      <c r="I307" s="10" t="str">
        <f>IFERROR(__xludf.DUMMYFUNCTION("""COMPUTED_VALUE""")," জালশুকা, গাংনী, মেহেরপুর ")</f>
        <v> জালশুকা, গাংনী, মেহেরপুর </v>
      </c>
    </row>
    <row r="308">
      <c r="A308" s="9" t="s">
        <v>3010</v>
      </c>
      <c r="B308" s="10">
        <f>IFERROR(__xludf.DUMMYFUNCTION("SPLIT(A308,""|"")"),297.0)</f>
        <v>297</v>
      </c>
      <c r="C308" s="10" t="str">
        <f>IFERROR(__xludf.DUMMYFUNCTION("""COMPUTED_VALUE""")," মোছাঃ সুরভী খাতুন ")</f>
        <v> মোছাঃ সুরভী খাতুন </v>
      </c>
      <c r="D308" s="10">
        <f>IFERROR(__xludf.DUMMYFUNCTION("""COMPUTED_VALUE"""),5.70056378431E11)</f>
        <v>570056378431</v>
      </c>
      <c r="E308" s="10" t="str">
        <f>IFERROR(__xludf.DUMMYFUNCTION("""COMPUTED_VALUE""")," মোহাঃ মহশিন আলি ")</f>
        <v> মোহাঃ মহশিন আলি </v>
      </c>
      <c r="F308" s="10" t="str">
        <f>IFERROR(__xludf.DUMMYFUNCTION("""COMPUTED_VALUE""")," মোছাঃ তহমিনা ")</f>
        <v> মোছাঃ তহমিনা </v>
      </c>
      <c r="G308" s="10" t="str">
        <f>IFERROR(__xludf.DUMMYFUNCTION("""COMPUTED_VALUE""")," ১০/১০/১৯৮৫ ")</f>
        <v> ১০/১০/১৯৮৫ </v>
      </c>
      <c r="H308" s="10" t="str">
        <f>IFERROR(__xludf.DUMMYFUNCTION("""COMPUTED_VALUE""")," গৃহিনী ")</f>
        <v> গৃহিনী </v>
      </c>
      <c r="I308" s="10" t="str">
        <f>IFERROR(__xludf.DUMMYFUNCTION("""COMPUTED_VALUE""")," জালশুকা, গাংনী, মেহেরপুর ")</f>
        <v> জালশুকা, গাংনী, মেহেরপুর </v>
      </c>
    </row>
    <row r="309">
      <c r="A309" s="9" t="s">
        <v>3011</v>
      </c>
      <c r="B309" s="10">
        <f>IFERROR(__xludf.DUMMYFUNCTION("SPLIT(A309,""|"")"),298.0)</f>
        <v>298</v>
      </c>
      <c r="C309" s="10" t="str">
        <f>IFERROR(__xludf.DUMMYFUNCTION("""COMPUTED_VALUE""")," মোছাঃ রেহেনা বেগম ")</f>
        <v> মোছাঃ রেহেনা বেগম </v>
      </c>
      <c r="D309" s="10">
        <f>IFERROR(__xludf.DUMMYFUNCTION("""COMPUTED_VALUE"""),5.70056378434E11)</f>
        <v>570056378434</v>
      </c>
      <c r="E309" s="10" t="str">
        <f>IFERROR(__xludf.DUMMYFUNCTION("""COMPUTED_VALUE""")," সোনাহার ")</f>
        <v> সোনাহার </v>
      </c>
      <c r="F309" s="10" t="str">
        <f>IFERROR(__xludf.DUMMYFUNCTION("""COMPUTED_VALUE""")," খাদিজা বেগম ")</f>
        <v> খাদিজা বেগম </v>
      </c>
      <c r="G309" s="10" t="str">
        <f>IFERROR(__xludf.DUMMYFUNCTION("""COMPUTED_VALUE""")," ১০/১১/১৯৮৭ ")</f>
        <v> ১০/১১/১৯৮৭ </v>
      </c>
      <c r="H309" s="10" t="str">
        <f>IFERROR(__xludf.DUMMYFUNCTION("""COMPUTED_VALUE""")," গৃহিনী ")</f>
        <v> গৃহিনী </v>
      </c>
      <c r="I309" s="10" t="str">
        <f>IFERROR(__xludf.DUMMYFUNCTION("""COMPUTED_VALUE""")," জালশুকা, গাংনী, মেহেরপুর ")</f>
        <v> জালশুকা, গাংনী, মেহেরপুর </v>
      </c>
    </row>
    <row r="310">
      <c r="A310" s="9" t="s">
        <v>3012</v>
      </c>
      <c r="B310" s="10">
        <f>IFERROR(__xludf.DUMMYFUNCTION("SPLIT(A310,""|"")"),299.0)</f>
        <v>299</v>
      </c>
      <c r="C310" s="10" t="str">
        <f>IFERROR(__xludf.DUMMYFUNCTION("""COMPUTED_VALUE""")," মোছাঃ সুলতানা খাতুন ")</f>
        <v> মোছাঃ সুলতানা খাতুন </v>
      </c>
      <c r="D310" s="10">
        <f>IFERROR(__xludf.DUMMYFUNCTION("""COMPUTED_VALUE"""),5.70056378435E11)</f>
        <v>570056378435</v>
      </c>
      <c r="E310" s="10" t="str">
        <f>IFERROR(__xludf.DUMMYFUNCTION("""COMPUTED_VALUE""")," মোহাঃ পাঁচু ")</f>
        <v> মোহাঃ পাঁচু </v>
      </c>
      <c r="F310" s="10" t="str">
        <f>IFERROR(__xludf.DUMMYFUNCTION("""COMPUTED_VALUE""")," মোছাঃ আয়েশা ")</f>
        <v> মোছাঃ আয়েশা </v>
      </c>
      <c r="G310" s="10" t="str">
        <f>IFERROR(__xludf.DUMMYFUNCTION("""COMPUTED_VALUE""")," ১০/১০/১৯৭৪ ")</f>
        <v> ১০/১০/১৯৭৪ </v>
      </c>
      <c r="H310" s="10" t="str">
        <f>IFERROR(__xludf.DUMMYFUNCTION("""COMPUTED_VALUE""")," গৃহিনী ")</f>
        <v> গৃহিনী </v>
      </c>
      <c r="I310" s="10" t="str">
        <f>IFERROR(__xludf.DUMMYFUNCTION("""COMPUTED_VALUE""")," জালশুকা, গাংনী, মেহেরপুর ")</f>
        <v> জালশুকা, গাংনী, মেহেরপুর </v>
      </c>
    </row>
    <row r="311">
      <c r="A311" s="9" t="s">
        <v>3013</v>
      </c>
      <c r="B311" s="10">
        <f>IFERROR(__xludf.DUMMYFUNCTION("SPLIT(A311,""|"")"),300.0)</f>
        <v>300</v>
      </c>
      <c r="C311" s="10" t="str">
        <f>IFERROR(__xludf.DUMMYFUNCTION("""COMPUTED_VALUE""")," মোছাঃ মহিরন ")</f>
        <v> মোছাঃ মহিরন </v>
      </c>
      <c r="D311" s="10">
        <f>IFERROR(__xludf.DUMMYFUNCTION("""COMPUTED_VALUE"""),5.70056378437E11)</f>
        <v>570056378437</v>
      </c>
      <c r="E311" s="10" t="str">
        <f>IFERROR(__xludf.DUMMYFUNCTION("""COMPUTED_VALUE""")," আব্দুল মুনসি ")</f>
        <v> আব্দুল মুনসি </v>
      </c>
      <c r="F311" s="10" t="str">
        <f>IFERROR(__xludf.DUMMYFUNCTION("""COMPUTED_VALUE""")," ছানোয়ারা ")</f>
        <v> ছানোয়ারা </v>
      </c>
      <c r="G311" s="10" t="str">
        <f>IFERROR(__xludf.DUMMYFUNCTION("""COMPUTED_VALUE""")," ১০/১০/১৯৭২ ")</f>
        <v> ১০/১০/১৯৭২ </v>
      </c>
      <c r="H311" s="10" t="str">
        <f>IFERROR(__xludf.DUMMYFUNCTION("""COMPUTED_VALUE""")," গৃহিনী ")</f>
        <v> গৃহিনী </v>
      </c>
      <c r="I311" s="10" t="str">
        <f>IFERROR(__xludf.DUMMYFUNCTION("""COMPUTED_VALUE""")," জালশুকা, গাংনী, মেহেরপুর ")</f>
        <v> জালশুকা, গাংনী, মেহেরপুর </v>
      </c>
    </row>
    <row r="312">
      <c r="A312" s="9" t="s">
        <v>3014</v>
      </c>
      <c r="B312" s="10">
        <f>IFERROR(__xludf.DUMMYFUNCTION("SPLIT(A312,""|"")"),301.0)</f>
        <v>301</v>
      </c>
      <c r="C312" s="10" t="str">
        <f>IFERROR(__xludf.DUMMYFUNCTION("""COMPUTED_VALUE""")," মোছাঃ রেবেকা খাতুন ")</f>
        <v> মোছাঃ রেবেকা খাতুন </v>
      </c>
      <c r="D312" s="10">
        <f>IFERROR(__xludf.DUMMYFUNCTION("""COMPUTED_VALUE"""),5.70056378438E11)</f>
        <v>570056378438</v>
      </c>
      <c r="E312" s="10" t="str">
        <f>IFERROR(__xludf.DUMMYFUNCTION("""COMPUTED_VALUE""")," আহাদ ")</f>
        <v> আহাদ </v>
      </c>
      <c r="F312" s="10" t="str">
        <f>IFERROR(__xludf.DUMMYFUNCTION("""COMPUTED_VALUE""")," মোছাঃ খোদেজা ")</f>
        <v> মোছাঃ খোদেজা </v>
      </c>
      <c r="G312" s="10" t="str">
        <f>IFERROR(__xludf.DUMMYFUNCTION("""COMPUTED_VALUE""")," ১৫/১১/১৯৮৪ ")</f>
        <v> ১৫/১১/১৯৮৪ </v>
      </c>
      <c r="H312" s="10" t="str">
        <f>IFERROR(__xludf.DUMMYFUNCTION("""COMPUTED_VALUE""")," গৃহিনী ")</f>
        <v> গৃহিনী </v>
      </c>
      <c r="I312" s="10" t="str">
        <f>IFERROR(__xludf.DUMMYFUNCTION("""COMPUTED_VALUE""")," জালশুকা, গাংনী, মেহেরপুর ")</f>
        <v> জালশুকা, গাংনী, মেহেরপুর </v>
      </c>
    </row>
    <row r="313">
      <c r="A313" s="9" t="s">
        <v>3015</v>
      </c>
      <c r="B313" s="10">
        <f>IFERROR(__xludf.DUMMYFUNCTION("SPLIT(A313,""|"")"),302.0)</f>
        <v>302</v>
      </c>
      <c r="C313" s="10" t="str">
        <f>IFERROR(__xludf.DUMMYFUNCTION("""COMPUTED_VALUE""")," মোছাঃ তছুরা খাতুন ")</f>
        <v> মোছাঃ তছুরা খাতুন </v>
      </c>
      <c r="D313" s="10">
        <f>IFERROR(__xludf.DUMMYFUNCTION("""COMPUTED_VALUE"""),5.70056378439E11)</f>
        <v>570056378439</v>
      </c>
      <c r="E313" s="10" t="str">
        <f>IFERROR(__xludf.DUMMYFUNCTION("""COMPUTED_VALUE""")," মোজাহার ")</f>
        <v> মোজাহার </v>
      </c>
      <c r="F313" s="10" t="str">
        <f>IFERROR(__xludf.DUMMYFUNCTION("""COMPUTED_VALUE""")," ছাহারন ")</f>
        <v> ছাহারন </v>
      </c>
      <c r="G313" s="10" t="str">
        <f>IFERROR(__xludf.DUMMYFUNCTION("""COMPUTED_VALUE""")," ১০/১০/১৯৫৭ ")</f>
        <v> ১০/১০/১৯৫৭ </v>
      </c>
      <c r="H313" s="10" t="str">
        <f>IFERROR(__xludf.DUMMYFUNCTION("""COMPUTED_VALUE""")," গৃহিনী ")</f>
        <v> গৃহিনী </v>
      </c>
      <c r="I313" s="10" t="str">
        <f>IFERROR(__xludf.DUMMYFUNCTION("""COMPUTED_VALUE""")," জালশুকা, গাংনী, মেহেরপুর ")</f>
        <v> জালশুকা, গাংনী, মেহেরপুর </v>
      </c>
    </row>
    <row r="314">
      <c r="A314" s="9" t="s">
        <v>3016</v>
      </c>
      <c r="B314" s="10">
        <f>IFERROR(__xludf.DUMMYFUNCTION("SPLIT(A314,""|"")"),303.0)</f>
        <v>303</v>
      </c>
      <c r="C314" s="10" t="str">
        <f>IFERROR(__xludf.DUMMYFUNCTION("""COMPUTED_VALUE""")," মোছাঃ মেহেরনিগার ")</f>
        <v> মোছাঃ মেহেরনিগার </v>
      </c>
      <c r="D314" s="10">
        <f>IFERROR(__xludf.DUMMYFUNCTION("""COMPUTED_VALUE"""),5.7005637844E11)</f>
        <v>570056378440</v>
      </c>
      <c r="E314" s="10" t="str">
        <f>IFERROR(__xludf.DUMMYFUNCTION("""COMPUTED_VALUE""")," কেসমত ")</f>
        <v> কেসমত </v>
      </c>
      <c r="F314" s="10" t="str">
        <f>IFERROR(__xludf.DUMMYFUNCTION("""COMPUTED_VALUE""")," মোছাঃ কহিনুর ")</f>
        <v> মোছাঃ কহিনুর </v>
      </c>
      <c r="G314" s="10" t="str">
        <f>IFERROR(__xludf.DUMMYFUNCTION("""COMPUTED_VALUE""")," ১৫/০৭/১৯৭৮ ")</f>
        <v> ১৫/০৭/১৯৭৮ </v>
      </c>
      <c r="H314" s="10" t="str">
        <f>IFERROR(__xludf.DUMMYFUNCTION("""COMPUTED_VALUE""")," গৃহিনী ")</f>
        <v> গৃহিনী </v>
      </c>
      <c r="I314" s="10" t="str">
        <f>IFERROR(__xludf.DUMMYFUNCTION("""COMPUTED_VALUE""")," জালশুকা, গাংনী, মেহেরপুর ")</f>
        <v> জালশুকা, গাংনী, মেহেরপুর </v>
      </c>
    </row>
    <row r="315">
      <c r="A315" s="9" t="s">
        <v>3017</v>
      </c>
      <c r="B315" s="10">
        <f>IFERROR(__xludf.DUMMYFUNCTION("SPLIT(A315,""|"")"),304.0)</f>
        <v>304</v>
      </c>
      <c r="C315" s="10" t="str">
        <f>IFERROR(__xludf.DUMMYFUNCTION("""COMPUTED_VALUE""")," মোছাঃ কহিনুর ")</f>
        <v> মোছাঃ কহিনুর </v>
      </c>
      <c r="D315" s="10">
        <f>IFERROR(__xludf.DUMMYFUNCTION("""COMPUTED_VALUE"""),5.70056378441E11)</f>
        <v>570056378441</v>
      </c>
      <c r="E315" s="10" t="str">
        <f>IFERROR(__xludf.DUMMYFUNCTION("""COMPUTED_VALUE""")," রুস্তম ")</f>
        <v> রুস্তম </v>
      </c>
      <c r="F315" s="10" t="str">
        <f>IFERROR(__xludf.DUMMYFUNCTION("""COMPUTED_VALUE""")," মোছাঃ তিতু ")</f>
        <v> মোছাঃ তিতু </v>
      </c>
      <c r="G315" s="10" t="str">
        <f>IFERROR(__xludf.DUMMYFUNCTION("""COMPUTED_VALUE""")," ১০/১০/১৯৩৬ ")</f>
        <v> ১০/১০/১৯৩৬ </v>
      </c>
      <c r="H315" s="10" t="str">
        <f>IFERROR(__xludf.DUMMYFUNCTION("""COMPUTED_VALUE""")," গৃহিনী ")</f>
        <v> গৃহিনী </v>
      </c>
      <c r="I315" s="10" t="str">
        <f>IFERROR(__xludf.DUMMYFUNCTION("""COMPUTED_VALUE""")," জালশুকা, গাংনী, মেহেরপুর ")</f>
        <v> জালশুকা, গাংনী, মেহেরপুর </v>
      </c>
    </row>
    <row r="316">
      <c r="A316" s="9" t="s">
        <v>3018</v>
      </c>
      <c r="B316" s="10">
        <f>IFERROR(__xludf.DUMMYFUNCTION("SPLIT(A316,""|"")"),305.0)</f>
        <v>305</v>
      </c>
      <c r="C316" s="10" t="str">
        <f>IFERROR(__xludf.DUMMYFUNCTION("""COMPUTED_VALUE""")," মোছাঃ আসামুর ")</f>
        <v> মোছাঃ আসামুর </v>
      </c>
      <c r="D316" s="10">
        <f>IFERROR(__xludf.DUMMYFUNCTION("""COMPUTED_VALUE"""),5.70056378442E11)</f>
        <v>570056378442</v>
      </c>
      <c r="E316" s="10" t="str">
        <f>IFERROR(__xludf.DUMMYFUNCTION("""COMPUTED_VALUE""")," রুস্তম ")</f>
        <v> রুস্তম </v>
      </c>
      <c r="F316" s="10" t="str">
        <f>IFERROR(__xludf.DUMMYFUNCTION("""COMPUTED_VALUE""")," তিতু বিবি ")</f>
        <v> তিতু বিবি </v>
      </c>
      <c r="G316" s="10" t="str">
        <f>IFERROR(__xludf.DUMMYFUNCTION("""COMPUTED_VALUE""")," ১২/০৬/১৯৫৬ ")</f>
        <v> ১২/০৬/১৯৫৬ </v>
      </c>
      <c r="H316" s="10" t="str">
        <f>IFERROR(__xludf.DUMMYFUNCTION("""COMPUTED_VALUE""")," গৃহিনী ")</f>
        <v> গৃহিনী </v>
      </c>
      <c r="I316" s="10" t="str">
        <f>IFERROR(__xludf.DUMMYFUNCTION("""COMPUTED_VALUE""")," জালশুকা, গাংনী, মেহেরপুর ")</f>
        <v> জালশুকা, গাংনী, মেহেরপুর </v>
      </c>
    </row>
    <row r="317">
      <c r="A317" s="9" t="s">
        <v>3019</v>
      </c>
      <c r="B317" s="10">
        <f>IFERROR(__xludf.DUMMYFUNCTION("SPLIT(A317,""|"")"),306.0)</f>
        <v>306</v>
      </c>
      <c r="C317" s="10" t="str">
        <f>IFERROR(__xludf.DUMMYFUNCTION("""COMPUTED_VALUE""")," মোছাঃ মিনারা খাতুন ")</f>
        <v> মোছাঃ মিনারা খাতুন </v>
      </c>
      <c r="D317" s="10">
        <f>IFERROR(__xludf.DUMMYFUNCTION("""COMPUTED_VALUE"""),5.70056378443E11)</f>
        <v>570056378443</v>
      </c>
      <c r="E317" s="10" t="str">
        <f>IFERROR(__xludf.DUMMYFUNCTION("""COMPUTED_VALUE""")," মোহাঃ রইছদ্দিন ")</f>
        <v> মোহাঃ রইছদ্দিন </v>
      </c>
      <c r="F317" s="10" t="str">
        <f>IFERROR(__xludf.DUMMYFUNCTION("""COMPUTED_VALUE""")," অজিফা ")</f>
        <v> অজিফা </v>
      </c>
      <c r="G317" s="10" t="str">
        <f>IFERROR(__xludf.DUMMYFUNCTION("""COMPUTED_VALUE""")," ১০/০৫/১৯৬১ ")</f>
        <v> ১০/০৫/১৯৬১ </v>
      </c>
      <c r="H317" s="10" t="str">
        <f>IFERROR(__xludf.DUMMYFUNCTION("""COMPUTED_VALUE""")," গৃহিনী ")</f>
        <v> গৃহিনী </v>
      </c>
      <c r="I317" s="10" t="str">
        <f>IFERROR(__xludf.DUMMYFUNCTION("""COMPUTED_VALUE""")," জালশুকা, গাংনী, মেহেরপুর ")</f>
        <v> জালশুকা, গাংনী, মেহেরপুর </v>
      </c>
    </row>
    <row r="318">
      <c r="A318" s="9" t="s">
        <v>3020</v>
      </c>
      <c r="B318" s="10">
        <f>IFERROR(__xludf.DUMMYFUNCTION("SPLIT(A318,""|"")"),307.0)</f>
        <v>307</v>
      </c>
      <c r="C318" s="10" t="str">
        <f>IFERROR(__xludf.DUMMYFUNCTION("""COMPUTED_VALUE""")," মোছাঃ শাহিদা খাতুন ")</f>
        <v> মোছাঃ শাহিদা খাতুন </v>
      </c>
      <c r="D318" s="10">
        <f>IFERROR(__xludf.DUMMYFUNCTION("""COMPUTED_VALUE"""),5.70056378445E11)</f>
        <v>570056378445</v>
      </c>
      <c r="E318" s="10" t="str">
        <f>IFERROR(__xludf.DUMMYFUNCTION("""COMPUTED_VALUE""")," আকবর ")</f>
        <v> আকবর </v>
      </c>
      <c r="F318" s="10" t="str">
        <f>IFERROR(__xludf.DUMMYFUNCTION("""COMPUTED_VALUE""")," রইমন ")</f>
        <v> রইমন </v>
      </c>
      <c r="G318" s="10" t="str">
        <f>IFERROR(__xludf.DUMMYFUNCTION("""COMPUTED_VALUE""")," ১০/০৬/১৯৭২ ")</f>
        <v> ১০/০৬/১৯৭২ </v>
      </c>
      <c r="H318" s="10" t="str">
        <f>IFERROR(__xludf.DUMMYFUNCTION("""COMPUTED_VALUE""")," গৃহিনী ")</f>
        <v> গৃহিনী </v>
      </c>
      <c r="I318" s="10" t="str">
        <f>IFERROR(__xludf.DUMMYFUNCTION("""COMPUTED_VALUE""")," জালশুকা, গাংনী, মেহেরপুর ")</f>
        <v> জালশুকা, গাংনী, মেহেরপুর </v>
      </c>
    </row>
    <row r="319">
      <c r="A319" s="9" t="s">
        <v>3021</v>
      </c>
      <c r="B319" s="10">
        <f>IFERROR(__xludf.DUMMYFUNCTION("SPLIT(A319,""|"")"),308.0)</f>
        <v>308</v>
      </c>
      <c r="C319" s="10" t="str">
        <f>IFERROR(__xludf.DUMMYFUNCTION("""COMPUTED_VALUE""")," মোছাঃ সোনা ভানু ")</f>
        <v> মোছাঃ সোনা ভানু </v>
      </c>
      <c r="D319" s="10">
        <f>IFERROR(__xludf.DUMMYFUNCTION("""COMPUTED_VALUE"""),5.70056378446E11)</f>
        <v>570056378446</v>
      </c>
      <c r="E319" s="10" t="str">
        <f>IFERROR(__xludf.DUMMYFUNCTION("""COMPUTED_VALUE""")," মোহাঃ জাহা বকস ")</f>
        <v> মোহাঃ জাহা বকস </v>
      </c>
      <c r="F319" s="10" t="str">
        <f>IFERROR(__xludf.DUMMYFUNCTION("""COMPUTED_VALUE""")," মোছাঃ ছবেদা ")</f>
        <v> মোছাঃ ছবেদা </v>
      </c>
      <c r="G319" s="10" t="str">
        <f>IFERROR(__xludf.DUMMYFUNCTION("""COMPUTED_VALUE""")," ১১/১১/১৯৭৪ ")</f>
        <v> ১১/১১/১৯৭৪ </v>
      </c>
      <c r="H319" s="10" t="str">
        <f>IFERROR(__xludf.DUMMYFUNCTION("""COMPUTED_VALUE""")," গৃহিনী ")</f>
        <v> গৃহিনী </v>
      </c>
      <c r="I319" s="10" t="str">
        <f>IFERROR(__xludf.DUMMYFUNCTION("""COMPUTED_VALUE""")," জালশুকা, গাংনী, মেহেরপুর ")</f>
        <v> জালশুকা, গাংনী, মেহেরপুর </v>
      </c>
    </row>
    <row r="320">
      <c r="A320" s="9" t="s">
        <v>3022</v>
      </c>
      <c r="B320" s="10">
        <f>IFERROR(__xludf.DUMMYFUNCTION("SPLIT(A320,""|"")"),309.0)</f>
        <v>309</v>
      </c>
      <c r="C320" s="10" t="str">
        <f>IFERROR(__xludf.DUMMYFUNCTION("""COMPUTED_VALUE""")," মোছাঃ আদরী খাতুন ")</f>
        <v> মোছাঃ আদরী খাতুন </v>
      </c>
      <c r="D320" s="10">
        <f>IFERROR(__xludf.DUMMYFUNCTION("""COMPUTED_VALUE"""),5.70056378447E11)</f>
        <v>570056378447</v>
      </c>
      <c r="E320" s="10" t="str">
        <f>IFERROR(__xludf.DUMMYFUNCTION("""COMPUTED_VALUE""")," মোহাঃ জাহা বকস ")</f>
        <v> মোহাঃ জাহা বকস </v>
      </c>
      <c r="F320" s="10" t="str">
        <f>IFERROR(__xludf.DUMMYFUNCTION("""COMPUTED_VALUE""")," পরিছন ")</f>
        <v> পরিছন </v>
      </c>
      <c r="G320" s="10" t="str">
        <f>IFERROR(__xludf.DUMMYFUNCTION("""COMPUTED_VALUE""")," ০৪/০৮/১৯৭৮ ")</f>
        <v> ০৪/০৮/১৯৭৮ </v>
      </c>
      <c r="H320" s="10" t="str">
        <f>IFERROR(__xludf.DUMMYFUNCTION("""COMPUTED_VALUE""")," গৃহিনী ")</f>
        <v> গৃহিনী </v>
      </c>
      <c r="I320" s="10" t="str">
        <f>IFERROR(__xludf.DUMMYFUNCTION("""COMPUTED_VALUE""")," জালশুকা, গাংনী, মেহেরপুর ")</f>
        <v> জালশুকা, গাংনী, মেহেরপুর </v>
      </c>
    </row>
    <row r="321">
      <c r="A321" s="9" t="s">
        <v>3023</v>
      </c>
      <c r="B321" s="10">
        <f>IFERROR(__xludf.DUMMYFUNCTION("SPLIT(A321,""|"")"),310.0)</f>
        <v>310</v>
      </c>
      <c r="C321" s="10" t="str">
        <f>IFERROR(__xludf.DUMMYFUNCTION("""COMPUTED_VALUE""")," মোছাঃ ছামিরন ")</f>
        <v> মোছাঃ ছামিরন </v>
      </c>
      <c r="D321" s="10">
        <f>IFERROR(__xludf.DUMMYFUNCTION("""COMPUTED_VALUE"""),5.70056378448E11)</f>
        <v>570056378448</v>
      </c>
      <c r="E321" s="10" t="str">
        <f>IFERROR(__xludf.DUMMYFUNCTION("""COMPUTED_VALUE""")," মোহাঃ উমাদ মন্ডল ")</f>
        <v> মোহাঃ উমাদ মন্ডল </v>
      </c>
      <c r="F321" s="10" t="str">
        <f>IFERROR(__xludf.DUMMYFUNCTION("""COMPUTED_VALUE""")," মোছাঃ নূর জাহান ")</f>
        <v> মোছাঃ নূর জাহান </v>
      </c>
      <c r="G321" s="10" t="str">
        <f>IFERROR(__xludf.DUMMYFUNCTION("""COMPUTED_VALUE""")," ১০/০৯/১৯৮২ ")</f>
        <v> ১০/০৯/১৯৮২ </v>
      </c>
      <c r="H321" s="10" t="str">
        <f>IFERROR(__xludf.DUMMYFUNCTION("""COMPUTED_VALUE""")," গৃহিনী ")</f>
        <v> গৃহিনী </v>
      </c>
      <c r="I321" s="10" t="str">
        <f>IFERROR(__xludf.DUMMYFUNCTION("""COMPUTED_VALUE""")," জালশুকা, গাংনী, মেহেরপুর ")</f>
        <v> জালশুকা, গাংনী, মেহেরপুর </v>
      </c>
    </row>
    <row r="322">
      <c r="A322" s="9" t="s">
        <v>3024</v>
      </c>
      <c r="B322" s="10">
        <f>IFERROR(__xludf.DUMMYFUNCTION("SPLIT(A322,""|"")"),311.0)</f>
        <v>311</v>
      </c>
      <c r="C322" s="10" t="str">
        <f>IFERROR(__xludf.DUMMYFUNCTION("""COMPUTED_VALUE""")," মোছাঃ ছপুরা খাতুন ")</f>
        <v> মোছাঃ ছপুরা খাতুন </v>
      </c>
      <c r="D322" s="10">
        <f>IFERROR(__xludf.DUMMYFUNCTION("""COMPUTED_VALUE"""),5.7005637845E11)</f>
        <v>570056378450</v>
      </c>
      <c r="E322" s="10" t="str">
        <f>IFERROR(__xludf.DUMMYFUNCTION("""COMPUTED_VALUE""")," মজুহার ")</f>
        <v> মজুহার </v>
      </c>
      <c r="F322" s="10" t="str">
        <f>IFERROR(__xludf.DUMMYFUNCTION("""COMPUTED_VALUE""")," ছাহারন ")</f>
        <v> ছাহারন </v>
      </c>
      <c r="G322" s="10" t="str">
        <f>IFERROR(__xludf.DUMMYFUNCTION("""COMPUTED_VALUE""")," ০১/১০/১৯৫৬ ")</f>
        <v> ০১/১০/১৯৫৬ </v>
      </c>
      <c r="H322" s="10" t="str">
        <f>IFERROR(__xludf.DUMMYFUNCTION("""COMPUTED_VALUE""")," গৃহিনী ")</f>
        <v> গৃহিনী </v>
      </c>
      <c r="I322" s="10" t="str">
        <f>IFERROR(__xludf.DUMMYFUNCTION("""COMPUTED_VALUE""")," জালশুকা, গাংনী, মেহেরপুর ")</f>
        <v> জালশুকা, গাংনী, মেহেরপুর </v>
      </c>
    </row>
    <row r="323">
      <c r="A323" s="9" t="s">
        <v>3025</v>
      </c>
      <c r="B323" s="10">
        <f>IFERROR(__xludf.DUMMYFUNCTION("SPLIT(A323,""|"")"),312.0)</f>
        <v>312</v>
      </c>
      <c r="C323" s="10" t="str">
        <f>IFERROR(__xludf.DUMMYFUNCTION("""COMPUTED_VALUE""")," মোছাঃ ছাবিনা খাতুন ")</f>
        <v> মোছাঃ ছাবিনা খাতুন </v>
      </c>
      <c r="D323" s="10">
        <f>IFERROR(__xludf.DUMMYFUNCTION("""COMPUTED_VALUE"""),5.7005637846E11)</f>
        <v>570056378460</v>
      </c>
      <c r="E323" s="10" t="str">
        <f>IFERROR(__xludf.DUMMYFUNCTION("""COMPUTED_VALUE""")," মোহাঃ কুদরত আলি ")</f>
        <v> মোহাঃ কুদরত আলি </v>
      </c>
      <c r="F323" s="10" t="str">
        <f>IFERROR(__xludf.DUMMYFUNCTION("""COMPUTED_VALUE""")," মোহাঃ হাওয়া খাতুন ")</f>
        <v> মোহাঃ হাওয়া খাতুন </v>
      </c>
      <c r="G323" s="10" t="str">
        <f>IFERROR(__xludf.DUMMYFUNCTION("""COMPUTED_VALUE""")," ০১/০১/১৯৮৯ ")</f>
        <v> ০১/০১/১৯৮৯ </v>
      </c>
      <c r="H323" s="10" t="str">
        <f>IFERROR(__xludf.DUMMYFUNCTION("""COMPUTED_VALUE""")," গৃহিনী ")</f>
        <v> গৃহিনী </v>
      </c>
      <c r="I323" s="10" t="str">
        <f>IFERROR(__xludf.DUMMYFUNCTION("""COMPUTED_VALUE""")," জালশুকা, গাংনী, মেহেরপুর ")</f>
        <v> জালশুকা, গাংনী, মেহেরপুর </v>
      </c>
    </row>
    <row r="324">
      <c r="A324" s="9" t="s">
        <v>3026</v>
      </c>
      <c r="B324" s="10">
        <f>IFERROR(__xludf.DUMMYFUNCTION("SPLIT(A324,""|"")"),313.0)</f>
        <v>313</v>
      </c>
      <c r="C324" s="10" t="str">
        <f>IFERROR(__xludf.DUMMYFUNCTION("""COMPUTED_VALUE""")," মোছাঃ আনজিরা বেগম ")</f>
        <v> মোছাঃ আনজিরা বেগম </v>
      </c>
      <c r="D324" s="10">
        <f>IFERROR(__xludf.DUMMYFUNCTION("""COMPUTED_VALUE"""),5.70056378464E11)</f>
        <v>570056378464</v>
      </c>
      <c r="E324" s="10" t="str">
        <f>IFERROR(__xludf.DUMMYFUNCTION("""COMPUTED_VALUE""")," মোহাঃ নুরুল ইসলাম ")</f>
        <v> মোহাঃ নুরুল ইসলাম </v>
      </c>
      <c r="F324" s="10" t="str">
        <f>IFERROR(__xludf.DUMMYFUNCTION("""COMPUTED_VALUE""")," মোছাঃ শখের বানু ")</f>
        <v> মোছাঃ শখের বানু </v>
      </c>
      <c r="G324" s="10" t="str">
        <f>IFERROR(__xludf.DUMMYFUNCTION("""COMPUTED_VALUE""")," ১০/০৭/১৯৭৮ ")</f>
        <v> ১০/০৭/১৯৭৮ </v>
      </c>
      <c r="H324" s="10" t="str">
        <f>IFERROR(__xludf.DUMMYFUNCTION("""COMPUTED_VALUE""")," গৃহিনী ")</f>
        <v> গৃহিনী </v>
      </c>
      <c r="I324" s="10" t="str">
        <f>IFERROR(__xludf.DUMMYFUNCTION("""COMPUTED_VALUE""")," জালশুকা, গাংনী, মেহেরপুর ")</f>
        <v> জালশুকা, গাংনী, মেহেরপুর </v>
      </c>
    </row>
    <row r="325">
      <c r="A325" s="9" t="s">
        <v>3027</v>
      </c>
      <c r="B325" s="10">
        <f>IFERROR(__xludf.DUMMYFUNCTION("SPLIT(A325,""|"")"),314.0)</f>
        <v>314</v>
      </c>
      <c r="C325" s="10" t="str">
        <f>IFERROR(__xludf.DUMMYFUNCTION("""COMPUTED_VALUE""")," মোছাঃ ফিরোজা খাতুন ")</f>
        <v> মোছাঃ ফিরোজা খাতুন </v>
      </c>
      <c r="D325" s="10">
        <f>IFERROR(__xludf.DUMMYFUNCTION("""COMPUTED_VALUE"""),5.70056378465E11)</f>
        <v>570056378465</v>
      </c>
      <c r="E325" s="10" t="str">
        <f>IFERROR(__xludf.DUMMYFUNCTION("""COMPUTED_VALUE""")," মোজাহার মুনশি ")</f>
        <v> মোজাহার মুনশি </v>
      </c>
      <c r="F325" s="10" t="str">
        <f>IFERROR(__xludf.DUMMYFUNCTION("""COMPUTED_VALUE""")," সাহারন ")</f>
        <v> সাহারন </v>
      </c>
      <c r="G325" s="10" t="str">
        <f>IFERROR(__xludf.DUMMYFUNCTION("""COMPUTED_VALUE""")," ০৪/১০/১৯৪৭ ")</f>
        <v> ০৪/১০/১৯৪৭ </v>
      </c>
      <c r="H325" s="10" t="str">
        <f>IFERROR(__xludf.DUMMYFUNCTION("""COMPUTED_VALUE""")," গৃহিনী ")</f>
        <v> গৃহিনী </v>
      </c>
      <c r="I325" s="10" t="str">
        <f>IFERROR(__xludf.DUMMYFUNCTION("""COMPUTED_VALUE""")," জালশুকা, গাংনী, মেহেরপুর ")</f>
        <v> জালশুকা, গাংনী, মেহেরপুর </v>
      </c>
    </row>
    <row r="326">
      <c r="A326" s="9" t="s">
        <v>3028</v>
      </c>
      <c r="B326" s="10">
        <f>IFERROR(__xludf.DUMMYFUNCTION("SPLIT(A326,""|"")"),315.0)</f>
        <v>315</v>
      </c>
      <c r="C326" s="10" t="str">
        <f>IFERROR(__xludf.DUMMYFUNCTION("""COMPUTED_VALUE""")," মোছাঃ ফাতেমা খাতুন ")</f>
        <v> মোছাঃ ফাতেমা খাতুন </v>
      </c>
      <c r="D326" s="10">
        <f>IFERROR(__xludf.DUMMYFUNCTION("""COMPUTED_VALUE"""),5.70056378466E11)</f>
        <v>570056378466</v>
      </c>
      <c r="E326" s="10" t="str">
        <f>IFERROR(__xludf.DUMMYFUNCTION("""COMPUTED_VALUE""")," মোহাঃ নজরুল ")</f>
        <v> মোহাঃ নজরুল </v>
      </c>
      <c r="F326" s="10" t="str">
        <f>IFERROR(__xludf.DUMMYFUNCTION("""COMPUTED_VALUE""")," মোহাঃ ফিরোজা ")</f>
        <v> মোহাঃ ফিরোজা </v>
      </c>
      <c r="G326" s="10" t="str">
        <f>IFERROR(__xludf.DUMMYFUNCTION("""COMPUTED_VALUE""")," ০১/০১/১৯৯০ ")</f>
        <v> ০১/০১/১৯৯০ </v>
      </c>
      <c r="H326" s="10" t="str">
        <f>IFERROR(__xludf.DUMMYFUNCTION("""COMPUTED_VALUE""")," গৃহিনী ")</f>
        <v> গৃহিনী </v>
      </c>
      <c r="I326" s="10" t="str">
        <f>IFERROR(__xludf.DUMMYFUNCTION("""COMPUTED_VALUE""")," জালশুকা, গাংনী, মেহেরপুর ")</f>
        <v> জালশুকা, গাংনী, মেহেরপুর </v>
      </c>
    </row>
    <row r="327">
      <c r="A327" s="9" t="s">
        <v>3029</v>
      </c>
      <c r="B327" s="10">
        <f>IFERROR(__xludf.DUMMYFUNCTION("SPLIT(A327,""|"")"),316.0)</f>
        <v>316</v>
      </c>
      <c r="C327" s="10" t="str">
        <f>IFERROR(__xludf.DUMMYFUNCTION("""COMPUTED_VALUE""")," মোছাঃ নূরজাহান বেগম ")</f>
        <v> মোছাঃ নূরজাহান বেগম </v>
      </c>
      <c r="D327" s="10">
        <f>IFERROR(__xludf.DUMMYFUNCTION("""COMPUTED_VALUE"""),5.70056378467E11)</f>
        <v>570056378467</v>
      </c>
      <c r="E327" s="10" t="str">
        <f>IFERROR(__xludf.DUMMYFUNCTION("""COMPUTED_VALUE""")," নিয়ামত ")</f>
        <v> নিয়ামত </v>
      </c>
      <c r="F327" s="10" t="str">
        <f>IFERROR(__xludf.DUMMYFUNCTION("""COMPUTED_VALUE""")," মোছাঃ মফিজান খাতুন ")</f>
        <v> মোছাঃ মফিজান খাতুন </v>
      </c>
      <c r="G327" s="10" t="str">
        <f>IFERROR(__xludf.DUMMYFUNCTION("""COMPUTED_VALUE""")," ০১/০১/১৯৪৯ ")</f>
        <v> ০১/০১/১৯৪৯ </v>
      </c>
      <c r="H327" s="10" t="str">
        <f>IFERROR(__xludf.DUMMYFUNCTION("""COMPUTED_VALUE""")," গৃহিনী ")</f>
        <v> গৃহিনী </v>
      </c>
      <c r="I327" s="10" t="str">
        <f>IFERROR(__xludf.DUMMYFUNCTION("""COMPUTED_VALUE""")," জালশুকা, গাংনী, মেহেরপুর ")</f>
        <v> জালশুকা, গাংনী, মেহেরপুর </v>
      </c>
    </row>
    <row r="328">
      <c r="A328" s="9" t="s">
        <v>3030</v>
      </c>
      <c r="B328" s="10">
        <f>IFERROR(__xludf.DUMMYFUNCTION("SPLIT(A328,""|"")"),317.0)</f>
        <v>317</v>
      </c>
      <c r="C328" s="10" t="str">
        <f>IFERROR(__xludf.DUMMYFUNCTION("""COMPUTED_VALUE""")," মোছাঃ রাবিয়া খাতুন ")</f>
        <v> মোছাঃ রাবিয়া খাতুন </v>
      </c>
      <c r="D328" s="10">
        <f>IFERROR(__xludf.DUMMYFUNCTION("""COMPUTED_VALUE"""),5.70056378475E11)</f>
        <v>570056378475</v>
      </c>
      <c r="E328" s="10" t="str">
        <f>IFERROR(__xludf.DUMMYFUNCTION("""COMPUTED_VALUE""")," মোহাঃ কাবাতুল্লা ")</f>
        <v> মোহাঃ কাবাতুল্লা </v>
      </c>
      <c r="F328" s="10" t="str">
        <f>IFERROR(__xludf.DUMMYFUNCTION("""COMPUTED_VALUE""")," মোছাঃ জোহরা ")</f>
        <v> মোছাঃ জোহরা </v>
      </c>
      <c r="G328" s="10" t="str">
        <f>IFERROR(__xludf.DUMMYFUNCTION("""COMPUTED_VALUE""")," ১০/১১/১৯৭৭ ")</f>
        <v> ১০/১১/১৯৭৭ </v>
      </c>
      <c r="H328" s="10" t="str">
        <f>IFERROR(__xludf.DUMMYFUNCTION("""COMPUTED_VALUE""")," গৃহিনী ")</f>
        <v> গৃহিনী </v>
      </c>
      <c r="I328" s="10" t="str">
        <f>IFERROR(__xludf.DUMMYFUNCTION("""COMPUTED_VALUE""")," জালশুকা, গাংনী, মেহেরপুর ")</f>
        <v> জালশুকা, গাংনী, মেহেরপুর </v>
      </c>
    </row>
    <row r="329">
      <c r="A329" s="9" t="s">
        <v>3031</v>
      </c>
      <c r="B329" s="10">
        <f>IFERROR(__xludf.DUMMYFUNCTION("SPLIT(A329,""|"")"),318.0)</f>
        <v>318</v>
      </c>
      <c r="C329" s="10" t="str">
        <f>IFERROR(__xludf.DUMMYFUNCTION("""COMPUTED_VALUE""")," মোছাঃ আমেনা খাতুন ")</f>
        <v> মোছাঃ আমেনা খাতুন </v>
      </c>
      <c r="D329" s="10">
        <f>IFERROR(__xludf.DUMMYFUNCTION("""COMPUTED_VALUE"""),5.70056378476E11)</f>
        <v>570056378476</v>
      </c>
      <c r="E329" s="10" t="str">
        <f>IFERROR(__xludf.DUMMYFUNCTION("""COMPUTED_VALUE""")," আব্দুল জলিল ")</f>
        <v> আব্দুল জলিল </v>
      </c>
      <c r="F329" s="10" t="str">
        <f>IFERROR(__xludf.DUMMYFUNCTION("""COMPUTED_VALUE""")," নিগারন নেছা ")</f>
        <v> নিগারন নেছা </v>
      </c>
      <c r="G329" s="10" t="str">
        <f>IFERROR(__xludf.DUMMYFUNCTION("""COMPUTED_VALUE""")," ১৫/১০/১৯৪৭ ")</f>
        <v> ১৫/১০/১৯৪৭ </v>
      </c>
      <c r="H329" s="10" t="str">
        <f>IFERROR(__xludf.DUMMYFUNCTION("""COMPUTED_VALUE""")," গৃহিনী ")</f>
        <v> গৃহিনী </v>
      </c>
      <c r="I329" s="10" t="str">
        <f>IFERROR(__xludf.DUMMYFUNCTION("""COMPUTED_VALUE""")," জালশুকা, গাংনী, মেহেরপুর ")</f>
        <v> জালশুকা, গাংনী, মেহেরপুর </v>
      </c>
    </row>
    <row r="330">
      <c r="A330" s="9" t="s">
        <v>3032</v>
      </c>
      <c r="B330" s="10">
        <f>IFERROR(__xludf.DUMMYFUNCTION("SPLIT(A330,""|"")"),319.0)</f>
        <v>319</v>
      </c>
      <c r="C330" s="10" t="str">
        <f>IFERROR(__xludf.DUMMYFUNCTION("""COMPUTED_VALUE""")," মোছাঃ আসানুর ")</f>
        <v> মোছাঃ আসানুর </v>
      </c>
      <c r="D330" s="10">
        <f>IFERROR(__xludf.DUMMYFUNCTION("""COMPUTED_VALUE"""),5.70056378479E11)</f>
        <v>570056378479</v>
      </c>
      <c r="E330" s="10" t="str">
        <f>IFERROR(__xludf.DUMMYFUNCTION("""COMPUTED_VALUE""")," সাবান ")</f>
        <v> সাবান </v>
      </c>
      <c r="F330" s="10" t="str">
        <f>IFERROR(__xludf.DUMMYFUNCTION("""COMPUTED_VALUE""")," ফাতেমা ")</f>
        <v> ফাতেমা </v>
      </c>
      <c r="G330" s="10" t="str">
        <f>IFERROR(__xludf.DUMMYFUNCTION("""COMPUTED_VALUE""")," ১০/১০/১৯৫৭ ")</f>
        <v> ১০/১০/১৯৫৭ </v>
      </c>
      <c r="H330" s="10" t="str">
        <f>IFERROR(__xludf.DUMMYFUNCTION("""COMPUTED_VALUE""")," গৃহিনী ")</f>
        <v> গৃহিনী </v>
      </c>
      <c r="I330" s="10" t="str">
        <f>IFERROR(__xludf.DUMMYFUNCTION("""COMPUTED_VALUE""")," জালশুকা, গাংনী, মেহেরপুর ")</f>
        <v> জালশুকা, গাংনী, মেহেরপুর </v>
      </c>
    </row>
    <row r="331">
      <c r="A331" s="9" t="s">
        <v>3033</v>
      </c>
      <c r="B331" s="10">
        <f>IFERROR(__xludf.DUMMYFUNCTION("SPLIT(A331,""|"")"),320.0)</f>
        <v>320</v>
      </c>
      <c r="C331" s="10" t="str">
        <f>IFERROR(__xludf.DUMMYFUNCTION("""COMPUTED_VALUE""")," মোছাঃ ফেদি ")</f>
        <v> মোছাঃ ফেদি </v>
      </c>
      <c r="D331" s="10">
        <f>IFERROR(__xludf.DUMMYFUNCTION("""COMPUTED_VALUE"""),5.70056378484E11)</f>
        <v>570056378484</v>
      </c>
      <c r="E331" s="10" t="str">
        <f>IFERROR(__xludf.DUMMYFUNCTION("""COMPUTED_VALUE""")," মোহাঃ তারাচাদ ")</f>
        <v> মোহাঃ তারাচাদ </v>
      </c>
      <c r="F331" s="10" t="str">
        <f>IFERROR(__xludf.DUMMYFUNCTION("""COMPUTED_VALUE""")," মোছাঃ সাজেদা ")</f>
        <v> মোছাঃ সাজেদা </v>
      </c>
      <c r="G331" s="10" t="str">
        <f>IFERROR(__xludf.DUMMYFUNCTION("""COMPUTED_VALUE""")," ০৮/০২/১৯৭৭ ")</f>
        <v> ০৮/০২/১৯৭৭ </v>
      </c>
      <c r="H331" s="10" t="str">
        <f>IFERROR(__xludf.DUMMYFUNCTION("""COMPUTED_VALUE""")," গৃহিনী ")</f>
        <v> গৃহিনী </v>
      </c>
      <c r="I331" s="10" t="str">
        <f>IFERROR(__xludf.DUMMYFUNCTION("""COMPUTED_VALUE""")," জালশুকা, গাংনী, মেহেরপুর ")</f>
        <v> জালশুকা, গাংনী, মেহেরপুর </v>
      </c>
    </row>
    <row r="332">
      <c r="A332" s="9" t="s">
        <v>3034</v>
      </c>
      <c r="B332" s="10">
        <f>IFERROR(__xludf.DUMMYFUNCTION("SPLIT(A332,""|"")"),321.0)</f>
        <v>321</v>
      </c>
      <c r="C332" s="10" t="str">
        <f>IFERROR(__xludf.DUMMYFUNCTION("""COMPUTED_VALUE""")," মোছাঃ তাছিরন ")</f>
        <v> মোছাঃ তাছিরন </v>
      </c>
      <c r="D332" s="10">
        <f>IFERROR(__xludf.DUMMYFUNCTION("""COMPUTED_VALUE"""),5.70056378485E11)</f>
        <v>570056378485</v>
      </c>
      <c r="E332" s="10" t="str">
        <f>IFERROR(__xludf.DUMMYFUNCTION("""COMPUTED_VALUE""")," মোহাঃ আব্দুল মুন্সি ")</f>
        <v> মোহাঃ আব্দুল মুন্সি </v>
      </c>
      <c r="F332" s="10" t="str">
        <f>IFERROR(__xludf.DUMMYFUNCTION("""COMPUTED_VALUE""")," খানুরা ")</f>
        <v> খানুরা </v>
      </c>
      <c r="G332" s="10" t="str">
        <f>IFERROR(__xludf.DUMMYFUNCTION("""COMPUTED_VALUE""")," ১১/১০/১৯৬২ ")</f>
        <v> ১১/১০/১৯৬২ </v>
      </c>
      <c r="H332" s="10" t="str">
        <f>IFERROR(__xludf.DUMMYFUNCTION("""COMPUTED_VALUE""")," গৃহিনী ")</f>
        <v> গৃহিনী </v>
      </c>
      <c r="I332" s="10" t="str">
        <f>IFERROR(__xludf.DUMMYFUNCTION("""COMPUTED_VALUE""")," জালশুকা, গাংনী, মেহেরপুর ")</f>
        <v> জালশুকা, গাংনী, মেহেরপুর </v>
      </c>
    </row>
    <row r="333">
      <c r="A333" s="9" t="s">
        <v>2712</v>
      </c>
      <c r="B333" s="10" t="str">
        <f>IFERROR(__xludf.DUMMYFUNCTION("SPLIT(A333,""|"")")," ক্রমিক নং ")</f>
        <v> ক্রমিক নং </v>
      </c>
      <c r="C333" s="10" t="str">
        <f>IFERROR(__xludf.DUMMYFUNCTION("""COMPUTED_VALUE""")," নাম ")</f>
        <v> নাম </v>
      </c>
      <c r="D333" s="10" t="str">
        <f>IFERROR(__xludf.DUMMYFUNCTION("""COMPUTED_VALUE""")," ভোটার নং ")</f>
        <v> ভোটার নং </v>
      </c>
      <c r="E333" s="10" t="str">
        <f>IFERROR(__xludf.DUMMYFUNCTION("""COMPUTED_VALUE""")," পিতা ")</f>
        <v> পিতা </v>
      </c>
      <c r="F333" s="10" t="str">
        <f>IFERROR(__xludf.DUMMYFUNCTION("""COMPUTED_VALUE""")," মাতা ")</f>
        <v> মাতা </v>
      </c>
      <c r="G333" s="10" t="str">
        <f>IFERROR(__xludf.DUMMYFUNCTION("""COMPUTED_VALUE""")," জন্ম তারিখ ")</f>
        <v> জন্ম তারিখ </v>
      </c>
      <c r="H333" s="10" t="str">
        <f>IFERROR(__xludf.DUMMYFUNCTION("""COMPUTED_VALUE""")," পেশা ")</f>
        <v> পেশা </v>
      </c>
      <c r="I333" s="10" t="str">
        <f>IFERROR(__xludf.DUMMYFUNCTION("""COMPUTED_VALUE""")," ঠিকানা ")</f>
        <v> ঠিকানা </v>
      </c>
    </row>
    <row r="334">
      <c r="A334" s="9" t="s">
        <v>2713</v>
      </c>
      <c r="B334" s="10" t="str">
        <f>IFERROR(__xludf.DUMMYFUNCTION("SPLIT(A334,""|"")"),"---")</f>
        <v>---</v>
      </c>
      <c r="C334" s="10" t="str">
        <f>IFERROR(__xludf.DUMMYFUNCTION("""COMPUTED_VALUE"""),"---")</f>
        <v>---</v>
      </c>
      <c r="D334" s="10" t="str">
        <f>IFERROR(__xludf.DUMMYFUNCTION("""COMPUTED_VALUE"""),"---")</f>
        <v>---</v>
      </c>
      <c r="E334" s="10" t="str">
        <f>IFERROR(__xludf.DUMMYFUNCTION("""COMPUTED_VALUE"""),"---")</f>
        <v>---</v>
      </c>
      <c r="F334" s="10" t="str">
        <f>IFERROR(__xludf.DUMMYFUNCTION("""COMPUTED_VALUE"""),"---")</f>
        <v>---</v>
      </c>
      <c r="G334" s="10" t="str">
        <f>IFERROR(__xludf.DUMMYFUNCTION("""COMPUTED_VALUE"""),"---")</f>
        <v>---</v>
      </c>
      <c r="H334" s="10" t="str">
        <f>IFERROR(__xludf.DUMMYFUNCTION("""COMPUTED_VALUE"""),"---")</f>
        <v>---</v>
      </c>
      <c r="I334" s="10" t="str">
        <f>IFERROR(__xludf.DUMMYFUNCTION("""COMPUTED_VALUE"""),"---")</f>
        <v>---</v>
      </c>
    </row>
    <row r="335">
      <c r="A335" s="9" t="s">
        <v>3035</v>
      </c>
      <c r="B335" s="10">
        <f>IFERROR(__xludf.DUMMYFUNCTION("SPLIT(A335,""|"")"),322.0)</f>
        <v>322</v>
      </c>
      <c r="C335" s="10" t="str">
        <f>IFERROR(__xludf.DUMMYFUNCTION("""COMPUTED_VALUE""")," মোছাঃ সাবিনা খাতুন ")</f>
        <v> মোছাঃ সাবিনা খাতুন </v>
      </c>
      <c r="D335" s="10">
        <f>IFERROR(__xludf.DUMMYFUNCTION("""COMPUTED_VALUE"""),5.70056378491E11)</f>
        <v>570056378491</v>
      </c>
      <c r="E335" s="10" t="str">
        <f>IFERROR(__xludf.DUMMYFUNCTION("""COMPUTED_VALUE""")," মোহাঃ মিরাজ ")</f>
        <v> মোহাঃ মিরাজ </v>
      </c>
      <c r="F335" s="10" t="str">
        <f>IFERROR(__xludf.DUMMYFUNCTION("""COMPUTED_VALUE""")," মোছাঃ ছালেহা ")</f>
        <v> মোছাঃ ছালেহা </v>
      </c>
      <c r="G335" s="10" t="str">
        <f>IFERROR(__xludf.DUMMYFUNCTION("""COMPUTED_VALUE""")," ১২/১০/১৯৮৮ ")</f>
        <v> ১২/১০/১৯৮৮ </v>
      </c>
      <c r="H335" s="10" t="str">
        <f>IFERROR(__xludf.DUMMYFUNCTION("""COMPUTED_VALUE""")," গৃহিনী ")</f>
        <v> গৃহিনী </v>
      </c>
      <c r="I335" s="10" t="str">
        <f>IFERROR(__xludf.DUMMYFUNCTION("""COMPUTED_VALUE""")," জালশুকা, গাংনী, মেহেরপুর ")</f>
        <v> জালশুকা, গাংনী, মেহেরপুর </v>
      </c>
    </row>
    <row r="336">
      <c r="A336" s="9" t="s">
        <v>3036</v>
      </c>
      <c r="B336" s="10">
        <f>IFERROR(__xludf.DUMMYFUNCTION("SPLIT(A336,""|"")"),323.0)</f>
        <v>323</v>
      </c>
      <c r="C336" s="10" t="str">
        <f>IFERROR(__xludf.DUMMYFUNCTION("""COMPUTED_VALUE""")," মোছাঃ নুরাতন ")</f>
        <v> মোছাঃ নুরাতন </v>
      </c>
      <c r="D336" s="10">
        <f>IFERROR(__xludf.DUMMYFUNCTION("""COMPUTED_VALUE"""),5.70056378492E11)</f>
        <v>570056378492</v>
      </c>
      <c r="E336" s="10" t="str">
        <f>IFERROR(__xludf.DUMMYFUNCTION("""COMPUTED_VALUE""")," মোহাঃ আনিস ")</f>
        <v> মোহাঃ আনিস </v>
      </c>
      <c r="F336" s="10" t="str">
        <f>IFERROR(__xludf.DUMMYFUNCTION("""COMPUTED_VALUE""")," মোছাঃ ছামিরন ")</f>
        <v> মোছাঃ ছামিরন </v>
      </c>
      <c r="G336" s="10" t="str">
        <f>IFERROR(__xludf.DUMMYFUNCTION("""COMPUTED_VALUE""")," ১০/০৫/১৯৬৭ ")</f>
        <v> ১০/০৫/১৯৬৭ </v>
      </c>
      <c r="H336" s="10" t="str">
        <f>IFERROR(__xludf.DUMMYFUNCTION("""COMPUTED_VALUE""")," গৃহিনী ")</f>
        <v> গৃহিনী </v>
      </c>
      <c r="I336" s="10" t="str">
        <f>IFERROR(__xludf.DUMMYFUNCTION("""COMPUTED_VALUE""")," জালশুকা, গাংনী, মেহেরপুর ")</f>
        <v> জালশুকা, গাংনী, মেহেরপুর </v>
      </c>
    </row>
    <row r="337">
      <c r="A337" s="9" t="s">
        <v>3037</v>
      </c>
      <c r="B337" s="10">
        <f>IFERROR(__xludf.DUMMYFUNCTION("SPLIT(A337,""|"")"),324.0)</f>
        <v>324</v>
      </c>
      <c r="C337" s="10" t="str">
        <f>IFERROR(__xludf.DUMMYFUNCTION("""COMPUTED_VALUE""")," মোছাঃ গুলশান আরা ")</f>
        <v> মোছাঃ গুলশান আরা </v>
      </c>
      <c r="D337" s="10">
        <f>IFERROR(__xludf.DUMMYFUNCTION("""COMPUTED_VALUE"""),5.70056378493E11)</f>
        <v>570056378493</v>
      </c>
      <c r="E337" s="10" t="str">
        <f>IFERROR(__xludf.DUMMYFUNCTION("""COMPUTED_VALUE""")," মোহাঃ আজিজার ")</f>
        <v> মোহাঃ আজিজার </v>
      </c>
      <c r="F337" s="10" t="str">
        <f>IFERROR(__xludf.DUMMYFUNCTION("""COMPUTED_VALUE""")," মোছাঃ জছিরন ")</f>
        <v> মোছাঃ জছিরন </v>
      </c>
      <c r="G337" s="10" t="str">
        <f>IFERROR(__xludf.DUMMYFUNCTION("""COMPUTED_VALUE""")," ১২/১১/১৯৬২ ")</f>
        <v> ১২/১১/১৯৬২ </v>
      </c>
      <c r="H337" s="10" t="str">
        <f>IFERROR(__xludf.DUMMYFUNCTION("""COMPUTED_VALUE""")," গৃহিনী ")</f>
        <v> গৃহিনী </v>
      </c>
      <c r="I337" s="10" t="str">
        <f>IFERROR(__xludf.DUMMYFUNCTION("""COMPUTED_VALUE""")," জালশুকা, গাংনী, মেহেরপুর ")</f>
        <v> জালশুকা, গাংনী, মেহেরপুর </v>
      </c>
    </row>
    <row r="338">
      <c r="A338" s="9" t="s">
        <v>3038</v>
      </c>
      <c r="B338" s="10">
        <f>IFERROR(__xludf.DUMMYFUNCTION("SPLIT(A338,""|"")"),325.0)</f>
        <v>325</v>
      </c>
      <c r="C338" s="10" t="str">
        <f>IFERROR(__xludf.DUMMYFUNCTION("""COMPUTED_VALUE""")," মোছাঃ রমেছা ")</f>
        <v> মোছাঃ রমেছা </v>
      </c>
      <c r="D338" s="10">
        <f>IFERROR(__xludf.DUMMYFUNCTION("""COMPUTED_VALUE"""),5.70056378495E11)</f>
        <v>570056378495</v>
      </c>
      <c r="E338" s="10" t="str">
        <f>IFERROR(__xludf.DUMMYFUNCTION("""COMPUTED_VALUE""")," মোহাঃ মকবুল ")</f>
        <v> মোহাঃ মকবুল </v>
      </c>
      <c r="F338" s="10" t="str">
        <f>IFERROR(__xludf.DUMMYFUNCTION("""COMPUTED_VALUE""")," মাতাঃ ভিতুমন ")</f>
        <v> মাতাঃ ভিতুমন </v>
      </c>
      <c r="G338" s="10" t="str">
        <f>IFERROR(__xludf.DUMMYFUNCTION("""COMPUTED_VALUE""")," ০১/০৩/১৯৬৭ ")</f>
        <v> ০১/০৩/১৯৬৭ </v>
      </c>
      <c r="H338" s="10" t="str">
        <f>IFERROR(__xludf.DUMMYFUNCTION("""COMPUTED_VALUE""")," গৃহিনী ")</f>
        <v> গৃহিনী </v>
      </c>
      <c r="I338" s="10" t="str">
        <f>IFERROR(__xludf.DUMMYFUNCTION("""COMPUTED_VALUE""")," জালশুকা, গাংনী, মেহেরপুর ")</f>
        <v> জালশুকা, গাংনী, মেহেরপুর </v>
      </c>
    </row>
    <row r="339">
      <c r="A339" s="9" t="s">
        <v>3039</v>
      </c>
      <c r="B339" s="10">
        <f>IFERROR(__xludf.DUMMYFUNCTION("SPLIT(A339,""|"")"),326.0)</f>
        <v>326</v>
      </c>
      <c r="C339" s="10" t="str">
        <f>IFERROR(__xludf.DUMMYFUNCTION("""COMPUTED_VALUE""")," মোছাঃ সুরাইয়া ")</f>
        <v> মোছাঃ সুরাইয়া </v>
      </c>
      <c r="D339" s="10">
        <f>IFERROR(__xludf.DUMMYFUNCTION("""COMPUTED_VALUE"""),5.70056378497E11)</f>
        <v>570056378497</v>
      </c>
      <c r="E339" s="10" t="str">
        <f>IFERROR(__xludf.DUMMYFUNCTION("""COMPUTED_VALUE""")," মোহাঃ সফিরদ্দিন ")</f>
        <v> মোহাঃ সফিরদ্দিন </v>
      </c>
      <c r="F339" s="10" t="str">
        <f>IFERROR(__xludf.DUMMYFUNCTION("""COMPUTED_VALUE""")," মোছাঃ ফেরদোসি ")</f>
        <v> মোছাঃ ফেরদোসি </v>
      </c>
      <c r="G339" s="10" t="str">
        <f>IFERROR(__xludf.DUMMYFUNCTION("""COMPUTED_VALUE""")," ১০/১০/১৯৮৮ ")</f>
        <v> ১০/১০/১৯৮৮ </v>
      </c>
      <c r="H339" s="10" t="str">
        <f>IFERROR(__xludf.DUMMYFUNCTION("""COMPUTED_VALUE""")," গৃহিনী ")</f>
        <v> গৃহিনী </v>
      </c>
      <c r="I339" s="10" t="str">
        <f>IFERROR(__xludf.DUMMYFUNCTION("""COMPUTED_VALUE""")," জালশুকা, গাংনী, মেহেরপুর ")</f>
        <v> জালশুকা, গাংনী, মেহেরপুর </v>
      </c>
    </row>
    <row r="340">
      <c r="A340" s="9" t="s">
        <v>3040</v>
      </c>
      <c r="B340" s="10">
        <f>IFERROR(__xludf.DUMMYFUNCTION("SPLIT(A340,""|"")"),327.0)</f>
        <v>327</v>
      </c>
      <c r="C340" s="10" t="str">
        <f>IFERROR(__xludf.DUMMYFUNCTION("""COMPUTED_VALUE""")," মোছাঃ সাহারবানু ")</f>
        <v> মোছাঃ সাহারবানু </v>
      </c>
      <c r="D340" s="10">
        <f>IFERROR(__xludf.DUMMYFUNCTION("""COMPUTED_VALUE"""),5.70056378498E11)</f>
        <v>570056378498</v>
      </c>
      <c r="E340" s="10" t="str">
        <f>IFERROR(__xludf.DUMMYFUNCTION("""COMPUTED_VALUE""")," পিতাঃ মোহাঃ আজিজার ")</f>
        <v> পিতাঃ মোহাঃ আজিজার </v>
      </c>
      <c r="F340" s="10" t="str">
        <f>IFERROR(__xludf.DUMMYFUNCTION("""COMPUTED_VALUE""")," মোছাঃ জছিরন ")</f>
        <v> মোছাঃ জছিরন </v>
      </c>
      <c r="G340" s="10" t="str">
        <f>IFERROR(__xludf.DUMMYFUNCTION("""COMPUTED_VALUE""")," ০৩/০৫/১৯৬৭ ")</f>
        <v> ০৩/০৫/১৯৬৭ </v>
      </c>
      <c r="H340" s="10" t="str">
        <f>IFERROR(__xludf.DUMMYFUNCTION("""COMPUTED_VALUE""")," গৃহিনী ")</f>
        <v> গৃহিনী </v>
      </c>
      <c r="I340" s="10" t="str">
        <f>IFERROR(__xludf.DUMMYFUNCTION("""COMPUTED_VALUE""")," জালশুকা, গাংনী, মেহেরপুর ")</f>
        <v> জালশুকা, গাংনী, মেহেরপুর </v>
      </c>
    </row>
    <row r="341">
      <c r="A341" s="9" t="s">
        <v>3041</v>
      </c>
      <c r="B341" s="10">
        <f>IFERROR(__xludf.DUMMYFUNCTION("SPLIT(A341,""|"")"),328.0)</f>
        <v>328</v>
      </c>
      <c r="C341" s="10" t="str">
        <f>IFERROR(__xludf.DUMMYFUNCTION("""COMPUTED_VALUE""")," মোছাঃ রাশিদা খাতুন ")</f>
        <v> মোছাঃ রাশিদা খাতুন </v>
      </c>
      <c r="D341" s="10">
        <f>IFERROR(__xludf.DUMMYFUNCTION("""COMPUTED_VALUE"""),5.70056378501E11)</f>
        <v>570056378501</v>
      </c>
      <c r="E341" s="10" t="str">
        <f>IFERROR(__xludf.DUMMYFUNCTION("""COMPUTED_VALUE""")," মোহাঃ আজিমদ্দিন ")</f>
        <v> মোহাঃ আজিমদ্দিন </v>
      </c>
      <c r="F341" s="10" t="str">
        <f>IFERROR(__xludf.DUMMYFUNCTION("""COMPUTED_VALUE""")," মোছাঃ ছপুরা খাতুন ")</f>
        <v> মোছাঃ ছপুরা খাতুন </v>
      </c>
      <c r="G341" s="10" t="str">
        <f>IFERROR(__xludf.DUMMYFUNCTION("""COMPUTED_VALUE""")," ০৫/০৬/১৯৮০ ")</f>
        <v> ০৫/০৬/১৯৮০ </v>
      </c>
      <c r="H341" s="10" t="str">
        <f>IFERROR(__xludf.DUMMYFUNCTION("""COMPUTED_VALUE""")," শিক্ষক ")</f>
        <v> শিক্ষক </v>
      </c>
      <c r="I341" s="10" t="str">
        <f>IFERROR(__xludf.DUMMYFUNCTION("""COMPUTED_VALUE""")," জালশুকা, গাংনী, মেহেরপুর ")</f>
        <v> জালশুকা, গাংনী, মেহেরপুর </v>
      </c>
    </row>
    <row r="342">
      <c r="A342" s="9" t="s">
        <v>3042</v>
      </c>
      <c r="B342" s="10">
        <f>IFERROR(__xludf.DUMMYFUNCTION("SPLIT(A342,""|"")"),329.0)</f>
        <v>329</v>
      </c>
      <c r="C342" s="10" t="str">
        <f>IFERROR(__xludf.DUMMYFUNCTION("""COMPUTED_VALUE""")," মোছাঃ পানছুরাতন ")</f>
        <v> মোছাঃ পানছুরাতন </v>
      </c>
      <c r="D342" s="10">
        <f>IFERROR(__xludf.DUMMYFUNCTION("""COMPUTED_VALUE"""),5.70056378512E11)</f>
        <v>570056378512</v>
      </c>
      <c r="E342" s="10" t="str">
        <f>IFERROR(__xludf.DUMMYFUNCTION("""COMPUTED_VALUE""")," বাহুর আলী ")</f>
        <v> বাহুর আলী </v>
      </c>
      <c r="F342" s="10" t="str">
        <f>IFERROR(__xludf.DUMMYFUNCTION("""COMPUTED_VALUE""")," জবেদা ")</f>
        <v> জবেদা </v>
      </c>
      <c r="G342" s="10" t="str">
        <f>IFERROR(__xludf.DUMMYFUNCTION("""COMPUTED_VALUE""")," ১০/০৫/১৯৪৭ ")</f>
        <v> ১০/০৫/১৯৪৭ </v>
      </c>
      <c r="H342" s="10" t="str">
        <f>IFERROR(__xludf.DUMMYFUNCTION("""COMPUTED_VALUE""")," গৃহিনী ")</f>
        <v> গৃহিনী </v>
      </c>
      <c r="I342" s="10" t="str">
        <f>IFERROR(__xludf.DUMMYFUNCTION("""COMPUTED_VALUE""")," জালশুকা, গাংনী, মেহেরপুর ")</f>
        <v> জালশুকা, গাংনী, মেহেরপুর </v>
      </c>
    </row>
    <row r="343">
      <c r="A343" s="9" t="s">
        <v>3043</v>
      </c>
      <c r="B343" s="10">
        <f>IFERROR(__xludf.DUMMYFUNCTION("SPLIT(A343,""|"")"),330.0)</f>
        <v>330</v>
      </c>
      <c r="C343" s="10" t="str">
        <f>IFERROR(__xludf.DUMMYFUNCTION("""COMPUTED_VALUE""")," মোছাঃ শ্রাবনী আক্তার ")</f>
        <v> মোছাঃ শ্রাবনী আক্তার </v>
      </c>
      <c r="D343" s="10">
        <f>IFERROR(__xludf.DUMMYFUNCTION("""COMPUTED_VALUE"""),5.70056378513E11)</f>
        <v>570056378513</v>
      </c>
      <c r="E343" s="10" t="str">
        <f>IFERROR(__xludf.DUMMYFUNCTION("""COMPUTED_VALUE""")," মোহাঃ হাবিবুর রহমান ")</f>
        <v> মোহাঃ হাবিবুর রহমান </v>
      </c>
      <c r="F343" s="10" t="str">
        <f>IFERROR(__xludf.DUMMYFUNCTION("""COMPUTED_VALUE""")," মোছাঃ ফরিদা আক্তার ")</f>
        <v> মোছাঃ ফরিদা আক্তার </v>
      </c>
      <c r="G343" s="10" t="str">
        <f>IFERROR(__xludf.DUMMYFUNCTION("""COMPUTED_VALUE""")," ১০/১২/১৯৮৯ ")</f>
        <v> ১০/১২/১৯৮৯ </v>
      </c>
      <c r="H343" s="10" t="str">
        <f>IFERROR(__xludf.DUMMYFUNCTION("""COMPUTED_VALUE""")," গৃহিনী ")</f>
        <v> গৃহিনী </v>
      </c>
      <c r="I343" s="10" t="str">
        <f>IFERROR(__xludf.DUMMYFUNCTION("""COMPUTED_VALUE""")," জালশুকা, গাংনী, মেহেরপুর ")</f>
        <v> জালশুকা, গাংনী, মেহেরপুর </v>
      </c>
    </row>
    <row r="344">
      <c r="A344" s="9" t="s">
        <v>3044</v>
      </c>
      <c r="B344" s="10">
        <f>IFERROR(__xludf.DUMMYFUNCTION("SPLIT(A344,""|"")"),331.0)</f>
        <v>331</v>
      </c>
      <c r="C344" s="10" t="str">
        <f>IFERROR(__xludf.DUMMYFUNCTION("""COMPUTED_VALUE""")," মোছাঃ আনুরা খাতুন ")</f>
        <v> মোছাঃ আনুরা খাতুন </v>
      </c>
      <c r="D344" s="10">
        <f>IFERROR(__xludf.DUMMYFUNCTION("""COMPUTED_VALUE"""),5.70056378518E11)</f>
        <v>570056378518</v>
      </c>
      <c r="E344" s="10" t="str">
        <f>IFERROR(__xludf.DUMMYFUNCTION("""COMPUTED_VALUE""")," ছইমদ্দিন ")</f>
        <v> ছইমদ্দিন </v>
      </c>
      <c r="F344" s="10" t="str">
        <f>IFERROR(__xludf.DUMMYFUNCTION("""COMPUTED_VALUE""")," হাচাতন ")</f>
        <v> হাচাতন </v>
      </c>
      <c r="G344" s="10" t="str">
        <f>IFERROR(__xludf.DUMMYFUNCTION("""COMPUTED_VALUE""")," ০৩/০৪/১৯৭২ ")</f>
        <v> ০৩/০৪/১৯৭২ </v>
      </c>
      <c r="H344" s="10" t="str">
        <f>IFERROR(__xludf.DUMMYFUNCTION("""COMPUTED_VALUE""")," গৃহিনী ")</f>
        <v> গৃহিনী </v>
      </c>
      <c r="I344" s="10" t="str">
        <f>IFERROR(__xludf.DUMMYFUNCTION("""COMPUTED_VALUE""")," জালশুকা, গাংনী, মেহেরপুর ")</f>
        <v> জালশুকা, গাংনী, মেহেরপুর </v>
      </c>
    </row>
    <row r="345">
      <c r="A345" s="9" t="s">
        <v>3045</v>
      </c>
      <c r="B345" s="10">
        <f>IFERROR(__xludf.DUMMYFUNCTION("SPLIT(A345,""|"")"),332.0)</f>
        <v>332</v>
      </c>
      <c r="C345" s="10" t="str">
        <f>IFERROR(__xludf.DUMMYFUNCTION("""COMPUTED_VALUE""")," মোছাঃ ফিরোজা খাতুন ")</f>
        <v> মোছাঃ ফিরোজা খাতুন </v>
      </c>
      <c r="D345" s="10">
        <f>IFERROR(__xludf.DUMMYFUNCTION("""COMPUTED_VALUE"""),5.70056378519E11)</f>
        <v>570056378519</v>
      </c>
      <c r="E345" s="10" t="str">
        <f>IFERROR(__xludf.DUMMYFUNCTION("""COMPUTED_VALUE""")," মোহাঃ রবকুল ")</f>
        <v> মোহাঃ রবকুল </v>
      </c>
      <c r="F345" s="10" t="str">
        <f>IFERROR(__xludf.DUMMYFUNCTION("""COMPUTED_VALUE""")," মোছাঃ রশিদা ")</f>
        <v> মোছাঃ রশিদা </v>
      </c>
      <c r="G345" s="10" t="str">
        <f>IFERROR(__xludf.DUMMYFUNCTION("""COMPUTED_VALUE""")," ০৫/০৬/১৯৫৭ ")</f>
        <v> ০৫/০৬/১৯৫৭ </v>
      </c>
      <c r="H345" s="10" t="str">
        <f>IFERROR(__xludf.DUMMYFUNCTION("""COMPUTED_VALUE""")," গৃহিনী ")</f>
        <v> গৃহিনী </v>
      </c>
      <c r="I345" s="10" t="str">
        <f>IFERROR(__xludf.DUMMYFUNCTION("""COMPUTED_VALUE""")," জালশুকা, গাংনী, মেহেরপুর ")</f>
        <v> জালশুকা, গাংনী, মেহেরপুর </v>
      </c>
    </row>
    <row r="346">
      <c r="A346" s="9" t="s">
        <v>3046</v>
      </c>
      <c r="B346" s="10">
        <f>IFERROR(__xludf.DUMMYFUNCTION("SPLIT(A346,""|"")"),333.0)</f>
        <v>333</v>
      </c>
      <c r="C346" s="10" t="str">
        <f>IFERROR(__xludf.DUMMYFUNCTION("""COMPUTED_VALUE""")," মোছাঃ সুবারোন ")</f>
        <v> মোছাঃ সুবারোন </v>
      </c>
      <c r="D346" s="10">
        <f>IFERROR(__xludf.DUMMYFUNCTION("""COMPUTED_VALUE"""),5.7005637852E11)</f>
        <v>570056378520</v>
      </c>
      <c r="E346" s="10" t="str">
        <f>IFERROR(__xludf.DUMMYFUNCTION("""COMPUTED_VALUE""")," মোহাঃ অজিত ")</f>
        <v> মোহাঃ অজিত </v>
      </c>
      <c r="F346" s="10" t="str">
        <f>IFERROR(__xludf.DUMMYFUNCTION("""COMPUTED_VALUE""")," মোছাঃ চান্তরা ")</f>
        <v> মোছাঃ চান্তরা </v>
      </c>
      <c r="G346" s="10" t="str">
        <f>IFERROR(__xludf.DUMMYFUNCTION("""COMPUTED_VALUE""")," ১০/০৪/১৯৭৫ ")</f>
        <v> ১০/০৪/১৯৭৫ </v>
      </c>
      <c r="H346" s="10" t="str">
        <f>IFERROR(__xludf.DUMMYFUNCTION("""COMPUTED_VALUE""")," গৃহিনী ")</f>
        <v> গৃহিনী </v>
      </c>
      <c r="I346" s="10" t="str">
        <f>IFERROR(__xludf.DUMMYFUNCTION("""COMPUTED_VALUE""")," জালশুকা, গাংনী, মেহেরপুর ")</f>
        <v> জালশুকা, গাংনী, মেহেরপুর </v>
      </c>
    </row>
    <row r="347">
      <c r="A347" s="9" t="s">
        <v>3047</v>
      </c>
      <c r="B347" s="10">
        <f>IFERROR(__xludf.DUMMYFUNCTION("SPLIT(A347,""|"")"),334.0)</f>
        <v>334</v>
      </c>
      <c r="C347" s="10" t="str">
        <f>IFERROR(__xludf.DUMMYFUNCTION("""COMPUTED_VALUE""")," মোছাঃ জামিরন ")</f>
        <v> মোছাঃ জামিরন </v>
      </c>
      <c r="D347" s="10">
        <f>IFERROR(__xludf.DUMMYFUNCTION("""COMPUTED_VALUE"""),5.70056378521E11)</f>
        <v>570056378521</v>
      </c>
      <c r="E347" s="10" t="str">
        <f>IFERROR(__xludf.DUMMYFUNCTION("""COMPUTED_VALUE""")," মোহাঃ গেদের আলি ")</f>
        <v> মোহাঃ গেদের আলি </v>
      </c>
      <c r="F347" s="10" t="str">
        <f>IFERROR(__xludf.DUMMYFUNCTION("""COMPUTED_VALUE""")," মোছাঃ সোহাগী ")</f>
        <v> মোছাঃ সোহাগী </v>
      </c>
      <c r="G347" s="10" t="str">
        <f>IFERROR(__xludf.DUMMYFUNCTION("""COMPUTED_VALUE""")," ১০/১০/১৯৭৫ ")</f>
        <v> ১০/১০/১৯৭৫ </v>
      </c>
      <c r="H347" s="10" t="str">
        <f>IFERROR(__xludf.DUMMYFUNCTION("""COMPUTED_VALUE""")," গৃহিনী ")</f>
        <v> গৃহিনী </v>
      </c>
      <c r="I347" s="10" t="str">
        <f>IFERROR(__xludf.DUMMYFUNCTION("""COMPUTED_VALUE""")," জালশুকা, গাংনী, মেহেরপুর ")</f>
        <v> জালশুকা, গাংনী, মেহেরপুর </v>
      </c>
    </row>
    <row r="348">
      <c r="A348" s="9" t="s">
        <v>3048</v>
      </c>
      <c r="B348" s="10">
        <f>IFERROR(__xludf.DUMMYFUNCTION("SPLIT(A348,""|"")"),335.0)</f>
        <v>335</v>
      </c>
      <c r="C348" s="10" t="str">
        <f>IFERROR(__xludf.DUMMYFUNCTION("""COMPUTED_VALUE""")," মোছাঃ বেদানা ")</f>
        <v> মোছাঃ বেদানা </v>
      </c>
      <c r="D348" s="10">
        <f>IFERROR(__xludf.DUMMYFUNCTION("""COMPUTED_VALUE"""),5.70056378523E11)</f>
        <v>570056378523</v>
      </c>
      <c r="E348" s="10" t="str">
        <f>IFERROR(__xludf.DUMMYFUNCTION("""COMPUTED_VALUE""")," মোহাঃ রমজান ")</f>
        <v> মোহাঃ রমজান </v>
      </c>
      <c r="F348" s="10" t="str">
        <f>IFERROR(__xludf.DUMMYFUNCTION("""COMPUTED_VALUE""")," মোছাঃ আনজিরা ")</f>
        <v> মোছাঃ আনজিরা </v>
      </c>
      <c r="G348" s="10" t="str">
        <f>IFERROR(__xludf.DUMMYFUNCTION("""COMPUTED_VALUE""")," ১০/০৫/১৯৫৭ ")</f>
        <v> ১০/০৫/১৯৫৭ </v>
      </c>
      <c r="H348" s="10" t="str">
        <f>IFERROR(__xludf.DUMMYFUNCTION("""COMPUTED_VALUE""")," গৃহিনী ")</f>
        <v> গৃহিনী </v>
      </c>
      <c r="I348" s="10" t="str">
        <f>IFERROR(__xludf.DUMMYFUNCTION("""COMPUTED_VALUE""")," জালশুকা, গাংনী, মেহেরপুর ")</f>
        <v> জালশুকা, গাংনী, মেহেরপুর </v>
      </c>
    </row>
    <row r="349">
      <c r="A349" s="9" t="s">
        <v>3049</v>
      </c>
      <c r="B349" s="10">
        <f>IFERROR(__xludf.DUMMYFUNCTION("SPLIT(A349,""|"")"),336.0)</f>
        <v>336</v>
      </c>
      <c r="C349" s="10" t="str">
        <f>IFERROR(__xludf.DUMMYFUNCTION("""COMPUTED_VALUE""")," মোছাঃ তছলিমা ")</f>
        <v> মোছাঃ তছলিমা </v>
      </c>
      <c r="D349" s="10">
        <f>IFERROR(__xludf.DUMMYFUNCTION("""COMPUTED_VALUE"""),5.70056378524E11)</f>
        <v>570056378524</v>
      </c>
      <c r="E349" s="10" t="str">
        <f>IFERROR(__xludf.DUMMYFUNCTION("""COMPUTED_VALUE""")," মোহাঃ ফয়জদ্দিন ")</f>
        <v> মোহাঃ ফয়জদ্দিন </v>
      </c>
      <c r="F349" s="10" t="str">
        <f>IFERROR(__xludf.DUMMYFUNCTION("""COMPUTED_VALUE""")," গায়রুন ")</f>
        <v> গায়রুন </v>
      </c>
      <c r="G349" s="10" t="str">
        <f>IFERROR(__xludf.DUMMYFUNCTION("""COMPUTED_VALUE""")," ১২/১০/১৯৬৯ ")</f>
        <v> ১২/১০/১৯৬৯ </v>
      </c>
      <c r="H349" s="10" t="str">
        <f>IFERROR(__xludf.DUMMYFUNCTION("""COMPUTED_VALUE""")," গৃহিনী ")</f>
        <v> গৃহিনী </v>
      </c>
      <c r="I349" s="10" t="str">
        <f>IFERROR(__xludf.DUMMYFUNCTION("""COMPUTED_VALUE""")," জালশুকা, গাংনী, মেহেরপুর ")</f>
        <v> জালশুকা, গাংনী, মেহেরপুর </v>
      </c>
    </row>
    <row r="350">
      <c r="A350" s="9" t="s">
        <v>3050</v>
      </c>
      <c r="B350" s="10">
        <f>IFERROR(__xludf.DUMMYFUNCTION("SPLIT(A350,""|"")"),337.0)</f>
        <v>337</v>
      </c>
      <c r="C350" s="10" t="str">
        <f>IFERROR(__xludf.DUMMYFUNCTION("""COMPUTED_VALUE""")," মোছাঃ আছিয়া খাতুন ")</f>
        <v> মোছাঃ আছিয়া খাতুন </v>
      </c>
      <c r="D350" s="10">
        <f>IFERROR(__xludf.DUMMYFUNCTION("""COMPUTED_VALUE"""),5.70056378525E11)</f>
        <v>570056378525</v>
      </c>
      <c r="E350" s="10" t="str">
        <f>IFERROR(__xludf.DUMMYFUNCTION("""COMPUTED_VALUE""")," হারান মন্ডল ")</f>
        <v> হারান মন্ডল </v>
      </c>
      <c r="F350" s="10" t="str">
        <f>IFERROR(__xludf.DUMMYFUNCTION("""COMPUTED_VALUE""")," মাখন ")</f>
        <v> মাখন </v>
      </c>
      <c r="G350" s="10" t="str">
        <f>IFERROR(__xludf.DUMMYFUNCTION("""COMPUTED_VALUE""")," ০১/১০/১৯৫২ ")</f>
        <v> ০১/১০/১৯৫২ </v>
      </c>
      <c r="H350" s="10" t="str">
        <f>IFERROR(__xludf.DUMMYFUNCTION("""COMPUTED_VALUE""")," গৃহিনী ")</f>
        <v> গৃহিনী </v>
      </c>
      <c r="I350" s="10" t="str">
        <f>IFERROR(__xludf.DUMMYFUNCTION("""COMPUTED_VALUE""")," জালশুকা, গাংনী, মেহেরপুর ")</f>
        <v> জালশুকা, গাংনী, মেহেরপুর </v>
      </c>
    </row>
    <row r="351">
      <c r="A351" s="9" t="s">
        <v>3051</v>
      </c>
      <c r="B351" s="10">
        <f>IFERROR(__xludf.DUMMYFUNCTION("SPLIT(A351,""|"")"),338.0)</f>
        <v>338</v>
      </c>
      <c r="C351" s="10" t="str">
        <f>IFERROR(__xludf.DUMMYFUNCTION("""COMPUTED_VALUE""")," মোছাঃ সাহেরা খাতুন ")</f>
        <v> মোছাঃ সাহেরা খাতুন </v>
      </c>
      <c r="D351" s="10">
        <f>IFERROR(__xludf.DUMMYFUNCTION("""COMPUTED_VALUE"""),5.70056378526E11)</f>
        <v>570056378526</v>
      </c>
      <c r="E351" s="10" t="str">
        <f>IFERROR(__xludf.DUMMYFUNCTION("""COMPUTED_VALUE""")," জয়নাল উদ্দীন ")</f>
        <v> জয়নাল উদ্দীন </v>
      </c>
      <c r="F351" s="10" t="str">
        <f>IFERROR(__xludf.DUMMYFUNCTION("""COMPUTED_VALUE""")," মোছাঃ তহরা ")</f>
        <v> মোছাঃ তহরা </v>
      </c>
      <c r="G351" s="10" t="str">
        <f>IFERROR(__xludf.DUMMYFUNCTION("""COMPUTED_VALUE""")," ১২/১০/১৯৫৭ ")</f>
        <v> ১২/১০/১৯৫৭ </v>
      </c>
      <c r="H351" s="10" t="str">
        <f>IFERROR(__xludf.DUMMYFUNCTION("""COMPUTED_VALUE""")," গৃহিনী ")</f>
        <v> গৃহিনী </v>
      </c>
      <c r="I351" s="10" t="str">
        <f>IFERROR(__xludf.DUMMYFUNCTION("""COMPUTED_VALUE""")," জালশুকা, গাংনী, মেহেরপুর ")</f>
        <v> জালশুকা, গাংনী, মেহেরপুর </v>
      </c>
    </row>
    <row r="352">
      <c r="A352" s="9" t="s">
        <v>3052</v>
      </c>
      <c r="B352" s="10">
        <f>IFERROR(__xludf.DUMMYFUNCTION("SPLIT(A352,""|"")"),339.0)</f>
        <v>339</v>
      </c>
      <c r="C352" s="10" t="str">
        <f>IFERROR(__xludf.DUMMYFUNCTION("""COMPUTED_VALUE""")," মোছাঃ তরিছন ")</f>
        <v> মোছাঃ তরিছন </v>
      </c>
      <c r="D352" s="10">
        <f>IFERROR(__xludf.DUMMYFUNCTION("""COMPUTED_VALUE"""),5.7005637853E11)</f>
        <v>570056378530</v>
      </c>
      <c r="E352" s="10" t="str">
        <f>IFERROR(__xludf.DUMMYFUNCTION("""COMPUTED_VALUE""")," রুস্তম ")</f>
        <v> রুস্তম </v>
      </c>
      <c r="F352" s="10" t="str">
        <f>IFERROR(__xludf.DUMMYFUNCTION("""COMPUTED_VALUE""")," আবেদা ")</f>
        <v> আবেদা </v>
      </c>
      <c r="G352" s="10" t="str">
        <f>IFERROR(__xludf.DUMMYFUNCTION("""COMPUTED_VALUE""")," ১২/১০/১৯৬২ ")</f>
        <v> ১২/১০/১৯৬২ </v>
      </c>
      <c r="H352" s="10" t="str">
        <f>IFERROR(__xludf.DUMMYFUNCTION("""COMPUTED_VALUE""")," গৃহিনী ")</f>
        <v> গৃহিনী </v>
      </c>
      <c r="I352" s="10" t="str">
        <f>IFERROR(__xludf.DUMMYFUNCTION("""COMPUTED_VALUE""")," জালশুকা, গাংনী, মেহেরপুর ")</f>
        <v> জালশুকা, গাংনী, মেহেরপুর </v>
      </c>
    </row>
    <row r="353">
      <c r="A353" s="9" t="s">
        <v>3053</v>
      </c>
      <c r="B353" s="10">
        <f>IFERROR(__xludf.DUMMYFUNCTION("SPLIT(A353,""|"")"),340.0)</f>
        <v>340</v>
      </c>
      <c r="C353" s="10" t="str">
        <f>IFERROR(__xludf.DUMMYFUNCTION("""COMPUTED_VALUE""")," মোছাঃ হাজেরা ")</f>
        <v> মোছাঃ হাজেরা </v>
      </c>
      <c r="D353" s="10">
        <f>IFERROR(__xludf.DUMMYFUNCTION("""COMPUTED_VALUE"""),5.70056378531E11)</f>
        <v>570056378531</v>
      </c>
      <c r="E353" s="10" t="str">
        <f>IFERROR(__xludf.DUMMYFUNCTION("""COMPUTED_VALUE""")," আব্দুল খালেক ")</f>
        <v> আব্দুল খালেক </v>
      </c>
      <c r="F353" s="10" t="str">
        <f>IFERROR(__xludf.DUMMYFUNCTION("""COMPUTED_VALUE""")," মোছাঃ ছিয়াতন ")</f>
        <v> মোছাঃ ছিয়াতন </v>
      </c>
      <c r="G353" s="10" t="str">
        <f>IFERROR(__xludf.DUMMYFUNCTION("""COMPUTED_VALUE""")," ১০/১১/১৯৬৭ ")</f>
        <v> ১০/১১/১৯৬৭ </v>
      </c>
      <c r="H353" s="10" t="str">
        <f>IFERROR(__xludf.DUMMYFUNCTION("""COMPUTED_VALUE""")," গৃহিনী ")</f>
        <v> গৃহিনী </v>
      </c>
      <c r="I353" s="10" t="str">
        <f>IFERROR(__xludf.DUMMYFUNCTION("""COMPUTED_VALUE""")," জালশুকা, গাংনী, মেহেরপুর ")</f>
        <v> জালশুকা, গাংনী, মেহেরপুর </v>
      </c>
    </row>
    <row r="354">
      <c r="A354" s="9" t="s">
        <v>3054</v>
      </c>
      <c r="B354" s="10">
        <f>IFERROR(__xludf.DUMMYFUNCTION("SPLIT(A354,""|"")"),341.0)</f>
        <v>341</v>
      </c>
      <c r="C354" s="10" t="str">
        <f>IFERROR(__xludf.DUMMYFUNCTION("""COMPUTED_VALUE""")," মোছাঃ তানিয়া ")</f>
        <v> মোছাঃ তানিয়া </v>
      </c>
      <c r="D354" s="10">
        <f>IFERROR(__xludf.DUMMYFUNCTION("""COMPUTED_VALUE"""),5.70056378533E11)</f>
        <v>570056378533</v>
      </c>
      <c r="E354" s="10" t="str">
        <f>IFERROR(__xludf.DUMMYFUNCTION("""COMPUTED_VALUE""")," মোহাঃ কোরমান ")</f>
        <v> মোহাঃ কোরমান </v>
      </c>
      <c r="F354" s="10" t="str">
        <f>IFERROR(__xludf.DUMMYFUNCTION("""COMPUTED_VALUE""")," মোছাঃ ফুটরি ")</f>
        <v> মোছাঃ ফুটরি </v>
      </c>
      <c r="G354" s="10" t="str">
        <f>IFERROR(__xludf.DUMMYFUNCTION("""COMPUTED_VALUE""")," ১০/১০/১৯৮৯ ")</f>
        <v> ১০/১০/১৯৮৯ </v>
      </c>
      <c r="H354" s="10" t="str">
        <f>IFERROR(__xludf.DUMMYFUNCTION("""COMPUTED_VALUE""")," গৃহিনী ")</f>
        <v> গৃহিনী </v>
      </c>
      <c r="I354" s="10" t="str">
        <f>IFERROR(__xludf.DUMMYFUNCTION("""COMPUTED_VALUE""")," জালশুকা, গাংনী, মেহেরপুর ")</f>
        <v> জালশুকা, গাংনী, মেহেরপুর </v>
      </c>
    </row>
    <row r="355">
      <c r="A355" s="9" t="s">
        <v>3055</v>
      </c>
      <c r="B355" s="10">
        <f>IFERROR(__xludf.DUMMYFUNCTION("SPLIT(A355,""|"")"),342.0)</f>
        <v>342</v>
      </c>
      <c r="C355" s="10" t="str">
        <f>IFERROR(__xludf.DUMMYFUNCTION("""COMPUTED_VALUE""")," মোছাঃ রিনা খাতুন ")</f>
        <v> মোছাঃ রিনা খাতুন </v>
      </c>
      <c r="D355" s="10">
        <f>IFERROR(__xludf.DUMMYFUNCTION("""COMPUTED_VALUE"""),5.70056378534E11)</f>
        <v>570056378534</v>
      </c>
      <c r="E355" s="10" t="str">
        <f>IFERROR(__xludf.DUMMYFUNCTION("""COMPUTED_VALUE""")," আব্দুল শেখ ")</f>
        <v> আব্দুল শেখ </v>
      </c>
      <c r="F355" s="10" t="str">
        <f>IFERROR(__xludf.DUMMYFUNCTION("""COMPUTED_VALUE""")," সবুরা ")</f>
        <v> সবুরা </v>
      </c>
      <c r="G355" s="10" t="str">
        <f>IFERROR(__xludf.DUMMYFUNCTION("""COMPUTED_VALUE""")," ১০/১০/১৯৭২ ")</f>
        <v> ১০/১০/১৯৭২ </v>
      </c>
      <c r="H355" s="10" t="str">
        <f>IFERROR(__xludf.DUMMYFUNCTION("""COMPUTED_VALUE""")," গৃহিনী ")</f>
        <v> গৃহিনী </v>
      </c>
      <c r="I355" s="10" t="str">
        <f>IFERROR(__xludf.DUMMYFUNCTION("""COMPUTED_VALUE""")," জালশুকা, গাংনী, মেহেরপুর ")</f>
        <v> জালশুকা, গাংনী, মেহেরপুর </v>
      </c>
    </row>
    <row r="356">
      <c r="A356" s="9" t="s">
        <v>3056</v>
      </c>
      <c r="B356" s="10">
        <f>IFERROR(__xludf.DUMMYFUNCTION("SPLIT(A356,""|"")"),343.0)</f>
        <v>343</v>
      </c>
      <c r="C356" s="10" t="str">
        <f>IFERROR(__xludf.DUMMYFUNCTION("""COMPUTED_VALUE""")," মোছাঃ সুফিয়া খাতুন ")</f>
        <v> মোছাঃ সুফিয়া খাতুন </v>
      </c>
      <c r="D356" s="10">
        <f>IFERROR(__xludf.DUMMYFUNCTION("""COMPUTED_VALUE"""),5.70056378535E11)</f>
        <v>570056378535</v>
      </c>
      <c r="E356" s="10" t="str">
        <f>IFERROR(__xludf.DUMMYFUNCTION("""COMPUTED_VALUE""")," মোহাঃ রফিকুল ")</f>
        <v> মোহাঃ রফিকুল </v>
      </c>
      <c r="F356" s="10" t="str">
        <f>IFERROR(__xludf.DUMMYFUNCTION("""COMPUTED_VALUE""")," ফুলজান ")</f>
        <v> ফুলজান </v>
      </c>
      <c r="G356" s="10" t="str">
        <f>IFERROR(__xludf.DUMMYFUNCTION("""COMPUTED_VALUE""")," ১২/১০/১৯৬৯ ")</f>
        <v> ১২/১০/১৯৬৯ </v>
      </c>
      <c r="H356" s="10" t="str">
        <f>IFERROR(__xludf.DUMMYFUNCTION("""COMPUTED_VALUE""")," গৃহিনী ")</f>
        <v> গৃহিনী </v>
      </c>
      <c r="I356" s="10" t="str">
        <f>IFERROR(__xludf.DUMMYFUNCTION("""COMPUTED_VALUE""")," জালশুকা, গাংনী, মেহেরপুর ")</f>
        <v> জালশুকা, গাংনী, মেহেরপুর </v>
      </c>
    </row>
    <row r="357">
      <c r="A357" s="9" t="s">
        <v>3057</v>
      </c>
      <c r="B357" s="10">
        <f>IFERROR(__xludf.DUMMYFUNCTION("SPLIT(A357,""|"")"),344.0)</f>
        <v>344</v>
      </c>
      <c r="C357" s="10" t="str">
        <f>IFERROR(__xludf.DUMMYFUNCTION("""COMPUTED_VALUE""")," মোছাঃ আনজিরা ")</f>
        <v> মোছাঃ আনজিরা </v>
      </c>
      <c r="D357" s="10">
        <f>IFERROR(__xludf.DUMMYFUNCTION("""COMPUTED_VALUE"""),5.70056378536E11)</f>
        <v>570056378536</v>
      </c>
      <c r="E357" s="10" t="str">
        <f>IFERROR(__xludf.DUMMYFUNCTION("""COMPUTED_VALUE""")," মোহাঃ দিদার বক্স ")</f>
        <v> মোহাঃ দিদার বক্স </v>
      </c>
      <c r="F357" s="10" t="str">
        <f>IFERROR(__xludf.DUMMYFUNCTION("""COMPUTED_VALUE""")," মোছাঃ রাজিয়া ")</f>
        <v> মোছাঃ রাজিয়া </v>
      </c>
      <c r="G357" s="10" t="str">
        <f>IFERROR(__xludf.DUMMYFUNCTION("""COMPUTED_VALUE""")," ১০/০৭/১৯৬২ ")</f>
        <v> ১০/০৭/১৯৬২ </v>
      </c>
      <c r="H357" s="10" t="str">
        <f>IFERROR(__xludf.DUMMYFUNCTION("""COMPUTED_VALUE""")," গৃহিনী ")</f>
        <v> গৃহিনী </v>
      </c>
      <c r="I357" s="10" t="str">
        <f>IFERROR(__xludf.DUMMYFUNCTION("""COMPUTED_VALUE""")," জালশুকা, গাংনী, মেহেরপুর ")</f>
        <v> জালশুকা, গাংনী, মেহেরপুর </v>
      </c>
    </row>
    <row r="358">
      <c r="A358" s="9" t="s">
        <v>3058</v>
      </c>
      <c r="B358" s="10">
        <f>IFERROR(__xludf.DUMMYFUNCTION("SPLIT(A358,""|"")"),345.0)</f>
        <v>345</v>
      </c>
      <c r="C358" s="10" t="str">
        <f>IFERROR(__xludf.DUMMYFUNCTION("""COMPUTED_VALUE""")," মোছাঃ নাজিরা ")</f>
        <v> মোছাঃ নাজিরা </v>
      </c>
      <c r="D358" s="10">
        <f>IFERROR(__xludf.DUMMYFUNCTION("""COMPUTED_VALUE"""),5.70056378537E11)</f>
        <v>570056378537</v>
      </c>
      <c r="E358" s="10" t="str">
        <f>IFERROR(__xludf.DUMMYFUNCTION("""COMPUTED_VALUE""")," মোহাঃ রইছদ্দিন ")</f>
        <v> মোহাঃ রইছদ্দিন </v>
      </c>
      <c r="F358" s="10" t="str">
        <f>IFERROR(__xludf.DUMMYFUNCTION("""COMPUTED_VALUE""")," ওজিফা ")</f>
        <v> ওজিফা </v>
      </c>
      <c r="G358" s="10" t="str">
        <f>IFERROR(__xludf.DUMMYFUNCTION("""COMPUTED_VALUE""")," ১০/১১/১৯৭৭ ")</f>
        <v> ১০/১১/১৯৭৭ </v>
      </c>
      <c r="H358" s="10" t="str">
        <f>IFERROR(__xludf.DUMMYFUNCTION("""COMPUTED_VALUE""")," গৃহিনী ")</f>
        <v> গৃহিনী </v>
      </c>
      <c r="I358" s="10" t="str">
        <f>IFERROR(__xludf.DUMMYFUNCTION("""COMPUTED_VALUE""")," জালশুকা, গাংনী, মেহেরপুর ")</f>
        <v> জালশুকা, গাংনী, মেহেরপুর </v>
      </c>
    </row>
    <row r="359">
      <c r="A359" s="9" t="s">
        <v>3059</v>
      </c>
      <c r="B359" s="10">
        <f>IFERROR(__xludf.DUMMYFUNCTION("SPLIT(A359,""|"")"),346.0)</f>
        <v>346</v>
      </c>
      <c r="C359" s="10" t="str">
        <f>IFERROR(__xludf.DUMMYFUNCTION("""COMPUTED_VALUE""")," মোছাঃ ছামছুন্নাহার ")</f>
        <v> মোছাঃ ছামছুন্নাহার </v>
      </c>
      <c r="D359" s="10">
        <f>IFERROR(__xludf.DUMMYFUNCTION("""COMPUTED_VALUE"""),5.7005637854E11)</f>
        <v>570056378540</v>
      </c>
      <c r="E359" s="10" t="str">
        <f>IFERROR(__xludf.DUMMYFUNCTION("""COMPUTED_VALUE""")," পিজিরদ্দিন ")</f>
        <v> পিজিরদ্দিন </v>
      </c>
      <c r="F359" s="10" t="str">
        <f>IFERROR(__xludf.DUMMYFUNCTION("""COMPUTED_VALUE""")," মোছাঃ তুলাবজান ")</f>
        <v> মোছাঃ তুলাবজান </v>
      </c>
      <c r="G359" s="10" t="str">
        <f>IFERROR(__xludf.DUMMYFUNCTION("""COMPUTED_VALUE""")," ০৮/০৩/১৯৬০ ")</f>
        <v> ০৮/০৩/১৯৬০ </v>
      </c>
      <c r="H359" s="10" t="str">
        <f>IFERROR(__xludf.DUMMYFUNCTION("""COMPUTED_VALUE""")," গৃহিনী ")</f>
        <v> গৃহিনী </v>
      </c>
      <c r="I359" s="10" t="str">
        <f>IFERROR(__xludf.DUMMYFUNCTION("""COMPUTED_VALUE""")," জালশুকা, গাংনী, মেহেরপুর ")</f>
        <v> জালশুকা, গাংনী, মেহেরপুর </v>
      </c>
    </row>
    <row r="360">
      <c r="A360" s="9" t="s">
        <v>3060</v>
      </c>
      <c r="B360" s="10">
        <f>IFERROR(__xludf.DUMMYFUNCTION("SPLIT(A360,""|"")"),347.0)</f>
        <v>347</v>
      </c>
      <c r="C360" s="10" t="str">
        <f>IFERROR(__xludf.DUMMYFUNCTION("""COMPUTED_VALUE""")," মোছাঃ হাজেরা খাতুন ")</f>
        <v> মোছাঃ হাজেরা খাতুন </v>
      </c>
      <c r="D360" s="10">
        <f>IFERROR(__xludf.DUMMYFUNCTION("""COMPUTED_VALUE"""),5.70056378539E11)</f>
        <v>570056378539</v>
      </c>
      <c r="E360" s="10" t="str">
        <f>IFERROR(__xludf.DUMMYFUNCTION("""COMPUTED_VALUE""")," আব্দুল খালেক ")</f>
        <v> আব্দুল খালেক </v>
      </c>
      <c r="F360" s="10" t="str">
        <f>IFERROR(__xludf.DUMMYFUNCTION("""COMPUTED_VALUE""")," মোছাঃ কুরছিয়া ")</f>
        <v> মোছাঃ কুরছিয়া </v>
      </c>
      <c r="G360" s="10" t="str">
        <f>IFERROR(__xludf.DUMMYFUNCTION("""COMPUTED_VALUE""")," ০১/১০/১৯৮৮ ")</f>
        <v> ০১/১০/১৯৮৮ </v>
      </c>
      <c r="H360" s="10" t="str">
        <f>IFERROR(__xludf.DUMMYFUNCTION("""COMPUTED_VALUE""")," গৃহিনী ")</f>
        <v> গৃহিনী </v>
      </c>
      <c r="I360" s="10" t="str">
        <f>IFERROR(__xludf.DUMMYFUNCTION("""COMPUTED_VALUE""")," জালশুকা, গাংনী, মেহেরপুর ")</f>
        <v> জালশুকা, গাংনী, মেহেরপুর </v>
      </c>
    </row>
    <row r="361">
      <c r="A361" s="9" t="s">
        <v>3061</v>
      </c>
      <c r="B361" s="10">
        <f>IFERROR(__xludf.DUMMYFUNCTION("SPLIT(A361,""|"")"),348.0)</f>
        <v>348</v>
      </c>
      <c r="C361" s="10" t="str">
        <f>IFERROR(__xludf.DUMMYFUNCTION("""COMPUTED_VALUE""")," মোছাঃ রোজিনা খাতুন ")</f>
        <v> মোছাঃ রোজিনা খাতুন </v>
      </c>
      <c r="D361" s="10" t="str">
        <f>IFERROR(__xludf.DUMMYFUNCTION("""COMPUTED_VALUE""")," ৫৭০০৫৬৩৭৮৫৪ ১ ")</f>
        <v> ৫৭০০৫৬৩৭৮৫৪ ১ </v>
      </c>
      <c r="E361" s="10" t="str">
        <f>IFERROR(__xludf.DUMMYFUNCTION("""COMPUTED_VALUE""")," রবজেল ")</f>
        <v> রবজেল </v>
      </c>
      <c r="F361" s="10" t="str">
        <f>IFERROR(__xludf.DUMMYFUNCTION("""COMPUTED_VALUE""")," মোছাঃ মনোয়ারা ")</f>
        <v> মোছাঃ মনোয়ারা </v>
      </c>
      <c r="G361" s="10" t="str">
        <f>IFERROR(__xludf.DUMMYFUNCTION("""COMPUTED_VALUE""")," ১০/০৩/১৯৮৫ ")</f>
        <v> ১০/০৩/১৯৮৫ </v>
      </c>
      <c r="H361" s="10" t="str">
        <f>IFERROR(__xludf.DUMMYFUNCTION("""COMPUTED_VALUE""")," গৃহিনী ")</f>
        <v> গৃহিনী </v>
      </c>
      <c r="I361" s="10" t="str">
        <f>IFERROR(__xludf.DUMMYFUNCTION("""COMPUTED_VALUE""")," জালশুকা, গাংনী, মেহেরপুর ")</f>
        <v> জালশুকা, গাংনী, মেহেরপুর </v>
      </c>
    </row>
    <row r="362">
      <c r="A362" s="9" t="s">
        <v>3062</v>
      </c>
      <c r="B362" s="10">
        <f>IFERROR(__xludf.DUMMYFUNCTION("SPLIT(A362,""|"")"),349.0)</f>
        <v>349</v>
      </c>
      <c r="C362" s="10" t="str">
        <f>IFERROR(__xludf.DUMMYFUNCTION("""COMPUTED_VALUE""")," মোছাঃ হাবেলা খাতুন ")</f>
        <v> মোছাঃ হাবেলা খাতুন </v>
      </c>
      <c r="D362" s="10">
        <f>IFERROR(__xludf.DUMMYFUNCTION("""COMPUTED_VALUE"""),5.70056378542E11)</f>
        <v>570056378542</v>
      </c>
      <c r="E362" s="10" t="str">
        <f>IFERROR(__xludf.DUMMYFUNCTION("""COMPUTED_VALUE""")," দিদার মন্ডল ")</f>
        <v> দিদার মন্ডল </v>
      </c>
      <c r="F362" s="10" t="str">
        <f>IFERROR(__xludf.DUMMYFUNCTION("""COMPUTED_VALUE""")," ফয়জান নেছা ")</f>
        <v> ফয়জান নেছা </v>
      </c>
      <c r="G362" s="10" t="str">
        <f>IFERROR(__xludf.DUMMYFUNCTION("""COMPUTED_VALUE""")," ১৪/১০/১৯৩৭ ")</f>
        <v> ১৪/১০/১৯৩৭ </v>
      </c>
      <c r="H362" s="10" t="str">
        <f>IFERROR(__xludf.DUMMYFUNCTION("""COMPUTED_VALUE""")," গৃহিনী ")</f>
        <v> গৃহিনী </v>
      </c>
      <c r="I362" s="10" t="str">
        <f>IFERROR(__xludf.DUMMYFUNCTION("""COMPUTED_VALUE""")," জালশুকা, গাংনী, মেহেরপুর ")</f>
        <v> জালশুকা, গাংনী, মেহেরপুর </v>
      </c>
    </row>
    <row r="363">
      <c r="A363" s="9" t="s">
        <v>3063</v>
      </c>
      <c r="B363" s="10">
        <f>IFERROR(__xludf.DUMMYFUNCTION("SPLIT(A363,""|"")"),350.0)</f>
        <v>350</v>
      </c>
      <c r="C363" s="10" t="str">
        <f>IFERROR(__xludf.DUMMYFUNCTION("""COMPUTED_VALUE""")," মোছাঃ অনুরা ")</f>
        <v> মোছাঃ অনুরা </v>
      </c>
      <c r="D363" s="10">
        <f>IFERROR(__xludf.DUMMYFUNCTION("""COMPUTED_VALUE"""),5.70056378546E11)</f>
        <v>570056378546</v>
      </c>
      <c r="E363" s="10" t="str">
        <f>IFERROR(__xludf.DUMMYFUNCTION("""COMPUTED_VALUE""")," ইয়াজদ্দিন ")</f>
        <v> ইয়াজদ্দিন </v>
      </c>
      <c r="F363" s="10" t="str">
        <f>IFERROR(__xludf.DUMMYFUNCTION("""COMPUTED_VALUE""")," রাহতন ")</f>
        <v> রাহতন </v>
      </c>
      <c r="G363" s="10" t="str">
        <f>IFERROR(__xludf.DUMMYFUNCTION("""COMPUTED_VALUE""")," ০১/০১/১৯৫২ ")</f>
        <v> ০১/০১/১৯৫২ </v>
      </c>
      <c r="H363" s="10" t="str">
        <f>IFERROR(__xludf.DUMMYFUNCTION("""COMPUTED_VALUE""")," গৃহিনী ")</f>
        <v> গৃহিনী </v>
      </c>
      <c r="I363" s="10" t="str">
        <f>IFERROR(__xludf.DUMMYFUNCTION("""COMPUTED_VALUE""")," জালশুকা, গাংনী, মেহেরপুর ")</f>
        <v> জালশুকা, গাংনী, মেহেরপুর </v>
      </c>
    </row>
    <row r="364">
      <c r="A364" s="9" t="s">
        <v>3064</v>
      </c>
      <c r="B364" s="10">
        <f>IFERROR(__xludf.DUMMYFUNCTION("SPLIT(A364,""|"")"),351.0)</f>
        <v>351</v>
      </c>
      <c r="C364" s="10" t="str">
        <f>IFERROR(__xludf.DUMMYFUNCTION("""COMPUTED_VALUE""")," মোছাঃ ছিয়াতন ")</f>
        <v> মোছাঃ ছিয়াতন </v>
      </c>
      <c r="D364" s="10">
        <f>IFERROR(__xludf.DUMMYFUNCTION("""COMPUTED_VALUE"""),5.70056378547E11)</f>
        <v>570056378547</v>
      </c>
      <c r="E364" s="10" t="str">
        <f>IFERROR(__xludf.DUMMYFUNCTION("""COMPUTED_VALUE""")," রুস্তম ")</f>
        <v> রুস্তম </v>
      </c>
      <c r="F364" s="10" t="str">
        <f>IFERROR(__xludf.DUMMYFUNCTION("""COMPUTED_VALUE""")," আবেদা ")</f>
        <v> আবেদা </v>
      </c>
      <c r="G364" s="10" t="str">
        <f>IFERROR(__xludf.DUMMYFUNCTION("""COMPUTED_VALUE""")," ১৮/১০/১৯৪৭ ")</f>
        <v> ১৮/১০/১৯৪৭ </v>
      </c>
      <c r="H364" s="10" t="str">
        <f>IFERROR(__xludf.DUMMYFUNCTION("""COMPUTED_VALUE""")," গৃহিনী ")</f>
        <v> গৃহিনী </v>
      </c>
      <c r="I364" s="10" t="str">
        <f>IFERROR(__xludf.DUMMYFUNCTION("""COMPUTED_VALUE""")," জালশুকা, গাংনী, মেহেরপুর ")</f>
        <v> জালশুকা, গাংনী, মেহেরপুর </v>
      </c>
    </row>
    <row r="365">
      <c r="A365" s="9" t="s">
        <v>3065</v>
      </c>
      <c r="B365" s="10">
        <f>IFERROR(__xludf.DUMMYFUNCTION("SPLIT(A365,""|"")"),352.0)</f>
        <v>352</v>
      </c>
      <c r="C365" s="10" t="str">
        <f>IFERROR(__xludf.DUMMYFUNCTION("""COMPUTED_VALUE""")," মোছাঃ তহরা ")</f>
        <v> মোছাঃ তহরা </v>
      </c>
      <c r="D365" s="10">
        <f>IFERROR(__xludf.DUMMYFUNCTION("""COMPUTED_VALUE"""),5.70056378548E11)</f>
        <v>570056378548</v>
      </c>
      <c r="E365" s="10" t="str">
        <f>IFERROR(__xludf.DUMMYFUNCTION("""COMPUTED_VALUE""")," রুস্তম ")</f>
        <v> রুস্তম </v>
      </c>
      <c r="F365" s="10" t="str">
        <f>IFERROR(__xludf.DUMMYFUNCTION("""COMPUTED_VALUE""")," আবেদা ")</f>
        <v> আবেদা </v>
      </c>
      <c r="G365" s="10" t="str">
        <f>IFERROR(__xludf.DUMMYFUNCTION("""COMPUTED_VALUE""")," ১২/১০/১৯৫২ ")</f>
        <v> ১২/১০/১৯৫২ </v>
      </c>
      <c r="H365" s="10" t="str">
        <f>IFERROR(__xludf.DUMMYFUNCTION("""COMPUTED_VALUE""")," গৃহিনী ")</f>
        <v> গৃহিনী </v>
      </c>
      <c r="I365" s="10" t="str">
        <f>IFERROR(__xludf.DUMMYFUNCTION("""COMPUTED_VALUE""")," জালশুকা, গাংনী, মেহেরপুর ")</f>
        <v> জালশুকা, গাংনী, মেহেরপুর </v>
      </c>
    </row>
    <row r="366">
      <c r="A366" s="9" t="s">
        <v>3066</v>
      </c>
      <c r="B366" s="10">
        <f>IFERROR(__xludf.DUMMYFUNCTION("SPLIT(A366,""|"")"),353.0)</f>
        <v>353</v>
      </c>
      <c r="C366" s="10" t="str">
        <f>IFERROR(__xludf.DUMMYFUNCTION("""COMPUTED_VALUE""")," মোছাঃ সোহাগী ")</f>
        <v> মোছাঃ সোহাগী </v>
      </c>
      <c r="D366" s="10">
        <f>IFERROR(__xludf.DUMMYFUNCTION("""COMPUTED_VALUE"""),5.7005637855E11)</f>
        <v>570056378550</v>
      </c>
      <c r="E366" s="10" t="str">
        <f>IFERROR(__xludf.DUMMYFUNCTION("""COMPUTED_VALUE""")," মোতালেব ")</f>
        <v> মোতালেব </v>
      </c>
      <c r="F366" s="10" t="str">
        <f>IFERROR(__xludf.DUMMYFUNCTION("""COMPUTED_VALUE""")," আনার জান ")</f>
        <v> আনার জান </v>
      </c>
      <c r="G366" s="10" t="str">
        <f>IFERROR(__xludf.DUMMYFUNCTION("""COMPUTED_VALUE""")," ১০/০৮/১৯৪৭ ")</f>
        <v> ১০/০৮/১৯৪৭ </v>
      </c>
      <c r="H366" s="10" t="str">
        <f>IFERROR(__xludf.DUMMYFUNCTION("""COMPUTED_VALUE""")," গৃহিনী ")</f>
        <v> গৃহিনী </v>
      </c>
      <c r="I366" s="10" t="str">
        <f>IFERROR(__xludf.DUMMYFUNCTION("""COMPUTED_VALUE""")," জালশুকা, গাংনী, মেহেরপুর ")</f>
        <v> জালশুকা, গাংনী, মেহেরপুর </v>
      </c>
    </row>
    <row r="367">
      <c r="A367" s="9" t="s">
        <v>3067</v>
      </c>
      <c r="B367" s="10">
        <f>IFERROR(__xludf.DUMMYFUNCTION("SPLIT(A367,""|"")"),354.0)</f>
        <v>354</v>
      </c>
      <c r="C367" s="10" t="str">
        <f>IFERROR(__xludf.DUMMYFUNCTION("""COMPUTED_VALUE""")," মোছাঃ তহমিনা ")</f>
        <v> মোছাঃ তহমিনা </v>
      </c>
      <c r="D367" s="10">
        <f>IFERROR(__xludf.DUMMYFUNCTION("""COMPUTED_VALUE"""),5.70056378552E11)</f>
        <v>570056378552</v>
      </c>
      <c r="E367" s="10" t="str">
        <f>IFERROR(__xludf.DUMMYFUNCTION("""COMPUTED_VALUE""")," মোহাঃ আজিজার ")</f>
        <v> মোহাঃ আজিজার </v>
      </c>
      <c r="F367" s="10" t="str">
        <f>IFERROR(__xludf.DUMMYFUNCTION("""COMPUTED_VALUE""")," মোছাঃ জছিরন ")</f>
        <v> মোছাঃ জছিরন </v>
      </c>
      <c r="G367" s="10" t="str">
        <f>IFERROR(__xludf.DUMMYFUNCTION("""COMPUTED_VALUE""")," ১৮/১০/১৯৫২ ")</f>
        <v> ১৮/১০/১৯৫২ </v>
      </c>
      <c r="H367" s="10" t="str">
        <f>IFERROR(__xludf.DUMMYFUNCTION("""COMPUTED_VALUE""")," গৃহিনী ")</f>
        <v> গৃহিনী </v>
      </c>
      <c r="I367" s="10" t="str">
        <f>IFERROR(__xludf.DUMMYFUNCTION("""COMPUTED_VALUE""")," জালশুকা, গাংনী, মেহেরপুর ")</f>
        <v> জালশুকা, গাংনী, মেহেরপুর </v>
      </c>
    </row>
    <row r="368">
      <c r="A368" s="9" t="s">
        <v>3068</v>
      </c>
      <c r="B368" s="10">
        <f>IFERROR(__xludf.DUMMYFUNCTION("SPLIT(A368,""|"")"),355.0)</f>
        <v>355</v>
      </c>
      <c r="C368" s="10" t="str">
        <f>IFERROR(__xludf.DUMMYFUNCTION("""COMPUTED_VALUE""")," মোছাঃ মাছুরা ")</f>
        <v> মোছাঃ মাছুরা </v>
      </c>
      <c r="D368" s="10">
        <f>IFERROR(__xludf.DUMMYFUNCTION("""COMPUTED_VALUE"""),5.70056378553E11)</f>
        <v>570056378553</v>
      </c>
      <c r="E368" s="10" t="str">
        <f>IFERROR(__xludf.DUMMYFUNCTION("""COMPUTED_VALUE""")," মোহাঃ আব্দুল মুনসি ")</f>
        <v> মোহাঃ আব্দুল মুনসি </v>
      </c>
      <c r="F368" s="10" t="str">
        <f>IFERROR(__xludf.DUMMYFUNCTION("""COMPUTED_VALUE""")," ছানুরা ")</f>
        <v> ছানুরা </v>
      </c>
      <c r="G368" s="10" t="str">
        <f>IFERROR(__xludf.DUMMYFUNCTION("""COMPUTED_VALUE""")," ১০/০৪/১৯৮২ ")</f>
        <v> ১০/০৪/১৯৮২ </v>
      </c>
      <c r="H368" s="10" t="str">
        <f>IFERROR(__xludf.DUMMYFUNCTION("""COMPUTED_VALUE""")," গৃহিনী ")</f>
        <v> গৃহিনী </v>
      </c>
      <c r="I368" s="10" t="str">
        <f>IFERROR(__xludf.DUMMYFUNCTION("""COMPUTED_VALUE""")," জালশুকা, গাংনী, মেহেরপুর ")</f>
        <v> জালশুকা, গাংনী, মেহেরপুর </v>
      </c>
    </row>
    <row r="369">
      <c r="A369" s="9" t="s">
        <v>3069</v>
      </c>
      <c r="B369" s="10">
        <f>IFERROR(__xludf.DUMMYFUNCTION("SPLIT(A369,""|"")"),356.0)</f>
        <v>356</v>
      </c>
      <c r="C369" s="10" t="str">
        <f>IFERROR(__xludf.DUMMYFUNCTION("""COMPUTED_VALUE""")," মোছাঃ ছানোয়ারা ")</f>
        <v> মোছাঃ ছানোয়ারা </v>
      </c>
      <c r="D369" s="10">
        <f>IFERROR(__xludf.DUMMYFUNCTION("""COMPUTED_VALUE"""),5.70056378554E11)</f>
        <v>570056378554</v>
      </c>
      <c r="E369" s="10" t="str">
        <f>IFERROR(__xludf.DUMMYFUNCTION("""COMPUTED_VALUE""")," মোহাঃ গেদ আলী ")</f>
        <v> মোহাঃ গেদ আলী </v>
      </c>
      <c r="F369" s="10" t="str">
        <f>IFERROR(__xludf.DUMMYFUNCTION("""COMPUTED_VALUE""")," মৃত জাহানারা ")</f>
        <v> মৃত জাহানারা </v>
      </c>
      <c r="G369" s="10" t="str">
        <f>IFERROR(__xludf.DUMMYFUNCTION("""COMPUTED_VALUE""")," ১২/১০/১৯৭২ ")</f>
        <v> ১২/১০/১৯৭২ </v>
      </c>
      <c r="H369" s="10" t="str">
        <f>IFERROR(__xludf.DUMMYFUNCTION("""COMPUTED_VALUE""")," গৃহিনী ")</f>
        <v> গৃহিনী </v>
      </c>
      <c r="I369" s="10" t="str">
        <f>IFERROR(__xludf.DUMMYFUNCTION("""COMPUTED_VALUE""")," জালশুকা, গাংনী, মেহেরপুর ")</f>
        <v> জালশুকা, গাংনী, মেহেরপুর </v>
      </c>
    </row>
    <row r="370">
      <c r="A370" s="9" t="s">
        <v>3070</v>
      </c>
      <c r="B370" s="10">
        <f>IFERROR(__xludf.DUMMYFUNCTION("SPLIT(A370,""|"")"),357.0)</f>
        <v>357</v>
      </c>
      <c r="C370" s="10" t="str">
        <f>IFERROR(__xludf.DUMMYFUNCTION("""COMPUTED_VALUE""")," মোছাঃ মোস্তারা ")</f>
        <v> মোছাঃ মোস্তারা </v>
      </c>
      <c r="D370" s="10">
        <f>IFERROR(__xludf.DUMMYFUNCTION("""COMPUTED_VALUE"""),5.70056378556E11)</f>
        <v>570056378556</v>
      </c>
      <c r="E370" s="10" t="str">
        <f>IFERROR(__xludf.DUMMYFUNCTION("""COMPUTED_VALUE""")," মোহাঃ ছাত্তার ")</f>
        <v> মোহাঃ ছাত্তার </v>
      </c>
      <c r="F370" s="10" t="str">
        <f>IFERROR(__xludf.DUMMYFUNCTION("""COMPUTED_VALUE""")," মোছাঃ আরিমর ")</f>
        <v> মোছাঃ আরিমর </v>
      </c>
      <c r="G370" s="10" t="str">
        <f>IFERROR(__xludf.DUMMYFUNCTION("""COMPUTED_VALUE""")," ১০/১২/১৯৮৭ ")</f>
        <v> ১০/১২/১৯৮৭ </v>
      </c>
      <c r="H370" s="10" t="str">
        <f>IFERROR(__xludf.DUMMYFUNCTION("""COMPUTED_VALUE""")," গৃহিনী ")</f>
        <v> গৃহিনী </v>
      </c>
      <c r="I370" s="10" t="str">
        <f>IFERROR(__xludf.DUMMYFUNCTION("""COMPUTED_VALUE""")," জালশুকা, গাংনী, মেহেরপুর ")</f>
        <v> জালশুকা, গাংনী, মেহেরপুর </v>
      </c>
    </row>
    <row r="371">
      <c r="A371" s="9" t="s">
        <v>3071</v>
      </c>
      <c r="B371" s="10">
        <f>IFERROR(__xludf.DUMMYFUNCTION("SPLIT(A371,""|"")"),358.0)</f>
        <v>358</v>
      </c>
      <c r="C371" s="10" t="str">
        <f>IFERROR(__xludf.DUMMYFUNCTION("""COMPUTED_VALUE""")," মোছাঃ হালিমা খাতুন ")</f>
        <v> মোছাঃ হালিমা খাতুন </v>
      </c>
      <c r="D371" s="10">
        <f>IFERROR(__xludf.DUMMYFUNCTION("""COMPUTED_VALUE"""),5.70056378571E11)</f>
        <v>570056378571</v>
      </c>
      <c r="E371" s="10" t="str">
        <f>IFERROR(__xludf.DUMMYFUNCTION("""COMPUTED_VALUE""")," জহিরদ্দিন ")</f>
        <v> জহিরদ্দিন </v>
      </c>
      <c r="F371" s="10" t="str">
        <f>IFERROR(__xludf.DUMMYFUNCTION("""COMPUTED_VALUE""")," জায়রন ")</f>
        <v> জায়রন </v>
      </c>
      <c r="G371" s="10" t="str">
        <f>IFERROR(__xludf.DUMMYFUNCTION("""COMPUTED_VALUE""")," ১২/১০/১৯৫২ ")</f>
        <v> ১২/১০/১৯৫২ </v>
      </c>
      <c r="H371" s="10" t="str">
        <f>IFERROR(__xludf.DUMMYFUNCTION("""COMPUTED_VALUE""")," গৃহিনী ")</f>
        <v> গৃহিনী </v>
      </c>
      <c r="I371" s="10" t="str">
        <f>IFERROR(__xludf.DUMMYFUNCTION("""COMPUTED_VALUE""")," জালশুকা, গাংনী, মেহেরপুর ")</f>
        <v> জালশুকা, গাংনী, মেহেরপুর </v>
      </c>
    </row>
    <row r="372">
      <c r="A372" s="9" t="s">
        <v>3072</v>
      </c>
      <c r="B372" s="10">
        <f>IFERROR(__xludf.DUMMYFUNCTION("SPLIT(A372,""|"")"),359.0)</f>
        <v>359</v>
      </c>
      <c r="C372" s="10" t="str">
        <f>IFERROR(__xludf.DUMMYFUNCTION("""COMPUTED_VALUE""")," মোছাঃ জফিরন ")</f>
        <v> মোছাঃ জফিরন </v>
      </c>
      <c r="D372" s="10">
        <f>IFERROR(__xludf.DUMMYFUNCTION("""COMPUTED_VALUE"""),5.70056378575E11)</f>
        <v>570056378575</v>
      </c>
      <c r="E372" s="10" t="str">
        <f>IFERROR(__xludf.DUMMYFUNCTION("""COMPUTED_VALUE""")," কছিমদ্দিন ")</f>
        <v> কছিমদ্দিন </v>
      </c>
      <c r="F372" s="10" t="str">
        <f>IFERROR(__xludf.DUMMYFUNCTION("""COMPUTED_VALUE""")," ইজারন ")</f>
        <v> ইজারন </v>
      </c>
      <c r="G372" s="10" t="str">
        <f>IFERROR(__xludf.DUMMYFUNCTION("""COMPUTED_VALUE""")," ১০/০৪/১৯৪২ ")</f>
        <v> ১০/০৪/১৯৪২ </v>
      </c>
      <c r="H372" s="10" t="str">
        <f>IFERROR(__xludf.DUMMYFUNCTION("""COMPUTED_VALUE""")," গৃহিনী ")</f>
        <v> গৃহিনী </v>
      </c>
      <c r="I372" s="10" t="str">
        <f>IFERROR(__xludf.DUMMYFUNCTION("""COMPUTED_VALUE""")," জালশুকা, গাংনী, মেহেরপুর ")</f>
        <v> জালশুকা, গাংনী, মেহেরপুর </v>
      </c>
    </row>
    <row r="373">
      <c r="A373" s="9" t="s">
        <v>3073</v>
      </c>
      <c r="B373" s="10">
        <f>IFERROR(__xludf.DUMMYFUNCTION("SPLIT(A373,""|"")"),360.0)</f>
        <v>360</v>
      </c>
      <c r="C373" s="10" t="str">
        <f>IFERROR(__xludf.DUMMYFUNCTION("""COMPUTED_VALUE""")," মোছাঃ ছাহারন খাতুন ")</f>
        <v> মোছাঃ ছাহারন খাতুন </v>
      </c>
      <c r="D373" s="10">
        <f>IFERROR(__xludf.DUMMYFUNCTION("""COMPUTED_VALUE"""),5.7005637858E11)</f>
        <v>570056378580</v>
      </c>
      <c r="E373" s="10" t="str">
        <f>IFERROR(__xludf.DUMMYFUNCTION("""COMPUTED_VALUE""")," জব্বার ")</f>
        <v> জব্বার </v>
      </c>
      <c r="F373" s="10" t="str">
        <f>IFERROR(__xludf.DUMMYFUNCTION("""COMPUTED_VALUE""")," মাহিরন ")</f>
        <v> মাহিরন </v>
      </c>
      <c r="G373" s="10" t="str">
        <f>IFERROR(__xludf.DUMMYFUNCTION("""COMPUTED_VALUE""")," ১২/১০/১৯৩২ ")</f>
        <v> ১২/১০/১৯৩২ </v>
      </c>
      <c r="H373" s="10" t="str">
        <f>IFERROR(__xludf.DUMMYFUNCTION("""COMPUTED_VALUE""")," গৃহিনী ")</f>
        <v> গৃহিনী </v>
      </c>
      <c r="I373" s="10" t="str">
        <f>IFERROR(__xludf.DUMMYFUNCTION("""COMPUTED_VALUE""")," জালশুকা, , গাংনী, মেহেরপুর ")</f>
        <v> জালশুকা, , গাংনী, মেহেরপুর </v>
      </c>
    </row>
    <row r="374">
      <c r="A374" s="9" t="s">
        <v>3074</v>
      </c>
      <c r="B374" s="10">
        <f>IFERROR(__xludf.DUMMYFUNCTION("SPLIT(A374,""|"")"),361.0)</f>
        <v>361</v>
      </c>
      <c r="C374" s="10" t="str">
        <f>IFERROR(__xludf.DUMMYFUNCTION("""COMPUTED_VALUE""")," মোছাঃ জাহানারা খাতুন ")</f>
        <v> মোছাঃ জাহানারা খাতুন </v>
      </c>
      <c r="D374" s="10">
        <f>IFERROR(__xludf.DUMMYFUNCTION("""COMPUTED_VALUE"""),5.70056378602E11)</f>
        <v>570056378602</v>
      </c>
      <c r="E374" s="10" t="str">
        <f>IFERROR(__xludf.DUMMYFUNCTION("""COMPUTED_VALUE""")," মোহাঃ শুকুর আলী ")</f>
        <v> মোহাঃ শুকুর আলী </v>
      </c>
      <c r="F374" s="10" t="str">
        <f>IFERROR(__xludf.DUMMYFUNCTION("""COMPUTED_VALUE""")," মোছাঃ মনোয়ারা খাতুন ")</f>
        <v> মোছাঃ মনোয়ারা খাতুন </v>
      </c>
      <c r="G374" s="10" t="str">
        <f>IFERROR(__xludf.DUMMYFUNCTION("""COMPUTED_VALUE""")," ০৭/০৬/১৯৮৩ ")</f>
        <v> ০৭/০৬/১৯৮৩ </v>
      </c>
      <c r="H374" s="10" t="str">
        <f>IFERROR(__xludf.DUMMYFUNCTION("""COMPUTED_VALUE""")," গৃহিনী ")</f>
        <v> গৃহিনী </v>
      </c>
      <c r="I374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5">
      <c r="A375" s="9" t="s">
        <v>3075</v>
      </c>
      <c r="B375" s="10">
        <f>IFERROR(__xludf.DUMMYFUNCTION("SPLIT(A375,""|"")"),362.0)</f>
        <v>362</v>
      </c>
      <c r="C375" s="10" t="str">
        <f>IFERROR(__xludf.DUMMYFUNCTION("""COMPUTED_VALUE""")," মোছাঃ পারভিনা খাতুন ")</f>
        <v> মোছাঃ পারভিনা খাতুন </v>
      </c>
      <c r="D375" s="10">
        <f>IFERROR(__xludf.DUMMYFUNCTION("""COMPUTED_VALUE"""),5.70056378603E11)</f>
        <v>570056378603</v>
      </c>
      <c r="E375" s="10" t="str">
        <f>IFERROR(__xludf.DUMMYFUNCTION("""COMPUTED_VALUE""")," মোহাঃ আইছদ্দিন ")</f>
        <v> মোহাঃ আইছদ্দিন </v>
      </c>
      <c r="F375" s="10" t="str">
        <f>IFERROR(__xludf.DUMMYFUNCTION("""COMPUTED_VALUE""")," মোছাঃ পারুলা খাতুন ")</f>
        <v> মোছাঃ পারুলা খাতুন </v>
      </c>
      <c r="G375" s="10" t="str">
        <f>IFERROR(__xludf.DUMMYFUNCTION("""COMPUTED_VALUE""")," ০৮/০৫/১৯৮২ ")</f>
        <v> ০৮/০৫/১৯৮২ </v>
      </c>
      <c r="H375" s="10" t="str">
        <f>IFERROR(__xludf.DUMMYFUNCTION("""COMPUTED_VALUE""")," গৃহিনী ")</f>
        <v> গৃহিনী </v>
      </c>
      <c r="I375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6">
      <c r="A376" s="9" t="s">
        <v>3076</v>
      </c>
      <c r="B376" s="10">
        <f>IFERROR(__xludf.DUMMYFUNCTION("SPLIT(A376,""|"")"),363.0)</f>
        <v>363</v>
      </c>
      <c r="C376" s="10" t="str">
        <f>IFERROR(__xludf.DUMMYFUNCTION("""COMPUTED_VALUE""")," মোছাঃ ছবেদা খাতুন ")</f>
        <v> মোছাঃ ছবেদা খাতুন </v>
      </c>
      <c r="D376" s="10">
        <f>IFERROR(__xludf.DUMMYFUNCTION("""COMPUTED_VALUE"""),5.70056378608E11)</f>
        <v>570056378608</v>
      </c>
      <c r="E376" s="10" t="str">
        <f>IFERROR(__xludf.DUMMYFUNCTION("""COMPUTED_VALUE""")," ইয়াছিন বিশ্বাস ")</f>
        <v> ইয়াছিন বিশ্বাস </v>
      </c>
      <c r="F376" s="10" t="str">
        <f>IFERROR(__xludf.DUMMYFUNCTION("""COMPUTED_VALUE""")," ইমিন নেছা ")</f>
        <v> ইমিন নেছা </v>
      </c>
      <c r="G376" s="10" t="str">
        <f>IFERROR(__xludf.DUMMYFUNCTION("""COMPUTED_VALUE""")," ২৩/০৮/১৯৫৯ ")</f>
        <v> ২৩/০৮/১৯৫৯ </v>
      </c>
      <c r="H376" s="10" t="str">
        <f>IFERROR(__xludf.DUMMYFUNCTION("""COMPUTED_VALUE""")," গৃহিনী ")</f>
        <v> গৃহিনী </v>
      </c>
      <c r="I376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7">
      <c r="A377" s="9" t="s">
        <v>3077</v>
      </c>
      <c r="B377" s="10">
        <f>IFERROR(__xludf.DUMMYFUNCTION("SPLIT(A377,""|"")"),364.0)</f>
        <v>364</v>
      </c>
      <c r="C377" s="10" t="str">
        <f>IFERROR(__xludf.DUMMYFUNCTION("""COMPUTED_VALUE""")," মোছাঃ রেনু খাতুন ")</f>
        <v> মোছাঃ রেনু খাতুন </v>
      </c>
      <c r="D377" s="10">
        <f>IFERROR(__xludf.DUMMYFUNCTION("""COMPUTED_VALUE"""),5.70056378609E11)</f>
        <v>570056378609</v>
      </c>
      <c r="E377" s="10" t="str">
        <f>IFERROR(__xludf.DUMMYFUNCTION("""COMPUTED_VALUE""")," মোহাঃ মুবারেক আলী ")</f>
        <v> মোহাঃ মুবারেক আলী </v>
      </c>
      <c r="F377" s="10" t="str">
        <f>IFERROR(__xludf.DUMMYFUNCTION("""COMPUTED_VALUE""")," মোছাঃ পিনজিরা খাতুন ")</f>
        <v> মোছাঃ পিনজিরা খাতুন </v>
      </c>
      <c r="G377" s="10" t="str">
        <f>IFERROR(__xludf.DUMMYFUNCTION("""COMPUTED_VALUE""")," ০৭/০৫/১৯৬৭ ")</f>
        <v> ০৭/০৫/১৯৬৭ </v>
      </c>
      <c r="H377" s="10" t="str">
        <f>IFERROR(__xludf.DUMMYFUNCTION("""COMPUTED_VALUE""")," গৃহিনী ")</f>
        <v> গৃহিনী </v>
      </c>
      <c r="I377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8">
      <c r="A378" s="9" t="s">
        <v>3078</v>
      </c>
      <c r="B378" s="10">
        <f>IFERROR(__xludf.DUMMYFUNCTION("SPLIT(A378,""|"")"),365.0)</f>
        <v>365</v>
      </c>
      <c r="C378" s="10" t="str">
        <f>IFERROR(__xludf.DUMMYFUNCTION("""COMPUTED_VALUE""")," মোছাঃ রুপালী খাতুন ")</f>
        <v> মোছাঃ রুপালী খাতুন </v>
      </c>
      <c r="D378" s="10">
        <f>IFERROR(__xludf.DUMMYFUNCTION("""COMPUTED_VALUE"""),5.70056378614E11)</f>
        <v>570056378614</v>
      </c>
      <c r="E378" s="10" t="str">
        <f>IFERROR(__xludf.DUMMYFUNCTION("""COMPUTED_VALUE""")," মোহাঃ ইলাহি বকস ")</f>
        <v> মোহাঃ ইলাহি বকস </v>
      </c>
      <c r="F378" s="10" t="str">
        <f>IFERROR(__xludf.DUMMYFUNCTION("""COMPUTED_VALUE""")," মোছাঃ সুফিয়া খাতুন ")</f>
        <v> মোছাঃ সুফিয়া খাতুন </v>
      </c>
      <c r="G378" s="10" t="str">
        <f>IFERROR(__xludf.DUMMYFUNCTION("""COMPUTED_VALUE""")," ২৫/০৫/১৯৮২ ")</f>
        <v> ২৫/০৫/১৯৮২ </v>
      </c>
      <c r="H378" s="10" t="str">
        <f>IFERROR(__xludf.DUMMYFUNCTION("""COMPUTED_VALUE""")," গৃহিনী ")</f>
        <v> গৃহিনী </v>
      </c>
      <c r="I378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9">
      <c r="A379" s="9" t="s">
        <v>3079</v>
      </c>
      <c r="B379" s="10">
        <f>IFERROR(__xludf.DUMMYFUNCTION("SPLIT(A379,""|"")"),366.0)</f>
        <v>366</v>
      </c>
      <c r="C379" s="10" t="str">
        <f>IFERROR(__xludf.DUMMYFUNCTION("""COMPUTED_VALUE""")," মোছাঃ হাজেরা খাতুন ")</f>
        <v> মোছাঃ হাজেরা খাতুন </v>
      </c>
      <c r="D379" s="10">
        <f>IFERROR(__xludf.DUMMYFUNCTION("""COMPUTED_VALUE"""),5.70056378615E11)</f>
        <v>570056378615</v>
      </c>
      <c r="E379" s="10" t="str">
        <f>IFERROR(__xludf.DUMMYFUNCTION("""COMPUTED_VALUE""")," কালু পরামানিক ")</f>
        <v> কালু পরামানিক </v>
      </c>
      <c r="F379" s="10" t="str">
        <f>IFERROR(__xludf.DUMMYFUNCTION("""COMPUTED_VALUE""")," করিমন নেছা ")</f>
        <v> করিমন নেছা </v>
      </c>
      <c r="G379" s="10" t="str">
        <f>IFERROR(__xludf.DUMMYFUNCTION("""COMPUTED_VALUE""")," ২১/০৯/১৯৪৭ ")</f>
        <v> ২১/০৯/১৯৪৭ </v>
      </c>
      <c r="H379" s="10" t="str">
        <f>IFERROR(__xludf.DUMMYFUNCTION("""COMPUTED_VALUE""")," গৃহিনী ")</f>
        <v> গৃহিনী </v>
      </c>
      <c r="I379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0">
      <c r="A380" s="9" t="s">
        <v>3080</v>
      </c>
      <c r="B380" s="10">
        <f>IFERROR(__xludf.DUMMYFUNCTION("SPLIT(A380,""|"")"),367.0)</f>
        <v>367</v>
      </c>
      <c r="C380" s="10" t="str">
        <f>IFERROR(__xludf.DUMMYFUNCTION("""COMPUTED_VALUE""")," মোছাঃ তহমিনা খাতুন ")</f>
        <v> মোছাঃ তহমিনা খাতুন </v>
      </c>
      <c r="D380" s="10">
        <f>IFERROR(__xludf.DUMMYFUNCTION("""COMPUTED_VALUE"""),5.70056378616E11)</f>
        <v>570056378616</v>
      </c>
      <c r="E380" s="10" t="str">
        <f>IFERROR(__xludf.DUMMYFUNCTION("""COMPUTED_VALUE""")," মোহাঃ ছায়ন আলী ")</f>
        <v> মোহাঃ ছায়ন আলী </v>
      </c>
      <c r="F380" s="10" t="str">
        <f>IFERROR(__xludf.DUMMYFUNCTION("""COMPUTED_VALUE""")," মোছাঃ হাসিনা খাতুন ")</f>
        <v> মোছাঃ হাসিনা খাতুন </v>
      </c>
      <c r="G380" s="10" t="str">
        <f>IFERROR(__xludf.DUMMYFUNCTION("""COMPUTED_VALUE""")," ০৫/০৮/১৯৮৫ ")</f>
        <v> ০৫/০৮/১৯৮৫ </v>
      </c>
      <c r="H380" s="10" t="str">
        <f>IFERROR(__xludf.DUMMYFUNCTION("""COMPUTED_VALUE""")," গৃহিনী ")</f>
        <v> গৃহিনী </v>
      </c>
      <c r="I380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1">
      <c r="A381" s="9" t="s">
        <v>3081</v>
      </c>
      <c r="B381" s="10">
        <f>IFERROR(__xludf.DUMMYFUNCTION("SPLIT(A381,""|"")"),368.0)</f>
        <v>368</v>
      </c>
      <c r="C381" s="10" t="str">
        <f>IFERROR(__xludf.DUMMYFUNCTION("""COMPUTED_VALUE""")," মোছাঃ বাছিরন খাতুন ")</f>
        <v> মোছাঃ বাছিরন খাতুন </v>
      </c>
      <c r="D381" s="10">
        <f>IFERROR(__xludf.DUMMYFUNCTION("""COMPUTED_VALUE"""),5.70056378617E11)</f>
        <v>570056378617</v>
      </c>
      <c r="E381" s="10" t="str">
        <f>IFERROR(__xludf.DUMMYFUNCTION("""COMPUTED_VALUE""")," মুছাহক ")</f>
        <v> মুছাহক </v>
      </c>
      <c r="F381" s="10" t="str">
        <f>IFERROR(__xludf.DUMMYFUNCTION("""COMPUTED_VALUE""")," মোছাঃ ওজিফা খাতুন ")</f>
        <v> মোছাঃ ওজিফা খাতুন </v>
      </c>
      <c r="G381" s="10" t="str">
        <f>IFERROR(__xludf.DUMMYFUNCTION("""COMPUTED_VALUE""")," ২২/০৫/১৯৬৭ ")</f>
        <v> ২২/০৫/১৯৬৭ </v>
      </c>
      <c r="H381" s="10" t="str">
        <f>IFERROR(__xludf.DUMMYFUNCTION("""COMPUTED_VALUE""")," গৃহিনী ")</f>
        <v> গৃহিনী </v>
      </c>
      <c r="I381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2">
      <c r="A382" s="9" t="s">
        <v>3082</v>
      </c>
      <c r="B382" s="10">
        <f>IFERROR(__xludf.DUMMYFUNCTION("SPLIT(A382,""|"")"),369.0)</f>
        <v>369</v>
      </c>
      <c r="C382" s="10" t="str">
        <f>IFERROR(__xludf.DUMMYFUNCTION("""COMPUTED_VALUE""")," মোছাঃ বেদেনা খাতুন ")</f>
        <v> মোছাঃ বেদেনা খাতুন </v>
      </c>
      <c r="D382" s="10">
        <f>IFERROR(__xludf.DUMMYFUNCTION("""COMPUTED_VALUE"""),5.70056378618E11)</f>
        <v>570056378618</v>
      </c>
      <c r="E382" s="10" t="str">
        <f>IFERROR(__xludf.DUMMYFUNCTION("""COMPUTED_VALUE""")," মোহাঃ দবিরুদ্দিন ")</f>
        <v> মোহাঃ দবিরুদ্দিন </v>
      </c>
      <c r="F382" s="10" t="str">
        <f>IFERROR(__xludf.DUMMYFUNCTION("""COMPUTED_VALUE""")," মোছাঃ জয়নব খাতুন ")</f>
        <v> মোছাঃ জয়নব খাতুন </v>
      </c>
      <c r="G382" s="10" t="str">
        <f>IFERROR(__xludf.DUMMYFUNCTION("""COMPUTED_VALUE""")," ০৮/১০/১৯৪৫ ")</f>
        <v> ০৮/১০/১৯৪৫ </v>
      </c>
      <c r="H382" s="10" t="str">
        <f>IFERROR(__xludf.DUMMYFUNCTION("""COMPUTED_VALUE""")," গৃহিনী ")</f>
        <v> গৃহিনী </v>
      </c>
      <c r="I382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3">
      <c r="A383" s="9" t="s">
        <v>3083</v>
      </c>
      <c r="B383" s="10">
        <f>IFERROR(__xludf.DUMMYFUNCTION("SPLIT(A383,""|"")"),370.0)</f>
        <v>370</v>
      </c>
      <c r="C383" s="10" t="str">
        <f>IFERROR(__xludf.DUMMYFUNCTION("""COMPUTED_VALUE""")," মোছাঃ নাছিমা খাতুন ")</f>
        <v> মোছাঃ নাছিমা খাতুন </v>
      </c>
      <c r="D383" s="10">
        <f>IFERROR(__xludf.DUMMYFUNCTION("""COMPUTED_VALUE"""),5.70056378619E11)</f>
        <v>570056378619</v>
      </c>
      <c r="E383" s="10" t="str">
        <f>IFERROR(__xludf.DUMMYFUNCTION("""COMPUTED_VALUE""")," মোহাঃ বরকুল মন্ডল ")</f>
        <v> মোহাঃ বরকুল মন্ডল </v>
      </c>
      <c r="F383" s="10" t="str">
        <f>IFERROR(__xludf.DUMMYFUNCTION("""COMPUTED_VALUE""")," মোছাঃ হাজেরা খাতুন ")</f>
        <v> মোছাঃ হাজেরা খাতুন </v>
      </c>
      <c r="G383" s="10" t="str">
        <f>IFERROR(__xludf.DUMMYFUNCTION("""COMPUTED_VALUE""")," ০৬/০৮/১৯৭৩ ")</f>
        <v> ০৬/০৮/১৯৭৩ </v>
      </c>
      <c r="H383" s="10" t="str">
        <f>IFERROR(__xludf.DUMMYFUNCTION("""COMPUTED_VALUE""")," গৃহিনী ")</f>
        <v> গৃহিনী </v>
      </c>
      <c r="I383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4">
      <c r="A384" s="9" t="s">
        <v>3084</v>
      </c>
      <c r="B384" s="10">
        <f>IFERROR(__xludf.DUMMYFUNCTION("SPLIT(A384,""|"")"),371.0)</f>
        <v>371</v>
      </c>
      <c r="C384" s="10" t="str">
        <f>IFERROR(__xludf.DUMMYFUNCTION("""COMPUTED_VALUE""")," মোছাঃ জাহানুর খাতুন ")</f>
        <v> মোছাঃ জাহানুর খাতুন </v>
      </c>
      <c r="D384" s="10">
        <f>IFERROR(__xludf.DUMMYFUNCTION("""COMPUTED_VALUE"""),5.70056378622E11)</f>
        <v>570056378622</v>
      </c>
      <c r="E384" s="10" t="str">
        <f>IFERROR(__xludf.DUMMYFUNCTION("""COMPUTED_VALUE""")," ছাদেক বিবি ")</f>
        <v> ছাদেক বিবি </v>
      </c>
      <c r="F384" s="10" t="str">
        <f>IFERROR(__xludf.DUMMYFUNCTION("""COMPUTED_VALUE""")," লক্ষি বিবি ")</f>
        <v> লক্ষি বিবি </v>
      </c>
      <c r="G384" s="10" t="str">
        <f>IFERROR(__xludf.DUMMYFUNCTION("""COMPUTED_VALUE""")," ০৫/০৮/১৯৬২ ")</f>
        <v> ০৫/০৮/১৯৬২ </v>
      </c>
      <c r="H384" s="10" t="str">
        <f>IFERROR(__xludf.DUMMYFUNCTION("""COMPUTED_VALUE""")," গৃহিনী ")</f>
        <v> গৃহিনী </v>
      </c>
      <c r="I384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5">
      <c r="A385" s="9" t="s">
        <v>3085</v>
      </c>
      <c r="B385" s="10">
        <f>IFERROR(__xludf.DUMMYFUNCTION("SPLIT(A385,""|"")"),372.0)</f>
        <v>372</v>
      </c>
      <c r="C385" s="10" t="str">
        <f>IFERROR(__xludf.DUMMYFUNCTION("""COMPUTED_VALUE""")," মোছাঃ শেফালী খাতুন ")</f>
        <v> মোছাঃ শেফালী খাতুন </v>
      </c>
      <c r="D385" s="10">
        <f>IFERROR(__xludf.DUMMYFUNCTION("""COMPUTED_VALUE"""),5.70056378627E11)</f>
        <v>570056378627</v>
      </c>
      <c r="E385" s="10" t="str">
        <f>IFERROR(__xludf.DUMMYFUNCTION("""COMPUTED_VALUE""")," মোহাঃ কাশেম আলী ")</f>
        <v> মোহাঃ কাশেম আলী </v>
      </c>
      <c r="F385" s="10" t="str">
        <f>IFERROR(__xludf.DUMMYFUNCTION("""COMPUTED_VALUE""")," মোছাঃ তাসলিমা খাতুন ")</f>
        <v> মোছাঃ তাসলিমা খাতুন </v>
      </c>
      <c r="G385" s="10" t="str">
        <f>IFERROR(__xludf.DUMMYFUNCTION("""COMPUTED_VALUE""")," ২৯/০৫/১৯৮৩ ")</f>
        <v> ২৯/০৫/১৯৮৩ </v>
      </c>
      <c r="H385" s="10" t="str">
        <f>IFERROR(__xludf.DUMMYFUNCTION("""COMPUTED_VALUE""")," গৃহিনী ")</f>
        <v> গৃহিনী </v>
      </c>
      <c r="I385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6">
      <c r="A386" s="9" t="s">
        <v>3086</v>
      </c>
      <c r="B386" s="10">
        <f>IFERROR(__xludf.DUMMYFUNCTION("SPLIT(A386,""|"")"),373.0)</f>
        <v>373</v>
      </c>
      <c r="C386" s="10" t="str">
        <f>IFERROR(__xludf.DUMMYFUNCTION("""COMPUTED_VALUE""")," মোছাঃ সাহেরা খাতুন ")</f>
        <v> মোছাঃ সাহেরা খাতুন </v>
      </c>
      <c r="D386" s="10">
        <f>IFERROR(__xludf.DUMMYFUNCTION("""COMPUTED_VALUE"""),5.70056378628E11)</f>
        <v>570056378628</v>
      </c>
      <c r="E386" s="10" t="str">
        <f>IFERROR(__xludf.DUMMYFUNCTION("""COMPUTED_VALUE""")," তমোলী ")</f>
        <v> তমোলী </v>
      </c>
      <c r="F386" s="10" t="str">
        <f>IFERROR(__xludf.DUMMYFUNCTION("""COMPUTED_VALUE""")," মোছাঃ দেলজান নেছা ")</f>
        <v> মোছাঃ দেলজান নেছা </v>
      </c>
      <c r="G386" s="10" t="str">
        <f>IFERROR(__xludf.DUMMYFUNCTION("""COMPUTED_VALUE""")," ২২/০৮/১৯৭২ ")</f>
        <v> ২২/০৮/১৯৭২ </v>
      </c>
      <c r="H386" s="10" t="str">
        <f>IFERROR(__xludf.DUMMYFUNCTION("""COMPUTED_VALUE""")," গৃহিনী ")</f>
        <v> গৃহিনী </v>
      </c>
      <c r="I386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7">
      <c r="A387" s="9" t="s">
        <v>3087</v>
      </c>
      <c r="B387" s="10">
        <f>IFERROR(__xludf.DUMMYFUNCTION("SPLIT(A387,""|"")"),374.0)</f>
        <v>374</v>
      </c>
      <c r="C387" s="10" t="str">
        <f>IFERROR(__xludf.DUMMYFUNCTION("""COMPUTED_VALUE""")," মোছাঃ রোজিফা খাতুন ")</f>
        <v> মোছাঃ রোজিফা খাতুন </v>
      </c>
      <c r="D387" s="10">
        <f>IFERROR(__xludf.DUMMYFUNCTION("""COMPUTED_VALUE"""),5.70056378629E11)</f>
        <v>570056378629</v>
      </c>
      <c r="E387" s="10" t="str">
        <f>IFERROR(__xludf.DUMMYFUNCTION("""COMPUTED_VALUE""")," মোহাঃ আঃ রশিদ ")</f>
        <v> মোহাঃ আঃ রশিদ </v>
      </c>
      <c r="F387" s="10" t="str">
        <f>IFERROR(__xludf.DUMMYFUNCTION("""COMPUTED_VALUE""")," মোছাঃ আছিয়া খাতুন ")</f>
        <v> মোছাঃ আছিয়া খাতুন </v>
      </c>
      <c r="G387" s="10" t="str">
        <f>IFERROR(__xludf.DUMMYFUNCTION("""COMPUTED_VALUE""")," ২১/০৭/১৯৭২ ")</f>
        <v> ২১/০৭/১৯৭২ </v>
      </c>
      <c r="H387" s="10" t="str">
        <f>IFERROR(__xludf.DUMMYFUNCTION("""COMPUTED_VALUE""")," গৃহিনী ")</f>
        <v> গৃহিনী </v>
      </c>
      <c r="I387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8">
      <c r="A388" s="9" t="s">
        <v>3088</v>
      </c>
      <c r="B388" s="10">
        <f>IFERROR(__xludf.DUMMYFUNCTION("SPLIT(A388,""|"")"),375.0)</f>
        <v>375</v>
      </c>
      <c r="C388" s="10" t="str">
        <f>IFERROR(__xludf.DUMMYFUNCTION("""COMPUTED_VALUE""")," মোছাঃ জুলেখা খাতুন ")</f>
        <v> মোছাঃ জুলেখা খাতুন </v>
      </c>
      <c r="D388" s="10">
        <f>IFERROR(__xludf.DUMMYFUNCTION("""COMPUTED_VALUE"""),5.7005637863E11)</f>
        <v>570056378630</v>
      </c>
      <c r="E388" s="10" t="str">
        <f>IFERROR(__xludf.DUMMYFUNCTION("""COMPUTED_VALUE""")," শমসের আলী ")</f>
        <v> শমসের আলী </v>
      </c>
      <c r="F388" s="10" t="str">
        <f>IFERROR(__xludf.DUMMYFUNCTION("""COMPUTED_VALUE""")," মোছাঃ মাহিরন নেছা ")</f>
        <v> মোছাঃ মাহিরন নেছা </v>
      </c>
      <c r="G388" s="10" t="str">
        <f>IFERROR(__xludf.DUMMYFUNCTION("""COMPUTED_VALUE""")," ০৯/১১/১৯৪৭ ")</f>
        <v> ০৯/১১/১৯৪৭ </v>
      </c>
      <c r="H388" s="10" t="str">
        <f>IFERROR(__xludf.DUMMYFUNCTION("""COMPUTED_VALUE""")," গৃহিনী ")</f>
        <v> গৃহিনী </v>
      </c>
      <c r="I388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389">
      <c r="A389" s="9" t="s">
        <v>3089</v>
      </c>
      <c r="B389" s="10">
        <f>IFERROR(__xludf.DUMMYFUNCTION("SPLIT(A389,""|"")"),376.0)</f>
        <v>376</v>
      </c>
      <c r="C389" s="10" t="str">
        <f>IFERROR(__xludf.DUMMYFUNCTION("""COMPUTED_VALUE""")," মোছাঃ সাগরা খাতুন ")</f>
        <v> মোছাঃ সাগরা খাতুন </v>
      </c>
      <c r="D389" s="10">
        <f>IFERROR(__xludf.DUMMYFUNCTION("""COMPUTED_VALUE"""),5.70056378636E11)</f>
        <v>570056378636</v>
      </c>
      <c r="E389" s="10" t="str">
        <f>IFERROR(__xludf.DUMMYFUNCTION("""COMPUTED_VALUE""")," মো: নবেজদ্দিন ")</f>
        <v> মো: নবেজদ্দিন </v>
      </c>
      <c r="F389" s="10" t="str">
        <f>IFERROR(__xludf.DUMMYFUNCTION("""COMPUTED_VALUE""")," মোছা হারেজান ")</f>
        <v> মোছা হারেজান </v>
      </c>
      <c r="G389" s="10" t="str">
        <f>IFERROR(__xludf.DUMMYFUNCTION("""COMPUTED_VALUE""")," ১৮/১০/১৯৮০ ")</f>
        <v> ১৮/১০/১৯৮০ </v>
      </c>
      <c r="H389" s="10" t="str">
        <f>IFERROR(__xludf.DUMMYFUNCTION("""COMPUTED_VALUE""")," গৃহিণী ")</f>
        <v> গৃহিণী </v>
      </c>
      <c r="I389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390">
      <c r="A390" s="9" t="s">
        <v>3090</v>
      </c>
      <c r="B390" s="10">
        <f>IFERROR(__xludf.DUMMYFUNCTION("SPLIT(A390,""|"")"),377.0)</f>
        <v>377</v>
      </c>
      <c r="C390" s="10" t="str">
        <f>IFERROR(__xludf.DUMMYFUNCTION("""COMPUTED_VALUE""")," মোছাঃ রেহেনা খাতুন ")</f>
        <v> মোছাঃ রেহেনা খাতুন </v>
      </c>
      <c r="D390" s="10">
        <f>IFERROR(__xludf.DUMMYFUNCTION("""COMPUTED_VALUE"""),5.70056378637E11)</f>
        <v>570056378637</v>
      </c>
      <c r="E390" s="10" t="str">
        <f>IFERROR(__xludf.DUMMYFUNCTION("""COMPUTED_VALUE""")," মো: আব্দুর রহমান ")</f>
        <v> মো: আব্দুর রহমান </v>
      </c>
      <c r="F390" s="10" t="str">
        <f>IFERROR(__xludf.DUMMYFUNCTION("""COMPUTED_VALUE""")," মোছা: মর্জিনা খাতুন ")</f>
        <v> মোছা: মর্জিনা খাতুন </v>
      </c>
      <c r="G390" s="10" t="str">
        <f>IFERROR(__xludf.DUMMYFUNCTION("""COMPUTED_VALUE""")," ১২/১০/১৯৮২ ")</f>
        <v> ১২/১০/১৯৮২ </v>
      </c>
      <c r="H390" s="10" t="str">
        <f>IFERROR(__xludf.DUMMYFUNCTION("""COMPUTED_VALUE""")," গৃহিণী ")</f>
        <v> গৃহিণী </v>
      </c>
      <c r="I390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1">
      <c r="A391" s="9" t="s">
        <v>3091</v>
      </c>
      <c r="B391" s="10">
        <f>IFERROR(__xludf.DUMMYFUNCTION("SPLIT(A391,""|"")"),378.0)</f>
        <v>378</v>
      </c>
      <c r="C391" s="10" t="str">
        <f>IFERROR(__xludf.DUMMYFUNCTION("""COMPUTED_VALUE""")," মোছাঃ রওশন আরা খাতুন ")</f>
        <v> মোছাঃ রওশন আরা খাতুন </v>
      </c>
      <c r="D391" s="10">
        <f>IFERROR(__xludf.DUMMYFUNCTION("""COMPUTED_VALUE"""),5.70056378638E11)</f>
        <v>570056378638</v>
      </c>
      <c r="E391" s="10" t="str">
        <f>IFERROR(__xludf.DUMMYFUNCTION("""COMPUTED_VALUE""")," মো: গাজরালী ")</f>
        <v> মো: গাজরালী </v>
      </c>
      <c r="F391" s="10" t="str">
        <f>IFERROR(__xludf.DUMMYFUNCTION("""COMPUTED_VALUE""")," মোছা: জুলেখা খাতুন ")</f>
        <v> মোছা: জুলেখা খাতুন </v>
      </c>
      <c r="G391" s="10" t="str">
        <f>IFERROR(__xludf.DUMMYFUNCTION("""COMPUTED_VALUE""")," ০৯/১০/১৯৮৩ ")</f>
        <v> ০৯/১০/১৯৮৩ </v>
      </c>
      <c r="H391" s="10" t="str">
        <f>IFERROR(__xludf.DUMMYFUNCTION("""COMPUTED_VALUE""")," গৃহিণী ")</f>
        <v> গৃহিণী </v>
      </c>
      <c r="I391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2">
      <c r="A392" s="9" t="s">
        <v>3092</v>
      </c>
      <c r="B392" s="10">
        <f>IFERROR(__xludf.DUMMYFUNCTION("SPLIT(A392,""|"")"),379.0)</f>
        <v>379</v>
      </c>
      <c r="C392" s="10" t="str">
        <f>IFERROR(__xludf.DUMMYFUNCTION("""COMPUTED_VALUE""")," নাম: মোছা: জেসমিন আরা ")</f>
        <v> নাম: মোছা: জেসমিন আরা </v>
      </c>
      <c r="D392" s="10">
        <f>IFERROR(__xludf.DUMMYFUNCTION("""COMPUTED_VALUE"""),5.7005637864E11)</f>
        <v>570056378640</v>
      </c>
      <c r="E392" s="10" t="str">
        <f>IFERROR(__xludf.DUMMYFUNCTION("""COMPUTED_VALUE""")," মো: নূর হক (ফকির) ")</f>
        <v> মো: নূর হক (ফকির) </v>
      </c>
      <c r="F392" s="10" t="str">
        <f>IFERROR(__xludf.DUMMYFUNCTION("""COMPUTED_VALUE""")," মোছা: আরবিয়া খাতুন ")</f>
        <v> মোছা: আরবিয়া খাতুন </v>
      </c>
      <c r="G392" s="10" t="str">
        <f>IFERROR(__xludf.DUMMYFUNCTION("""COMPUTED_VALUE""")," ০৮/০৯/১৯৮৮ ")</f>
        <v> ০৮/০৯/১৯৮৮ </v>
      </c>
      <c r="H392" s="10" t="str">
        <f>IFERROR(__xludf.DUMMYFUNCTION("""COMPUTED_VALUE""")," গৃহিণী ")</f>
        <v> গৃহিণী </v>
      </c>
      <c r="I392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3">
      <c r="A393" s="9" t="s">
        <v>3093</v>
      </c>
      <c r="B393" s="10">
        <f>IFERROR(__xludf.DUMMYFUNCTION("SPLIT(A393,""|"")"),380.0)</f>
        <v>380</v>
      </c>
      <c r="C393" s="10" t="str">
        <f>IFERROR(__xludf.DUMMYFUNCTION("""COMPUTED_VALUE""")," নাম: মোছা: জেসমিন আরা ")</f>
        <v> নাম: মোছা: জেসমিন আরা </v>
      </c>
      <c r="D393" s="10">
        <f>IFERROR(__xludf.DUMMYFUNCTION("""COMPUTED_VALUE"""),5.70056378643E11)</f>
        <v>570056378643</v>
      </c>
      <c r="E393" s="10" t="str">
        <f>IFERROR(__xludf.DUMMYFUNCTION("""COMPUTED_VALUE""")," হাফিজুর রহমান ")</f>
        <v> হাফিজুর রহমান </v>
      </c>
      <c r="F393" s="10" t="str">
        <f>IFERROR(__xludf.DUMMYFUNCTION("""COMPUTED_VALUE""")," মোছা: মেনু খাতুন ")</f>
        <v> মোছা: মেনু খাতুন </v>
      </c>
      <c r="G393" s="10" t="str">
        <f>IFERROR(__xludf.DUMMYFUNCTION("""COMPUTED_VALUE""")," ০৫/১০/১৯৭৭ ")</f>
        <v> ০৫/১০/১৯৭৭ </v>
      </c>
      <c r="H393" s="10" t="str">
        <f>IFERROR(__xludf.DUMMYFUNCTION("""COMPUTED_VALUE""")," গৃহিণী ")</f>
        <v> গৃহিণী </v>
      </c>
      <c r="I393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4">
      <c r="A394" s="9" t="s">
        <v>3094</v>
      </c>
      <c r="B394" s="10">
        <f>IFERROR(__xludf.DUMMYFUNCTION("SPLIT(A394,""|"")"),381.0)</f>
        <v>381</v>
      </c>
      <c r="C394" s="10" t="str">
        <f>IFERROR(__xludf.DUMMYFUNCTION("""COMPUTED_VALUE""")," নাম: মোছা: রোকিয়া খাতুন ")</f>
        <v> নাম: মোছা: রোকিয়া খাতুন </v>
      </c>
      <c r="D394" s="10">
        <f>IFERROR(__xludf.DUMMYFUNCTION("""COMPUTED_VALUE"""),5.70056378644E11)</f>
        <v>570056378644</v>
      </c>
      <c r="E394" s="10" t="str">
        <f>IFERROR(__xludf.DUMMYFUNCTION("""COMPUTED_VALUE""")," হারান মন্ডল ")</f>
        <v> হারান মন্ডল </v>
      </c>
      <c r="F394" s="10" t="str">
        <f>IFERROR(__xludf.DUMMYFUNCTION("""COMPUTED_VALUE""")," মোছা: সাহেরা খাতুন ")</f>
        <v> মোছা: সাহেরা খাতুন </v>
      </c>
      <c r="G394" s="10" t="str">
        <f>IFERROR(__xludf.DUMMYFUNCTION("""COMPUTED_VALUE""")," ১৫/০৮/১৯৪৭ ")</f>
        <v> ১৫/০৮/১৯৪৭ </v>
      </c>
      <c r="H394" s="10" t="str">
        <f>IFERROR(__xludf.DUMMYFUNCTION("""COMPUTED_VALUE""")," গৃহিণী ")</f>
        <v> গৃহিণী </v>
      </c>
      <c r="I394" s="10" t="str">
        <f>IFERROR(__xludf.DUMMYFUNCTION("""COMPUTED_VALUE""")," জালশুকা, গাংনী, মেহেরপুর ")</f>
        <v> জালশুকা, গাংনী, মেহেরপুর </v>
      </c>
    </row>
    <row r="395">
      <c r="A395" s="9" t="s">
        <v>3095</v>
      </c>
      <c r="B395" s="10">
        <f>IFERROR(__xludf.DUMMYFUNCTION("SPLIT(A395,""|"")"),382.0)</f>
        <v>382</v>
      </c>
      <c r="C395" s="10" t="str">
        <f>IFERROR(__xludf.DUMMYFUNCTION("""COMPUTED_VALUE""")," নাম: মোছা: জরিনা খাতুন ")</f>
        <v> নাম: মোছা: জরিনা খাতুন </v>
      </c>
      <c r="D395" s="10">
        <f>IFERROR(__xludf.DUMMYFUNCTION("""COMPUTED_VALUE"""),5.70056378646E11)</f>
        <v>570056378646</v>
      </c>
      <c r="E395" s="10" t="str">
        <f>IFERROR(__xludf.DUMMYFUNCTION("""COMPUTED_VALUE""")," মো: সাবিছদ্দিন ")</f>
        <v> মো: সাবিছদ্দিন </v>
      </c>
      <c r="F395" s="10" t="str">
        <f>IFERROR(__xludf.DUMMYFUNCTION("""COMPUTED_VALUE""")," মোছা: আমিনা খাতুন ")</f>
        <v> মোছা: আমিনা খাতুন </v>
      </c>
      <c r="G395" s="10" t="str">
        <f>IFERROR(__xludf.DUMMYFUNCTION("""COMPUTED_VALUE""")," ০৮/১১/১৯৭৭ ")</f>
        <v> ০৮/১১/১৯৭৭ </v>
      </c>
      <c r="H395" s="10" t="str">
        <f>IFERROR(__xludf.DUMMYFUNCTION("""COMPUTED_VALUE""")," গৃহিণী ")</f>
        <v> গৃহিণী </v>
      </c>
      <c r="I395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6">
      <c r="A396" s="9" t="s">
        <v>3096</v>
      </c>
      <c r="B396" s="10">
        <f>IFERROR(__xludf.DUMMYFUNCTION("SPLIT(A396,""|"")"),383.0)</f>
        <v>383</v>
      </c>
      <c r="C396" s="10" t="str">
        <f>IFERROR(__xludf.DUMMYFUNCTION("""COMPUTED_VALUE""")," নাম: মোছা: আল্লাদী খাতুন ")</f>
        <v> নাম: মোছা: আল্লাদী খাতুন </v>
      </c>
      <c r="D396" s="10">
        <f>IFERROR(__xludf.DUMMYFUNCTION("""COMPUTED_VALUE"""),5.70056378648E11)</f>
        <v>570056378648</v>
      </c>
      <c r="E396" s="10" t="str">
        <f>IFERROR(__xludf.DUMMYFUNCTION("""COMPUTED_VALUE""")," মো: ফরিদ আলী ")</f>
        <v> মো: ফরিদ আলী </v>
      </c>
      <c r="F396" s="10" t="str">
        <f>IFERROR(__xludf.DUMMYFUNCTION("""COMPUTED_VALUE""")," মোছা: হামিদা খাতুন ")</f>
        <v> মোছা: হামিদা খাতুন </v>
      </c>
      <c r="G396" s="10" t="str">
        <f>IFERROR(__xludf.DUMMYFUNCTION("""COMPUTED_VALUE""")," ০৪/১০/১৯৮২ ")</f>
        <v> ০৪/১০/১৯৮২ </v>
      </c>
      <c r="H396" s="10" t="str">
        <f>IFERROR(__xludf.DUMMYFUNCTION("""COMPUTED_VALUE""")," গৃহিণী ")</f>
        <v> গৃহিণী </v>
      </c>
      <c r="I396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7">
      <c r="A397" s="9" t="s">
        <v>3097</v>
      </c>
      <c r="B397" s="10">
        <f>IFERROR(__xludf.DUMMYFUNCTION("SPLIT(A397,""|"")"),384.0)</f>
        <v>384</v>
      </c>
      <c r="C397" s="10" t="str">
        <f>IFERROR(__xludf.DUMMYFUNCTION("""COMPUTED_VALUE""")," নাম: মোছা: আলিয়া খাতুন ")</f>
        <v> নাম: মোছা: আলিয়া খাতুন </v>
      </c>
      <c r="D397" s="10">
        <f>IFERROR(__xludf.DUMMYFUNCTION("""COMPUTED_VALUE"""),5.7005637865E11)</f>
        <v>570056378650</v>
      </c>
      <c r="E397" s="10" t="str">
        <f>IFERROR(__xludf.DUMMYFUNCTION("""COMPUTED_VALUE""")," মো: রইতাল আলী ")</f>
        <v> মো: রইতাল আলী </v>
      </c>
      <c r="F397" s="10" t="str">
        <f>IFERROR(__xludf.DUMMYFUNCTION("""COMPUTED_VALUE""")," মোছা: আতরা খাতুন ")</f>
        <v> মোছা: আতরা খাতুন </v>
      </c>
      <c r="G397" s="10" t="str">
        <f>IFERROR(__xludf.DUMMYFUNCTION("""COMPUTED_VALUE""")," ১৮/০৫/১৯৮৭ ")</f>
        <v> ১৮/০৫/১৯৮৭ </v>
      </c>
      <c r="H397" s="10" t="str">
        <f>IFERROR(__xludf.DUMMYFUNCTION("""COMPUTED_VALUE""")," গৃহিণী ")</f>
        <v> গৃহিণী </v>
      </c>
      <c r="I397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8">
      <c r="A398" s="9" t="s">
        <v>3098</v>
      </c>
      <c r="B398" s="10">
        <f>IFERROR(__xludf.DUMMYFUNCTION("SPLIT(A398,""|"")"),385.0)</f>
        <v>385</v>
      </c>
      <c r="C398" s="10" t="str">
        <f>IFERROR(__xludf.DUMMYFUNCTION("""COMPUTED_VALUE""")," নাম: মোছা: নাজিরা খাতুন ")</f>
        <v> নাম: মোছা: নাজিরা খাতুন </v>
      </c>
      <c r="D398" s="10">
        <f>IFERROR(__xludf.DUMMYFUNCTION("""COMPUTED_VALUE"""),5.70056378651E11)</f>
        <v>570056378651</v>
      </c>
      <c r="E398" s="10" t="str">
        <f>IFERROR(__xludf.DUMMYFUNCTION("""COMPUTED_VALUE""")," মো: জলিরুদ্দিন ")</f>
        <v> মো: জলিরুদ্দিন </v>
      </c>
      <c r="F398" s="10" t="str">
        <f>IFERROR(__xludf.DUMMYFUNCTION("""COMPUTED_VALUE""")," মোছা: হাজিরা খাতুন ")</f>
        <v> মোছা: হাজিরা খাতুন </v>
      </c>
      <c r="G398" s="10" t="str">
        <f>IFERROR(__xludf.DUMMYFUNCTION("""COMPUTED_VALUE""")," ০৮/০৬/১৯৬৪ ")</f>
        <v> ০৮/০৬/১৯৬৪ </v>
      </c>
      <c r="H398" s="10" t="str">
        <f>IFERROR(__xludf.DUMMYFUNCTION("""COMPUTED_VALUE""")," গৃহিণী ")</f>
        <v> গৃহিণী </v>
      </c>
      <c r="I398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9">
      <c r="A399" s="9" t="s">
        <v>3099</v>
      </c>
      <c r="B399" s="10">
        <f>IFERROR(__xludf.DUMMYFUNCTION("SPLIT(A399,""|"")"),386.0)</f>
        <v>386</v>
      </c>
      <c r="C399" s="10" t="str">
        <f>IFERROR(__xludf.DUMMYFUNCTION("""COMPUTED_VALUE""")," নাম: মো: আশিদা খাতুন ")</f>
        <v> নাম: মো: আশিদা খাতুন </v>
      </c>
      <c r="D399" s="10">
        <f>IFERROR(__xludf.DUMMYFUNCTION("""COMPUTED_VALUE"""),5.70056378652E11)</f>
        <v>570056378652</v>
      </c>
      <c r="E399" s="10" t="str">
        <f>IFERROR(__xludf.DUMMYFUNCTION("""COMPUTED_VALUE""")," ইসমাইল হোসেন ")</f>
        <v> ইসমাইল হোসেন </v>
      </c>
      <c r="F399" s="10" t="str">
        <f>IFERROR(__xludf.DUMMYFUNCTION("""COMPUTED_VALUE""")," মোছা: হামেদা খাতুন ")</f>
        <v> মোছা: হামেদা খাতুন </v>
      </c>
      <c r="G399" s="10" t="str">
        <f>IFERROR(__xludf.DUMMYFUNCTION("""COMPUTED_VALUE""")," ০৫/১০/১৯৮১ ")</f>
        <v> ০৫/১০/১৯৮১ </v>
      </c>
      <c r="H399" s="10" t="str">
        <f>IFERROR(__xludf.DUMMYFUNCTION("""COMPUTED_VALUE""")," গৃহিণী ")</f>
        <v> গৃহিণী </v>
      </c>
      <c r="I399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00">
      <c r="A400" s="9" t="s">
        <v>3100</v>
      </c>
      <c r="B400" s="10">
        <f>IFERROR(__xludf.DUMMYFUNCTION("SPLIT(A400,""|"")"),387.0)</f>
        <v>387</v>
      </c>
      <c r="C400" s="10" t="str">
        <f>IFERROR(__xludf.DUMMYFUNCTION("""COMPUTED_VALUE""")," নাম: মোছা: পারুলা খাতুন ")</f>
        <v> নাম: মোছা: পারুলা খাতুন </v>
      </c>
      <c r="D400" s="10">
        <f>IFERROR(__xludf.DUMMYFUNCTION("""COMPUTED_VALUE"""),5.70056378653E11)</f>
        <v>570056378653</v>
      </c>
      <c r="E400" s="10" t="str">
        <f>IFERROR(__xludf.DUMMYFUNCTION("""COMPUTED_VALUE""")," এলিমদ্দি ")</f>
        <v> এলিমদ্দি </v>
      </c>
      <c r="F400" s="10" t="str">
        <f>IFERROR(__xludf.DUMMYFUNCTION("""COMPUTED_VALUE""")," মোছা: আমিনা খাতুন ")</f>
        <v> মোছা: আমিনা খাতুন </v>
      </c>
      <c r="G400" s="10" t="str">
        <f>IFERROR(__xludf.DUMMYFUNCTION("""COMPUTED_VALUE""")," ০৮/১২/১৯৭২ ")</f>
        <v> ০৮/১২/১৯৭২ </v>
      </c>
      <c r="H400" s="10" t="str">
        <f>IFERROR(__xludf.DUMMYFUNCTION("""COMPUTED_VALUE""")," গৃহিণী ")</f>
        <v> গৃহিণী </v>
      </c>
      <c r="I400" s="10" t="str">
        <f>IFERROR(__xludf.DUMMYFUNCTION("""COMPUTED_VALUE""")," জালশুকা বানিয়াপাড়া, জালশুকা, গাংনী, মেহেরপুর ")</f>
        <v> জালশুকা বানিয়াপাড়া, জালশুকা, গাংনী, মেহেরপুর </v>
      </c>
    </row>
    <row r="401">
      <c r="A401" s="9" t="s">
        <v>3101</v>
      </c>
      <c r="B401" s="10">
        <f>IFERROR(__xludf.DUMMYFUNCTION("SPLIT(A401,""|"")"),388.0)</f>
        <v>388</v>
      </c>
      <c r="C401" s="10" t="str">
        <f>IFERROR(__xludf.DUMMYFUNCTION("""COMPUTED_VALUE""")," নাম: মোছা: খুকী বেগম ")</f>
        <v> নাম: মোছা: খুকী বেগম </v>
      </c>
      <c r="D401" s="10">
        <f>IFERROR(__xludf.DUMMYFUNCTION("""COMPUTED_VALUE"""),5.70056378654E11)</f>
        <v>570056378654</v>
      </c>
      <c r="E401" s="10" t="str">
        <f>IFERROR(__xludf.DUMMYFUNCTION("""COMPUTED_VALUE""")," আঈনুদ্দিন ")</f>
        <v> আঈনুদ্দিন </v>
      </c>
      <c r="F401" s="10" t="str">
        <f>IFERROR(__xludf.DUMMYFUNCTION("""COMPUTED_VALUE""")," মোছা: চিরাপান খাতুন ")</f>
        <v> মোছা: চিরাপান খাতুন </v>
      </c>
      <c r="G401" s="10" t="str">
        <f>IFERROR(__xludf.DUMMYFUNCTION("""COMPUTED_VALUE""")," ০৮/১২/১৯৩৭ ")</f>
        <v> ০৮/১২/১৯৩৭ </v>
      </c>
      <c r="H401" s="10" t="str">
        <f>IFERROR(__xludf.DUMMYFUNCTION("""COMPUTED_VALUE""")," গৃহিণী ")</f>
        <v> গৃহিণী </v>
      </c>
      <c r="I401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2">
      <c r="A402" s="9" t="s">
        <v>3102</v>
      </c>
      <c r="B402" s="10">
        <f>IFERROR(__xludf.DUMMYFUNCTION("SPLIT(A402,""|"")"),389.0)</f>
        <v>389</v>
      </c>
      <c r="C402" s="10" t="str">
        <f>IFERROR(__xludf.DUMMYFUNCTION("""COMPUTED_VALUE""")," নাম: মোছা: আনজিরা খাতুন ")</f>
        <v> নাম: মোছা: আনজিরা খাতুন </v>
      </c>
      <c r="D402" s="10">
        <f>IFERROR(__xludf.DUMMYFUNCTION("""COMPUTED_VALUE"""),5.70056378655E11)</f>
        <v>570056378655</v>
      </c>
      <c r="E402" s="10" t="str">
        <f>IFERROR(__xludf.DUMMYFUNCTION("""COMPUTED_VALUE""")," মো: জয়নাল মন্ডল ")</f>
        <v> মো: জয়নাল মন্ডল </v>
      </c>
      <c r="F402" s="10" t="str">
        <f>IFERROR(__xludf.DUMMYFUNCTION("""COMPUTED_VALUE""")," মোছা: রইমন খাতুন ")</f>
        <v> মোছা: রইমন খাতুন </v>
      </c>
      <c r="G402" s="10" t="str">
        <f>IFERROR(__xludf.DUMMYFUNCTION("""COMPUTED_VALUE""")," ০৭/১০/১৯৮২ ")</f>
        <v> ০৭/১০/১৯৮২ </v>
      </c>
      <c r="H402" s="10" t="str">
        <f>IFERROR(__xludf.DUMMYFUNCTION("""COMPUTED_VALUE""")," গৃহিণী ")</f>
        <v> গৃহিণী </v>
      </c>
      <c r="I402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3">
      <c r="A403" s="9" t="s">
        <v>3103</v>
      </c>
      <c r="B403" s="10">
        <f>IFERROR(__xludf.DUMMYFUNCTION("SPLIT(A403,""|"")"),390.0)</f>
        <v>390</v>
      </c>
      <c r="C403" s="10" t="str">
        <f>IFERROR(__xludf.DUMMYFUNCTION("""COMPUTED_VALUE""")," নাম: মোছা: কমেলা খাতুন ")</f>
        <v> নাম: মোছা: কমেলা খাতুন </v>
      </c>
      <c r="D403" s="10">
        <f>IFERROR(__xludf.DUMMYFUNCTION("""COMPUTED_VALUE"""),5.70056378656E11)</f>
        <v>570056378656</v>
      </c>
      <c r="E403" s="10" t="str">
        <f>IFERROR(__xludf.DUMMYFUNCTION("""COMPUTED_VALUE""")," মো: চাঁদ মন্ডল ")</f>
        <v> মো: চাঁদ মন্ডল </v>
      </c>
      <c r="F403" s="10" t="str">
        <f>IFERROR(__xludf.DUMMYFUNCTION("""COMPUTED_VALUE""")," মোছা: সখিনা খাতুন ")</f>
        <v> মোছা: সখিনা খাতুন </v>
      </c>
      <c r="G403" s="10" t="str">
        <f>IFERROR(__xludf.DUMMYFUNCTION("""COMPUTED_VALUE""")," ০৮/০৯/১৯৭১ ")</f>
        <v> ০৮/০৯/১৯৭১ </v>
      </c>
      <c r="H403" s="10" t="str">
        <f>IFERROR(__xludf.DUMMYFUNCTION("""COMPUTED_VALUE""")," গৃহিণী ")</f>
        <v> গৃহিণী </v>
      </c>
      <c r="I403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4">
      <c r="A404" s="9" t="s">
        <v>3104</v>
      </c>
      <c r="B404" s="10">
        <f>IFERROR(__xludf.DUMMYFUNCTION("SPLIT(A404,""|"")"),391.0)</f>
        <v>391</v>
      </c>
      <c r="C404" s="10" t="str">
        <f>IFERROR(__xludf.DUMMYFUNCTION("""COMPUTED_VALUE""")," নাম: মোছা: হাফিজা খাতুন ")</f>
        <v> নাম: মোছা: হাফিজা খাতুন </v>
      </c>
      <c r="D404" s="10">
        <f>IFERROR(__xludf.DUMMYFUNCTION("""COMPUTED_VALUE"""),5.70056378657E11)</f>
        <v>570056378657</v>
      </c>
      <c r="E404" s="10" t="str">
        <f>IFERROR(__xludf.DUMMYFUNCTION("""COMPUTED_VALUE""")," মো: আজাহার মন্ডল ")</f>
        <v> মো: আজাহার মন্ডল </v>
      </c>
      <c r="F404" s="10" t="str">
        <f>IFERROR(__xludf.DUMMYFUNCTION("""COMPUTED_VALUE""")," মোছা: সাহেরা খাতুন ")</f>
        <v> মোছা: সাহেরা খাতুন </v>
      </c>
      <c r="G404" s="10" t="str">
        <f>IFERROR(__xludf.DUMMYFUNCTION("""COMPUTED_VALUE""")," ০৯/১১/১৯৮৭ ")</f>
        <v> ০৯/১১/১৯৮৭ </v>
      </c>
      <c r="H404" s="10" t="str">
        <f>IFERROR(__xludf.DUMMYFUNCTION("""COMPUTED_VALUE""")," গৃহিণী ")</f>
        <v> গৃহিণী </v>
      </c>
      <c r="I404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5">
      <c r="A405" s="9" t="s">
        <v>3105</v>
      </c>
      <c r="B405" s="10">
        <f>IFERROR(__xludf.DUMMYFUNCTION("SPLIT(A405,""|"")"),392.0)</f>
        <v>392</v>
      </c>
      <c r="C405" s="10" t="str">
        <f>IFERROR(__xludf.DUMMYFUNCTION("""COMPUTED_VALUE""")," নাম: মোছা: আতরা খাতুন ")</f>
        <v> নাম: মোছা: আতরা খাতুন </v>
      </c>
      <c r="D405" s="10">
        <f>IFERROR(__xludf.DUMMYFUNCTION("""COMPUTED_VALUE"""),5.70056378658E11)</f>
        <v>570056378658</v>
      </c>
      <c r="E405" s="10" t="str">
        <f>IFERROR(__xludf.DUMMYFUNCTION("""COMPUTED_VALUE""")," মো: আফেজ উদ্দিন ")</f>
        <v> মো: আফেজ উদ্দিন </v>
      </c>
      <c r="F405" s="10" t="str">
        <f>IFERROR(__xludf.DUMMYFUNCTION("""COMPUTED_VALUE""")," মোছা: জরিম‌ন নেছা ")</f>
        <v> মোছা: জরিম‌ন নেছা </v>
      </c>
      <c r="G405" s="10" t="str">
        <f>IFERROR(__xludf.DUMMYFUNCTION("""COMPUTED_VALUE""")," ১৮/০৭/১৯৬৭ ")</f>
        <v> ১৮/০৭/১৯৬৭ </v>
      </c>
      <c r="H405" s="10" t="str">
        <f>IFERROR(__xludf.DUMMYFUNCTION("""COMPUTED_VALUE""")," গৃহিণী ")</f>
        <v> গৃহিণী </v>
      </c>
      <c r="I405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06">
      <c r="A406" s="9" t="s">
        <v>3106</v>
      </c>
      <c r="B406" s="10">
        <f>IFERROR(__xludf.DUMMYFUNCTION("SPLIT(A406,""|"")"),393.0)</f>
        <v>393</v>
      </c>
      <c r="C406" s="10" t="str">
        <f>IFERROR(__xludf.DUMMYFUNCTION("""COMPUTED_VALUE""")," নাম: মোছা: হামিদা খাতুন ")</f>
        <v> নাম: মোছা: হামিদা খাতুন </v>
      </c>
      <c r="D406" s="10">
        <f>IFERROR(__xludf.DUMMYFUNCTION("""COMPUTED_VALUE"""),5.70056378659E11)</f>
        <v>570056378659</v>
      </c>
      <c r="E406" s="10" t="str">
        <f>IFERROR(__xludf.DUMMYFUNCTION("""COMPUTED_VALUE""")," আজিজার মন্ডল ")</f>
        <v> আজিজার মন্ডল </v>
      </c>
      <c r="F406" s="10" t="str">
        <f>IFERROR(__xludf.DUMMYFUNCTION("""COMPUTED_VALUE""")," মোছা: ইজারন নেছা ")</f>
        <v> মোছা: ইজারন নেছা </v>
      </c>
      <c r="G406" s="10" t="str">
        <f>IFERROR(__xludf.DUMMYFUNCTION("""COMPUTED_VALUE""")," ০৯/০৮/১৯৭৭ ")</f>
        <v> ০৯/০৮/১৯৭৭ </v>
      </c>
      <c r="H406" s="10" t="str">
        <f>IFERROR(__xludf.DUMMYFUNCTION("""COMPUTED_VALUE""")," গৃহিণী ")</f>
        <v> গৃহিণী </v>
      </c>
      <c r="I406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7">
      <c r="A407" s="9" t="s">
        <v>3107</v>
      </c>
      <c r="B407" s="10">
        <f>IFERROR(__xludf.DUMMYFUNCTION("SPLIT(A407,""|"")"),394.0)</f>
        <v>394</v>
      </c>
      <c r="C407" s="10" t="str">
        <f>IFERROR(__xludf.DUMMYFUNCTION("""COMPUTED_VALUE""")," নাম: মোছা: শাহিদা খাতুন ")</f>
        <v> নাম: মোছা: শাহিদা খাতুন </v>
      </c>
      <c r="D407" s="10">
        <f>IFERROR(__xludf.DUMMYFUNCTION("""COMPUTED_VALUE"""),5.70056378661E11)</f>
        <v>570056378661</v>
      </c>
      <c r="E407" s="10" t="str">
        <f>IFERROR(__xludf.DUMMYFUNCTION("""COMPUTED_VALUE""")," মুফাজ্জল হোসেন ")</f>
        <v> মুফাজ্জল হোসেন </v>
      </c>
      <c r="F407" s="10" t="str">
        <f>IFERROR(__xludf.DUMMYFUNCTION("""COMPUTED_VALUE""")," মোছা: রংফুল বিবি ")</f>
        <v> মোছা: রংফুল বিবি </v>
      </c>
      <c r="G407" s="10" t="str">
        <f>IFERROR(__xludf.DUMMYFUNCTION("""COMPUTED_VALUE""")," ০৪/১০/১৯৮২ ")</f>
        <v> ০৪/১০/১৯৮২ </v>
      </c>
      <c r="H407" s="10" t="str">
        <f>IFERROR(__xludf.DUMMYFUNCTION("""COMPUTED_VALUE""")," গৃহিণী ")</f>
        <v> গৃহিণী </v>
      </c>
      <c r="I407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8">
      <c r="A408" s="9" t="s">
        <v>3108</v>
      </c>
      <c r="B408" s="10">
        <f>IFERROR(__xludf.DUMMYFUNCTION("SPLIT(A408,""|"")"),395.0)</f>
        <v>395</v>
      </c>
      <c r="C408" s="10" t="str">
        <f>IFERROR(__xludf.DUMMYFUNCTION("""COMPUTED_VALUE""")," নাম: মোছা: রবেকা খাতুন ")</f>
        <v> নাম: মোছা: রবেকা খাতুন </v>
      </c>
      <c r="D408" s="10">
        <f>IFERROR(__xludf.DUMMYFUNCTION("""COMPUTED_VALUE"""),5.70056378663E11)</f>
        <v>570056378663</v>
      </c>
      <c r="E408" s="10" t="str">
        <f>IFERROR(__xludf.DUMMYFUNCTION("""COMPUTED_VALUE""")," খেদালী মন্ডল ")</f>
        <v> খেদালী মন্ডল </v>
      </c>
      <c r="F408" s="10" t="str">
        <f>IFERROR(__xludf.DUMMYFUNCTION("""COMPUTED_VALUE""")," মোছা: মেহের নিগার ")</f>
        <v> মোছা: মেহের নিগার </v>
      </c>
      <c r="G408" s="10" t="str">
        <f>IFERROR(__xludf.DUMMYFUNCTION("""COMPUTED_VALUE""")," ০৪/০৯/১৯৭৭ ")</f>
        <v> ০৪/০৯/১৯৭৭ </v>
      </c>
      <c r="H408" s="10" t="str">
        <f>IFERROR(__xludf.DUMMYFUNCTION("""COMPUTED_VALUE""")," গৃহিণী ")</f>
        <v> গৃহিণী </v>
      </c>
      <c r="I408" s="10" t="str">
        <f>IFERROR(__xludf.DUMMYFUNCTION("""COMPUTED_VALUE""")," জালশুকা, গাংনী, মেহেরপুর ")</f>
        <v> জালশুকা, গাংনী, মেহেরপুর </v>
      </c>
    </row>
    <row r="409">
      <c r="A409" s="9" t="s">
        <v>3109</v>
      </c>
      <c r="B409" s="10">
        <f>IFERROR(__xludf.DUMMYFUNCTION("SPLIT(A409,""|"")"),396.0)</f>
        <v>396</v>
      </c>
      <c r="C409" s="10" t="str">
        <f>IFERROR(__xludf.DUMMYFUNCTION("""COMPUTED_VALUE""")," নাম: মোছা: মহিলা খাতুন ")</f>
        <v> নাম: মোছা: মহিলা খাতুন </v>
      </c>
      <c r="D409" s="10">
        <f>IFERROR(__xludf.DUMMYFUNCTION("""COMPUTED_VALUE"""),5.70056378664E11)</f>
        <v>570056378664</v>
      </c>
      <c r="E409" s="10" t="str">
        <f>IFERROR(__xludf.DUMMYFUNCTION("""COMPUTED_VALUE""")," রবজেল মন্ডল ")</f>
        <v> রবজেল মন্ডল </v>
      </c>
      <c r="F409" s="10" t="str">
        <f>IFERROR(__xludf.DUMMYFUNCTION("""COMPUTED_VALUE""")," মোছা: জহেরা খাতুন ")</f>
        <v> মোছা: জহেরা খাতুন </v>
      </c>
      <c r="G409" s="10" t="str">
        <f>IFERROR(__xludf.DUMMYFUNCTION("""COMPUTED_VALUE""")," ১০/০৫/১৯৭৭ ")</f>
        <v> ১০/০৫/১৯৭৭ </v>
      </c>
      <c r="H409" s="10" t="str">
        <f>IFERROR(__xludf.DUMMYFUNCTION("""COMPUTED_VALUE""")," গৃহিণী ")</f>
        <v> গৃহিণী </v>
      </c>
      <c r="I409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0">
      <c r="A410" s="9" t="s">
        <v>3110</v>
      </c>
      <c r="B410" s="10">
        <f>IFERROR(__xludf.DUMMYFUNCTION("SPLIT(A410,""|"")"),397.0)</f>
        <v>397</v>
      </c>
      <c r="C410" s="10" t="str">
        <f>IFERROR(__xludf.DUMMYFUNCTION("""COMPUTED_VALUE""")," নাম: মোছা: শাহিদা খাতুন ")</f>
        <v> নাম: মোছা: শাহিদা খাতুন </v>
      </c>
      <c r="D410" s="10">
        <f>IFERROR(__xludf.DUMMYFUNCTION("""COMPUTED_VALUE"""),5.70056378666E11)</f>
        <v>570056378666</v>
      </c>
      <c r="E410" s="10" t="str">
        <f>IFERROR(__xludf.DUMMYFUNCTION("""COMPUTED_VALUE""")," মো: ফজলদ্দিন ")</f>
        <v> মো: ফজলদ্দিন </v>
      </c>
      <c r="F410" s="10" t="str">
        <f>IFERROR(__xludf.DUMMYFUNCTION("""COMPUTED_VALUE""")," মোছা: আনোয়ারা খাতুন ")</f>
        <v> মোছা: আনোয়ারা খাতুন </v>
      </c>
      <c r="G410" s="10" t="str">
        <f>IFERROR(__xludf.DUMMYFUNCTION("""COMPUTED_VALUE""")," ০৭/১১/১৯৭২ ")</f>
        <v> ০৭/১১/১৯৭২ </v>
      </c>
      <c r="H410" s="10" t="str">
        <f>IFERROR(__xludf.DUMMYFUNCTION("""COMPUTED_VALUE""")," গৃহিণী ")</f>
        <v> গৃহিণী </v>
      </c>
      <c r="I410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1">
      <c r="A411" s="9" t="s">
        <v>3111</v>
      </c>
      <c r="B411" s="10">
        <f>IFERROR(__xludf.DUMMYFUNCTION("SPLIT(A411,""|"")"),398.0)</f>
        <v>398</v>
      </c>
      <c r="C411" s="10" t="str">
        <f>IFERROR(__xludf.DUMMYFUNCTION("""COMPUTED_VALUE""")," নাম: মোছা: ছবিনা খাতুন ")</f>
        <v> নাম: মোছা: ছবিনা খাতুন </v>
      </c>
      <c r="D411" s="10">
        <f>IFERROR(__xludf.DUMMYFUNCTION("""COMPUTED_VALUE"""),5.70056378667E11)</f>
        <v>570056378667</v>
      </c>
      <c r="E411" s="10" t="str">
        <f>IFERROR(__xludf.DUMMYFUNCTION("""COMPUTED_VALUE""")," আ: ছাত্তার ")</f>
        <v> আ: ছাত্তার </v>
      </c>
      <c r="F411" s="10" t="str">
        <f>IFERROR(__xludf.DUMMYFUNCTION("""COMPUTED_VALUE""")," মোছা: আকলিমা ")</f>
        <v> মোছা: আকলিমা </v>
      </c>
      <c r="G411" s="10" t="str">
        <f>IFERROR(__xludf.DUMMYFUNCTION("""COMPUTED_VALUE""")," ০৭/০৬/১৯৮২ ")</f>
        <v> ০৭/০৬/১৯৮২ </v>
      </c>
      <c r="H411" s="10" t="str">
        <f>IFERROR(__xludf.DUMMYFUNCTION("""COMPUTED_VALUE""")," গৃহিণী ")</f>
        <v> গৃহিণী </v>
      </c>
      <c r="I411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2">
      <c r="A412" s="9" t="s">
        <v>3112</v>
      </c>
      <c r="B412" s="10">
        <f>IFERROR(__xludf.DUMMYFUNCTION("SPLIT(A412,""|"")"),399.0)</f>
        <v>399</v>
      </c>
      <c r="C412" s="10" t="str">
        <f>IFERROR(__xludf.DUMMYFUNCTION("""COMPUTED_VALUE""")," নাম: মোছা: আমিনা খাতুন ")</f>
        <v> নাম: মোছা: আমিনা খাতুন </v>
      </c>
      <c r="D412" s="10">
        <f>IFERROR(__xludf.DUMMYFUNCTION("""COMPUTED_VALUE"""),5.70056378669E11)</f>
        <v>570056378669</v>
      </c>
      <c r="E412" s="10" t="str">
        <f>IFERROR(__xludf.DUMMYFUNCTION("""COMPUTED_VALUE""")," জমির মন্ডল ")</f>
        <v> জমির মন্ডল </v>
      </c>
      <c r="F412" s="10" t="str">
        <f>IFERROR(__xludf.DUMMYFUNCTION("""COMPUTED_VALUE""")," মোছা: জাহেদা খাতুন ")</f>
        <v> মোছা: জাহেদা খাতুন </v>
      </c>
      <c r="G412" s="10" t="str">
        <f>IFERROR(__xludf.DUMMYFUNCTION("""COMPUTED_VALUE""")," ১৬/০৫/১৯৮৭ ")</f>
        <v> ১৬/০৫/১৯৮৭ </v>
      </c>
      <c r="H412" s="10" t="str">
        <f>IFERROR(__xludf.DUMMYFUNCTION("""COMPUTED_VALUE""")," গৃহিণী ")</f>
        <v> গৃহিণী </v>
      </c>
      <c r="I412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3">
      <c r="A413" s="9" t="s">
        <v>3113</v>
      </c>
      <c r="B413" s="10">
        <f>IFERROR(__xludf.DUMMYFUNCTION("SPLIT(A413,""|"")"),400.0)</f>
        <v>400</v>
      </c>
      <c r="C413" s="10" t="str">
        <f>IFERROR(__xludf.DUMMYFUNCTION("""COMPUTED_VALUE""")," নাম: মোছা: রিনা খাতুন ")</f>
        <v> নাম: মোছা: রিনা খাতুন </v>
      </c>
      <c r="D413" s="10">
        <f>IFERROR(__xludf.DUMMYFUNCTION("""COMPUTED_VALUE"""),5.7005637867E11)</f>
        <v>570056378670</v>
      </c>
      <c r="E413" s="10" t="str">
        <f>IFERROR(__xludf.DUMMYFUNCTION("""COMPUTED_VALUE""")," মো: সামসুর রহমান ")</f>
        <v> মো: সামসুর রহমান </v>
      </c>
      <c r="F413" s="10" t="str">
        <f>IFERROR(__xludf.DUMMYFUNCTION("""COMPUTED_VALUE""")," মোছা: মোছা: ফজিলা খাতুন ")</f>
        <v> মোছা: মোছা: ফজিলা খাতুন </v>
      </c>
      <c r="G413" s="10" t="str">
        <f>IFERROR(__xludf.DUMMYFUNCTION("""COMPUTED_VALUE""")," ১৫/০৪/১৯৮৮ ")</f>
        <v> ১৫/০৪/১৯৮৮ </v>
      </c>
      <c r="H413" s="10" t="str">
        <f>IFERROR(__xludf.DUMMYFUNCTION("""COMPUTED_VALUE""")," গৃহিণী ")</f>
        <v> গৃহিণী </v>
      </c>
      <c r="I413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4">
      <c r="A414" s="9" t="s">
        <v>3114</v>
      </c>
      <c r="B414" s="10">
        <f>IFERROR(__xludf.DUMMYFUNCTION("SPLIT(A414,""|"")"),401.0)</f>
        <v>401</v>
      </c>
      <c r="C414" s="10" t="str">
        <f>IFERROR(__xludf.DUMMYFUNCTION("""COMPUTED_VALUE""")," নাম: মোছা: ফুলবাসী খাতুন ")</f>
        <v> নাম: মোছা: ফুলবাসী খাতুন </v>
      </c>
      <c r="D414" s="10">
        <f>IFERROR(__xludf.DUMMYFUNCTION("""COMPUTED_VALUE"""),5.70056378671E11)</f>
        <v>570056378671</v>
      </c>
      <c r="E414" s="10" t="str">
        <f>IFERROR(__xludf.DUMMYFUNCTION("""COMPUTED_VALUE""")," মো: নবিছুদ্দীন ")</f>
        <v> মো: নবিছুদ্দীন </v>
      </c>
      <c r="F414" s="10" t="str">
        <f>IFERROR(__xludf.DUMMYFUNCTION("""COMPUTED_VALUE""")," মোছা: মোছা: হালিমা খাতুন ")</f>
        <v> মোছা: মোছা: হালিমা খাতুন </v>
      </c>
      <c r="G414" s="10" t="str">
        <f>IFERROR(__xludf.DUMMYFUNCTION("""COMPUTED_VALUE""")," ২৪/০৫/১৯৭৭ ")</f>
        <v> ২৪/০৫/১৯৭৭ </v>
      </c>
      <c r="H414" s="10" t="str">
        <f>IFERROR(__xludf.DUMMYFUNCTION("""COMPUTED_VALUE""")," গৃহিণী ")</f>
        <v> গৃহিণী </v>
      </c>
      <c r="I414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5">
      <c r="A415" s="9" t="s">
        <v>3115</v>
      </c>
      <c r="B415" s="10">
        <f>IFERROR(__xludf.DUMMYFUNCTION("SPLIT(A415,""|"")"),402.0)</f>
        <v>402</v>
      </c>
      <c r="C415" s="10" t="str">
        <f>IFERROR(__xludf.DUMMYFUNCTION("""COMPUTED_VALUE""")," নাম: মোছা: ববিতা খাতুন ")</f>
        <v> নাম: মোছা: ববিতা খাতুন </v>
      </c>
      <c r="D415" s="10">
        <f>IFERROR(__xludf.DUMMYFUNCTION("""COMPUTED_VALUE"""),5.70056378672E11)</f>
        <v>570056378672</v>
      </c>
      <c r="E415" s="10" t="str">
        <f>IFERROR(__xludf.DUMMYFUNCTION("""COMPUTED_VALUE""")," মো: শুকুবাসী ")</f>
        <v> মো: শুকুবাসী </v>
      </c>
      <c r="F415" s="10" t="str">
        <f>IFERROR(__xludf.DUMMYFUNCTION("""COMPUTED_VALUE""")," মোছা: মোছা: সাবুজান বিবি ")</f>
        <v> মোছা: মোছা: সাবুজান বিবি </v>
      </c>
      <c r="G415" s="10" t="str">
        <f>IFERROR(__xludf.DUMMYFUNCTION("""COMPUTED_VALUE""")," ২২/১২/১৯৮২ ")</f>
        <v> ২২/১২/১৯৮২ </v>
      </c>
      <c r="H415" s="10" t="str">
        <f>IFERROR(__xludf.DUMMYFUNCTION("""COMPUTED_VALUE""")," গৃহিণী ")</f>
        <v> গৃহিণী </v>
      </c>
      <c r="I415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6">
      <c r="A416" s="9" t="s">
        <v>3116</v>
      </c>
      <c r="B416" s="10">
        <f>IFERROR(__xludf.DUMMYFUNCTION("SPLIT(A416,""|"")"),403.0)</f>
        <v>403</v>
      </c>
      <c r="C416" s="10" t="str">
        <f>IFERROR(__xludf.DUMMYFUNCTION("""COMPUTED_VALUE""")," নাম: মোছা: আনোয়ারা খাতুন ")</f>
        <v> নাম: মোছা: আনোয়ারা খাতুন </v>
      </c>
      <c r="D416" s="10">
        <f>IFERROR(__xludf.DUMMYFUNCTION("""COMPUTED_VALUE"""),5.70056378674E11)</f>
        <v>570056378674</v>
      </c>
      <c r="E416" s="10" t="str">
        <f>IFERROR(__xludf.DUMMYFUNCTION("""COMPUTED_VALUE""")," অফেজদ্দিন ")</f>
        <v> অফেজদ্দিন </v>
      </c>
      <c r="F416" s="10" t="str">
        <f>IFERROR(__xludf.DUMMYFUNCTION("""COMPUTED_VALUE""")," মোছা: রমেলা খাতুন ")</f>
        <v> মোছা: রমেলা খাতুন </v>
      </c>
      <c r="G416" s="10" t="str">
        <f>IFERROR(__xludf.DUMMYFUNCTION("""COMPUTED_VALUE""")," ০৮/১১/১৯৫৭ ")</f>
        <v> ০৮/১১/১৯৫৭ </v>
      </c>
      <c r="H416" s="10" t="str">
        <f>IFERROR(__xludf.DUMMYFUNCTION("""COMPUTED_VALUE""")," গৃহিণী ")</f>
        <v> গৃহিণী </v>
      </c>
      <c r="I416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7">
      <c r="A417" s="9" t="s">
        <v>3117</v>
      </c>
      <c r="B417" s="10">
        <f>IFERROR(__xludf.DUMMYFUNCTION("SPLIT(A417,""|"")"),404.0)</f>
        <v>404</v>
      </c>
      <c r="C417" s="10" t="str">
        <f>IFERROR(__xludf.DUMMYFUNCTION("""COMPUTED_VALUE""")," নাম: মোছা: বিউটি খাতুন ")</f>
        <v> নাম: মোছা: বিউটি খাতুন </v>
      </c>
      <c r="D417" s="10">
        <f>IFERROR(__xludf.DUMMYFUNCTION("""COMPUTED_VALUE"""),5.70056378675E11)</f>
        <v>570056378675</v>
      </c>
      <c r="E417" s="10" t="str">
        <f>IFERROR(__xludf.DUMMYFUNCTION("""COMPUTED_VALUE""")," মো: শহিদ আলী ")</f>
        <v> মো: শহিদ আলী </v>
      </c>
      <c r="F417" s="10" t="str">
        <f>IFERROR(__xludf.DUMMYFUNCTION("""COMPUTED_VALUE""")," মোছা: শহিদা খাতুন ")</f>
        <v> মোছা: শহিদা খাতুন </v>
      </c>
      <c r="G417" s="10" t="str">
        <f>IFERROR(__xludf.DUMMYFUNCTION("""COMPUTED_VALUE""")," ১২/০৪/১৯৮২ ")</f>
        <v> ১২/০৪/১৯৮২ </v>
      </c>
      <c r="H417" s="10" t="str">
        <f>IFERROR(__xludf.DUMMYFUNCTION("""COMPUTED_VALUE""")," গৃহিণী ")</f>
        <v> গৃহিণী </v>
      </c>
      <c r="I417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8">
      <c r="A418" s="9" t="s">
        <v>3118</v>
      </c>
      <c r="B418" s="10">
        <f>IFERROR(__xludf.DUMMYFUNCTION("SPLIT(A418,""|"")"),405.0)</f>
        <v>405</v>
      </c>
      <c r="C418" s="10" t="str">
        <f>IFERROR(__xludf.DUMMYFUNCTION("""COMPUTED_VALUE""")," নাম: মোছা: রহিদা খাতুন ")</f>
        <v> নাম: মোছা: রহিদা খাতুন </v>
      </c>
      <c r="D418" s="10">
        <f>IFERROR(__xludf.DUMMYFUNCTION("""COMPUTED_VALUE"""),5.70056378676E11)</f>
        <v>570056378676</v>
      </c>
      <c r="E418" s="10" t="str">
        <f>IFERROR(__xludf.DUMMYFUNCTION("""COMPUTED_VALUE""")," তাহাজদ্দীন ")</f>
        <v> তাহাজদ্দীন </v>
      </c>
      <c r="F418" s="10" t="str">
        <f>IFERROR(__xludf.DUMMYFUNCTION("""COMPUTED_VALUE""")," মোছা: সখুরা খাতুন ")</f>
        <v> মোছা: সখুরা খাতুন </v>
      </c>
      <c r="G418" s="10" t="str">
        <f>IFERROR(__xludf.DUMMYFUNCTION("""COMPUTED_VALUE""")," ২৬/০৪/১৯৬৭ ")</f>
        <v> ২৬/০৪/১৯৬৭ </v>
      </c>
      <c r="H418" s="10" t="str">
        <f>IFERROR(__xludf.DUMMYFUNCTION("""COMPUTED_VALUE""")," গৃহিণী ")</f>
        <v> গৃহিণী </v>
      </c>
      <c r="I418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9">
      <c r="A419" s="9" t="s">
        <v>3119</v>
      </c>
      <c r="B419" s="10">
        <f>IFERROR(__xludf.DUMMYFUNCTION("SPLIT(A419,""|"")"),406.0)</f>
        <v>406</v>
      </c>
      <c r="C419" s="10" t="str">
        <f>IFERROR(__xludf.DUMMYFUNCTION("""COMPUTED_VALUE""")," নাম: মোছাঃ নার্গিস খাতুন ")</f>
        <v> নাম: মোছাঃ নার্গিস খাতুন </v>
      </c>
      <c r="D419" s="10">
        <f>IFERROR(__xludf.DUMMYFUNCTION("""COMPUTED_VALUE"""),5.70056378677E11)</f>
        <v>570056378677</v>
      </c>
      <c r="E419" s="10" t="str">
        <f>IFERROR(__xludf.DUMMYFUNCTION("""COMPUTED_VALUE""")," মো: আ: রহমান ")</f>
        <v> মো: আ: রহমান </v>
      </c>
      <c r="F419" s="10" t="str">
        <f>IFERROR(__xludf.DUMMYFUNCTION("""COMPUTED_VALUE""")," মোছা: সুফিয়া খাতুন ")</f>
        <v> মোছা: সুফিয়া খাতুন </v>
      </c>
      <c r="G419" s="10" t="str">
        <f>IFERROR(__xludf.DUMMYFUNCTION("""COMPUTED_VALUE""")," ১২/০৭/১৯৮৩ ")</f>
        <v> ১২/০৭/১৯৮৩ </v>
      </c>
      <c r="H419" s="10" t="str">
        <f>IFERROR(__xludf.DUMMYFUNCTION("""COMPUTED_VALUE""")," গৃহিণী ")</f>
        <v> গৃহিণী </v>
      </c>
      <c r="I419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0">
      <c r="A420" s="9" t="s">
        <v>3120</v>
      </c>
      <c r="B420" s="10">
        <f>IFERROR(__xludf.DUMMYFUNCTION("SPLIT(A420,""|"")"),407.0)</f>
        <v>407</v>
      </c>
      <c r="C420" s="10" t="str">
        <f>IFERROR(__xludf.DUMMYFUNCTION("""COMPUTED_VALUE""")," নাম: মোছা: সাথী খাতুন ")</f>
        <v> নাম: মোছা: সাথী খাতুন </v>
      </c>
      <c r="D420" s="10">
        <f>IFERROR(__xludf.DUMMYFUNCTION("""COMPUTED_VALUE"""),5.70056378679E11)</f>
        <v>570056378679</v>
      </c>
      <c r="E420" s="10" t="str">
        <f>IFERROR(__xludf.DUMMYFUNCTION("""COMPUTED_VALUE""")," মো: ডাবলু মিয়া ")</f>
        <v> মো: ডাবলু মিয়া </v>
      </c>
      <c r="F420" s="10" t="str">
        <f>IFERROR(__xludf.DUMMYFUNCTION("""COMPUTED_VALUE""")," মোছা: শহিদা খাতুন ")</f>
        <v> মোছা: শহিদা খাতুন </v>
      </c>
      <c r="G420" s="10" t="str">
        <f>IFERROR(__xludf.DUMMYFUNCTION("""COMPUTED_VALUE""")," ২০/০১/১৯৮৫ ")</f>
        <v> ২০/০১/১৯৮৫ </v>
      </c>
      <c r="H420" s="10" t="str">
        <f>IFERROR(__xludf.DUMMYFUNCTION("""COMPUTED_VALUE""")," গৃহিণী ")</f>
        <v> গৃহিণী </v>
      </c>
      <c r="I420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1">
      <c r="A421" s="9" t="s">
        <v>3121</v>
      </c>
      <c r="B421" s="10">
        <f>IFERROR(__xludf.DUMMYFUNCTION("SPLIT(A421,""|"")"),408.0)</f>
        <v>408</v>
      </c>
      <c r="C421" s="10" t="str">
        <f>IFERROR(__xludf.DUMMYFUNCTION("""COMPUTED_VALUE""")," নাম: মোছা: ফাতিমা খাতুন ")</f>
        <v> নাম: মোছা: ফাতিমা খাতুন </v>
      </c>
      <c r="D421" s="10">
        <f>IFERROR(__xludf.DUMMYFUNCTION("""COMPUTED_VALUE"""),5.7005637868E11)</f>
        <v>570056378680</v>
      </c>
      <c r="E421" s="10" t="str">
        <f>IFERROR(__xludf.DUMMYFUNCTION("""COMPUTED_VALUE""")," রকিবুল মন্ডল ")</f>
        <v> রকিবুল মন্ডল </v>
      </c>
      <c r="F421" s="10" t="str">
        <f>IFERROR(__xludf.DUMMYFUNCTION("""COMPUTED_VALUE""")," মোছা: সুবাসী বিবি ")</f>
        <v> মোছা: সুবাসী বিবি </v>
      </c>
      <c r="G421" s="10" t="str">
        <f>IFERROR(__xludf.DUMMYFUNCTION("""COMPUTED_VALUE""")," ০৮/০৬/১৯৮২ ")</f>
        <v> ০৮/০৬/১৯৮২ </v>
      </c>
      <c r="H421" s="10" t="str">
        <f>IFERROR(__xludf.DUMMYFUNCTION("""COMPUTED_VALUE""")," গৃহিণী ")</f>
        <v> গৃহিণী </v>
      </c>
      <c r="I421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2">
      <c r="A422" s="9" t="s">
        <v>3122</v>
      </c>
      <c r="B422" s="10">
        <f>IFERROR(__xludf.DUMMYFUNCTION("SPLIT(A422,""|"")"),409.0)</f>
        <v>409</v>
      </c>
      <c r="C422" s="10" t="str">
        <f>IFERROR(__xludf.DUMMYFUNCTION("""COMPUTED_VALUE""")," নাম: মোছা: বাছিরন নেছা ")</f>
        <v> নাম: মোছা: বাছিরন নেছা </v>
      </c>
      <c r="D422" s="10">
        <f>IFERROR(__xludf.DUMMYFUNCTION("""COMPUTED_VALUE"""),5.70056378681E11)</f>
        <v>570056378681</v>
      </c>
      <c r="E422" s="10" t="str">
        <f>IFERROR(__xludf.DUMMYFUNCTION("""COMPUTED_VALUE""")," মোজাফ আলী ")</f>
        <v> মোজাফ আলী </v>
      </c>
      <c r="F422" s="10" t="str">
        <f>IFERROR(__xludf.DUMMYFUNCTION("""COMPUTED_VALUE""")," মোছা: মাহিরন নেছা ")</f>
        <v> মোছা: মাহিরন নেছা </v>
      </c>
      <c r="G422" s="10" t="str">
        <f>IFERROR(__xludf.DUMMYFUNCTION("""COMPUTED_VALUE""")," ১১/০৭/১৯৬৭ ")</f>
        <v> ১১/০৭/১৯৬৭ </v>
      </c>
      <c r="H422" s="10" t="str">
        <f>IFERROR(__xludf.DUMMYFUNCTION("""COMPUTED_VALUE""")," গৃহিণী ")</f>
        <v> গৃহিণী </v>
      </c>
      <c r="I422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3">
      <c r="A423" s="9" t="s">
        <v>3123</v>
      </c>
      <c r="B423" s="10">
        <f>IFERROR(__xludf.DUMMYFUNCTION("SPLIT(A423,""|"")"),410.0)</f>
        <v>410</v>
      </c>
      <c r="C423" s="10" t="str">
        <f>IFERROR(__xludf.DUMMYFUNCTION("""COMPUTED_VALUE""")," নাম: মোছা: সাহিদা বেগম ")</f>
        <v> নাম: মোছা: সাহিদা বেগম </v>
      </c>
      <c r="D423" s="10">
        <f>IFERROR(__xludf.DUMMYFUNCTION("""COMPUTED_VALUE"""),5.70056378705E11)</f>
        <v>570056378705</v>
      </c>
      <c r="E423" s="10" t="str">
        <f>IFERROR(__xludf.DUMMYFUNCTION("""COMPUTED_VALUE""")," রুস্তম আলী ")</f>
        <v> রুস্তম আলী </v>
      </c>
      <c r="F423" s="10" t="str">
        <f>IFERROR(__xludf.DUMMYFUNCTION("""COMPUTED_VALUE""")," মোছা: হারেজান বিবি ")</f>
        <v> মোছা: হারেজান বিবি </v>
      </c>
      <c r="G423" s="10" t="str">
        <f>IFERROR(__xludf.DUMMYFUNCTION("""COMPUTED_VALUE""")," ০৫/০৯/১৯৬২ ")</f>
        <v> ০৫/০৯/১৯৬২ </v>
      </c>
      <c r="H423" s="10" t="str">
        <f>IFERROR(__xludf.DUMMYFUNCTION("""COMPUTED_VALUE""")," গৃহিণী ")</f>
        <v> গৃহিণী </v>
      </c>
      <c r="I423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4">
      <c r="A424" s="9" t="s">
        <v>3124</v>
      </c>
      <c r="B424" s="10">
        <f>IFERROR(__xludf.DUMMYFUNCTION("SPLIT(A424,""|"")"),411.0)</f>
        <v>411</v>
      </c>
      <c r="C424" s="10" t="str">
        <f>IFERROR(__xludf.DUMMYFUNCTION("""COMPUTED_VALUE""")," নাম: মোছা: শিউলী খাতুন ")</f>
        <v> নাম: মোছা: শিউলী খাতুন </v>
      </c>
      <c r="D424" s="10">
        <f>IFERROR(__xludf.DUMMYFUNCTION("""COMPUTED_VALUE"""),5.7005637871E11)</f>
        <v>570056378710</v>
      </c>
      <c r="E424" s="10" t="str">
        <f>IFERROR(__xludf.DUMMYFUNCTION("""COMPUTED_VALUE""")," মো: শামসের আলী ")</f>
        <v> মো: শামসের আলী </v>
      </c>
      <c r="F424" s="10" t="str">
        <f>IFERROR(__xludf.DUMMYFUNCTION("""COMPUTED_VALUE""")," মোছা: বুলবুলি খাতুন ")</f>
        <v> মোছা: বুলবুলি খাতুন </v>
      </c>
      <c r="G424" s="10" t="str">
        <f>IFERROR(__xludf.DUMMYFUNCTION("""COMPUTED_VALUE""")," ০৫/০৩/১৯৮৩ ")</f>
        <v> ০৫/০৩/১৯৮৩ </v>
      </c>
      <c r="H424" s="10" t="str">
        <f>IFERROR(__xludf.DUMMYFUNCTION("""COMPUTED_VALUE""")," গৃহিণী ")</f>
        <v> গৃহিণী </v>
      </c>
      <c r="I424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5">
      <c r="A425" s="9" t="s">
        <v>3125</v>
      </c>
      <c r="B425" s="10">
        <f>IFERROR(__xludf.DUMMYFUNCTION("SPLIT(A425,""|"")"),412.0)</f>
        <v>412</v>
      </c>
      <c r="C425" s="10" t="str">
        <f>IFERROR(__xludf.DUMMYFUNCTION("""COMPUTED_VALUE""")," নাম: মোছা: সোনাভানু ")</f>
        <v> নাম: মোছা: সোনাভানু </v>
      </c>
      <c r="D425" s="10">
        <f>IFERROR(__xludf.DUMMYFUNCTION("""COMPUTED_VALUE"""),5.70056378711E11)</f>
        <v>570056378711</v>
      </c>
      <c r="E425" s="10" t="str">
        <f>IFERROR(__xludf.DUMMYFUNCTION("""COMPUTED_VALUE""")," মৃত আপু সর্দার ")</f>
        <v> মৃত আপু সর্দার </v>
      </c>
      <c r="F425" s="10" t="str">
        <f>IFERROR(__xludf.DUMMYFUNCTION("""COMPUTED_VALUE""")," মোছা: মুনজুরা বিবি ")</f>
        <v> মোছা: মুনজুরা বিবি </v>
      </c>
      <c r="G425" s="10" t="str">
        <f>IFERROR(__xludf.DUMMYFUNCTION("""COMPUTED_VALUE""")," ০৮/১০/১৯৬৫ ")</f>
        <v> ০৮/১০/১৯৬৫ </v>
      </c>
      <c r="H425" s="10" t="str">
        <f>IFERROR(__xludf.DUMMYFUNCTION("""COMPUTED_VALUE""")," গৃহিণী ")</f>
        <v> গৃহিণী </v>
      </c>
      <c r="I425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26">
      <c r="A426" s="9" t="s">
        <v>3126</v>
      </c>
      <c r="B426" s="10">
        <f>IFERROR(__xludf.DUMMYFUNCTION("SPLIT(A426,""|"")"),413.0)</f>
        <v>413</v>
      </c>
      <c r="C426" s="10" t="str">
        <f>IFERROR(__xludf.DUMMYFUNCTION("""COMPUTED_VALUE""")," নাম: মোছা: আঞ্জুয়ারা ")</f>
        <v> নাম: মোছা: আঞ্জুয়ারা </v>
      </c>
      <c r="D426" s="10">
        <f>IFERROR(__xludf.DUMMYFUNCTION("""COMPUTED_VALUE"""),5.70056378713E11)</f>
        <v>570056378713</v>
      </c>
      <c r="E426" s="10" t="str">
        <f>IFERROR(__xludf.DUMMYFUNCTION("""COMPUTED_VALUE""")," মো: আরমান আলী ")</f>
        <v> মো: আরমান আলী </v>
      </c>
      <c r="F426" s="10" t="str">
        <f>IFERROR(__xludf.DUMMYFUNCTION("""COMPUTED_VALUE""")," মোছা: সায়রা খাতুন ")</f>
        <v> মোছা: সায়রা খাতুন </v>
      </c>
      <c r="G426" s="10" t="str">
        <f>IFERROR(__xludf.DUMMYFUNCTION("""COMPUTED_VALUE""")," ০৫/০৭/১৯৮৫ ")</f>
        <v> ০৫/০৭/১৯৮৫ </v>
      </c>
      <c r="H426" s="10" t="str">
        <f>IFERROR(__xludf.DUMMYFUNCTION("""COMPUTED_VALUE""")," গৃহিণী ")</f>
        <v> গৃহিণী </v>
      </c>
      <c r="I426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7">
      <c r="A427" s="9" t="s">
        <v>3127</v>
      </c>
      <c r="B427" s="10">
        <f>IFERROR(__xludf.DUMMYFUNCTION("SPLIT(A427,""|"")"),414.0)</f>
        <v>414</v>
      </c>
      <c r="C427" s="10" t="str">
        <f>IFERROR(__xludf.DUMMYFUNCTION("""COMPUTED_VALUE""")," নাম: মোছা: ফেরদৌসী খাতুন ")</f>
        <v> নাম: মোছা: ফেরদৌসী খাতুন </v>
      </c>
      <c r="D427" s="10">
        <f>IFERROR(__xludf.DUMMYFUNCTION("""COMPUTED_VALUE"""),5.70056378714E11)</f>
        <v>570056378714</v>
      </c>
      <c r="E427" s="10" t="str">
        <f>IFERROR(__xludf.DUMMYFUNCTION("""COMPUTED_VALUE""")," মো: রমজান আলী ")</f>
        <v> মো: রমজান আলী </v>
      </c>
      <c r="F427" s="10" t="str">
        <f>IFERROR(__xludf.DUMMYFUNCTION("""COMPUTED_VALUE""")," মোছা: সুফিয়া খাতুন ")</f>
        <v> মোছা: সুফিয়া খাতুন </v>
      </c>
      <c r="G427" s="10" t="str">
        <f>IFERROR(__xludf.DUMMYFUNCTION("""COMPUTED_VALUE""")," ০১/০৬/১৯৭৫ ")</f>
        <v> ০১/০৬/১৯৭৫ </v>
      </c>
      <c r="H427" s="10" t="str">
        <f>IFERROR(__xludf.DUMMYFUNCTION("""COMPUTED_VALUE""")," গৃহিণী ")</f>
        <v> গৃহিণী </v>
      </c>
      <c r="I427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8">
      <c r="A428" s="9" t="s">
        <v>3128</v>
      </c>
      <c r="B428" s="10">
        <f>IFERROR(__xludf.DUMMYFUNCTION("SPLIT(A428,""|"")"),415.0)</f>
        <v>415</v>
      </c>
      <c r="C428" s="10" t="str">
        <f>IFERROR(__xludf.DUMMYFUNCTION("""COMPUTED_VALUE""")," নাম: মোছা: আল্লাদি খাতুন ")</f>
        <v> নাম: মোছা: আল্লাদি খাতুন </v>
      </c>
      <c r="D428" s="10">
        <f>IFERROR(__xludf.DUMMYFUNCTION("""COMPUTED_VALUE"""),5.70056378715E11)</f>
        <v>570056378715</v>
      </c>
      <c r="E428" s="10" t="str">
        <f>IFERROR(__xludf.DUMMYFUNCTION("""COMPUTED_VALUE""")," সাদেক আলী ")</f>
        <v> সাদেক আলী </v>
      </c>
      <c r="F428" s="10" t="str">
        <f>IFERROR(__xludf.DUMMYFUNCTION("""COMPUTED_VALUE""")," মোছা: আমিনা খাতুন ")</f>
        <v> মোছা: আমিনা খাতুন </v>
      </c>
      <c r="G428" s="10" t="str">
        <f>IFERROR(__xludf.DUMMYFUNCTION("""COMPUTED_VALUE""")," ২২/০৮/১৯৮২ ")</f>
        <v> ২২/০৮/১৯৮২ </v>
      </c>
      <c r="H428" s="10" t="str">
        <f>IFERROR(__xludf.DUMMYFUNCTION("""COMPUTED_VALUE""")," গৃহিণী ")</f>
        <v> গৃহিণী </v>
      </c>
      <c r="I428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429">
      <c r="A429" s="9" t="s">
        <v>3129</v>
      </c>
      <c r="B429" s="10">
        <f>IFERROR(__xludf.DUMMYFUNCTION("SPLIT(A429,""|"")"),416.0)</f>
        <v>416</v>
      </c>
      <c r="C429" s="10" t="str">
        <f>IFERROR(__xludf.DUMMYFUNCTION("""COMPUTED_VALUE""")," মাইগ্রেট হয়েছে ")</f>
        <v> মাইগ্রেট হয়েছে </v>
      </c>
      <c r="D429" s="10" t="str">
        <f>IFERROR(__xludf.DUMMYFUNCTION("""COMPUTED_VALUE"""),"  ")</f>
        <v>  </v>
      </c>
      <c r="E429" s="10" t="str">
        <f>IFERROR(__xludf.DUMMYFUNCTION("""COMPUTED_VALUE"""),"  ")</f>
        <v>  </v>
      </c>
      <c r="F429" s="10" t="str">
        <f>IFERROR(__xludf.DUMMYFUNCTION("""COMPUTED_VALUE"""),"  ")</f>
        <v>  </v>
      </c>
      <c r="G429" s="10" t="str">
        <f>IFERROR(__xludf.DUMMYFUNCTION("""COMPUTED_VALUE"""),"  ")</f>
        <v>  </v>
      </c>
      <c r="H429" s="10" t="str">
        <f>IFERROR(__xludf.DUMMYFUNCTION("""COMPUTED_VALUE"""),"  ")</f>
        <v>  </v>
      </c>
      <c r="I429" s="10" t="str">
        <f>IFERROR(__xludf.DUMMYFUNCTION("""COMPUTED_VALUE"""),"  ")</f>
        <v>  </v>
      </c>
    </row>
    <row r="430">
      <c r="A430" s="9" t="s">
        <v>3130</v>
      </c>
      <c r="B430" s="10">
        <f>IFERROR(__xludf.DUMMYFUNCTION("SPLIT(A430,""|"")"),417.0)</f>
        <v>417</v>
      </c>
      <c r="C430" s="10" t="str">
        <f>IFERROR(__xludf.DUMMYFUNCTION("""COMPUTED_VALUE""")," নাম: মোছা: শকিরন নেছা ")</f>
        <v> নাম: মোছা: শকিরন নেছা </v>
      </c>
      <c r="D430" s="10">
        <f>IFERROR(__xludf.DUMMYFUNCTION("""COMPUTED_VALUE"""),5.70056378718E11)</f>
        <v>570056378718</v>
      </c>
      <c r="E430" s="10" t="str">
        <f>IFERROR(__xludf.DUMMYFUNCTION("""COMPUTED_VALUE""")," মো: আবুল মন্ডল ")</f>
        <v> মো: আবুল মন্ডল </v>
      </c>
      <c r="F430" s="10" t="str">
        <f>IFERROR(__xludf.DUMMYFUNCTION("""COMPUTED_VALUE""")," মোছা: মাহিরন নেছা ")</f>
        <v> মোছা: মাহিরন নেছা </v>
      </c>
      <c r="G430" s="10" t="str">
        <f>IFERROR(__xludf.DUMMYFUNCTION("""COMPUTED_VALUE""")," ১১/০৮/১৯৬৮ ")</f>
        <v> ১১/০৮/১৯৬৮ </v>
      </c>
      <c r="H430" s="10" t="str">
        <f>IFERROR(__xludf.DUMMYFUNCTION("""COMPUTED_VALUE""")," গৃহিণী ")</f>
        <v> গৃহিণী </v>
      </c>
      <c r="I430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1">
      <c r="A431" s="9" t="s">
        <v>3131</v>
      </c>
      <c r="B431" s="10">
        <f>IFERROR(__xludf.DUMMYFUNCTION("SPLIT(A431,""|"")"),418.0)</f>
        <v>418</v>
      </c>
      <c r="C431" s="10" t="str">
        <f>IFERROR(__xludf.DUMMYFUNCTION("""COMPUTED_VALUE""")," নাম: মোছা: জাহেদা খাতুন ")</f>
        <v> নাম: মোছা: জাহেদা খাতুন </v>
      </c>
      <c r="D431" s="10">
        <f>IFERROR(__xludf.DUMMYFUNCTION("""COMPUTED_VALUE"""),5.7005637872E11)</f>
        <v>570056378720</v>
      </c>
      <c r="E431" s="10" t="str">
        <f>IFERROR(__xludf.DUMMYFUNCTION("""COMPUTED_VALUE""")," মো: মজিবরুদ্দিন ")</f>
        <v> মো: মজিবরুদ্দিন </v>
      </c>
      <c r="F431" s="10" t="str">
        <f>IFERROR(__xludf.DUMMYFUNCTION("""COMPUTED_VALUE""")," মোছা: জাহানারা খাতুন ")</f>
        <v> মোছা: জাহানারা খাতুন </v>
      </c>
      <c r="G431" s="10" t="str">
        <f>IFERROR(__xludf.DUMMYFUNCTION("""COMPUTED_VALUE""")," ২২/০৪/১৯৭৭ ")</f>
        <v> ২২/০৪/১৯৭৭ </v>
      </c>
      <c r="H431" s="10" t="str">
        <f>IFERROR(__xludf.DUMMYFUNCTION("""COMPUTED_VALUE""")," গৃহিণী ")</f>
        <v> গৃহিণী </v>
      </c>
      <c r="I431" s="10" t="str">
        <f>IFERROR(__xludf.DUMMYFUNCTION("""COMPUTED_VALUE""")," জালশুকা, গাংনী, মেহেরপুর ")</f>
        <v> জালশুকা, গাংনী, মেহেরপুর </v>
      </c>
    </row>
    <row r="432">
      <c r="A432" s="9" t="s">
        <v>3132</v>
      </c>
      <c r="B432" s="10">
        <f>IFERROR(__xludf.DUMMYFUNCTION("SPLIT(A432,""|"")"),419.0)</f>
        <v>419</v>
      </c>
      <c r="C432" s="10" t="str">
        <f>IFERROR(__xludf.DUMMYFUNCTION("""COMPUTED_VALUE""")," নাম: মোছা: শহিদা বেগম ")</f>
        <v> নাম: মোছা: শহিদা বেগম </v>
      </c>
      <c r="D432" s="10">
        <f>IFERROR(__xludf.DUMMYFUNCTION("""COMPUTED_VALUE"""),5.70056378723E11)</f>
        <v>570056378723</v>
      </c>
      <c r="E432" s="10" t="str">
        <f>IFERROR(__xludf.DUMMYFUNCTION("""COMPUTED_VALUE""")," মুরাদ আলী ")</f>
        <v> মুরাদ আলী </v>
      </c>
      <c r="F432" s="10" t="str">
        <f>IFERROR(__xludf.DUMMYFUNCTION("""COMPUTED_VALUE""")," মোছা: জহিলা বেগম ")</f>
        <v> মোছা: জহিলা বেগম </v>
      </c>
      <c r="G432" s="10" t="str">
        <f>IFERROR(__xludf.DUMMYFUNCTION("""COMPUTED_VALUE""")," ২০/০৯/১৯৬২ ")</f>
        <v> ২০/০৯/১৯৬২ </v>
      </c>
      <c r="H432" s="10" t="str">
        <f>IFERROR(__xludf.DUMMYFUNCTION("""COMPUTED_VALUE""")," গৃহিণী ")</f>
        <v> গৃহিণী </v>
      </c>
      <c r="I432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3">
      <c r="A433" s="9" t="s">
        <v>3133</v>
      </c>
      <c r="B433" s="10">
        <f>IFERROR(__xludf.DUMMYFUNCTION("SPLIT(A433,""|"")"),420.0)</f>
        <v>420</v>
      </c>
      <c r="C433" s="10" t="str">
        <f>IFERROR(__xludf.DUMMYFUNCTION("""COMPUTED_VALUE""")," নাম: মোছা: জাহানারা খাতুন ")</f>
        <v> নাম: মোছা: জাহানারা খাতুন </v>
      </c>
      <c r="D433" s="10">
        <f>IFERROR(__xludf.DUMMYFUNCTION("""COMPUTED_VALUE"""),5.70056378724E11)</f>
        <v>570056378724</v>
      </c>
      <c r="E433" s="10" t="str">
        <f>IFERROR(__xludf.DUMMYFUNCTION("""COMPUTED_VALUE""")," মো: আবুল বিশ্বাস ")</f>
        <v> মো: আবুল বিশ্বাস </v>
      </c>
      <c r="F433" s="10" t="str">
        <f>IFERROR(__xludf.DUMMYFUNCTION("""COMPUTED_VALUE""")," মোছা: জহুরা খাতুন ")</f>
        <v> মোছা: জহুরা খাতুন </v>
      </c>
      <c r="G433" s="10" t="str">
        <f>IFERROR(__xludf.DUMMYFUNCTION("""COMPUTED_VALUE""")," ০৫/০৬/১৯৬২ ")</f>
        <v> ০৫/০৬/১৯৬২ </v>
      </c>
      <c r="H433" s="10" t="str">
        <f>IFERROR(__xludf.DUMMYFUNCTION("""COMPUTED_VALUE""")," গৃহিণী ")</f>
        <v> গৃহিণী </v>
      </c>
      <c r="I433" s="10" t="str">
        <f>IFERROR(__xludf.DUMMYFUNCTION("""COMPUTED_VALUE""")," জালশুকা বালিয়া পাড়া, জালশুকা, গাংনী, মেহেরপুর ")</f>
        <v> জালশুকা বালিয়া পাড়া, জালশুকা, গাংনী, মেহেরপুর </v>
      </c>
    </row>
    <row r="434">
      <c r="A434" s="9" t="s">
        <v>3134</v>
      </c>
      <c r="B434" s="10">
        <f>IFERROR(__xludf.DUMMYFUNCTION("SPLIT(A434,""|"")"),421.0)</f>
        <v>421</v>
      </c>
      <c r="C434" s="10" t="str">
        <f>IFERROR(__xludf.DUMMYFUNCTION("""COMPUTED_VALUE""")," নাম: মোছা: ছামেনা খাতুন ")</f>
        <v> নাম: মোছা: ছামেনা খাতুন </v>
      </c>
      <c r="D434" s="10">
        <f>IFERROR(__xludf.DUMMYFUNCTION("""COMPUTED_VALUE"""),5.70056378726E11)</f>
        <v>570056378726</v>
      </c>
      <c r="E434" s="10" t="str">
        <f>IFERROR(__xludf.DUMMYFUNCTION("""COMPUTED_VALUE""")," মো: কোরবান আলী ")</f>
        <v> মো: কোরবান আলী </v>
      </c>
      <c r="F434" s="10" t="str">
        <f>IFERROR(__xludf.DUMMYFUNCTION("""COMPUTED_VALUE""")," মোছা: জাহানারা খাতুন ")</f>
        <v> মোছা: জাহানারা খাতুন </v>
      </c>
      <c r="G434" s="10" t="str">
        <f>IFERROR(__xludf.DUMMYFUNCTION("""COMPUTED_VALUE""")," ১০/০২/১৯৮৪ ")</f>
        <v> ১০/০২/১৯৮৪ </v>
      </c>
      <c r="H434" s="10" t="str">
        <f>IFERROR(__xludf.DUMMYFUNCTION("""COMPUTED_VALUE""")," গৃহিণী ")</f>
        <v> গৃহিণী </v>
      </c>
      <c r="I434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5">
      <c r="A435" s="9" t="s">
        <v>3135</v>
      </c>
      <c r="B435" s="10">
        <f>IFERROR(__xludf.DUMMYFUNCTION("SPLIT(A435,""|"")"),422.0)</f>
        <v>422</v>
      </c>
      <c r="C435" s="10" t="str">
        <f>IFERROR(__xludf.DUMMYFUNCTION("""COMPUTED_VALUE""")," নাম: মোছা: রহিমা খাতুন ")</f>
        <v> নাম: মোছা: রহিমা খাতুন </v>
      </c>
      <c r="D435" s="10">
        <f>IFERROR(__xludf.DUMMYFUNCTION("""COMPUTED_VALUE"""),5.70056378727E11)</f>
        <v>570056378727</v>
      </c>
      <c r="E435" s="10" t="str">
        <f>IFERROR(__xludf.DUMMYFUNCTION("""COMPUTED_VALUE""")," ছিয়ামদ্দিন ")</f>
        <v> ছিয়ামদ্দিন </v>
      </c>
      <c r="F435" s="10" t="str">
        <f>IFERROR(__xludf.DUMMYFUNCTION("""COMPUTED_VALUE""")," মোছা: নিহারন নেছা ")</f>
        <v> মোছা: নিহারন নেছা </v>
      </c>
      <c r="G435" s="10" t="str">
        <f>IFERROR(__xludf.DUMMYFUNCTION("""COMPUTED_VALUE""")," ২৬/০৯/১৯৭২ ")</f>
        <v> ২৬/০৯/১৯৭২ </v>
      </c>
      <c r="H435" s="10" t="str">
        <f>IFERROR(__xludf.DUMMYFUNCTION("""COMPUTED_VALUE""")," গৃহিণী ")</f>
        <v> গৃহিণী </v>
      </c>
      <c r="I435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6">
      <c r="A436" s="9" t="s">
        <v>3136</v>
      </c>
      <c r="B436" s="10">
        <f>IFERROR(__xludf.DUMMYFUNCTION("SPLIT(A436,""|"")"),423.0)</f>
        <v>423</v>
      </c>
      <c r="C436" s="10" t="str">
        <f>IFERROR(__xludf.DUMMYFUNCTION("""COMPUTED_VALUE""")," নাম: মোছা: ফরিদা খাতুন ")</f>
        <v> নাম: মোছা: ফরিদা খাতুন </v>
      </c>
      <c r="D436" s="10">
        <f>IFERROR(__xludf.DUMMYFUNCTION("""COMPUTED_VALUE"""),5.70056378728E11)</f>
        <v>570056378728</v>
      </c>
      <c r="E436" s="10" t="str">
        <f>IFERROR(__xludf.DUMMYFUNCTION("""COMPUTED_VALUE""")," মো: হাবিবুর রহমান ")</f>
        <v> মো: হাবিবুর রহমান </v>
      </c>
      <c r="F436" s="10" t="str">
        <f>IFERROR(__xludf.DUMMYFUNCTION("""COMPUTED_VALUE""")," মোছা: আসমা খাতুন ")</f>
        <v> মোছা: আসমা খাতুন </v>
      </c>
      <c r="G436" s="10" t="str">
        <f>IFERROR(__xludf.DUMMYFUNCTION("""COMPUTED_VALUE""")," ১৩/০২/১৯৭৪ ")</f>
        <v> ১৩/০২/১৯৭৪ </v>
      </c>
      <c r="H436" s="10" t="str">
        <f>IFERROR(__xludf.DUMMYFUNCTION("""COMPUTED_VALUE""")," গৃহিণী ")</f>
        <v> গৃহিণী </v>
      </c>
      <c r="I436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7">
      <c r="A437" s="9" t="s">
        <v>3137</v>
      </c>
      <c r="B437" s="10">
        <f>IFERROR(__xludf.DUMMYFUNCTION("SPLIT(A437,""|"")"),424.0)</f>
        <v>424</v>
      </c>
      <c r="C437" s="10" t="str">
        <f>IFERROR(__xludf.DUMMYFUNCTION("""COMPUTED_VALUE""")," নাম: মোছা: শিল্পী খাতুন ")</f>
        <v> নাম: মোছা: শিল্পী খাতুন </v>
      </c>
      <c r="D437" s="10">
        <f>IFERROR(__xludf.DUMMYFUNCTION("""COMPUTED_VALUE"""),5.7005637873E11)</f>
        <v>570056378730</v>
      </c>
      <c r="E437" s="10" t="str">
        <f>IFERROR(__xludf.DUMMYFUNCTION("""COMPUTED_VALUE""")," মো: আ: মতালিব ")</f>
        <v> মো: আ: মতালিব </v>
      </c>
      <c r="F437" s="10" t="str">
        <f>IFERROR(__xludf.DUMMYFUNCTION("""COMPUTED_VALUE""")," মোছা: রওশনারা খাতুন ")</f>
        <v> মোছা: রওশনারা খাতুন </v>
      </c>
      <c r="G437" s="10" t="str">
        <f>IFERROR(__xludf.DUMMYFUNCTION("""COMPUTED_VALUE""")," ২৭/০৫/১৯৮৯ ")</f>
        <v> ২৭/০৫/১৯৮৯ </v>
      </c>
      <c r="H437" s="10" t="str">
        <f>IFERROR(__xludf.DUMMYFUNCTION("""COMPUTED_VALUE""")," গৃহিণী ")</f>
        <v> গৃহিণী </v>
      </c>
      <c r="I437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8">
      <c r="A438" s="9" t="s">
        <v>3138</v>
      </c>
      <c r="B438" s="10">
        <f>IFERROR(__xludf.DUMMYFUNCTION("SPLIT(A438,""|"")"),425.0)</f>
        <v>425</v>
      </c>
      <c r="C438" s="10" t="str">
        <f>IFERROR(__xludf.DUMMYFUNCTION("""COMPUTED_VALUE""")," নাম: মোছা: জুলেখা খাতুন ")</f>
        <v> নাম: মোছা: জুলেখা খাতুন </v>
      </c>
      <c r="D438" s="10">
        <f>IFERROR(__xludf.DUMMYFUNCTION("""COMPUTED_VALUE"""),5.70056378731E11)</f>
        <v>570056378731</v>
      </c>
      <c r="E438" s="10" t="str">
        <f>IFERROR(__xludf.DUMMYFUNCTION("""COMPUTED_VALUE""")," মো: আসমত আলী ")</f>
        <v> মো: আসমত আলী </v>
      </c>
      <c r="F438" s="10" t="str">
        <f>IFERROR(__xludf.DUMMYFUNCTION("""COMPUTED_VALUE""")," মোছা: সুখিনা খাতুন ")</f>
        <v> মোছা: সুখিনা খাতুন </v>
      </c>
      <c r="G438" s="10" t="str">
        <f>IFERROR(__xludf.DUMMYFUNCTION("""COMPUTED_VALUE""")," ০১/০৩/১৯৮০ ")</f>
        <v> ০১/০৩/১৯৮০ </v>
      </c>
      <c r="H438" s="10" t="str">
        <f>IFERROR(__xludf.DUMMYFUNCTION("""COMPUTED_VALUE""")," গৃহিণী ")</f>
        <v> গৃহিণী </v>
      </c>
      <c r="I438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9">
      <c r="A439" s="9" t="s">
        <v>3139</v>
      </c>
      <c r="B439" s="10">
        <f>IFERROR(__xludf.DUMMYFUNCTION("SPLIT(A439,""|"")"),426.0)</f>
        <v>426</v>
      </c>
      <c r="C439" s="10" t="str">
        <f>IFERROR(__xludf.DUMMYFUNCTION("""COMPUTED_VALUE""")," নাম: মোছা: শাহানারা ")</f>
        <v> নাম: মোছা: শাহানারা </v>
      </c>
      <c r="D439" s="10">
        <f>IFERROR(__xludf.DUMMYFUNCTION("""COMPUTED_VALUE"""),5.70056378733E11)</f>
        <v>570056378733</v>
      </c>
      <c r="E439" s="10" t="str">
        <f>IFERROR(__xludf.DUMMYFUNCTION("""COMPUTED_VALUE""")," মো: জুল হক ")</f>
        <v> মো: জুল হক </v>
      </c>
      <c r="F439" s="10" t="str">
        <f>IFERROR(__xludf.DUMMYFUNCTION("""COMPUTED_VALUE""")," মোছা: ভানুরা ")</f>
        <v> মোছা: ভানুরা </v>
      </c>
      <c r="G439" s="10" t="str">
        <f>IFERROR(__xludf.DUMMYFUNCTION("""COMPUTED_VALUE""")," ২২/০২/১৯৬৯ ")</f>
        <v> ২২/০২/১৯৬৯ </v>
      </c>
      <c r="H439" s="10" t="str">
        <f>IFERROR(__xludf.DUMMYFUNCTION("""COMPUTED_VALUE""")," গৃহিণী ")</f>
        <v> গৃহিণী </v>
      </c>
      <c r="I439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0">
      <c r="A440" s="9" t="s">
        <v>3140</v>
      </c>
      <c r="B440" s="10">
        <f>IFERROR(__xludf.DUMMYFUNCTION("SPLIT(A440,""|"")"),427.0)</f>
        <v>427</v>
      </c>
      <c r="C440" s="10" t="str">
        <f>IFERROR(__xludf.DUMMYFUNCTION("""COMPUTED_VALUE""")," নাম: মোছা: মদিনা খাতুন ")</f>
        <v> নাম: মোছা: মদিনা খাতুন </v>
      </c>
      <c r="D440" s="10">
        <f>IFERROR(__xludf.DUMMYFUNCTION("""COMPUTED_VALUE"""),5.70056378736E11)</f>
        <v>570056378736</v>
      </c>
      <c r="E440" s="10" t="str">
        <f>IFERROR(__xludf.DUMMYFUNCTION("""COMPUTED_VALUE""")," মো: মহিদুল ")</f>
        <v> মো: মহিদুল </v>
      </c>
      <c r="F440" s="10" t="str">
        <f>IFERROR(__xludf.DUMMYFUNCTION("""COMPUTED_VALUE""")," মোছা: বিলাক বানু ")</f>
        <v> মোছা: বিলাক বানু </v>
      </c>
      <c r="G440" s="10" t="str">
        <f>IFERROR(__xludf.DUMMYFUNCTION("""COMPUTED_VALUE""")," ০২/০৮/১৯৮২ ")</f>
        <v> ০২/০৮/১৯৮২ </v>
      </c>
      <c r="H440" s="10" t="str">
        <f>IFERROR(__xludf.DUMMYFUNCTION("""COMPUTED_VALUE""")," গৃহিণী ")</f>
        <v> গৃহিণী </v>
      </c>
      <c r="I440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1">
      <c r="A441" s="9" t="s">
        <v>3141</v>
      </c>
      <c r="B441" s="10">
        <f>IFERROR(__xludf.DUMMYFUNCTION("SPLIT(A441,""|"")"),428.0)</f>
        <v>428</v>
      </c>
      <c r="C441" s="10" t="str">
        <f>IFERROR(__xludf.DUMMYFUNCTION("""COMPUTED_VALUE""")," নাম: মোছা: শাহানারা ")</f>
        <v> নাম: মোছা: শাহানারা </v>
      </c>
      <c r="D441" s="10">
        <f>IFERROR(__xludf.DUMMYFUNCTION("""COMPUTED_VALUE"""),5.70056378741E11)</f>
        <v>570056378741</v>
      </c>
      <c r="E441" s="10" t="str">
        <f>IFERROR(__xludf.DUMMYFUNCTION("""COMPUTED_VALUE""")," মো: জয়নাল ")</f>
        <v> মো: জয়নাল </v>
      </c>
      <c r="F441" s="10" t="str">
        <f>IFERROR(__xludf.DUMMYFUNCTION("""COMPUTED_VALUE""")," মোছা: রইমন ")</f>
        <v> মোছা: রইমন </v>
      </c>
      <c r="G441" s="10" t="str">
        <f>IFERROR(__xludf.DUMMYFUNCTION("""COMPUTED_VALUE""")," ২৭/০৮/১৯৭২ ")</f>
        <v> ২৭/০৮/১৯৭২ </v>
      </c>
      <c r="H441" s="10" t="str">
        <f>IFERROR(__xludf.DUMMYFUNCTION("""COMPUTED_VALUE""")," গৃহিণী ")</f>
        <v> গৃহিণী </v>
      </c>
      <c r="I441" s="10" t="str">
        <f>IFERROR(__xludf.DUMMYFUNCTION("""COMPUTED_VALUE""")," জালশুকা, গাংনী, মেহেরপুর ")</f>
        <v> জালশুকা, গাংনী, মেহেরপুর </v>
      </c>
    </row>
    <row r="442">
      <c r="A442" s="9" t="s">
        <v>3142</v>
      </c>
      <c r="B442" s="10">
        <f>IFERROR(__xludf.DUMMYFUNCTION("SPLIT(A442,""|"")"),429.0)</f>
        <v>429</v>
      </c>
      <c r="C442" s="10" t="str">
        <f>IFERROR(__xludf.DUMMYFUNCTION("""COMPUTED_VALUE""")," নাম: মোছা: রোকিয়া খাতুন ")</f>
        <v> নাম: মোছা: রোকিয়া খাতুন </v>
      </c>
      <c r="D442" s="10">
        <f>IFERROR(__xludf.DUMMYFUNCTION("""COMPUTED_VALUE"""),5.70056378742E11)</f>
        <v>570056378742</v>
      </c>
      <c r="E442" s="10" t="str">
        <f>IFERROR(__xludf.DUMMYFUNCTION("""COMPUTED_VALUE""")," মো: ওয়াজে আলী ")</f>
        <v> মো: ওয়াজে আলী </v>
      </c>
      <c r="F442" s="10" t="str">
        <f>IFERROR(__xludf.DUMMYFUNCTION("""COMPUTED_VALUE""")," মোছা: জবেদা খাতুন ")</f>
        <v> মোছা: জবেদা খাতুন </v>
      </c>
      <c r="G442" s="10" t="str">
        <f>IFERROR(__xludf.DUMMYFUNCTION("""COMPUTED_VALUE""")," ২০/১০/১৯৮২ ")</f>
        <v> ২০/১০/১৯৮২ </v>
      </c>
      <c r="H442" s="10" t="str">
        <f>IFERROR(__xludf.DUMMYFUNCTION("""COMPUTED_VALUE""")," গৃহিণী ")</f>
        <v> গৃহিণী </v>
      </c>
      <c r="I442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3">
      <c r="A443" s="9" t="s">
        <v>3143</v>
      </c>
      <c r="B443" s="10">
        <f>IFERROR(__xludf.DUMMYFUNCTION("SPLIT(A443,""|"")"),430.0)</f>
        <v>430</v>
      </c>
      <c r="C443" s="10" t="str">
        <f>IFERROR(__xludf.DUMMYFUNCTION("""COMPUTED_VALUE""")," নাম: মোছা: রানুয়ারা খাতুন ")</f>
        <v> নাম: মোছা: রানুয়ারা খাতুন </v>
      </c>
      <c r="D443" s="10">
        <f>IFERROR(__xludf.DUMMYFUNCTION("""COMPUTED_VALUE"""),5.70056378745E11)</f>
        <v>570056378745</v>
      </c>
      <c r="E443" s="10" t="str">
        <f>IFERROR(__xludf.DUMMYFUNCTION("""COMPUTED_VALUE""")," মো: হায়দার আলী ")</f>
        <v> মো: হায়দার আলী </v>
      </c>
      <c r="F443" s="10" t="str">
        <f>IFERROR(__xludf.DUMMYFUNCTION("""COMPUTED_VALUE""")," মোছা: ফাতিমা খাতুন ")</f>
        <v> মোছা: ফাতিমা খাতুন </v>
      </c>
      <c r="G443" s="10" t="str">
        <f>IFERROR(__xludf.DUMMYFUNCTION("""COMPUTED_VALUE""")," ২৪/০৪/১৯৭৭ ")</f>
        <v> ২৪/০৪/১৯৭৭ </v>
      </c>
      <c r="H443" s="10" t="str">
        <f>IFERROR(__xludf.DUMMYFUNCTION("""COMPUTED_VALUE""")," গৃহিণী ")</f>
        <v> গৃহিণী </v>
      </c>
      <c r="I443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4">
      <c r="A444" s="9" t="s">
        <v>3144</v>
      </c>
      <c r="B444" s="10">
        <f>IFERROR(__xludf.DUMMYFUNCTION("SPLIT(A444,""|"")"),431.0)</f>
        <v>431</v>
      </c>
      <c r="C444" s="10" t="str">
        <f>IFERROR(__xludf.DUMMYFUNCTION("""COMPUTED_VALUE""")," নাম: মোছা: হবিন খাতুন ")</f>
        <v> নাম: মোছা: হবিন খাতুন </v>
      </c>
      <c r="D444" s="10">
        <f>IFERROR(__xludf.DUMMYFUNCTION("""COMPUTED_VALUE"""),5.70056378746E11)</f>
        <v>570056378746</v>
      </c>
      <c r="E444" s="10" t="str">
        <f>IFERROR(__xludf.DUMMYFUNCTION("""COMPUTED_VALUE""")," মো: রবিউল হক ")</f>
        <v> মো: রবিউল হক </v>
      </c>
      <c r="F444" s="10" t="str">
        <f>IFERROR(__xludf.DUMMYFUNCTION("""COMPUTED_VALUE""")," মোছা: হাজেরা খাতুন ")</f>
        <v> মোছা: হাজেরা খাতুন </v>
      </c>
      <c r="G444" s="10" t="str">
        <f>IFERROR(__xludf.DUMMYFUNCTION("""COMPUTED_VALUE""")," ১১/০৫/১৯৮০ ")</f>
        <v> ১১/০৫/১৯৮০ </v>
      </c>
      <c r="H444" s="10" t="str">
        <f>IFERROR(__xludf.DUMMYFUNCTION("""COMPUTED_VALUE""")," গৃহিণী ")</f>
        <v> গৃহিণী </v>
      </c>
      <c r="I444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5">
      <c r="A445" s="9" t="s">
        <v>3145</v>
      </c>
      <c r="B445" s="10">
        <f>IFERROR(__xludf.DUMMYFUNCTION("SPLIT(A445,""|"")"),432.0)</f>
        <v>432</v>
      </c>
      <c r="C445" s="10" t="str">
        <f>IFERROR(__xludf.DUMMYFUNCTION("""COMPUTED_VALUE""")," নাম: মোছা: ইসমতারা ")</f>
        <v> নাম: মোছা: ইসমতারা </v>
      </c>
      <c r="D445" s="10">
        <f>IFERROR(__xludf.DUMMYFUNCTION("""COMPUTED_VALUE"""),5.70056378749E11)</f>
        <v>570056378749</v>
      </c>
      <c r="E445" s="10" t="str">
        <f>IFERROR(__xludf.DUMMYFUNCTION("""COMPUTED_VALUE""")," মো: রহিম বক্স ")</f>
        <v> মো: রহিম বক্স </v>
      </c>
      <c r="F445" s="10" t="str">
        <f>IFERROR(__xludf.DUMMYFUNCTION("""COMPUTED_VALUE""")," মোছা: মনোয়ারা খাতুন ")</f>
        <v> মোছা: মনোয়ারা খাতুন </v>
      </c>
      <c r="G445" s="10" t="str">
        <f>IFERROR(__xludf.DUMMYFUNCTION("""COMPUTED_VALUE""")," ০৫/০৪/১৯৭১ ")</f>
        <v> ০৫/০৪/১৯৭১ </v>
      </c>
      <c r="H445" s="10" t="str">
        <f>IFERROR(__xludf.DUMMYFUNCTION("""COMPUTED_VALUE""")," গৃহিণী ")</f>
        <v> গৃহিণী </v>
      </c>
      <c r="I445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6">
      <c r="A446" s="9" t="s">
        <v>3146</v>
      </c>
      <c r="B446" s="10">
        <f>IFERROR(__xludf.DUMMYFUNCTION("SPLIT(A446,""|"")"),433.0)</f>
        <v>433</v>
      </c>
      <c r="C446" s="10" t="str">
        <f>IFERROR(__xludf.DUMMYFUNCTION("""COMPUTED_VALUE""")," নাম: মো: আকলিমা খাতুন ")</f>
        <v> নাম: মো: আকলিমা খাতুন </v>
      </c>
      <c r="D446" s="10">
        <f>IFERROR(__xludf.DUMMYFUNCTION("""COMPUTED_VALUE"""),5.70056378752E11)</f>
        <v>570056378752</v>
      </c>
      <c r="E446" s="10" t="str">
        <f>IFERROR(__xludf.DUMMYFUNCTION("""COMPUTED_VALUE""")," মো: আ: করিম বিশ্বাস ")</f>
        <v> মো: আ: করিম বিশ্বাস </v>
      </c>
      <c r="F446" s="10" t="str">
        <f>IFERROR(__xludf.DUMMYFUNCTION("""COMPUTED_VALUE""")," মোছা: হামিরন নেছা ")</f>
        <v> মোছা: হামিরন নেছা </v>
      </c>
      <c r="G446" s="10" t="str">
        <f>IFERROR(__xludf.DUMMYFUNCTION("""COMPUTED_VALUE""")," ২২/০৮/১৯৮২ ")</f>
        <v> ২২/০৮/১৯৮২ </v>
      </c>
      <c r="H446" s="10" t="str">
        <f>IFERROR(__xludf.DUMMYFUNCTION("""COMPUTED_VALUE""")," গৃহিণী ")</f>
        <v> গৃহিণী </v>
      </c>
      <c r="I446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47">
      <c r="A447" s="9" t="s">
        <v>3147</v>
      </c>
      <c r="B447" s="10">
        <f>IFERROR(__xludf.DUMMYFUNCTION("SPLIT(A447,""|"")"),434.0)</f>
        <v>434</v>
      </c>
      <c r="C447" s="10" t="str">
        <f>IFERROR(__xludf.DUMMYFUNCTION("""COMPUTED_VALUE""")," নাম: মোছা: বিউটি খাতুন ")</f>
        <v> নাম: মোছা: বিউটি খাতুন </v>
      </c>
      <c r="D447" s="10">
        <f>IFERROR(__xludf.DUMMYFUNCTION("""COMPUTED_VALUE"""),5.70056378753E11)</f>
        <v>570056378753</v>
      </c>
      <c r="E447" s="10" t="str">
        <f>IFERROR(__xludf.DUMMYFUNCTION("""COMPUTED_VALUE""")," মো: তক্কেল আলী ")</f>
        <v> মো: তক্কেল আলী </v>
      </c>
      <c r="F447" s="10" t="str">
        <f>IFERROR(__xludf.DUMMYFUNCTION("""COMPUTED_VALUE""")," মোছা: কাইনুর খাতুন ")</f>
        <v> মোছা: কাইনুর খাতুন </v>
      </c>
      <c r="G447" s="10" t="str">
        <f>IFERROR(__xludf.DUMMYFUNCTION("""COMPUTED_VALUE""")," ০২/০৪/১৯৭৯ ")</f>
        <v> ০২/০৪/১৯৭৯ </v>
      </c>
      <c r="H447" s="10" t="str">
        <f>IFERROR(__xludf.DUMMYFUNCTION("""COMPUTED_VALUE""")," গৃহিণী ")</f>
        <v> গৃহিণী </v>
      </c>
      <c r="I447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8">
      <c r="A448" s="9" t="s">
        <v>3148</v>
      </c>
      <c r="B448" s="10">
        <f>IFERROR(__xludf.DUMMYFUNCTION("SPLIT(A448,""|"")"),435.0)</f>
        <v>435</v>
      </c>
      <c r="C448" s="10" t="str">
        <f>IFERROR(__xludf.DUMMYFUNCTION("""COMPUTED_VALUE""")," নাম: মোছা: তরিছন নেছা ")</f>
        <v> নাম: মোছা: তরিছন নেছা </v>
      </c>
      <c r="D448" s="10">
        <f>IFERROR(__xludf.DUMMYFUNCTION("""COMPUTED_VALUE"""),5.70056378754E11)</f>
        <v>570056378754</v>
      </c>
      <c r="E448" s="10" t="str">
        <f>IFERROR(__xludf.DUMMYFUNCTION("""COMPUTED_VALUE""")," বক্স মন্ডল ")</f>
        <v> বক্স মন্ডল </v>
      </c>
      <c r="F448" s="10" t="str">
        <f>IFERROR(__xludf.DUMMYFUNCTION("""COMPUTED_VALUE""")," মোছা: হজারন ")</f>
        <v> মোছা: হজারন </v>
      </c>
      <c r="G448" s="10" t="str">
        <f>IFERROR(__xludf.DUMMYFUNCTION("""COMPUTED_VALUE""")," ২৪/০৬/১৯৪৯ ")</f>
        <v> ২৪/০৬/১৯৪৯ </v>
      </c>
      <c r="H448" s="10" t="str">
        <f>IFERROR(__xludf.DUMMYFUNCTION("""COMPUTED_VALUE""")," গৃহিণী ")</f>
        <v> গৃহিণী </v>
      </c>
      <c r="I448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49">
      <c r="A449" s="9" t="s">
        <v>3149</v>
      </c>
      <c r="B449" s="10">
        <f>IFERROR(__xludf.DUMMYFUNCTION("SPLIT(A449,""|"")"),436.0)</f>
        <v>436</v>
      </c>
      <c r="C449" s="10" t="str">
        <f>IFERROR(__xludf.DUMMYFUNCTION("""COMPUTED_VALUE""")," নাম: মোছা: মনোয়ারা ")</f>
        <v> নাম: মোছা: মনোয়ারা </v>
      </c>
      <c r="D449" s="10">
        <f>IFERROR(__xludf.DUMMYFUNCTION("""COMPUTED_VALUE"""),5.70056378756E11)</f>
        <v>570056378756</v>
      </c>
      <c r="E449" s="10" t="str">
        <f>IFERROR(__xludf.DUMMYFUNCTION("""COMPUTED_VALUE""")," মো: জান বক্স ")</f>
        <v> মো: জান বক্স </v>
      </c>
      <c r="F449" s="10" t="str">
        <f>IFERROR(__xludf.DUMMYFUNCTION("""COMPUTED_VALUE""")," মোছা: রাবিয়া ")</f>
        <v> মোছা: রাবিয়া </v>
      </c>
      <c r="G449" s="10" t="str">
        <f>IFERROR(__xludf.DUMMYFUNCTION("""COMPUTED_VALUE""")," ০৮/০৬/১৯৮৪ ")</f>
        <v> ০৮/০৬/১৯৮৪ </v>
      </c>
      <c r="H449" s="10" t="str">
        <f>IFERROR(__xludf.DUMMYFUNCTION("""COMPUTED_VALUE""")," গৃহিণী ")</f>
        <v> গৃহিণী </v>
      </c>
      <c r="I449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0">
      <c r="A450" s="9" t="s">
        <v>3150</v>
      </c>
      <c r="B450" s="10">
        <f>IFERROR(__xludf.DUMMYFUNCTION("SPLIT(A450,""|"")"),437.0)</f>
        <v>437</v>
      </c>
      <c r="C450" s="10" t="str">
        <f>IFERROR(__xludf.DUMMYFUNCTION("""COMPUTED_VALUE""")," নাম: মোছা: ফেরদৌসী খাতুন ")</f>
        <v> নাম: মোছা: ফেরদৌসী খাতুন </v>
      </c>
      <c r="D450" s="10">
        <f>IFERROR(__xludf.DUMMYFUNCTION("""COMPUTED_VALUE"""),5.70056378758E11)</f>
        <v>570056378758</v>
      </c>
      <c r="E450" s="10" t="str">
        <f>IFERROR(__xludf.DUMMYFUNCTION("""COMPUTED_VALUE""")," মো: তাহাজদ্দীন ")</f>
        <v> মো: তাহাজদ্দীন </v>
      </c>
      <c r="F450" s="10" t="str">
        <f>IFERROR(__xludf.DUMMYFUNCTION("""COMPUTED_VALUE""")," মোছা: সাহার বানু ")</f>
        <v> মোছা: সাহার বানু </v>
      </c>
      <c r="G450" s="10" t="str">
        <f>IFERROR(__xludf.DUMMYFUNCTION("""COMPUTED_VALUE""")," ০৭/০২/১৯৭৮ ")</f>
        <v> ০৭/০২/১৯৭৮ </v>
      </c>
      <c r="H450" s="10" t="str">
        <f>IFERROR(__xludf.DUMMYFUNCTION("""COMPUTED_VALUE""")," গৃহিণী ")</f>
        <v> গৃহিণী </v>
      </c>
      <c r="I450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1">
      <c r="A451" s="9" t="s">
        <v>3151</v>
      </c>
      <c r="B451" s="10">
        <f>IFERROR(__xludf.DUMMYFUNCTION("SPLIT(A451,""|"")"),438.0)</f>
        <v>438</v>
      </c>
      <c r="C451" s="10" t="str">
        <f>IFERROR(__xludf.DUMMYFUNCTION("""COMPUTED_VALUE""")," নাম: মোছা: দোলেহার খাতুন ")</f>
        <v> নাম: মোছা: দোলেহার খাতুন </v>
      </c>
      <c r="D451" s="10">
        <f>IFERROR(__xludf.DUMMYFUNCTION("""COMPUTED_VALUE"""),5.70056378762E11)</f>
        <v>570056378762</v>
      </c>
      <c r="E451" s="10" t="str">
        <f>IFERROR(__xludf.DUMMYFUNCTION("""COMPUTED_VALUE""")," মো: খোদের বিশ্বাস ")</f>
        <v> মো: খোদের বিশ্বাস </v>
      </c>
      <c r="F451" s="10" t="str">
        <f>IFERROR(__xludf.DUMMYFUNCTION("""COMPUTED_VALUE""")," মোছা: সোহাগী ")</f>
        <v> মোছা: সোহাগী </v>
      </c>
      <c r="G451" s="10" t="str">
        <f>IFERROR(__xludf.DUMMYFUNCTION("""COMPUTED_VALUE""")," ২৮/০৯/১৯৭৭ ")</f>
        <v> ২৮/০৯/১৯৭৭ </v>
      </c>
      <c r="H451" s="10" t="str">
        <f>IFERROR(__xludf.DUMMYFUNCTION("""COMPUTED_VALUE""")," গৃহিণী ")</f>
        <v> গৃহিণী </v>
      </c>
      <c r="I451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2">
      <c r="A452" s="9" t="s">
        <v>3152</v>
      </c>
      <c r="B452" s="10">
        <f>IFERROR(__xludf.DUMMYFUNCTION("SPLIT(A452,""|"")"),439.0)</f>
        <v>439</v>
      </c>
      <c r="C452" s="10" t="str">
        <f>IFERROR(__xludf.DUMMYFUNCTION("""COMPUTED_VALUE""")," নাম: মো: শাহিনুর খাতুন ")</f>
        <v> নাম: মো: শাহিনুর খাতুন </v>
      </c>
      <c r="D452" s="10">
        <f>IFERROR(__xludf.DUMMYFUNCTION("""COMPUTED_VALUE"""),5.70056378763E11)</f>
        <v>570056378763</v>
      </c>
      <c r="E452" s="10" t="str">
        <f>IFERROR(__xludf.DUMMYFUNCTION("""COMPUTED_VALUE""")," মো: মহসীন আলী ")</f>
        <v> মো: মহসীন আলী </v>
      </c>
      <c r="F452" s="10" t="str">
        <f>IFERROR(__xludf.DUMMYFUNCTION("""COMPUTED_VALUE""")," মোছা: রুশিয়া খাতুন ")</f>
        <v> মোছা: রুশিয়া খাতুন </v>
      </c>
      <c r="G452" s="10" t="str">
        <f>IFERROR(__xludf.DUMMYFUNCTION("""COMPUTED_VALUE""")," ০৮/০৭/১৯৭৯ ")</f>
        <v> ০৮/০৭/১৯৭৯ </v>
      </c>
      <c r="H452" s="10" t="str">
        <f>IFERROR(__xludf.DUMMYFUNCTION("""COMPUTED_VALUE""")," গৃহিণী ")</f>
        <v> গৃহিণী </v>
      </c>
      <c r="I452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53">
      <c r="A453" s="9" t="s">
        <v>3153</v>
      </c>
      <c r="B453" s="10">
        <f>IFERROR(__xludf.DUMMYFUNCTION("SPLIT(A453,""|"")"),440.0)</f>
        <v>440</v>
      </c>
      <c r="C453" s="10" t="str">
        <f>IFERROR(__xludf.DUMMYFUNCTION("""COMPUTED_VALUE""")," নাম: মোছা: লিমা খাতুন ")</f>
        <v> নাম: মোছা: লিমা খাতুন </v>
      </c>
      <c r="D453" s="10">
        <f>IFERROR(__xludf.DUMMYFUNCTION("""COMPUTED_VALUE"""),5.70056378765E11)</f>
        <v>570056378765</v>
      </c>
      <c r="E453" s="10" t="str">
        <f>IFERROR(__xludf.DUMMYFUNCTION("""COMPUTED_VALUE""")," মো: রইছদ্দীন ")</f>
        <v> মো: রইছদ্দীন </v>
      </c>
      <c r="F453" s="10" t="str">
        <f>IFERROR(__xludf.DUMMYFUNCTION("""COMPUTED_VALUE""")," মোছা: রেবেকা ")</f>
        <v> মোছা: রেবেকা </v>
      </c>
      <c r="G453" s="10" t="str">
        <f>IFERROR(__xludf.DUMMYFUNCTION("""COMPUTED_VALUE""")," ০৬/০২/১৯৮২ ")</f>
        <v> ০৬/০২/১৯৮২ </v>
      </c>
      <c r="H453" s="10" t="str">
        <f>IFERROR(__xludf.DUMMYFUNCTION("""COMPUTED_VALUE""")," গৃহিণী ")</f>
        <v> গৃহিণী </v>
      </c>
      <c r="I453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4">
      <c r="A454" s="9" t="s">
        <v>3154</v>
      </c>
      <c r="B454" s="10">
        <f>IFERROR(__xludf.DUMMYFUNCTION("SPLIT(A454,""|"")"),441.0)</f>
        <v>441</v>
      </c>
      <c r="C454" s="10" t="str">
        <f>IFERROR(__xludf.DUMMYFUNCTION("""COMPUTED_VALUE""")," নাম: মোছা: ফিরোজা খাতুন ")</f>
        <v> নাম: মোছা: ফিরোজা খাতুন </v>
      </c>
      <c r="D454" s="10">
        <f>IFERROR(__xludf.DUMMYFUNCTION("""COMPUTED_VALUE"""),5.70056378766E11)</f>
        <v>570056378766</v>
      </c>
      <c r="E454" s="10" t="str">
        <f>IFERROR(__xludf.DUMMYFUNCTION("""COMPUTED_VALUE""")," মো: হামিজদ্দীন ")</f>
        <v> মো: হামিজদ্দীন </v>
      </c>
      <c r="F454" s="10" t="str">
        <f>IFERROR(__xludf.DUMMYFUNCTION("""COMPUTED_VALUE""")," মোছা: কছিরন ")</f>
        <v> মোছা: কছিরন </v>
      </c>
      <c r="G454" s="10" t="str">
        <f>IFERROR(__xludf.DUMMYFUNCTION("""COMPUTED_VALUE""")," ০৫/১০/১৯৭২ ")</f>
        <v> ০৫/১০/১৯৭২ </v>
      </c>
      <c r="H454" s="10" t="str">
        <f>IFERROR(__xludf.DUMMYFUNCTION("""COMPUTED_VALUE""")," গৃহিণী ")</f>
        <v> গৃহিণী </v>
      </c>
      <c r="I454" s="10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55">
      <c r="A455" s="9" t="s">
        <v>3155</v>
      </c>
      <c r="B455" s="10">
        <f>IFERROR(__xludf.DUMMYFUNCTION("SPLIT(A455,""|"")"),442.0)</f>
        <v>442</v>
      </c>
      <c r="C455" s="10" t="str">
        <f>IFERROR(__xludf.DUMMYFUNCTION("""COMPUTED_VALUE""")," নাম: মোছা: শিরিনা খাতুন ")</f>
        <v> নাম: মোছা: শিরিনা খাতুন </v>
      </c>
      <c r="D455" s="10">
        <f>IFERROR(__xludf.DUMMYFUNCTION("""COMPUTED_VALUE"""),5.70056378767E11)</f>
        <v>570056378767</v>
      </c>
      <c r="E455" s="10" t="str">
        <f>IFERROR(__xludf.DUMMYFUNCTION("""COMPUTED_VALUE""")," মো: হাবিবুর রহমান ")</f>
        <v> মো: হাবিবুর রহমান </v>
      </c>
      <c r="F455" s="10" t="str">
        <f>IFERROR(__xludf.DUMMYFUNCTION("""COMPUTED_VALUE""")," মোছা: তাহান্নারা ")</f>
        <v> মোছা: তাহান্নারা </v>
      </c>
      <c r="G455" s="10" t="str">
        <f>IFERROR(__xludf.DUMMYFUNCTION("""COMPUTED_VALUE""")," ২১/০৪/১৯৬৭ ")</f>
        <v> ২১/০৪/১৯৬৭ </v>
      </c>
      <c r="H455" s="10" t="str">
        <f>IFERROR(__xludf.DUMMYFUNCTION("""COMPUTED_VALUE""")," গৃহিণী ")</f>
        <v> গৃহিণী </v>
      </c>
      <c r="I455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6">
      <c r="A456" s="9" t="s">
        <v>3156</v>
      </c>
      <c r="B456" s="10">
        <f>IFERROR(__xludf.DUMMYFUNCTION("SPLIT(A456,""|"")"),443.0)</f>
        <v>443</v>
      </c>
      <c r="C456" s="10" t="str">
        <f>IFERROR(__xludf.DUMMYFUNCTION("""COMPUTED_VALUE""")," নাম: মোছা: পারুলা খাতুন ")</f>
        <v> নাম: মোছা: পারুলা খাতুন </v>
      </c>
      <c r="D456" s="10">
        <f>IFERROR(__xludf.DUMMYFUNCTION("""COMPUTED_VALUE"""),5.70056378768E11)</f>
        <v>570056378768</v>
      </c>
      <c r="E456" s="10" t="str">
        <f>IFERROR(__xludf.DUMMYFUNCTION("""COMPUTED_VALUE""")," মো: ছানজার আলী ")</f>
        <v> মো: ছানজার আলী </v>
      </c>
      <c r="F456" s="10" t="str">
        <f>IFERROR(__xludf.DUMMYFUNCTION("""COMPUTED_VALUE""")," মোছা: সাহিদা বেগম ")</f>
        <v> মোছা: সাহিদা বেগম </v>
      </c>
      <c r="G456" s="10" t="str">
        <f>IFERROR(__xludf.DUMMYFUNCTION("""COMPUTED_VALUE""")," ০২/০৫/১৯৮১ ")</f>
        <v> ০২/০৫/১৯৮১ </v>
      </c>
      <c r="H456" s="10" t="str">
        <f>IFERROR(__xludf.DUMMYFUNCTION("""COMPUTED_VALUE""")," গৃহিণী ")</f>
        <v> গৃহিণী </v>
      </c>
      <c r="I456" s="10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57">
      <c r="A457" s="9" t="s">
        <v>3157</v>
      </c>
      <c r="B457" s="10">
        <f>IFERROR(__xludf.DUMMYFUNCTION("SPLIT(A457,""|"")"),444.0)</f>
        <v>444</v>
      </c>
      <c r="C457" s="10" t="str">
        <f>IFERROR(__xludf.DUMMYFUNCTION("""COMPUTED_VALUE""")," নাম: মোছা: ছহিমা খাতুন ")</f>
        <v> নাম: মোছা: ছহিমা খাতুন </v>
      </c>
      <c r="D457" s="10">
        <f>IFERROR(__xludf.DUMMYFUNCTION("""COMPUTED_VALUE"""),5.70056378769E11)</f>
        <v>570056378769</v>
      </c>
      <c r="E457" s="10" t="str">
        <f>IFERROR(__xludf.DUMMYFUNCTION("""COMPUTED_VALUE""")," শওকত মালিখা ")</f>
        <v> শওকত মালিখা </v>
      </c>
      <c r="F457" s="10" t="str">
        <f>IFERROR(__xludf.DUMMYFUNCTION("""COMPUTED_VALUE""")," মোছা: আতরা খাতুন ")</f>
        <v> মোছা: আতরা খাতুন </v>
      </c>
      <c r="G457" s="10" t="str">
        <f>IFERROR(__xludf.DUMMYFUNCTION("""COMPUTED_VALUE""")," ০৪/০৬/১৯৮৮ ")</f>
        <v> ০৪/০৬/১৯৮৮ </v>
      </c>
      <c r="H457" s="10" t="str">
        <f>IFERROR(__xludf.DUMMYFUNCTION("""COMPUTED_VALUE""")," গৃহিণী ")</f>
        <v> গৃহিণী </v>
      </c>
      <c r="I457" s="10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58">
      <c r="A458" s="9" t="s">
        <v>3158</v>
      </c>
      <c r="B458" s="10">
        <f>IFERROR(__xludf.DUMMYFUNCTION("SPLIT(A458,""|"")"),445.0)</f>
        <v>445</v>
      </c>
      <c r="C458" s="10" t="str">
        <f>IFERROR(__xludf.DUMMYFUNCTION("""COMPUTED_VALUE""")," নাম: মোছা: রেহেনা খাতুন ")</f>
        <v> নাম: মোছা: রেহেনা খাতুন </v>
      </c>
      <c r="D458" s="10">
        <f>IFERROR(__xludf.DUMMYFUNCTION("""COMPUTED_VALUE"""),5.7005637877E11)</f>
        <v>570056378770</v>
      </c>
      <c r="E458" s="10" t="str">
        <f>IFERROR(__xludf.DUMMYFUNCTION("""COMPUTED_VALUE""")," ছিয়ামদ্দিন ")</f>
        <v> ছিয়ামদ্দিন </v>
      </c>
      <c r="F458" s="10" t="str">
        <f>IFERROR(__xludf.DUMMYFUNCTION("""COMPUTED_VALUE""")," মোছা: নিহারন নেছা ")</f>
        <v> মোছা: নিহারন নেছা </v>
      </c>
      <c r="G458" s="10" t="str">
        <f>IFERROR(__xludf.DUMMYFUNCTION("""COMPUTED_VALUE""")," ০৫/০৩/১৯৭৪ ")</f>
        <v> ০৫/০৩/১৯৭৪ </v>
      </c>
      <c r="H458" s="10" t="str">
        <f>IFERROR(__xludf.DUMMYFUNCTION("""COMPUTED_VALUE""")," গৃহিণী ")</f>
        <v> গৃহিণী </v>
      </c>
      <c r="I458" s="10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59">
      <c r="A459" s="9" t="s">
        <v>3159</v>
      </c>
      <c r="B459" s="10">
        <f>IFERROR(__xludf.DUMMYFUNCTION("SPLIT(A459,""|"")"),446.0)</f>
        <v>446</v>
      </c>
      <c r="C459" s="10" t="str">
        <f>IFERROR(__xludf.DUMMYFUNCTION("""COMPUTED_VALUE""")," নাম: মোছা: তহমিনা ")</f>
        <v> নাম: মোছা: তহমিনা </v>
      </c>
      <c r="D459" s="10">
        <f>IFERROR(__xludf.DUMMYFUNCTION("""COMPUTED_VALUE"""),5.70056378771E11)</f>
        <v>570056378771</v>
      </c>
      <c r="E459" s="10" t="str">
        <f>IFERROR(__xludf.DUMMYFUNCTION("""COMPUTED_VALUE""")," মাদার সেখ ")</f>
        <v> মাদার সেখ </v>
      </c>
      <c r="F459" s="10" t="str">
        <f>IFERROR(__xludf.DUMMYFUNCTION("""COMPUTED_VALUE""")," মোছা: জহুরা খাতুন ")</f>
        <v> মোছা: জহুরা খাতুন </v>
      </c>
      <c r="G459" s="10" t="str">
        <f>IFERROR(__xludf.DUMMYFUNCTION("""COMPUTED_VALUE""")," ০৭/০৭/১৯৬৭ ")</f>
        <v> ০৭/০৭/১৯৬৭ </v>
      </c>
      <c r="H459" s="10" t="str">
        <f>IFERROR(__xludf.DUMMYFUNCTION("""COMPUTED_VALUE""")," গৃহিণী ")</f>
        <v> গৃহিণী </v>
      </c>
      <c r="I459" s="10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0">
      <c r="A460" s="9" t="s">
        <v>3160</v>
      </c>
      <c r="B460" s="10">
        <f>IFERROR(__xludf.DUMMYFUNCTION("SPLIT(A460,""|"")"),447.0)</f>
        <v>447</v>
      </c>
      <c r="C460" s="10" t="str">
        <f>IFERROR(__xludf.DUMMYFUNCTION("""COMPUTED_VALUE""")," নাম: মোছা: জামেনা খাতুন ")</f>
        <v> নাম: মোছা: জামেনা খাতুন </v>
      </c>
      <c r="D460" s="10">
        <f>IFERROR(__xludf.DUMMYFUNCTION("""COMPUTED_VALUE"""),5.70056378772E11)</f>
        <v>570056378772</v>
      </c>
      <c r="E460" s="10" t="str">
        <f>IFERROR(__xludf.DUMMYFUNCTION("""COMPUTED_VALUE""")," মো: আনোয়ার বিশ্বাস ")</f>
        <v> মো: আনোয়ার বিশ্বাস </v>
      </c>
      <c r="F460" s="10" t="str">
        <f>IFERROR(__xludf.DUMMYFUNCTION("""COMPUTED_VALUE""")," মোছা: রমেছা খাতুন ")</f>
        <v> মোছা: রমেছা খাতুন </v>
      </c>
      <c r="G460" s="10" t="str">
        <f>IFERROR(__xludf.DUMMYFUNCTION("""COMPUTED_VALUE""")," ০৮/০৪/১৯৭৭ ")</f>
        <v> ০৮/০৪/১৯৭৭ </v>
      </c>
      <c r="H460" s="10" t="str">
        <f>IFERROR(__xludf.DUMMYFUNCTION("""COMPUTED_VALUE""")," গৃহিণী ")</f>
        <v> গৃহিণী </v>
      </c>
      <c r="I460" s="10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1">
      <c r="A461" s="9" t="s">
        <v>3161</v>
      </c>
      <c r="B461" s="10">
        <f>IFERROR(__xludf.DUMMYFUNCTION("SPLIT(A461,""|"")"),448.0)</f>
        <v>448</v>
      </c>
      <c r="C461" s="10" t="str">
        <f>IFERROR(__xludf.DUMMYFUNCTION("""COMPUTED_VALUE""")," নাম: মোছাঃ কহিনূর বেগম ")</f>
        <v> নাম: মোছাঃ কহিনূর বেগম </v>
      </c>
      <c r="D461" s="10">
        <f>IFERROR(__xludf.DUMMYFUNCTION("""COMPUTED_VALUE"""),5.70056378773E11)</f>
        <v>570056378773</v>
      </c>
      <c r="E461" s="10" t="str">
        <f>IFERROR(__xludf.DUMMYFUNCTION("""COMPUTED_VALUE""")," রাহিলুদ্দীন ")</f>
        <v> রাহিলুদ্দীন </v>
      </c>
      <c r="F461" s="10" t="str">
        <f>IFERROR(__xludf.DUMMYFUNCTION("""COMPUTED_VALUE""")," মোছা: আমিনা খাতুন ")</f>
        <v> মোছা: আমিনা খাতুন </v>
      </c>
      <c r="G461" s="10" t="str">
        <f>IFERROR(__xludf.DUMMYFUNCTION("""COMPUTED_VALUE""")," ০২/০৪/১৯৬০ ")</f>
        <v> ০২/০৪/১৯৬০ </v>
      </c>
      <c r="H461" s="10" t="str">
        <f>IFERROR(__xludf.DUMMYFUNCTION("""COMPUTED_VALUE""")," গৃহিণী ")</f>
        <v> গৃহিণী </v>
      </c>
      <c r="I461" s="10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2">
      <c r="A462" s="9" t="s">
        <v>3162</v>
      </c>
      <c r="B462" s="10">
        <f>IFERROR(__xludf.DUMMYFUNCTION("SPLIT(A462,""|"")"),449.0)</f>
        <v>449</v>
      </c>
      <c r="C462" s="10" t="str">
        <f>IFERROR(__xludf.DUMMYFUNCTION("""COMPUTED_VALUE""")," নাম: মোছাঃ শাহনাজ পারভিন ")</f>
        <v> নাম: মোছাঃ শাহনাজ পারভিন </v>
      </c>
      <c r="D462" s="10">
        <f>IFERROR(__xludf.DUMMYFUNCTION("""COMPUTED_VALUE"""),5.70056378774E11)</f>
        <v>570056378774</v>
      </c>
      <c r="E462" s="10" t="str">
        <f>IFERROR(__xludf.DUMMYFUNCTION("""COMPUTED_VALUE""")," মো: আনসার আলী ")</f>
        <v> মো: আনসার আলী </v>
      </c>
      <c r="F462" s="10" t="str">
        <f>IFERROR(__xludf.DUMMYFUNCTION("""COMPUTED_VALUE""")," মোছা: কহনুব খাতুন ")</f>
        <v> মোছা: কহনুব খাতুন </v>
      </c>
      <c r="G462" s="10" t="str">
        <f>IFERROR(__xludf.DUMMYFUNCTION("""COMPUTED_VALUE""")," ০৮/০৯/১৯৮২ ")</f>
        <v> ০৮/০৯/১৯৮২ </v>
      </c>
      <c r="H462" s="10" t="str">
        <f>IFERROR(__xludf.DUMMYFUNCTION("""COMPUTED_VALUE""")," গৃহিণী ")</f>
        <v> গৃহিণী </v>
      </c>
      <c r="I462" s="10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3">
      <c r="A463" s="9" t="s">
        <v>3163</v>
      </c>
      <c r="B463" s="10">
        <f>IFERROR(__xludf.DUMMYFUNCTION("SPLIT(A463,""|"")"),450.0)</f>
        <v>450</v>
      </c>
      <c r="C463" s="10" t="str">
        <f>IFERROR(__xludf.DUMMYFUNCTION("""COMPUTED_VALUE""")," নাম: মোছাঃ রুমা খাতুন ")</f>
        <v> নাম: মোছাঃ রুমা খাতুন </v>
      </c>
      <c r="D463" s="10">
        <f>IFERROR(__xludf.DUMMYFUNCTION("""COMPUTED_VALUE"""),5.70056378775E11)</f>
        <v>570056378775</v>
      </c>
      <c r="E463" s="10" t="str">
        <f>IFERROR(__xludf.DUMMYFUNCTION("""COMPUTED_VALUE""")," মো: নাসিরুদ্দীন ")</f>
        <v> মো: নাসিরুদ্দীন </v>
      </c>
      <c r="F463" s="10" t="str">
        <f>IFERROR(__xludf.DUMMYFUNCTION("""COMPUTED_VALUE""")," মোছা: মরিয়ম নেছা ")</f>
        <v> মোছা: মরিয়ম নেছা </v>
      </c>
      <c r="G463" s="10" t="str">
        <f>IFERROR(__xludf.DUMMYFUNCTION("""COMPUTED_VALUE""")," ১২/০৭/১৯৮৭ ")</f>
        <v> ১২/০৭/১৯৮৭ </v>
      </c>
      <c r="H463" s="10" t="str">
        <f>IFERROR(__xludf.DUMMYFUNCTION("""COMPUTED_VALUE""")," গৃহিণী ")</f>
        <v> গৃহিণী </v>
      </c>
      <c r="I463" s="10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4">
      <c r="A464" s="9" t="s">
        <v>3164</v>
      </c>
      <c r="B464" s="10">
        <f>IFERROR(__xludf.DUMMYFUNCTION("SPLIT(A464,""|"")"),451.0)</f>
        <v>451</v>
      </c>
      <c r="C464" s="10" t="str">
        <f>IFERROR(__xludf.DUMMYFUNCTION("""COMPUTED_VALUE""")," নাম: মোছাঃ শিল্পী খাতুন ")</f>
        <v> নাম: মোছাঃ শিল্পী খাতুন </v>
      </c>
      <c r="D464" s="10">
        <f>IFERROR(__xludf.DUMMYFUNCTION("""COMPUTED_VALUE"""),5.70056378777E11)</f>
        <v>570056378777</v>
      </c>
      <c r="E464" s="10" t="str">
        <f>IFERROR(__xludf.DUMMYFUNCTION("""COMPUTED_VALUE""")," মো: আব্দুল মালিখা ")</f>
        <v> মো: আব্দুল মালিখা </v>
      </c>
      <c r="F464" s="10" t="str">
        <f>IFERROR(__xludf.DUMMYFUNCTION("""COMPUTED_VALUE""")," মোছা: হালিমা খাতুন ")</f>
        <v> মোছা: হালিমা খাতুন </v>
      </c>
      <c r="G464" s="10" t="str">
        <f>IFERROR(__xludf.DUMMYFUNCTION("""COMPUTED_VALUE""")," ১০/০৯/১৯৭১ ")</f>
        <v> ১০/০৯/১৯৭১ </v>
      </c>
      <c r="H464" s="10" t="str">
        <f>IFERROR(__xludf.DUMMYFUNCTION("""COMPUTED_VALUE""")," গৃহিণী ")</f>
        <v> গৃহিণী </v>
      </c>
      <c r="I464" s="10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5">
      <c r="A465" s="9" t="s">
        <v>3165</v>
      </c>
      <c r="B465" s="10">
        <f>IFERROR(__xludf.DUMMYFUNCTION("SPLIT(A465,""|"")"),452.0)</f>
        <v>452</v>
      </c>
      <c r="C465" s="10" t="str">
        <f>IFERROR(__xludf.DUMMYFUNCTION("""COMPUTED_VALUE""")," নাম: মোছা: শিরিনা খাতুন ")</f>
        <v> নাম: মোছা: শিরিনা খাতুন </v>
      </c>
      <c r="D465" s="10">
        <f>IFERROR(__xludf.DUMMYFUNCTION("""COMPUTED_VALUE"""),5.70056378778E11)</f>
        <v>570056378778</v>
      </c>
      <c r="E465" s="10" t="str">
        <f>IFERROR(__xludf.DUMMYFUNCTION("""COMPUTED_VALUE""")," মো: সিরাজুল ইসলাম ")</f>
        <v> মো: সিরাজুল ইসলাম </v>
      </c>
      <c r="F465" s="10" t="str">
        <f>IFERROR(__xludf.DUMMYFUNCTION("""COMPUTED_VALUE""")," মোছা: রওশনারা ")</f>
        <v> মোছা: রওশনারা </v>
      </c>
      <c r="G465" s="10" t="str">
        <f>IFERROR(__xludf.DUMMYFUNCTION("""COMPUTED_VALUE""")," ০৩/০৪/১৯৮৬ ")</f>
        <v> ০৩/০৪/১৯৮৬ </v>
      </c>
      <c r="H465" s="10" t="str">
        <f>IFERROR(__xludf.DUMMYFUNCTION("""COMPUTED_VALUE""")," গৃহিণী ")</f>
        <v> গৃহিণী </v>
      </c>
      <c r="I465" s="10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6">
      <c r="A466" s="9" t="s">
        <v>3166</v>
      </c>
      <c r="B466" s="10">
        <f>IFERROR(__xludf.DUMMYFUNCTION("SPLIT(A466,""|"")"),453.0)</f>
        <v>453</v>
      </c>
      <c r="C466" s="10" t="str">
        <f>IFERROR(__xludf.DUMMYFUNCTION("""COMPUTED_VALUE""")," নাম: মোছাঃ রহিমা খাতুন ")</f>
        <v> নাম: মোছাঃ রহিমা খাতুন </v>
      </c>
      <c r="D466" s="10">
        <f>IFERROR(__xludf.DUMMYFUNCTION("""COMPUTED_VALUE"""),5.70056378779E11)</f>
        <v>570056378779</v>
      </c>
      <c r="E466" s="10" t="str">
        <f>IFERROR(__xludf.DUMMYFUNCTION("""COMPUTED_VALUE""")," হাজারী বিশ্বাস ")</f>
        <v> হাজারী বিশ্বাস </v>
      </c>
      <c r="F466" s="10" t="str">
        <f>IFERROR(__xludf.DUMMYFUNCTION("""COMPUTED_VALUE""")," মোছা: রাফেজা খাতুন ")</f>
        <v> মোছা: রাফেজা খাতুন </v>
      </c>
      <c r="G466" s="10" t="str">
        <f>IFERROR(__xludf.DUMMYFUNCTION("""COMPUTED_VALUE""")," ০৭/০৮/১৯৪২ ")</f>
        <v> ০৭/০৮/১৯৪২ </v>
      </c>
      <c r="H466" s="10" t="str">
        <f>IFERROR(__xludf.DUMMYFUNCTION("""COMPUTED_VALUE""")," গৃহিণী ")</f>
        <v> গৃহিণী </v>
      </c>
      <c r="I466" s="10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67">
      <c r="A467" s="9" t="s">
        <v>3167</v>
      </c>
      <c r="B467" s="10">
        <f>IFERROR(__xludf.DUMMYFUNCTION("SPLIT(A467,""|"")"),454.0)</f>
        <v>454</v>
      </c>
      <c r="C467" s="10" t="str">
        <f>IFERROR(__xludf.DUMMYFUNCTION("""COMPUTED_VALUE""")," নাম: মোছা: রওশনারা ")</f>
        <v> নাম: মোছা: রওশনারা </v>
      </c>
      <c r="D467" s="10">
        <f>IFERROR(__xludf.DUMMYFUNCTION("""COMPUTED_VALUE"""),5.7005637878E11)</f>
        <v>570056378780</v>
      </c>
      <c r="E467" s="10" t="str">
        <f>IFERROR(__xludf.DUMMYFUNCTION("""COMPUTED_VALUE""")," মো: আমিরুদ্দীন ")</f>
        <v> মো: আমিরুদ্দীন </v>
      </c>
      <c r="F467" s="10" t="str">
        <f>IFERROR(__xludf.DUMMYFUNCTION("""COMPUTED_VALUE""")," মোছা: ইজারন নেছা ")</f>
        <v> মোছা: ইজারন নেছা </v>
      </c>
      <c r="G467" s="10" t="str">
        <f>IFERROR(__xludf.DUMMYFUNCTION("""COMPUTED_VALUE""")," ১৭/০৯/১৯৭৫ ")</f>
        <v> ১৭/০৯/১৯৭৫ </v>
      </c>
      <c r="H467" s="10" t="str">
        <f>IFERROR(__xludf.DUMMYFUNCTION("""COMPUTED_VALUE""")," গৃহিণী ")</f>
        <v> গৃহিণী </v>
      </c>
      <c r="I467" s="10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8">
      <c r="A468" s="9" t="s">
        <v>3168</v>
      </c>
      <c r="B468" s="10">
        <f>IFERROR(__xludf.DUMMYFUNCTION("SPLIT(A468,""|"")"),455.0)</f>
        <v>455</v>
      </c>
      <c r="C468" s="10" t="str">
        <f>IFERROR(__xludf.DUMMYFUNCTION("""COMPUTED_VALUE""")," নাম: মোছা: ছাবিরন নেছা ")</f>
        <v> নাম: মোছা: ছাবিরন নেছা </v>
      </c>
      <c r="D468" s="10">
        <f>IFERROR(__xludf.DUMMYFUNCTION("""COMPUTED_VALUE"""),5.70056378782E11)</f>
        <v>570056378782</v>
      </c>
      <c r="E468" s="10" t="str">
        <f>IFERROR(__xludf.DUMMYFUNCTION("""COMPUTED_VALUE""")," মুহাম্মদ গানি ")</f>
        <v> মুহাম্মদ গানি </v>
      </c>
      <c r="F468" s="10" t="str">
        <f>IFERROR(__xludf.DUMMYFUNCTION("""COMPUTED_VALUE""")," মোছা: আহারন ")</f>
        <v> মোছা: আহারন </v>
      </c>
      <c r="G468" s="10" t="str">
        <f>IFERROR(__xludf.DUMMYFUNCTION("""COMPUTED_VALUE""")," ২৯/০৪/১৯৫৬ ")</f>
        <v> ২৯/০৪/১৯৫৬ </v>
      </c>
      <c r="H468" s="10" t="str">
        <f>IFERROR(__xludf.DUMMYFUNCTION("""COMPUTED_VALUE""")," গৃহিণী ")</f>
        <v> গৃহিণী </v>
      </c>
      <c r="I468" s="10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69">
      <c r="A469" s="9" t="s">
        <v>3169</v>
      </c>
      <c r="B469" s="10">
        <f>IFERROR(__xludf.DUMMYFUNCTION("SPLIT(A469,""|"")"),456.0)</f>
        <v>456</v>
      </c>
      <c r="C469" s="10" t="str">
        <f>IFERROR(__xludf.DUMMYFUNCTION("""COMPUTED_VALUE""")," নাম: মোছাঃ সুফিয়া খাতুন ")</f>
        <v> নাম: মোছাঃ সুফিয়া খাতুন </v>
      </c>
      <c r="D469" s="10">
        <f>IFERROR(__xludf.DUMMYFUNCTION("""COMPUTED_VALUE"""),5.70056378783E11)</f>
        <v>570056378783</v>
      </c>
      <c r="E469" s="10" t="str">
        <f>IFERROR(__xludf.DUMMYFUNCTION("""COMPUTED_VALUE""")," মো: নিয়াত আলী ")</f>
        <v> মো: নিয়াত আলী </v>
      </c>
      <c r="F469" s="10" t="str">
        <f>IFERROR(__xludf.DUMMYFUNCTION("""COMPUTED_VALUE""")," মোছা: আর্জিনা ")</f>
        <v> মোছা: আর্জিনা </v>
      </c>
      <c r="G469" s="10" t="str">
        <f>IFERROR(__xludf.DUMMYFUNCTION("""COMPUTED_VALUE""")," ০৩/০২/১৯৭৯ ")</f>
        <v> ০৩/০২/১৯৭৯ </v>
      </c>
      <c r="H469" s="10" t="str">
        <f>IFERROR(__xludf.DUMMYFUNCTION("""COMPUTED_VALUE""")," গৃহিণী ")</f>
        <v> গৃহিণী </v>
      </c>
      <c r="I469" s="10" t="str">
        <f>IFERROR(__xludf.DUMMYFUNCTION("""COMPUTED_VALUE""")," জালশুকা উত্তর পাড়া, জালমুকা, গাংনী, মেহেরপুর ")</f>
        <v> জালশুকা উত্তর পাড়া, জালমুকা, গাংনী, মেহেরপুর </v>
      </c>
    </row>
    <row r="470">
      <c r="A470" s="9" t="s">
        <v>3170</v>
      </c>
      <c r="B470" s="10">
        <f>IFERROR(__xludf.DUMMYFUNCTION("SPLIT(A470,""|"")"),457.0)</f>
        <v>457</v>
      </c>
      <c r="C470" s="10" t="str">
        <f>IFERROR(__xludf.DUMMYFUNCTION("""COMPUTED_VALUE""")," নাম: মোছা: কহিনুর বেগম ")</f>
        <v> নাম: মোছা: কহিনুর বেগম </v>
      </c>
      <c r="D470" s="10">
        <f>IFERROR(__xludf.DUMMYFUNCTION("""COMPUTED_VALUE"""),5.70056378787E11)</f>
        <v>570056378787</v>
      </c>
      <c r="E470" s="10" t="str">
        <f>IFERROR(__xludf.DUMMYFUNCTION("""COMPUTED_VALUE""")," মো: মসলেম আলী ")</f>
        <v> মো: মসলেম আলী </v>
      </c>
      <c r="F470" s="10" t="str">
        <f>IFERROR(__xludf.DUMMYFUNCTION("""COMPUTED_VALUE""")," মোছা: খবিরন নেছা ")</f>
        <v> মোছা: খবিরন নেছা </v>
      </c>
      <c r="G470" s="10" t="str">
        <f>IFERROR(__xludf.DUMMYFUNCTION("""COMPUTED_VALUE""")," ১১/০৬/১৯৬২ ")</f>
        <v> ১১/০৬/১৯৬২ </v>
      </c>
      <c r="H470" s="10" t="str">
        <f>IFERROR(__xludf.DUMMYFUNCTION("""COMPUTED_VALUE""")," গৃহিণী ")</f>
        <v> গৃহিণী </v>
      </c>
      <c r="I470" s="10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71">
      <c r="A471" s="9" t="s">
        <v>3171</v>
      </c>
      <c r="B471" s="10">
        <f>IFERROR(__xludf.DUMMYFUNCTION("SPLIT(A471,""|"")"),458.0)</f>
        <v>458</v>
      </c>
      <c r="C471" s="10" t="str">
        <f>IFERROR(__xludf.DUMMYFUNCTION("""COMPUTED_VALUE""")," নাম: মোছাঃ জাহানুর খাতুন ")</f>
        <v> নাম: মোছাঃ জাহানুর খাতুন </v>
      </c>
      <c r="D471" s="10">
        <f>IFERROR(__xludf.DUMMYFUNCTION("""COMPUTED_VALUE"""),5.70056378796E11)</f>
        <v>570056378796</v>
      </c>
      <c r="E471" s="10" t="str">
        <f>IFERROR(__xludf.DUMMYFUNCTION("""COMPUTED_VALUE""")," নবীছদ্দিন ")</f>
        <v> নবীছদ্দিন </v>
      </c>
      <c r="F471" s="10" t="str">
        <f>IFERROR(__xludf.DUMMYFUNCTION("""COMPUTED_VALUE""")," মোছা: খোদেজা ")</f>
        <v> মোছা: খোদেজা </v>
      </c>
      <c r="G471" s="10" t="str">
        <f>IFERROR(__xludf.DUMMYFUNCTION("""COMPUTED_VALUE""")," ১৩/০৪/১৯৬২ ")</f>
        <v> ১৩/০৪/১৯৬২ </v>
      </c>
      <c r="H471" s="10" t="str">
        <f>IFERROR(__xludf.DUMMYFUNCTION("""COMPUTED_VALUE""")," গৃহিণী ")</f>
        <v> গৃহিণী </v>
      </c>
      <c r="I471" s="10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72">
      <c r="A472" s="9" t="s">
        <v>3172</v>
      </c>
      <c r="B472" s="10">
        <f>IFERROR(__xludf.DUMMYFUNCTION("SPLIT(A472,""|"")"),459.0)</f>
        <v>459</v>
      </c>
      <c r="C472" s="10" t="str">
        <f>IFERROR(__xludf.DUMMYFUNCTION("""COMPUTED_VALUE""")," নাম: মোছাঃ সহিদা খাতুন ")</f>
        <v> নাম: মোছাঃ সহিদা খাতুন </v>
      </c>
      <c r="D472" s="10">
        <f>IFERROR(__xludf.DUMMYFUNCTION("""COMPUTED_VALUE"""),5.70056378799E11)</f>
        <v>570056378799</v>
      </c>
      <c r="E472" s="10" t="str">
        <f>IFERROR(__xludf.DUMMYFUNCTION("""COMPUTED_VALUE""")," মজিবর রহমান ")</f>
        <v> মজিবর রহমান </v>
      </c>
      <c r="F472" s="10" t="str">
        <f>IFERROR(__xludf.DUMMYFUNCTION("""COMPUTED_VALUE""")," মোছা: সার ভানু ")</f>
        <v> মোছা: সার ভানু </v>
      </c>
      <c r="G472" s="10" t="str">
        <f>IFERROR(__xludf.DUMMYFUNCTION("""COMPUTED_VALUE""")," ০৫/০৩/১৯৬৭ ")</f>
        <v> ০৫/০৩/১৯৬৭ </v>
      </c>
      <c r="H472" s="10" t="str">
        <f>IFERROR(__xludf.DUMMYFUNCTION("""COMPUTED_VALUE""")," গৃহিণী ")</f>
        <v> গৃহিণী </v>
      </c>
      <c r="I472" s="10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73">
      <c r="A473" s="9" t="s">
        <v>3173</v>
      </c>
      <c r="B473" s="10">
        <f>IFERROR(__xludf.DUMMYFUNCTION("SPLIT(A473,""|"")"),460.0)</f>
        <v>460</v>
      </c>
      <c r="C473" s="10" t="str">
        <f>IFERROR(__xludf.DUMMYFUNCTION("""COMPUTED_VALUE""")," নাম: মোছাঃ আর্জিনা বেগম ")</f>
        <v> নাম: মোছাঃ আর্জিনা বেগম </v>
      </c>
      <c r="D473" s="10">
        <f>IFERROR(__xludf.DUMMYFUNCTION("""COMPUTED_VALUE"""),5.70056378801E11)</f>
        <v>570056378801</v>
      </c>
      <c r="E473" s="10" t="str">
        <f>IFERROR(__xludf.DUMMYFUNCTION("""COMPUTED_VALUE""")," দেলবার আলী ")</f>
        <v> দেলবার আলী </v>
      </c>
      <c r="F473" s="10" t="str">
        <f>IFERROR(__xludf.DUMMYFUNCTION("""COMPUTED_VALUE""")," মোছা: জরিম‌ন নেছা ")</f>
        <v> মোছা: জরিম‌ন নেছা </v>
      </c>
      <c r="G473" s="10" t="str">
        <f>IFERROR(__xludf.DUMMYFUNCTION("""COMPUTED_VALUE""")," ১০/০৭/১৯৭৪ ")</f>
        <v> ১০/০৭/১৯৭৪ </v>
      </c>
      <c r="H473" s="10" t="str">
        <f>IFERROR(__xludf.DUMMYFUNCTION("""COMPUTED_VALUE""")," গৃহিণী ")</f>
        <v> গৃহিণী </v>
      </c>
      <c r="I473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74">
      <c r="A474" s="9" t="s">
        <v>3174</v>
      </c>
      <c r="B474" s="10">
        <f>IFERROR(__xludf.DUMMYFUNCTION("SPLIT(A474,""|"")"),461.0)</f>
        <v>461</v>
      </c>
      <c r="C474" s="10" t="str">
        <f>IFERROR(__xludf.DUMMYFUNCTION("""COMPUTED_VALUE""")," তাসলিমা খাতুন ")</f>
        <v> তাসলিমা খাতুন </v>
      </c>
      <c r="D474" s="10">
        <f>IFERROR(__xludf.DUMMYFUNCTION("""COMPUTED_VALUE"""),5.70056378803E11)</f>
        <v>570056378803</v>
      </c>
      <c r="E474" s="10" t="str">
        <f>IFERROR(__xludf.DUMMYFUNCTION("""COMPUTED_VALUE""")," মো: কওসার আলী ")</f>
        <v> মো: কওসার আলী </v>
      </c>
      <c r="F474" s="10" t="str">
        <f>IFERROR(__xludf.DUMMYFUNCTION("""COMPUTED_VALUE""")," মোছা: ছাবেরা খাতুন ")</f>
        <v> মোছা: ছাবেরা খাতুন </v>
      </c>
      <c r="G474" s="10" t="str">
        <f>IFERROR(__xludf.DUMMYFUNCTION("""COMPUTED_VALUE""")," ২১/০৫/১৯৭৫ ")</f>
        <v> ২১/০৫/১৯৭৫ </v>
      </c>
      <c r="H474" s="10" t="str">
        <f>IFERROR(__xludf.DUMMYFUNCTION("""COMPUTED_VALUE""")," গৃহিণী ")</f>
        <v> গৃহিণী </v>
      </c>
      <c r="I474" s="10" t="str">
        <f>IFERROR(__xludf.DUMMYFUNCTION("""COMPUTED_VALUE""")," জালশুকা বালিয়া পাড়া, জালশুকা, গাংনী, মেহেরপুর ")</f>
        <v> জালশুকা বালিয়া পাড়া, জালশুকা, গাংনী, মেহেরপুর </v>
      </c>
    </row>
    <row r="475">
      <c r="A475" s="9" t="s">
        <v>3175</v>
      </c>
      <c r="B475" s="10">
        <f>IFERROR(__xludf.DUMMYFUNCTION("SPLIT(A475,""|"")"),462.0)</f>
        <v>462</v>
      </c>
      <c r="C475" s="10" t="str">
        <f>IFERROR(__xludf.DUMMYFUNCTION("""COMPUTED_VALUE""")," নাম: মোছাঃ রওশনারা ")</f>
        <v> নাম: মোছাঃ রওশনারা </v>
      </c>
      <c r="D475" s="10">
        <f>IFERROR(__xludf.DUMMYFUNCTION("""COMPUTED_VALUE"""),5.70056378804E11)</f>
        <v>570056378804</v>
      </c>
      <c r="E475" s="10" t="str">
        <f>IFERROR(__xludf.DUMMYFUNCTION("""COMPUTED_VALUE""")," পির বক্স ")</f>
        <v> পির বক্স </v>
      </c>
      <c r="F475" s="10" t="str">
        <f>IFERROR(__xludf.DUMMYFUNCTION("""COMPUTED_VALUE""")," মোছাঃ ফুলজান ")</f>
        <v> মোছাঃ ফুলজান </v>
      </c>
      <c r="G475" s="10" t="str">
        <f>IFERROR(__xludf.DUMMYFUNCTION("""COMPUTED_VALUE""")," ১১/০৮/১৯৬৭ ")</f>
        <v> ১১/০৮/১৯৬৭ </v>
      </c>
      <c r="H475" s="10" t="str">
        <f>IFERROR(__xludf.DUMMYFUNCTION("""COMPUTED_VALUE""")," গৃহিণী ")</f>
        <v> গৃহিণী </v>
      </c>
      <c r="I475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76">
      <c r="A476" s="9" t="s">
        <v>3176</v>
      </c>
      <c r="B476" s="10">
        <f>IFERROR(__xludf.DUMMYFUNCTION("SPLIT(A476,""|"")"),463.0)</f>
        <v>463</v>
      </c>
      <c r="C476" s="10" t="str">
        <f>IFERROR(__xludf.DUMMYFUNCTION("""COMPUTED_VALUE""")," নাম: মোছাঃ বিউটি খাতুন ")</f>
        <v> নাম: মোছাঃ বিউটি খাতুন </v>
      </c>
      <c r="D476" s="10">
        <f>IFERROR(__xludf.DUMMYFUNCTION("""COMPUTED_VALUE"""),5.70056378805E11)</f>
        <v>570056378805</v>
      </c>
      <c r="E476" s="10" t="str">
        <f>IFERROR(__xludf.DUMMYFUNCTION("""COMPUTED_VALUE""")," মো: শফিরদ্দিন ")</f>
        <v> মো: শফিরদ্দিন </v>
      </c>
      <c r="F476" s="10" t="str">
        <f>IFERROR(__xludf.DUMMYFUNCTION("""COMPUTED_VALUE""")," মোছা: তহমিনা ")</f>
        <v> মোছা: তহমিনা </v>
      </c>
      <c r="G476" s="10" t="str">
        <f>IFERROR(__xludf.DUMMYFUNCTION("""COMPUTED_VALUE""")," ০৮/০৫/১৯৭৭ ")</f>
        <v> ০৮/০৫/১৯৭৭ </v>
      </c>
      <c r="H476" s="10" t="str">
        <f>IFERROR(__xludf.DUMMYFUNCTION("""COMPUTED_VALUE""")," গৃহিণী ")</f>
        <v> গৃহিণী </v>
      </c>
      <c r="I476" s="10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77">
      <c r="A477" s="9" t="s">
        <v>3177</v>
      </c>
      <c r="B477" s="10">
        <f>IFERROR(__xludf.DUMMYFUNCTION("SPLIT(A477,""|"")"),464.0)</f>
        <v>464</v>
      </c>
      <c r="C477" s="10" t="str">
        <f>IFERROR(__xludf.DUMMYFUNCTION("""COMPUTED_VALUE""")," নাম: মোছাঃ ইসমতারা ")</f>
        <v> নাম: মোছাঃ ইসমতারা </v>
      </c>
      <c r="D477" s="10">
        <f>IFERROR(__xludf.DUMMYFUNCTION("""COMPUTED_VALUE"""),5.70056378806E11)</f>
        <v>570056378806</v>
      </c>
      <c r="E477" s="10" t="str">
        <f>IFERROR(__xludf.DUMMYFUNCTION("""COMPUTED_VALUE""")," মো: মাহরুদ্দীন ")</f>
        <v> মো: মাহরুদ্দীন </v>
      </c>
      <c r="F477" s="10" t="str">
        <f>IFERROR(__xludf.DUMMYFUNCTION("""COMPUTED_VALUE""")," মোছা: হাসিনা খাতুন ")</f>
        <v> মোছা: হাসিনা খাতুন </v>
      </c>
      <c r="G477" s="10" t="str">
        <f>IFERROR(__xludf.DUMMYFUNCTION("""COMPUTED_VALUE""")," ২২/০৬/১৯৮০ ")</f>
        <v> ২২/০৬/১৯৮০ </v>
      </c>
      <c r="H477" s="10" t="str">
        <f>IFERROR(__xludf.DUMMYFUNCTION("""COMPUTED_VALUE""")," গৃহিণী ")</f>
        <v> গৃহিণী </v>
      </c>
      <c r="I477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78">
      <c r="A478" s="9" t="s">
        <v>3178</v>
      </c>
      <c r="B478" s="10">
        <f>IFERROR(__xludf.DUMMYFUNCTION("SPLIT(A478,""|"")"),465.0)</f>
        <v>465</v>
      </c>
      <c r="C478" s="10" t="str">
        <f>IFERROR(__xludf.DUMMYFUNCTION("""COMPUTED_VALUE""")," নাম: মোছাঃ চামিলি খাতুন ")</f>
        <v> নাম: মোছাঃ চামিলি খাতুন </v>
      </c>
      <c r="D478" s="10">
        <f>IFERROR(__xludf.DUMMYFUNCTION("""COMPUTED_VALUE"""),5.70056378809E11)</f>
        <v>570056378809</v>
      </c>
      <c r="E478" s="10" t="str">
        <f>IFERROR(__xludf.DUMMYFUNCTION("""COMPUTED_VALUE""")," রতন আলী ")</f>
        <v> রতন আলী </v>
      </c>
      <c r="F478" s="10" t="str">
        <f>IFERROR(__xludf.DUMMYFUNCTION("""COMPUTED_VALUE""")," মোছা: ফুলজান ")</f>
        <v> মোছা: ফুলজান </v>
      </c>
      <c r="G478" s="10" t="str">
        <f>IFERROR(__xludf.DUMMYFUNCTION("""COMPUTED_VALUE""")," ০৮/০৫/১৯৮৩ ")</f>
        <v> ০৮/০৫/১৯৮৩ </v>
      </c>
      <c r="H478" s="10" t="str">
        <f>IFERROR(__xludf.DUMMYFUNCTION("""COMPUTED_VALUE""")," গৃহিণী ")</f>
        <v> গৃহিণী </v>
      </c>
      <c r="I478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79">
      <c r="A479" s="9" t="s">
        <v>3179</v>
      </c>
      <c r="B479" s="10">
        <f>IFERROR(__xludf.DUMMYFUNCTION("SPLIT(A479,""|"")"),466.0)</f>
        <v>466</v>
      </c>
      <c r="C479" s="10" t="str">
        <f>IFERROR(__xludf.DUMMYFUNCTION("""COMPUTED_VALUE""")," নাম: মোছাঃ রমেছা খাতুন ")</f>
        <v> নাম: মোছাঃ রমেছা খাতুন </v>
      </c>
      <c r="D479" s="10">
        <f>IFERROR(__xludf.DUMMYFUNCTION("""COMPUTED_VALUE"""),5.70056378811E11)</f>
        <v>570056378811</v>
      </c>
      <c r="E479" s="10" t="str">
        <f>IFERROR(__xludf.DUMMYFUNCTION("""COMPUTED_VALUE""")," মো: আ: জলিল ")</f>
        <v> মো: আ: জলিল </v>
      </c>
      <c r="F479" s="10" t="str">
        <f>IFERROR(__xludf.DUMMYFUNCTION("""COMPUTED_VALUE""")," মোছা: রেজিয়া খাতুন ")</f>
        <v> মোছা: রেজিয়া খাতুন </v>
      </c>
      <c r="G479" s="10" t="str">
        <f>IFERROR(__xludf.DUMMYFUNCTION("""COMPUTED_VALUE""")," ০৪/০৮/১৯৫৯ ")</f>
        <v> ০৪/০৮/১৯৫৯ </v>
      </c>
      <c r="H479" s="10" t="str">
        <f>IFERROR(__xludf.DUMMYFUNCTION("""COMPUTED_VALUE""")," গৃহিণী ")</f>
        <v> গৃহিণী </v>
      </c>
      <c r="I479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0">
      <c r="A480" s="9" t="s">
        <v>3180</v>
      </c>
      <c r="B480" s="10">
        <f>IFERROR(__xludf.DUMMYFUNCTION("SPLIT(A480,""|"")"),467.0)</f>
        <v>467</v>
      </c>
      <c r="C480" s="10" t="str">
        <f>IFERROR(__xludf.DUMMYFUNCTION("""COMPUTED_VALUE""")," নাম: মোছাঃ আলেয়া খাতুন ")</f>
        <v> নাম: মোছাঃ আলেয়া খাতুন </v>
      </c>
      <c r="D480" s="10">
        <f>IFERROR(__xludf.DUMMYFUNCTION("""COMPUTED_VALUE"""),5.70056378812E11)</f>
        <v>570056378812</v>
      </c>
      <c r="E480" s="10" t="str">
        <f>IFERROR(__xludf.DUMMYFUNCTION("""COMPUTED_VALUE""")," মো: দবিরুদ্দীন ")</f>
        <v> মো: দবিরুদ্দীন </v>
      </c>
      <c r="F480" s="10" t="str">
        <f>IFERROR(__xludf.DUMMYFUNCTION("""COMPUTED_VALUE""")," মোছা: আমিনা খাতুন ")</f>
        <v> মোছা: আমিনা খাতুন </v>
      </c>
      <c r="G480" s="10" t="str">
        <f>IFERROR(__xludf.DUMMYFUNCTION("""COMPUTED_VALUE""")," ১২/০৮/১৯৬৭ ")</f>
        <v> ১২/০৮/১৯৬৭ </v>
      </c>
      <c r="H480" s="10" t="str">
        <f>IFERROR(__xludf.DUMMYFUNCTION("""COMPUTED_VALUE""")," গৃহিণী ")</f>
        <v> গৃহিণী </v>
      </c>
      <c r="I480" s="10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81">
      <c r="A481" s="9" t="s">
        <v>3181</v>
      </c>
      <c r="B481" s="10">
        <f>IFERROR(__xludf.DUMMYFUNCTION("SPLIT(A481,""|"")"),468.0)</f>
        <v>468</v>
      </c>
      <c r="C481" s="10" t="str">
        <f>IFERROR(__xludf.DUMMYFUNCTION("""COMPUTED_VALUE""")," নাম: মোছাঃ তহলিমা খাতুন ")</f>
        <v> নাম: মোছাঃ তহলিমা খাতুন </v>
      </c>
      <c r="D481" s="10">
        <f>IFERROR(__xludf.DUMMYFUNCTION("""COMPUTED_VALUE"""),5.70056378817E11)</f>
        <v>570056378817</v>
      </c>
      <c r="E481" s="10" t="str">
        <f>IFERROR(__xludf.DUMMYFUNCTION("""COMPUTED_VALUE""")," মো: জালাল উদ্দীন ")</f>
        <v> মো: জালাল উদ্দীন </v>
      </c>
      <c r="F481" s="10" t="str">
        <f>IFERROR(__xludf.DUMMYFUNCTION("""COMPUTED_VALUE""")," মোছা: আনোয়ারা ")</f>
        <v> মোছা: আনোয়ারা </v>
      </c>
      <c r="G481" s="10" t="str">
        <f>IFERROR(__xludf.DUMMYFUNCTION("""COMPUTED_VALUE""")," ২৫/০৫/১৯৭৭ ")</f>
        <v> ২৫/০৫/১৯৭৭ </v>
      </c>
      <c r="H481" s="10" t="str">
        <f>IFERROR(__xludf.DUMMYFUNCTION("""COMPUTED_VALUE""")," গৃহিণী ")</f>
        <v> গৃহিণী </v>
      </c>
      <c r="I481" s="10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82">
      <c r="A482" s="9" t="s">
        <v>3182</v>
      </c>
      <c r="B482" s="10">
        <f>IFERROR(__xludf.DUMMYFUNCTION("SPLIT(A482,""|"")"),469.0)</f>
        <v>469</v>
      </c>
      <c r="C482" s="10" t="str">
        <f>IFERROR(__xludf.DUMMYFUNCTION("""COMPUTED_VALUE""")," নাম: মোছাঃ মুন্নি খাতুন ")</f>
        <v> নাম: মোছাঃ মুন্নি খাতুন </v>
      </c>
      <c r="D482" s="10">
        <f>IFERROR(__xludf.DUMMYFUNCTION("""COMPUTED_VALUE"""),5.70056378818E11)</f>
        <v>570056378818</v>
      </c>
      <c r="E482" s="10" t="str">
        <f>IFERROR(__xludf.DUMMYFUNCTION("""COMPUTED_VALUE""")," মো: শফিকুদ্দীন ")</f>
        <v> মো: শফিকুদ্দীন </v>
      </c>
      <c r="F482" s="10" t="str">
        <f>IFERROR(__xludf.DUMMYFUNCTION("""COMPUTED_VALUE""")," মোছা: নুরজাহান ")</f>
        <v> মোছা: নুরজাহান </v>
      </c>
      <c r="G482" s="10" t="str">
        <f>IFERROR(__xludf.DUMMYFUNCTION("""COMPUTED_VALUE""")," ২৫/০৪/১৯৮১ ")</f>
        <v> ২৫/০৪/১৯৮১ </v>
      </c>
      <c r="H482" s="10" t="str">
        <f>IFERROR(__xludf.DUMMYFUNCTION("""COMPUTED_VALUE""")," গৃহিণী ")</f>
        <v> গৃহিণী </v>
      </c>
      <c r="I482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3">
      <c r="A483" s="9" t="s">
        <v>3183</v>
      </c>
      <c r="B483" s="10">
        <f>IFERROR(__xludf.DUMMYFUNCTION("SPLIT(A483,""|"")"),470.0)</f>
        <v>470</v>
      </c>
      <c r="C483" s="10" t="str">
        <f>IFERROR(__xludf.DUMMYFUNCTION("""COMPUTED_VALUE""")," নাম: মোছাঃ আহজান ")</f>
        <v> নাম: মোছাঃ আহজান </v>
      </c>
      <c r="D483" s="10">
        <f>IFERROR(__xludf.DUMMYFUNCTION("""COMPUTED_VALUE"""),5.7005637882E11)</f>
        <v>570056378820</v>
      </c>
      <c r="E483" s="10" t="str">
        <f>IFERROR(__xludf.DUMMYFUNCTION("""COMPUTED_VALUE""")," ইসমাইল ")</f>
        <v> ইসমাইল </v>
      </c>
      <c r="F483" s="10" t="str">
        <f>IFERROR(__xludf.DUMMYFUNCTION("""COMPUTED_VALUE""")," জারিনা ")</f>
        <v> জারিনা </v>
      </c>
      <c r="G483" s="10" t="str">
        <f>IFERROR(__xludf.DUMMYFUNCTION("""COMPUTED_VALUE""")," ১৫/০৭/১৯৪৭ ")</f>
        <v> ১৫/০৭/১৯৪৭ </v>
      </c>
      <c r="H483" s="10" t="str">
        <f>IFERROR(__xludf.DUMMYFUNCTION("""COMPUTED_VALUE""")," গৃহিণী ")</f>
        <v> গৃহিণী </v>
      </c>
      <c r="I483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4">
      <c r="A484" s="9" t="s">
        <v>3184</v>
      </c>
      <c r="B484" s="10">
        <f>IFERROR(__xludf.DUMMYFUNCTION("SPLIT(A484,""|"")"),471.0)</f>
        <v>471</v>
      </c>
      <c r="C484" s="10" t="str">
        <f>IFERROR(__xludf.DUMMYFUNCTION("""COMPUTED_VALUE""")," নাম: মোছাঃ রেহেনা খাতুন ")</f>
        <v> নাম: মোছাঃ রেহেনা খাতুন </v>
      </c>
      <c r="D484" s="10">
        <f>IFERROR(__xludf.DUMMYFUNCTION("""COMPUTED_VALUE"""),5.70056378821E11)</f>
        <v>570056378821</v>
      </c>
      <c r="E484" s="10" t="str">
        <f>IFERROR(__xludf.DUMMYFUNCTION("""COMPUTED_VALUE""")," মো: নজরুল হক ")</f>
        <v> মো: নজরুল হক </v>
      </c>
      <c r="F484" s="10" t="str">
        <f>IFERROR(__xludf.DUMMYFUNCTION("""COMPUTED_VALUE""")," মোছা: কমেলা খাতুন ")</f>
        <v> মোছা: কমেলা খাতুন </v>
      </c>
      <c r="G484" s="10" t="str">
        <f>IFERROR(__xludf.DUMMYFUNCTION("""COMPUTED_VALUE""")," ১৩/০৫/১৯৮১ ")</f>
        <v> ১৩/০৫/১৯৮১ </v>
      </c>
      <c r="H484" s="10" t="str">
        <f>IFERROR(__xludf.DUMMYFUNCTION("""COMPUTED_VALUE""")," গৃহিণী ")</f>
        <v> গৃহিণী </v>
      </c>
      <c r="I484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5">
      <c r="A485" s="9" t="s">
        <v>3185</v>
      </c>
      <c r="B485" s="10">
        <f>IFERROR(__xludf.DUMMYFUNCTION("SPLIT(A485,""|"")"),472.0)</f>
        <v>472</v>
      </c>
      <c r="C485" s="10" t="str">
        <f>IFERROR(__xludf.DUMMYFUNCTION("""COMPUTED_VALUE""")," নাম: মোছাঃ জোসনা খাতুন ")</f>
        <v> নাম: মোছাঃ জোসনা খাতুন </v>
      </c>
      <c r="D485" s="10">
        <f>IFERROR(__xludf.DUMMYFUNCTION("""COMPUTED_VALUE"""),5.70056378825E11)</f>
        <v>570056378825</v>
      </c>
      <c r="E485" s="10" t="str">
        <f>IFERROR(__xludf.DUMMYFUNCTION("""COMPUTED_VALUE""")," রহমত আলী ")</f>
        <v> রহমত আলী </v>
      </c>
      <c r="F485" s="10" t="str">
        <f>IFERROR(__xludf.DUMMYFUNCTION("""COMPUTED_VALUE""")," মোছাঃ জীবন নেছা ")</f>
        <v> মোছাঃ জীবন নেছা </v>
      </c>
      <c r="G485" s="10" t="str">
        <f>IFERROR(__xludf.DUMMYFUNCTION("""COMPUTED_VALUE""")," ১৮/০৭/১৯৬০ ")</f>
        <v> ১৮/০৭/১৯৬০ </v>
      </c>
      <c r="H485" s="10" t="str">
        <f>IFERROR(__xludf.DUMMYFUNCTION("""COMPUTED_VALUE""")," গৃহিণী ")</f>
        <v> গৃহিণী </v>
      </c>
      <c r="I485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6">
      <c r="A486" s="9" t="s">
        <v>3186</v>
      </c>
      <c r="B486" s="10">
        <f>IFERROR(__xludf.DUMMYFUNCTION("SPLIT(A486,""|"")"),473.0)</f>
        <v>473</v>
      </c>
      <c r="C486" s="10" t="str">
        <f>IFERROR(__xludf.DUMMYFUNCTION("""COMPUTED_VALUE""")," নাম: মোছাঃ ইশারন খাতুন ")</f>
        <v> নাম: মোছাঃ ইশারন খাতুন </v>
      </c>
      <c r="D486" s="10">
        <f>IFERROR(__xludf.DUMMYFUNCTION("""COMPUTED_VALUE"""),5.70056378839E11)</f>
        <v>570056378839</v>
      </c>
      <c r="E486" s="10" t="str">
        <f>IFERROR(__xludf.DUMMYFUNCTION("""COMPUTED_VALUE""")," আমিরুদ্দীন ")</f>
        <v> আমিরুদ্দীন </v>
      </c>
      <c r="F486" s="10" t="str">
        <f>IFERROR(__xludf.DUMMYFUNCTION("""COMPUTED_VALUE""")," মোছা: আহারন ")</f>
        <v> মোছা: আহারন </v>
      </c>
      <c r="G486" s="10" t="str">
        <f>IFERROR(__xludf.DUMMYFUNCTION("""COMPUTED_VALUE""")," ০৭/০৪/১৯৬৭ ")</f>
        <v> ০৭/০৪/১৯৬৭ </v>
      </c>
      <c r="H486" s="10" t="str">
        <f>IFERROR(__xludf.DUMMYFUNCTION("""COMPUTED_VALUE""")," গৃহিণী ")</f>
        <v> গৃহিণী </v>
      </c>
      <c r="I486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7">
      <c r="A487" s="9" t="s">
        <v>3187</v>
      </c>
      <c r="B487" s="10">
        <f>IFERROR(__xludf.DUMMYFUNCTION("SPLIT(A487,""|"")"),474.0)</f>
        <v>474</v>
      </c>
      <c r="C487" s="10" t="str">
        <f>IFERROR(__xludf.DUMMYFUNCTION("""COMPUTED_VALUE""")," নাম: মোছাঃ সাহেদা খাতুন ")</f>
        <v> নাম: মোছাঃ সাহেদা খাতুন </v>
      </c>
      <c r="D487" s="10">
        <f>IFERROR(__xludf.DUMMYFUNCTION("""COMPUTED_VALUE"""),5.70056378841E11)</f>
        <v>570056378841</v>
      </c>
      <c r="E487" s="10" t="str">
        <f>IFERROR(__xludf.DUMMYFUNCTION("""COMPUTED_VALUE""")," মো: যাছের আলী ")</f>
        <v> মো: যাছের আলী </v>
      </c>
      <c r="F487" s="10" t="str">
        <f>IFERROR(__xludf.DUMMYFUNCTION("""COMPUTED_VALUE""")," মোছা: ফেলা খাতুন ")</f>
        <v> মোছা: ফেলা খাতুন </v>
      </c>
      <c r="G487" s="10" t="str">
        <f>IFERROR(__xludf.DUMMYFUNCTION("""COMPUTED_VALUE""")," ০২/০৪/১৯৬৭ ")</f>
        <v> ০২/০৪/১৯৬৭ </v>
      </c>
      <c r="H487" s="10" t="str">
        <f>IFERROR(__xludf.DUMMYFUNCTION("""COMPUTED_VALUE""")," গৃহিণী ")</f>
        <v> গৃহিণী </v>
      </c>
      <c r="I487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8">
      <c r="A488" s="9" t="s">
        <v>3188</v>
      </c>
      <c r="B488" s="10">
        <f>IFERROR(__xludf.DUMMYFUNCTION("SPLIT(A488,""|"")"),475.0)</f>
        <v>475</v>
      </c>
      <c r="C488" s="10" t="str">
        <f>IFERROR(__xludf.DUMMYFUNCTION("""COMPUTED_VALUE""")," নাম: মোছাঃ জাহানারা খাতুন ")</f>
        <v> নাম: মোছাঃ জাহানারা খাতুন </v>
      </c>
      <c r="D488" s="10">
        <f>IFERROR(__xludf.DUMMYFUNCTION("""COMPUTED_VALUE"""),5.70056378843E11)</f>
        <v>570056378843</v>
      </c>
      <c r="E488" s="10" t="str">
        <f>IFERROR(__xludf.DUMMYFUNCTION("""COMPUTED_VALUE""")," মো: আব্দুল মুন্সি ")</f>
        <v> মো: আব্দুল মুন্সি </v>
      </c>
      <c r="F488" s="10" t="str">
        <f>IFERROR(__xludf.DUMMYFUNCTION("""COMPUTED_VALUE""")," সানোয়ারা ")</f>
        <v> সানোয়ারা </v>
      </c>
      <c r="G488" s="10" t="str">
        <f>IFERROR(__xludf.DUMMYFUNCTION("""COMPUTED_VALUE""")," ১৫/০৯/১৯৬৭ ")</f>
        <v> ১৫/০৯/১৯৬৭ </v>
      </c>
      <c r="H488" s="10" t="str">
        <f>IFERROR(__xludf.DUMMYFUNCTION("""COMPUTED_VALUE""")," গৃহিণী ")</f>
        <v> গৃহিণী </v>
      </c>
      <c r="I488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9">
      <c r="A489" s="9" t="s">
        <v>3189</v>
      </c>
      <c r="B489" s="10">
        <f>IFERROR(__xludf.DUMMYFUNCTION("SPLIT(A489,""|"")"),476.0)</f>
        <v>476</v>
      </c>
      <c r="C489" s="10" t="str">
        <f>IFERROR(__xludf.DUMMYFUNCTION("""COMPUTED_VALUE""")," নাম: মোছাঃ দুয়াতন খাতুন ")</f>
        <v> নাম: মোছাঃ দুয়াতন খাতুন </v>
      </c>
      <c r="D489" s="10">
        <f>IFERROR(__xludf.DUMMYFUNCTION("""COMPUTED_VALUE"""),5.70056378844E11)</f>
        <v>570056378844</v>
      </c>
      <c r="E489" s="10" t="str">
        <f>IFERROR(__xludf.DUMMYFUNCTION("""COMPUTED_VALUE""")," তৈয়ব আলী ")</f>
        <v> তৈয়ব আলী </v>
      </c>
      <c r="F489" s="10" t="str">
        <f>IFERROR(__xludf.DUMMYFUNCTION("""COMPUTED_VALUE""")," ফুলজান ")</f>
        <v> ফুলজান </v>
      </c>
      <c r="G489" s="10" t="str">
        <f>IFERROR(__xludf.DUMMYFUNCTION("""COMPUTED_VALUE""")," ০৯/০৪/১৯৫৯ ")</f>
        <v> ০৯/০৪/১৯৫৯ </v>
      </c>
      <c r="H489" s="10" t="str">
        <f>IFERROR(__xludf.DUMMYFUNCTION("""COMPUTED_VALUE""")," গৃহিণী ")</f>
        <v> গৃহিণী </v>
      </c>
      <c r="I489" s="10" t="str">
        <f>IFERROR(__xludf.DUMMYFUNCTION("""COMPUTED_VALUE""")," জালশুকা, গাংনী, মেহেরপুর ")</f>
        <v> জালশুকা, গাংনী, মেহেরপুর </v>
      </c>
    </row>
    <row r="490">
      <c r="A490" s="9" t="s">
        <v>3190</v>
      </c>
      <c r="B490" s="10">
        <f>IFERROR(__xludf.DUMMYFUNCTION("SPLIT(A490,""|"")"),477.0)</f>
        <v>477</v>
      </c>
      <c r="C490" s="10" t="str">
        <f>IFERROR(__xludf.DUMMYFUNCTION("""COMPUTED_VALUE""")," নাম: মোছাঃ আতরা খাতুন ")</f>
        <v> নাম: মোছাঃ আতরা খাতুন </v>
      </c>
      <c r="D490" s="10">
        <f>IFERROR(__xludf.DUMMYFUNCTION("""COMPUTED_VALUE"""),5.70056378846E11)</f>
        <v>570056378846</v>
      </c>
      <c r="E490" s="10" t="str">
        <f>IFERROR(__xludf.DUMMYFUNCTION("""COMPUTED_VALUE""")," মো: কালাচাদ ")</f>
        <v> মো: কালাচাদ </v>
      </c>
      <c r="F490" s="10" t="str">
        <f>IFERROR(__xludf.DUMMYFUNCTION("""COMPUTED_VALUE""")," মোছা: খাদেজা খাতুন ")</f>
        <v> মোছা: খাদেজা খাতুন </v>
      </c>
      <c r="G490" s="10" t="str">
        <f>IFERROR(__xludf.DUMMYFUNCTION("""COMPUTED_VALUE""")," ১৫/০৫/১৯৭৫ ")</f>
        <v> ১৫/০৫/১৯৭৫ </v>
      </c>
      <c r="H490" s="10" t="str">
        <f>IFERROR(__xludf.DUMMYFUNCTION("""COMPUTED_VALUE""")," গৃহিণী ")</f>
        <v> গৃহিণী </v>
      </c>
      <c r="I490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1">
      <c r="A491" s="9" t="s">
        <v>3191</v>
      </c>
      <c r="B491" s="10">
        <f>IFERROR(__xludf.DUMMYFUNCTION("SPLIT(A491,""|"")"),478.0)</f>
        <v>478</v>
      </c>
      <c r="C491" s="10" t="str">
        <f>IFERROR(__xludf.DUMMYFUNCTION("""COMPUTED_VALUE""")," নাম: মোছাঃ ফেলা খাতুন ")</f>
        <v> নাম: মোছাঃ ফেলা খাতুন </v>
      </c>
      <c r="D491" s="10">
        <f>IFERROR(__xludf.DUMMYFUNCTION("""COMPUTED_VALUE"""),5.70056378848E11)</f>
        <v>570056378848</v>
      </c>
      <c r="E491" s="10" t="str">
        <f>IFERROR(__xludf.DUMMYFUNCTION("""COMPUTED_VALUE""")," মামদ আলী ")</f>
        <v> মামদ আলী </v>
      </c>
      <c r="F491" s="10" t="str">
        <f>IFERROR(__xludf.DUMMYFUNCTION("""COMPUTED_VALUE""")," মোছা: ফুলি খাতুন ")</f>
        <v> মোছা: ফুলি খাতুন </v>
      </c>
      <c r="G491" s="10" t="str">
        <f>IFERROR(__xludf.DUMMYFUNCTION("""COMPUTED_VALUE""")," ২৪/১১/১৯৩৭ ")</f>
        <v> ২৪/১১/১৯৩৭ </v>
      </c>
      <c r="H491" s="10" t="str">
        <f>IFERROR(__xludf.DUMMYFUNCTION("""COMPUTED_VALUE""")," গৃহিণী ")</f>
        <v> গৃহিণী </v>
      </c>
      <c r="I491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2">
      <c r="A492" s="9" t="s">
        <v>3192</v>
      </c>
      <c r="B492" s="10">
        <f>IFERROR(__xludf.DUMMYFUNCTION("SPLIT(A492,""|"")"),479.0)</f>
        <v>479</v>
      </c>
      <c r="C492" s="10" t="str">
        <f>IFERROR(__xludf.DUMMYFUNCTION("""COMPUTED_VALUE""")," নাম: মোছাঃ মিনি খাতুন ")</f>
        <v> নাম: মোছাঃ মিনি খাতুন </v>
      </c>
      <c r="D492" s="10">
        <f>IFERROR(__xludf.DUMMYFUNCTION("""COMPUTED_VALUE"""),5.70056378849E11)</f>
        <v>570056378849</v>
      </c>
      <c r="E492" s="10" t="str">
        <f>IFERROR(__xludf.DUMMYFUNCTION("""COMPUTED_VALUE""")," মো: নবিছুদ্দীন ")</f>
        <v> মো: নবিছুদ্দীন </v>
      </c>
      <c r="F492" s="10" t="str">
        <f>IFERROR(__xludf.DUMMYFUNCTION("""COMPUTED_VALUE""")," মোছা: আনোয়ারা ")</f>
        <v> মোছা: আনোয়ারা </v>
      </c>
      <c r="G492" s="10" t="str">
        <f>IFERROR(__xludf.DUMMYFUNCTION("""COMPUTED_VALUE""")," ০৫/০৭/১৯৮০ ")</f>
        <v> ০৫/০৭/১৯৮০ </v>
      </c>
      <c r="H492" s="10" t="str">
        <f>IFERROR(__xludf.DUMMYFUNCTION("""COMPUTED_VALUE""")," গৃহিণী ")</f>
        <v> গৃহিণী </v>
      </c>
      <c r="I492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93">
      <c r="A493" s="9" t="s">
        <v>3193</v>
      </c>
      <c r="B493" s="10">
        <f>IFERROR(__xludf.DUMMYFUNCTION("SPLIT(A493,""|"")"),480.0)</f>
        <v>480</v>
      </c>
      <c r="C493" s="10" t="str">
        <f>IFERROR(__xludf.DUMMYFUNCTION("""COMPUTED_VALUE""")," নাম: মোছাঃ রোজিনা খাতুন ")</f>
        <v> নাম: মোছাঃ রোজিনা খাতুন </v>
      </c>
      <c r="D493" s="10">
        <f>IFERROR(__xludf.DUMMYFUNCTION("""COMPUTED_VALUE"""),5.7005637885E11)</f>
        <v>570056378850</v>
      </c>
      <c r="E493" s="10" t="str">
        <f>IFERROR(__xludf.DUMMYFUNCTION("""COMPUTED_VALUE""")," মো: আলি হোসেন ")</f>
        <v> মো: আলি হোসেন </v>
      </c>
      <c r="F493" s="10" t="str">
        <f>IFERROR(__xludf.DUMMYFUNCTION("""COMPUTED_VALUE""")," মোছা: শাহেদা খাতুন ")</f>
        <v> মোছা: শাহেদা খাতুন </v>
      </c>
      <c r="G493" s="10" t="str">
        <f>IFERROR(__xludf.DUMMYFUNCTION("""COMPUTED_VALUE""")," ১২/০৮/১৯৮১ ")</f>
        <v> ১২/০৮/১৯৮১ </v>
      </c>
      <c r="H493" s="10" t="str">
        <f>IFERROR(__xludf.DUMMYFUNCTION("""COMPUTED_VALUE""")," গৃহিণী ")</f>
        <v> গৃহিণী </v>
      </c>
      <c r="I493" s="10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4">
      <c r="A494" s="9" t="s">
        <v>3194</v>
      </c>
      <c r="B494" s="10">
        <f>IFERROR(__xludf.DUMMYFUNCTION("SPLIT(A494,""|"")"),481.0)</f>
        <v>481</v>
      </c>
      <c r="C494" s="10" t="str">
        <f>IFERROR(__xludf.DUMMYFUNCTION("""COMPUTED_VALUE""")," নাম: মোছাঃ সাহার বানু ")</f>
        <v> নাম: মোছাঃ সাহার বানু </v>
      </c>
      <c r="D494" s="10">
        <f>IFERROR(__xludf.DUMMYFUNCTION("""COMPUTED_VALUE"""),5.70056378851E11)</f>
        <v>570056378851</v>
      </c>
      <c r="E494" s="10" t="str">
        <f>IFERROR(__xludf.DUMMYFUNCTION("""COMPUTED_VALUE""")," মো: লুকমান হোসেন ")</f>
        <v> মো: লুকমান হোসেন </v>
      </c>
      <c r="F494" s="10" t="str">
        <f>IFERROR(__xludf.DUMMYFUNCTION("""COMPUTED_VALUE""")," মোছা: সাবিরন নেছা ")</f>
        <v> মোছা: সাবিরন নেছা </v>
      </c>
      <c r="G494" s="10" t="str">
        <f>IFERROR(__xludf.DUMMYFUNCTION("""COMPUTED_VALUE""")," ০৩/০৪/১৯৮১ ")</f>
        <v> ০৩/০৪/১৯৮১ </v>
      </c>
      <c r="H494" s="10" t="str">
        <f>IFERROR(__xludf.DUMMYFUNCTION("""COMPUTED_VALUE""")," গৃহিণী ")</f>
        <v> গৃহিণী </v>
      </c>
      <c r="I494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5">
      <c r="A495" s="9" t="s">
        <v>3195</v>
      </c>
      <c r="B495" s="10">
        <f>IFERROR(__xludf.DUMMYFUNCTION("SPLIT(A495,""|"")"),482.0)</f>
        <v>482</v>
      </c>
      <c r="C495" s="10" t="str">
        <f>IFERROR(__xludf.DUMMYFUNCTION("""COMPUTED_VALUE""")," নাম: মোছাঃ সাবিরন নেছা ")</f>
        <v> নাম: মোছাঃ সাবিরন নেছা </v>
      </c>
      <c r="D495" s="10">
        <f>IFERROR(__xludf.DUMMYFUNCTION("""COMPUTED_VALUE"""),5.70056378853E11)</f>
        <v>570056378853</v>
      </c>
      <c r="E495" s="10" t="str">
        <f>IFERROR(__xludf.DUMMYFUNCTION("""COMPUTED_VALUE""")," মহত আলী মন্ডল ")</f>
        <v> মহত আলী মন্ডল </v>
      </c>
      <c r="F495" s="10" t="str">
        <f>IFERROR(__xludf.DUMMYFUNCTION("""COMPUTED_VALUE""")," সালেহার বিবি ")</f>
        <v> সালেহার বিবি </v>
      </c>
      <c r="G495" s="10" t="str">
        <f>IFERROR(__xludf.DUMMYFUNCTION("""COMPUTED_VALUE""")," ২৭/০৪/১৯৫৭ ")</f>
        <v> ২৭/০৪/১৯৫৭ </v>
      </c>
      <c r="H495" s="10" t="str">
        <f>IFERROR(__xludf.DUMMYFUNCTION("""COMPUTED_VALUE""")," গৃহিণী ")</f>
        <v> গৃহিণী </v>
      </c>
      <c r="I495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6">
      <c r="A496" s="9" t="s">
        <v>3196</v>
      </c>
      <c r="B496" s="10">
        <f>IFERROR(__xludf.DUMMYFUNCTION("SPLIT(A496,""|"")"),483.0)</f>
        <v>483</v>
      </c>
      <c r="C496" s="10" t="str">
        <f>IFERROR(__xludf.DUMMYFUNCTION("""COMPUTED_VALUE""")," নাম: মোছাঃ সুফিয়া খাতুন ")</f>
        <v> নাম: মোছাঃ সুফিয়া খাতুন </v>
      </c>
      <c r="D496" s="10">
        <f>IFERROR(__xludf.DUMMYFUNCTION("""COMPUTED_VALUE"""),5.70056378854E11)</f>
        <v>570056378854</v>
      </c>
      <c r="E496" s="10" t="str">
        <f>IFERROR(__xludf.DUMMYFUNCTION("""COMPUTED_VALUE""")," সৈয়দদ্দিন ")</f>
        <v> সৈয়দদ্দিন </v>
      </c>
      <c r="F496" s="10" t="str">
        <f>IFERROR(__xludf.DUMMYFUNCTION("""COMPUTED_VALUE""")," জহিরন নেছা ")</f>
        <v> জহিরন নেছা </v>
      </c>
      <c r="G496" s="10" t="str">
        <f>IFERROR(__xludf.DUMMYFUNCTION("""COMPUTED_VALUE""")," ১১/০৮/১৯৫৭ ")</f>
        <v> ১১/০৮/১৯৫৭ </v>
      </c>
      <c r="H496" s="10" t="str">
        <f>IFERROR(__xludf.DUMMYFUNCTION("""COMPUTED_VALUE""")," গৃহিণী ")</f>
        <v> গৃহিণী </v>
      </c>
      <c r="I496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97">
      <c r="A497" s="9" t="s">
        <v>3197</v>
      </c>
      <c r="B497" s="10">
        <f>IFERROR(__xludf.DUMMYFUNCTION("SPLIT(A497,""|"")"),484.0)</f>
        <v>484</v>
      </c>
      <c r="C497" s="10" t="str">
        <f>IFERROR(__xludf.DUMMYFUNCTION("""COMPUTED_VALUE""")," নাম: মোছাঃ সকিরন নেছা ")</f>
        <v> নাম: মোছাঃ সকিরন নেছা </v>
      </c>
      <c r="D497" s="10">
        <f>IFERROR(__xludf.DUMMYFUNCTION("""COMPUTED_VALUE"""),5.70056378855E11)</f>
        <v>570056378855</v>
      </c>
      <c r="E497" s="10" t="str">
        <f>IFERROR(__xludf.DUMMYFUNCTION("""COMPUTED_VALUE""")," মো: দিদার মোল্লাহ ")</f>
        <v> মো: দিদার মোল্লাহ </v>
      </c>
      <c r="F497" s="10" t="str">
        <f>IFERROR(__xludf.DUMMYFUNCTION("""COMPUTED_VALUE""")," মোছা: বেজিয়া খাতুন ")</f>
        <v> মোছা: বেজিয়া খাতুন </v>
      </c>
      <c r="G497" s="10" t="str">
        <f>IFERROR(__xludf.DUMMYFUNCTION("""COMPUTED_VALUE""")," ১৩/১০/১৯৬৭ ")</f>
        <v> ১৩/১০/১৯৬৭ </v>
      </c>
      <c r="H497" s="10" t="str">
        <f>IFERROR(__xludf.DUMMYFUNCTION("""COMPUTED_VALUE""")," গৃহিণী ")</f>
        <v> গৃহিণী </v>
      </c>
      <c r="I497" s="10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8">
      <c r="A498" s="9" t="s">
        <v>3198</v>
      </c>
      <c r="B498" s="10">
        <f>IFERROR(__xludf.DUMMYFUNCTION("SPLIT(A498,""|"")"),485.0)</f>
        <v>485</v>
      </c>
      <c r="C498" s="10" t="str">
        <f>IFERROR(__xludf.DUMMYFUNCTION("""COMPUTED_VALUE""")," নাম: মোছাঃ হাসিনা খাতুন ")</f>
        <v> নাম: মোছাঃ হাসিনা খাতুন </v>
      </c>
      <c r="D498" s="10">
        <f>IFERROR(__xludf.DUMMYFUNCTION("""COMPUTED_VALUE"""),5.70056378857E11)</f>
        <v>570056378857</v>
      </c>
      <c r="E498" s="10" t="str">
        <f>IFERROR(__xludf.DUMMYFUNCTION("""COMPUTED_VALUE""")," মকছেদ আলী ")</f>
        <v> মকছেদ আলী </v>
      </c>
      <c r="F498" s="10" t="str">
        <f>IFERROR(__xludf.DUMMYFUNCTION("""COMPUTED_VALUE""")," মোছা: ছমিরন নেছা ")</f>
        <v> মোছা: ছমিরন নেছা </v>
      </c>
      <c r="G498" s="10" t="str">
        <f>IFERROR(__xludf.DUMMYFUNCTION("""COMPUTED_VALUE""")," ২৩/০৮/১৯৫৭ ")</f>
        <v> ২৩/০৮/১৯৫৭ </v>
      </c>
      <c r="H498" s="10" t="str">
        <f>IFERROR(__xludf.DUMMYFUNCTION("""COMPUTED_VALUE""")," গৃহিণী ")</f>
        <v> গৃহিণী </v>
      </c>
      <c r="I498" s="10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9">
      <c r="A499" s="9" t="s">
        <v>3199</v>
      </c>
      <c r="B499" s="10">
        <f>IFERROR(__xludf.DUMMYFUNCTION("SPLIT(A499,""|"")"),486.0)</f>
        <v>486</v>
      </c>
      <c r="C499" s="10" t="str">
        <f>IFERROR(__xludf.DUMMYFUNCTION("""COMPUTED_VALUE""")," নাম: মোছাঃ বিলকিস আরা ")</f>
        <v> নাম: মোছাঃ বিলকিস আরা </v>
      </c>
      <c r="D499" s="10">
        <f>IFERROR(__xludf.DUMMYFUNCTION("""COMPUTED_VALUE"""),5.70056378859E11)</f>
        <v>570056378859</v>
      </c>
      <c r="E499" s="10" t="str">
        <f>IFERROR(__xludf.DUMMYFUNCTION("""COMPUTED_VALUE""")," মো: ইনু মন্ডল ")</f>
        <v> মো: ইনু মন্ডল </v>
      </c>
      <c r="F499" s="10" t="str">
        <f>IFERROR(__xludf.DUMMYFUNCTION("""COMPUTED_VALUE""")," মোছা: জাহেরা ")</f>
        <v> মোছা: জাহেরা </v>
      </c>
      <c r="G499" s="10" t="str">
        <f>IFERROR(__xludf.DUMMYFUNCTION("""COMPUTED_VALUE""")," ০৮/০৯/১৯৭৯ ")</f>
        <v> ০৮/০৯/১৯৭৯ </v>
      </c>
      <c r="H499" s="10" t="str">
        <f>IFERROR(__xludf.DUMMYFUNCTION("""COMPUTED_VALUE""")," গৃহিণী ")</f>
        <v> গৃহিণী </v>
      </c>
      <c r="I499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0">
      <c r="A500" s="9" t="s">
        <v>3200</v>
      </c>
      <c r="B500" s="10">
        <f>IFERROR(__xludf.DUMMYFUNCTION("SPLIT(A500,""|"")"),487.0)</f>
        <v>487</v>
      </c>
      <c r="C500" s="10" t="str">
        <f>IFERROR(__xludf.DUMMYFUNCTION("""COMPUTED_VALUE""")," নাম: মোছাঃ আনুয়ারা খাতুন ")</f>
        <v> নাম: মোছাঃ আনুয়ারা খাতুন </v>
      </c>
      <c r="D500" s="10">
        <f>IFERROR(__xludf.DUMMYFUNCTION("""COMPUTED_VALUE"""),5.7005637886E11)</f>
        <v>570056378860</v>
      </c>
      <c r="E500" s="10" t="str">
        <f>IFERROR(__xludf.DUMMYFUNCTION("""COMPUTED_VALUE""")," মো: গোলাম মল্লিক ")</f>
        <v> মো: গোলাম মল্লিক </v>
      </c>
      <c r="F500" s="10" t="str">
        <f>IFERROR(__xludf.DUMMYFUNCTION("""COMPUTED_VALUE""")," মোছা: ছিরামন নেছা ")</f>
        <v> মোছা: ছিরামন নেছা </v>
      </c>
      <c r="G500" s="10" t="str">
        <f>IFERROR(__xludf.DUMMYFUNCTION("""COMPUTED_VALUE""")," ২৪/০১/১৯৭৬ ")</f>
        <v> ২৪/০১/১৯৭৬ </v>
      </c>
      <c r="H500" s="10" t="str">
        <f>IFERROR(__xludf.DUMMYFUNCTION("""COMPUTED_VALUE""")," গৃহিণী ")</f>
        <v> গৃহিণী </v>
      </c>
      <c r="I500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1">
      <c r="A501" s="9" t="s">
        <v>3201</v>
      </c>
      <c r="B501" s="10">
        <f>IFERROR(__xludf.DUMMYFUNCTION("SPLIT(A501,""|"")"),488.0)</f>
        <v>488</v>
      </c>
      <c r="C501" s="10" t="str">
        <f>IFERROR(__xludf.DUMMYFUNCTION("""COMPUTED_VALUE""")," নাম: মোছাঃ জাহানারা ")</f>
        <v> নাম: মোছাঃ জাহানারা </v>
      </c>
      <c r="D501" s="10">
        <f>IFERROR(__xludf.DUMMYFUNCTION("""COMPUTED_VALUE"""),5.70056378862E11)</f>
        <v>570056378862</v>
      </c>
      <c r="E501" s="10" t="str">
        <f>IFERROR(__xludf.DUMMYFUNCTION("""COMPUTED_VALUE""")," মো: দুলুপ মালিখা ")</f>
        <v> মো: দুলুপ মালিখা </v>
      </c>
      <c r="F501" s="10" t="str">
        <f>IFERROR(__xludf.DUMMYFUNCTION("""COMPUTED_VALUE""")," মোছা: ওহেদান ")</f>
        <v> মোছা: ওহেদান </v>
      </c>
      <c r="G501" s="10" t="str">
        <f>IFERROR(__xludf.DUMMYFUNCTION("""COMPUTED_VALUE""")," ১৩/০৮/১৯৬৩ ")</f>
        <v> ১৩/০৮/১৯৬৩ </v>
      </c>
      <c r="H501" s="10" t="str">
        <f>IFERROR(__xludf.DUMMYFUNCTION("""COMPUTED_VALUE""")," গৃহিণী ")</f>
        <v> গৃহিণী </v>
      </c>
      <c r="I501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2">
      <c r="A502" s="9" t="s">
        <v>3202</v>
      </c>
      <c r="B502" s="10">
        <f>IFERROR(__xludf.DUMMYFUNCTION("SPLIT(A502,""|"")"),489.0)</f>
        <v>489</v>
      </c>
      <c r="C502" s="10" t="str">
        <f>IFERROR(__xludf.DUMMYFUNCTION("""COMPUTED_VALUE""")," নাম: মোছাঃ লিলি খাতুন ")</f>
        <v> নাম: মোছাঃ লিলি খাতুন </v>
      </c>
      <c r="D502" s="10">
        <f>IFERROR(__xludf.DUMMYFUNCTION("""COMPUTED_VALUE"""),5.70056378863E11)</f>
        <v>570056378863</v>
      </c>
      <c r="E502" s="10" t="str">
        <f>IFERROR(__xludf.DUMMYFUNCTION("""COMPUTED_VALUE""")," মো: রিফাত আলী ")</f>
        <v> মো: রিফাত আলী </v>
      </c>
      <c r="F502" s="10" t="str">
        <f>IFERROR(__xludf.DUMMYFUNCTION("""COMPUTED_VALUE""")," মোছা: রাশিদা খাতুন ")</f>
        <v> মোছা: রাশিদা খাতুন </v>
      </c>
      <c r="G502" s="10" t="str">
        <f>IFERROR(__xludf.DUMMYFUNCTION("""COMPUTED_VALUE""")," ২১/০৯/১৯৮৩ ")</f>
        <v> ২১/০৯/১৯৮৩ </v>
      </c>
      <c r="H502" s="10" t="str">
        <f>IFERROR(__xludf.DUMMYFUNCTION("""COMPUTED_VALUE""")," গৃহিণী ")</f>
        <v> গৃহিণী </v>
      </c>
      <c r="I502" s="10" t="str">
        <f>IFERROR(__xludf.DUMMYFUNCTION("""COMPUTED_VALUE""")," জালশুকা, গাংনী, মেহেরপুর ")</f>
        <v> জালশুকা, গাংনী, মেহেরপুর </v>
      </c>
    </row>
    <row r="503">
      <c r="A503" s="9" t="s">
        <v>3203</v>
      </c>
      <c r="B503" s="10">
        <f>IFERROR(__xludf.DUMMYFUNCTION("SPLIT(A503,""|"")"),490.0)</f>
        <v>490</v>
      </c>
      <c r="C503" s="10" t="str">
        <f>IFERROR(__xludf.DUMMYFUNCTION("""COMPUTED_VALUE""")," নাম: মোছাঃ কহিনুর বেগম ")</f>
        <v> নাম: মোছাঃ কহিনুর বেগম </v>
      </c>
      <c r="D503" s="10">
        <f>IFERROR(__xludf.DUMMYFUNCTION("""COMPUTED_VALUE"""),5.70056378864E11)</f>
        <v>570056378864</v>
      </c>
      <c r="E503" s="10" t="str">
        <f>IFERROR(__xludf.DUMMYFUNCTION("""COMPUTED_VALUE""")," আবুল হোসেন ")</f>
        <v> আবুল হোসেন </v>
      </c>
      <c r="F503" s="10" t="str">
        <f>IFERROR(__xludf.DUMMYFUNCTION("""COMPUTED_VALUE""")," মোছা: লুৎফন্নেছা ")</f>
        <v> মোছা: লুৎফন্নেছা </v>
      </c>
      <c r="G503" s="10" t="str">
        <f>IFERROR(__xludf.DUMMYFUNCTION("""COMPUTED_VALUE""")," ০২/০৯/১৯৮০ ")</f>
        <v> ০২/০৯/১৯৮০ </v>
      </c>
      <c r="H503" s="10" t="str">
        <f>IFERROR(__xludf.DUMMYFUNCTION("""COMPUTED_VALUE""")," গৃহিণী ")</f>
        <v> গৃহিণী </v>
      </c>
      <c r="I503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4">
      <c r="A504" s="9" t="s">
        <v>3204</v>
      </c>
      <c r="B504" s="10">
        <f>IFERROR(__xludf.DUMMYFUNCTION("SPLIT(A504,""|"")"),491.0)</f>
        <v>491</v>
      </c>
      <c r="C504" s="10" t="str">
        <f>IFERROR(__xludf.DUMMYFUNCTION("""COMPUTED_VALUE""")," নাম: মোছাঃ সবজান নেছা ")</f>
        <v> নাম: মোছাঃ সবজান নেছা </v>
      </c>
      <c r="D504" s="10">
        <f>IFERROR(__xludf.DUMMYFUNCTION("""COMPUTED_VALUE"""),5.70056378865E11)</f>
        <v>570056378865</v>
      </c>
      <c r="E504" s="10" t="str">
        <f>IFERROR(__xludf.DUMMYFUNCTION("""COMPUTED_VALUE""")," সোয়াদ আলী ")</f>
        <v> সোয়াদ আলী </v>
      </c>
      <c r="F504" s="10" t="str">
        <f>IFERROR(__xludf.DUMMYFUNCTION("""COMPUTED_VALUE""")," মোছা: মজিরন ")</f>
        <v> মোছা: মজিরন </v>
      </c>
      <c r="G504" s="10" t="str">
        <f>IFERROR(__xludf.DUMMYFUNCTION("""COMPUTED_VALUE""")," ১৭/১১/১৯৫২ ")</f>
        <v> ১৭/১১/১৯৫২ </v>
      </c>
      <c r="H504" s="10" t="str">
        <f>IFERROR(__xludf.DUMMYFUNCTION("""COMPUTED_VALUE""")," গৃহিণী ")</f>
        <v> গৃহিণী </v>
      </c>
      <c r="I504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5">
      <c r="A505" s="9" t="s">
        <v>3205</v>
      </c>
      <c r="B505" s="10">
        <f>IFERROR(__xludf.DUMMYFUNCTION("SPLIT(A505,""|"")"),492.0)</f>
        <v>492</v>
      </c>
      <c r="C505" s="10" t="str">
        <f>IFERROR(__xludf.DUMMYFUNCTION("""COMPUTED_VALUE""")," নাম: মোছাঃ সুবারন ")</f>
        <v> নাম: মোছাঃ সুবারন </v>
      </c>
      <c r="D505" s="10">
        <f>IFERROR(__xludf.DUMMYFUNCTION("""COMPUTED_VALUE"""),5.70056378868E11)</f>
        <v>570056378868</v>
      </c>
      <c r="E505" s="10" t="str">
        <f>IFERROR(__xludf.DUMMYFUNCTION("""COMPUTED_VALUE""")," মুবারেক মন্ডল ")</f>
        <v> মুবারেক মন্ডল </v>
      </c>
      <c r="F505" s="10" t="str">
        <f>IFERROR(__xludf.DUMMYFUNCTION("""COMPUTED_VALUE""")," মোছা: নিগারন ")</f>
        <v> মোছা: নিগারন </v>
      </c>
      <c r="G505" s="10" t="str">
        <f>IFERROR(__xludf.DUMMYFUNCTION("""COMPUTED_VALUE""")," ১২/০৩/১৯৬৩ ")</f>
        <v> ১২/০৩/১৯৬৩ </v>
      </c>
      <c r="H505" s="10" t="str">
        <f>IFERROR(__xludf.DUMMYFUNCTION("""COMPUTED_VALUE""")," গৃহিণী ")</f>
        <v> গৃহিণী </v>
      </c>
      <c r="I505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6">
      <c r="A506" s="9" t="s">
        <v>3206</v>
      </c>
      <c r="B506" s="10">
        <f>IFERROR(__xludf.DUMMYFUNCTION("SPLIT(A506,""|"")"),493.0)</f>
        <v>493</v>
      </c>
      <c r="C506" s="10" t="str">
        <f>IFERROR(__xludf.DUMMYFUNCTION("""COMPUTED_VALUE""")," নাম: মোছাঃ সুমিয়া খাতুন ")</f>
        <v> নাম: মোছাঃ সুমিয়া খাতুন </v>
      </c>
      <c r="D506" s="10">
        <f>IFERROR(__xludf.DUMMYFUNCTION("""COMPUTED_VALUE"""),5.70056378869E11)</f>
        <v>570056378869</v>
      </c>
      <c r="E506" s="10" t="str">
        <f>IFERROR(__xludf.DUMMYFUNCTION("""COMPUTED_VALUE""")," মো: সিরাজুল ইসলাম ")</f>
        <v> মো: সিরাজুল ইসলাম </v>
      </c>
      <c r="F506" s="10" t="str">
        <f>IFERROR(__xludf.DUMMYFUNCTION("""COMPUTED_VALUE""")," মোছা: রাফিয়া খাতুন ")</f>
        <v> মোছা: রাফিয়া খাতুন </v>
      </c>
      <c r="G506" s="10" t="str">
        <f>IFERROR(__xludf.DUMMYFUNCTION("""COMPUTED_VALUE""")," ২২/০৪/১৯৮৪ ")</f>
        <v> ২২/০৪/১৯৮৪ </v>
      </c>
      <c r="H506" s="10" t="str">
        <f>IFERROR(__xludf.DUMMYFUNCTION("""COMPUTED_VALUE""")," গৃহিণী ")</f>
        <v> গৃহিণী </v>
      </c>
      <c r="I506" s="10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507">
      <c r="A507" s="9" t="s">
        <v>3207</v>
      </c>
      <c r="B507" s="10">
        <f>IFERROR(__xludf.DUMMYFUNCTION("SPLIT(A507,""|"")"),494.0)</f>
        <v>494</v>
      </c>
      <c r="C507" s="10" t="str">
        <f>IFERROR(__xludf.DUMMYFUNCTION("""COMPUTED_VALUE""")," নাম: মোছাঃ হাসিনা বানু ")</f>
        <v> নাম: মোছাঃ হাসিনা বানু </v>
      </c>
      <c r="D507" s="10">
        <f>IFERROR(__xludf.DUMMYFUNCTION("""COMPUTED_VALUE"""),5.7005637887E11)</f>
        <v>570056378870</v>
      </c>
      <c r="E507" s="10" t="str">
        <f>IFERROR(__xludf.DUMMYFUNCTION("""COMPUTED_VALUE""")," দাউদ আলী ")</f>
        <v> দাউদ আলী </v>
      </c>
      <c r="F507" s="10" t="str">
        <f>IFERROR(__xludf.DUMMYFUNCTION("""COMPUTED_VALUE""")," মোছা: জামিরন ")</f>
        <v> মোছা: জামিরন </v>
      </c>
      <c r="G507" s="10" t="str">
        <f>IFERROR(__xludf.DUMMYFUNCTION("""COMPUTED_VALUE""")," ০৭/১২/১৯৫২ ")</f>
        <v> ০৭/১২/১৯৫২ </v>
      </c>
      <c r="H507" s="10" t="str">
        <f>IFERROR(__xludf.DUMMYFUNCTION("""COMPUTED_VALUE""")," গৃহিণী ")</f>
        <v> গৃহিণী </v>
      </c>
      <c r="I507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8">
      <c r="A508" s="9" t="s">
        <v>3208</v>
      </c>
      <c r="B508" s="10">
        <f>IFERROR(__xludf.DUMMYFUNCTION("SPLIT(A508,""|"")"),495.0)</f>
        <v>495</v>
      </c>
      <c r="C508" s="10" t="str">
        <f>IFERROR(__xludf.DUMMYFUNCTION("""COMPUTED_VALUE""")," নাম: মোছাঃ ফিরোজা খাতুন ")</f>
        <v> নাম: মোছাঃ ফিরোজা খাতুন </v>
      </c>
      <c r="D508" s="10">
        <f>IFERROR(__xludf.DUMMYFUNCTION("""COMPUTED_VALUE"""),5.70056378871E11)</f>
        <v>570056378871</v>
      </c>
      <c r="E508" s="10" t="str">
        <f>IFERROR(__xludf.DUMMYFUNCTION("""COMPUTED_VALUE""")," মো: রতন মন্ডল ")</f>
        <v> মো: রতন মন্ডল </v>
      </c>
      <c r="F508" s="10" t="str">
        <f>IFERROR(__xludf.DUMMYFUNCTION("""COMPUTED_VALUE""")," মোছা: তরিছন ")</f>
        <v> মোছা: তরিছন </v>
      </c>
      <c r="G508" s="10" t="str">
        <f>IFERROR(__xludf.DUMMYFUNCTION("""COMPUTED_VALUE""")," ১৯/১০/১৯৭৭ ")</f>
        <v> ১৯/১০/১৯৭৭ </v>
      </c>
      <c r="H508" s="10" t="str">
        <f>IFERROR(__xludf.DUMMYFUNCTION("""COMPUTED_VALUE""")," গৃহিণী ")</f>
        <v> গৃহিণী </v>
      </c>
      <c r="I508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9">
      <c r="A509" s="9" t="s">
        <v>3209</v>
      </c>
      <c r="B509" s="10">
        <f>IFERROR(__xludf.DUMMYFUNCTION("SPLIT(A509,""|"")"),496.0)</f>
        <v>496</v>
      </c>
      <c r="C509" s="10" t="str">
        <f>IFERROR(__xludf.DUMMYFUNCTION("""COMPUTED_VALUE""")," নাম: মোছাঃ রেখা খাতুন ")</f>
        <v> নাম: মোছাঃ রেখা খাতুন </v>
      </c>
      <c r="D509" s="10">
        <f>IFERROR(__xludf.DUMMYFUNCTION("""COMPUTED_VALUE"""),5.70056378873E11)</f>
        <v>570056378873</v>
      </c>
      <c r="E509" s="10" t="str">
        <f>IFERROR(__xludf.DUMMYFUNCTION("""COMPUTED_VALUE""")," আবুল হোসেন ")</f>
        <v> আবুল হোসেন </v>
      </c>
      <c r="F509" s="10" t="str">
        <f>IFERROR(__xludf.DUMMYFUNCTION("""COMPUTED_VALUE""")," মোছা: রাহিমা খাতুন ")</f>
        <v> মোছা: রাহিমা খাতুন </v>
      </c>
      <c r="G509" s="10" t="str">
        <f>IFERROR(__xludf.DUMMYFUNCTION("""COMPUTED_VALUE""")," ২৭/০৫/১৯৭২ ")</f>
        <v> ২৭/০৫/১৯৭২ </v>
      </c>
      <c r="H509" s="10" t="str">
        <f>IFERROR(__xludf.DUMMYFUNCTION("""COMPUTED_VALUE""")," গৃহিণী ")</f>
        <v> গৃহিণী </v>
      </c>
      <c r="I509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0">
      <c r="A510" s="9" t="s">
        <v>3210</v>
      </c>
      <c r="B510" s="10">
        <f>IFERROR(__xludf.DUMMYFUNCTION("SPLIT(A510,""|"")"),497.0)</f>
        <v>497</v>
      </c>
      <c r="C510" s="10" t="str">
        <f>IFERROR(__xludf.DUMMYFUNCTION("""COMPUTED_VALUE""")," নাম: মোছাঃ বিলকিস বানু ")</f>
        <v> নাম: মোছাঃ বিলকিস বানু </v>
      </c>
      <c r="D510" s="10">
        <f>IFERROR(__xludf.DUMMYFUNCTION("""COMPUTED_VALUE"""),5.70056378874E11)</f>
        <v>570056378874</v>
      </c>
      <c r="E510" s="10" t="str">
        <f>IFERROR(__xludf.DUMMYFUNCTION("""COMPUTED_VALUE""")," মো: মকবুল হোসেন ")</f>
        <v> মো: মকবুল হোসেন </v>
      </c>
      <c r="F510" s="10" t="str">
        <f>IFERROR(__xludf.DUMMYFUNCTION("""COMPUTED_VALUE""")," মোছা: মরিয়ম নেছা ")</f>
        <v> মোছা: মরিয়ম নেছা </v>
      </c>
      <c r="G510" s="10" t="str">
        <f>IFERROR(__xludf.DUMMYFUNCTION("""COMPUTED_VALUE""")," ১৫/০৫/১৯৭৯ ")</f>
        <v> ১৫/০৫/১৯৭৯ </v>
      </c>
      <c r="H510" s="10" t="str">
        <f>IFERROR(__xludf.DUMMYFUNCTION("""COMPUTED_VALUE""")," গৃহিণী ")</f>
        <v> গৃহিণী </v>
      </c>
      <c r="I510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11">
      <c r="A511" s="9" t="s">
        <v>3211</v>
      </c>
      <c r="B511" s="10">
        <f>IFERROR(__xludf.DUMMYFUNCTION("SPLIT(A511,""|"")"),498.0)</f>
        <v>498</v>
      </c>
      <c r="C511" s="10" t="str">
        <f>IFERROR(__xludf.DUMMYFUNCTION("""COMPUTED_VALUE""")," নাম: মোছাঃ রাহেলা খাতুন ")</f>
        <v> নাম: মোছাঃ রাহেলা খাতুন </v>
      </c>
      <c r="D511" s="10">
        <f>IFERROR(__xludf.DUMMYFUNCTION("""COMPUTED_VALUE"""),5.70056378876E11)</f>
        <v>570056378876</v>
      </c>
      <c r="E511" s="10" t="str">
        <f>IFERROR(__xludf.DUMMYFUNCTION("""COMPUTED_VALUE""")," নঈমুদ্দীন ")</f>
        <v> নঈমুদ্দীন </v>
      </c>
      <c r="F511" s="10" t="str">
        <f>IFERROR(__xludf.DUMMYFUNCTION("""COMPUTED_VALUE""")," মোছা: মফিরন ")</f>
        <v> মোছা: মফিরন </v>
      </c>
      <c r="G511" s="10" t="str">
        <f>IFERROR(__xludf.DUMMYFUNCTION("""COMPUTED_VALUE""")," ২৮/০৪/১৯৭২ ")</f>
        <v> ২৮/০৪/১৯৭২ </v>
      </c>
      <c r="H511" s="10" t="str">
        <f>IFERROR(__xludf.DUMMYFUNCTION("""COMPUTED_VALUE""")," গৃহিণী ")</f>
        <v> গৃহিণী </v>
      </c>
      <c r="I511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2">
      <c r="A512" s="9" t="s">
        <v>3212</v>
      </c>
      <c r="B512" s="10">
        <f>IFERROR(__xludf.DUMMYFUNCTION("SPLIT(A512,""|"")"),499.0)</f>
        <v>499</v>
      </c>
      <c r="C512" s="10" t="str">
        <f>IFERROR(__xludf.DUMMYFUNCTION("""COMPUTED_VALUE""")," নাম: মোছাঃ সামিরন নেছা ")</f>
        <v> নাম: মোছাঃ সামিরন নেছা </v>
      </c>
      <c r="D512" s="10">
        <f>IFERROR(__xludf.DUMMYFUNCTION("""COMPUTED_VALUE"""),5.70056378877E11)</f>
        <v>570056378877</v>
      </c>
      <c r="E512" s="10" t="str">
        <f>IFERROR(__xludf.DUMMYFUNCTION("""COMPUTED_VALUE""")," মো: খেদের আলী ")</f>
        <v> মো: খেদের আলী </v>
      </c>
      <c r="F512" s="10" t="str">
        <f>IFERROR(__xludf.DUMMYFUNCTION("""COMPUTED_VALUE""")," মোছা: সোহাগী ")</f>
        <v> মোছা: সোহাগী </v>
      </c>
      <c r="G512" s="10" t="str">
        <f>IFERROR(__xludf.DUMMYFUNCTION("""COMPUTED_VALUE""")," ২৩/০৪/১৯৬৯ ")</f>
        <v> ২৩/০৪/১৯৬৯ </v>
      </c>
      <c r="H512" s="10" t="str">
        <f>IFERROR(__xludf.DUMMYFUNCTION("""COMPUTED_VALUE""")," গৃহিণী ")</f>
        <v> গৃহিণী </v>
      </c>
      <c r="I512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3">
      <c r="A513" s="9" t="s">
        <v>3213</v>
      </c>
      <c r="B513" s="10">
        <f>IFERROR(__xludf.DUMMYFUNCTION("SPLIT(A513,""|"")"),500.0)</f>
        <v>500</v>
      </c>
      <c r="C513" s="10" t="str">
        <f>IFERROR(__xludf.DUMMYFUNCTION("""COMPUTED_VALUE""")," নাম: মোছাঃ মর্জিনা খাতুন ")</f>
        <v> নাম: মোছাঃ মর্জিনা খাতুন </v>
      </c>
      <c r="D513" s="10">
        <f>IFERROR(__xludf.DUMMYFUNCTION("""COMPUTED_VALUE"""),5.70056378878E11)</f>
        <v>570056378878</v>
      </c>
      <c r="E513" s="10" t="str">
        <f>IFERROR(__xludf.DUMMYFUNCTION("""COMPUTED_VALUE""")," আ: খালেক ")</f>
        <v> আ: খালেক </v>
      </c>
      <c r="F513" s="10" t="str">
        <f>IFERROR(__xludf.DUMMYFUNCTION("""COMPUTED_VALUE""")," মোছা: আনুরা খাতুন ")</f>
        <v> মোছা: আনুরা খাতুন </v>
      </c>
      <c r="G513" s="10" t="str">
        <f>IFERROR(__xludf.DUMMYFUNCTION("""COMPUTED_VALUE""")," ০৫/০১/১৯৮২ ")</f>
        <v> ০৫/০১/১৯৮২ </v>
      </c>
      <c r="H513" s="10" t="str">
        <f>IFERROR(__xludf.DUMMYFUNCTION("""COMPUTED_VALUE""")," গৃহিণী ")</f>
        <v> গৃহিণী </v>
      </c>
      <c r="I513" s="10" t="str">
        <f>IFERROR(__xludf.DUMMYFUNCTION("""COMPUTED_VALUE""")," জালশুকা মসজিল পাড়া, জালশুকা, গাংনী, মেহেরপুর ")</f>
        <v> জালশুকা মসজিল পাড়া, জালশুকা, গাংনী, মেহেরপুর </v>
      </c>
    </row>
    <row r="514">
      <c r="A514" s="9" t="s">
        <v>3214</v>
      </c>
      <c r="B514" s="10">
        <f>IFERROR(__xludf.DUMMYFUNCTION("SPLIT(A514,""|"")"),501.0)</f>
        <v>501</v>
      </c>
      <c r="C514" s="10" t="str">
        <f>IFERROR(__xludf.DUMMYFUNCTION("""COMPUTED_VALUE""")," নাম: মোছাঃ জয়নব বিবি ")</f>
        <v> নাম: মোছাঃ জয়নব বিবি </v>
      </c>
      <c r="D514" s="10">
        <f>IFERROR(__xludf.DUMMYFUNCTION("""COMPUTED_VALUE"""),5.7005637888E11)</f>
        <v>570056378880</v>
      </c>
      <c r="E514" s="10" t="str">
        <f>IFERROR(__xludf.DUMMYFUNCTION("""COMPUTED_VALUE""")," সামসুদ্দীন ")</f>
        <v> সামসুদ্দীন </v>
      </c>
      <c r="F514" s="10" t="str">
        <f>IFERROR(__xludf.DUMMYFUNCTION("""COMPUTED_VALUE""")," মোছা: সাহারন নেছা ")</f>
        <v> মোছা: সাহারন নেছা </v>
      </c>
      <c r="G514" s="10" t="str">
        <f>IFERROR(__xludf.DUMMYFUNCTION("""COMPUTED_VALUE""")," ১৭/১১/১৯৪৯ ")</f>
        <v> ১৭/১১/১৯৪৯ </v>
      </c>
      <c r="H514" s="10" t="str">
        <f>IFERROR(__xludf.DUMMYFUNCTION("""COMPUTED_VALUE""")," গৃহিণী ")</f>
        <v> গৃহিণী </v>
      </c>
      <c r="I514" s="10" t="str">
        <f>IFERROR(__xludf.DUMMYFUNCTION("""COMPUTED_VALUE""")," জালশুকা, গাংনী, মেহেরপুর ")</f>
        <v> জালশুকা, গাংনী, মেহেরপুর </v>
      </c>
    </row>
    <row r="515">
      <c r="A515" s="9" t="s">
        <v>3215</v>
      </c>
      <c r="B515" s="10">
        <f>IFERROR(__xludf.DUMMYFUNCTION("SPLIT(A515,""|"")"),502.0)</f>
        <v>502</v>
      </c>
      <c r="C515" s="10" t="str">
        <f>IFERROR(__xludf.DUMMYFUNCTION("""COMPUTED_VALUE""")," মোছা: নাজমা খাতুন ")</f>
        <v> মোছা: নাজমা খাতুন </v>
      </c>
      <c r="D515" s="10">
        <f>IFERROR(__xludf.DUMMYFUNCTION("""COMPUTED_VALUE"""),5.70056378481E11)</f>
        <v>570056378481</v>
      </c>
      <c r="E515" s="10" t="str">
        <f>IFERROR(__xludf.DUMMYFUNCTION("""COMPUTED_VALUE""")," মোঃ আঃ সালাম ")</f>
        <v> মোঃ আঃ সালাম </v>
      </c>
      <c r="F515" s="10" t="str">
        <f>IFERROR(__xludf.DUMMYFUNCTION("""COMPUTED_VALUE""")," মোছা: ফজিলা খাতুন ")</f>
        <v> মোছা: ফজিলা খাতুন </v>
      </c>
      <c r="G515" s="10" t="str">
        <f>IFERROR(__xludf.DUMMYFUNCTION("""COMPUTED_VALUE""")," ১৭/০৪/১৯৭৮ ")</f>
        <v> ১৭/০৪/১৯৭৮ </v>
      </c>
      <c r="H515" s="10" t="str">
        <f>IFERROR(__xludf.DUMMYFUNCTION("""COMPUTED_VALUE""")," গৃহিনী ")</f>
        <v> গৃহিনী </v>
      </c>
      <c r="I515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16">
      <c r="A516" s="9" t="s">
        <v>3216</v>
      </c>
      <c r="B516" s="10">
        <f>IFERROR(__xludf.DUMMYFUNCTION("SPLIT(A516,""|"")"),503.0)</f>
        <v>503</v>
      </c>
      <c r="C516" s="10" t="str">
        <f>IFERROR(__xludf.DUMMYFUNCTION("""COMPUTED_VALUE""")," মোছা: আছমা খাতুন ")</f>
        <v> মোছা: আছমা খাতুন </v>
      </c>
      <c r="D516" s="10">
        <f>IFERROR(__xludf.DUMMYFUNCTION("""COMPUTED_VALUE"""),5.70056378483E11)</f>
        <v>570056378483</v>
      </c>
      <c r="E516" s="10" t="str">
        <f>IFERROR(__xludf.DUMMYFUNCTION("""COMPUTED_VALUE""")," মোঃ ইউনুস আলী ")</f>
        <v> মোঃ ইউনুস আলী </v>
      </c>
      <c r="F516" s="10" t="str">
        <f>IFERROR(__xludf.DUMMYFUNCTION("""COMPUTED_VALUE""")," মোছা: উজালা খাতুন ")</f>
        <v> মোছা: উজালা খাতুন </v>
      </c>
      <c r="G516" s="10" t="str">
        <f>IFERROR(__xludf.DUMMYFUNCTION("""COMPUTED_VALUE""")," ০৪/০৭/১৯৮০ ")</f>
        <v> ০৪/০৭/১৯৮০ </v>
      </c>
      <c r="H516" s="10" t="str">
        <f>IFERROR(__xludf.DUMMYFUNCTION("""COMPUTED_VALUE""")," গৃহিনী ")</f>
        <v> গৃহিনী </v>
      </c>
      <c r="I516" s="10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7">
      <c r="A517" s="9" t="s">
        <v>3217</v>
      </c>
      <c r="B517" s="10">
        <f>IFERROR(__xludf.DUMMYFUNCTION("SPLIT(A517,""|"")"),504.0)</f>
        <v>504</v>
      </c>
      <c r="C517" s="10" t="str">
        <f>IFERROR(__xludf.DUMMYFUNCTION("""COMPUTED_VALUE""")," মোছা: ফাতিমা খাতুন ")</f>
        <v> মোছা: ফাতিমা খাতুন </v>
      </c>
      <c r="D517" s="10">
        <f>IFERROR(__xludf.DUMMYFUNCTION("""COMPUTED_VALUE"""),5.70056378489E11)</f>
        <v>570056378489</v>
      </c>
      <c r="E517" s="10" t="str">
        <f>IFERROR(__xludf.DUMMYFUNCTION("""COMPUTED_VALUE""")," মোঃ লালচাঁদ মন্ডল ")</f>
        <v> মোঃ লালচাঁদ মন্ডল </v>
      </c>
      <c r="F517" s="10" t="str">
        <f>IFERROR(__xludf.DUMMYFUNCTION("""COMPUTED_VALUE""")," মুক্তরা খাতুন ")</f>
        <v> মুক্তরা খাতুন </v>
      </c>
      <c r="G517" s="10" t="str">
        <f>IFERROR(__xludf.DUMMYFUNCTION("""COMPUTED_VALUE""")," ২২/১১/১৯৬২ ")</f>
        <v> ২২/১১/১৯৬২ </v>
      </c>
      <c r="H517" s="10" t="str">
        <f>IFERROR(__xludf.DUMMYFUNCTION("""COMPUTED_VALUE""")," গৃহিনী ")</f>
        <v> গৃহিনী </v>
      </c>
      <c r="I517" s="10" t="str">
        <f>IFERROR(__xludf.DUMMYFUNCTION("""COMPUTED_VALUE""")," জালশুকা, গাংনী, মেহেরপুর ")</f>
        <v> জালশুকা, গাংনী, মেহেরপুর </v>
      </c>
    </row>
    <row r="518">
      <c r="A518" s="9" t="s">
        <v>3218</v>
      </c>
      <c r="B518" s="10">
        <f>IFERROR(__xludf.DUMMYFUNCTION("SPLIT(A518,""|"")"),505.0)</f>
        <v>505</v>
      </c>
      <c r="C518" s="10" t="str">
        <f>IFERROR(__xludf.DUMMYFUNCTION("""COMPUTED_VALUE""")," মোছা: পূর্ণি খাতুন ")</f>
        <v> মোছা: পূর্ণি খাতুন </v>
      </c>
      <c r="D518" s="10">
        <f>IFERROR(__xludf.DUMMYFUNCTION("""COMPUTED_VALUE"""),5.70056378493E11)</f>
        <v>570056378493</v>
      </c>
      <c r="E518" s="10" t="str">
        <f>IFERROR(__xludf.DUMMYFUNCTION("""COMPUTED_VALUE""")," চেতন মন্ডল ")</f>
        <v> চেতন মন্ডল </v>
      </c>
      <c r="F518" s="10" t="str">
        <f>IFERROR(__xludf.DUMMYFUNCTION("""COMPUTED_VALUE""")," মোছা: আছিয়া খাতুন ")</f>
        <v> মোছা: আছিয়া খাতুন </v>
      </c>
      <c r="G518" s="10" t="str">
        <f>IFERROR(__xludf.DUMMYFUNCTION("""COMPUTED_VALUE""")," ২০/০৫/১৯৭২ ")</f>
        <v> ২০/০৫/১৯৭২ </v>
      </c>
      <c r="H518" s="10" t="str">
        <f>IFERROR(__xludf.DUMMYFUNCTION("""COMPUTED_VALUE""")," গৃহিনী ")</f>
        <v> গৃহিনী </v>
      </c>
      <c r="I518" s="10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519">
      <c r="A519" s="9" t="s">
        <v>3219</v>
      </c>
      <c r="B519" s="10">
        <f>IFERROR(__xludf.DUMMYFUNCTION("SPLIT(A519,""|"")"),506.0)</f>
        <v>506</v>
      </c>
      <c r="C519" s="10" t="str">
        <f>IFERROR(__xludf.DUMMYFUNCTION("""COMPUTED_VALUE""")," মোছা: তহুরা খাতুন ")</f>
        <v> মোছা: তহুরা খাতুন </v>
      </c>
      <c r="D519" s="10">
        <f>IFERROR(__xludf.DUMMYFUNCTION("""COMPUTED_VALUE"""),5.70056378494E11)</f>
        <v>570056378494</v>
      </c>
      <c r="E519" s="10" t="str">
        <f>IFERROR(__xludf.DUMMYFUNCTION("""COMPUTED_VALUE""")," মোঃ রমজান আলী ")</f>
        <v> মোঃ রমজান আলী </v>
      </c>
      <c r="F519" s="10" t="str">
        <f>IFERROR(__xludf.DUMMYFUNCTION("""COMPUTED_VALUE""")," মোছা: সফুরা খাতুন ")</f>
        <v> মোছা: সফুরা খাতুন </v>
      </c>
      <c r="G519" s="10" t="str">
        <f>IFERROR(__xludf.DUMMYFUNCTION("""COMPUTED_VALUE""")," ২৯/০৪/১৯৮৩ ")</f>
        <v> ২৯/০৪/১৯৮৩ </v>
      </c>
      <c r="H519" s="10" t="str">
        <f>IFERROR(__xludf.DUMMYFUNCTION("""COMPUTED_VALUE""")," গৃহিনী ")</f>
        <v> গৃহিনী </v>
      </c>
      <c r="I519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20">
      <c r="A520" s="9" t="s">
        <v>3220</v>
      </c>
      <c r="B520" s="10">
        <f>IFERROR(__xludf.DUMMYFUNCTION("SPLIT(A520,""|"")"),507.0)</f>
        <v>507</v>
      </c>
      <c r="C520" s="10" t="str">
        <f>IFERROR(__xludf.DUMMYFUNCTION("""COMPUTED_VALUE""")," মোছা: স্বপ্না খাতুন ")</f>
        <v> মোছা: স্বপ্না খাতুন </v>
      </c>
      <c r="D520" s="10">
        <f>IFERROR(__xludf.DUMMYFUNCTION("""COMPUTED_VALUE"""),5.70056378495E11)</f>
        <v>570056378495</v>
      </c>
      <c r="E520" s="10" t="str">
        <f>IFERROR(__xludf.DUMMYFUNCTION("""COMPUTED_VALUE""")," মোঃ হাবিবুর রহমান ")</f>
        <v> মোঃ হাবিবুর রহমান </v>
      </c>
      <c r="F520" s="10" t="str">
        <f>IFERROR(__xludf.DUMMYFUNCTION("""COMPUTED_VALUE""")," মোছা: আসমা খাতুন ")</f>
        <v> মোছা: আসমা খাতুন </v>
      </c>
      <c r="G520" s="10" t="str">
        <f>IFERROR(__xludf.DUMMYFUNCTION("""COMPUTED_VALUE""")," ২৩/০৫/১৯৮৪ ")</f>
        <v> ২৩/০৫/১৯৮৪ </v>
      </c>
      <c r="H520" s="10" t="str">
        <f>IFERROR(__xludf.DUMMYFUNCTION("""COMPUTED_VALUE""")," গৃহিনী ")</f>
        <v> গৃহিনী </v>
      </c>
      <c r="I520" s="10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21">
      <c r="A521" s="9" t="s">
        <v>3221</v>
      </c>
      <c r="B521" s="10">
        <f>IFERROR(__xludf.DUMMYFUNCTION("SPLIT(A521,""|"")"),508.0)</f>
        <v>508</v>
      </c>
      <c r="C521" s="10" t="str">
        <f>IFERROR(__xludf.DUMMYFUNCTION("""COMPUTED_VALUE""")," মোছা: ফজিলা খাতুন ")</f>
        <v> মোছা: ফজিলা খাতুন </v>
      </c>
      <c r="D521" s="10">
        <f>IFERROR(__xludf.DUMMYFUNCTION("""COMPUTED_VALUE"""),5.70056378496E11)</f>
        <v>570056378496</v>
      </c>
      <c r="E521" s="10" t="str">
        <f>IFERROR(__xludf.DUMMYFUNCTION("""COMPUTED_VALUE""")," মোঃ মকবুল হোসেন ")</f>
        <v> মোঃ মকবুল হোসেন </v>
      </c>
      <c r="F521" s="10" t="str">
        <f>IFERROR(__xludf.DUMMYFUNCTION("""COMPUTED_VALUE""")," মোছা: তিতুয়ারা খাতুন ")</f>
        <v> মোছা: তিতুয়ারা খাতুন </v>
      </c>
      <c r="G521" s="10" t="str">
        <f>IFERROR(__xludf.DUMMYFUNCTION("""COMPUTED_VALUE""")," ২০/১১/১৯৬৯ ")</f>
        <v> ২০/১১/১৯৬৯ </v>
      </c>
      <c r="H521" s="10" t="str">
        <f>IFERROR(__xludf.DUMMYFUNCTION("""COMPUTED_VALUE""")," গৃহিনী ")</f>
        <v> গৃহিনী </v>
      </c>
      <c r="I521" s="10" t="str">
        <f>IFERROR(__xludf.DUMMYFUNCTION("""COMPUTED_VALUE""")," জালশুকা, গাংনী, মেহেরপুর ")</f>
        <v> জালশুকা, গাংনী, মেহেরপুর </v>
      </c>
    </row>
    <row r="522">
      <c r="A522" s="9" t="s">
        <v>3222</v>
      </c>
      <c r="B522" s="10">
        <f>IFERROR(__xludf.DUMMYFUNCTION("SPLIT(A522,""|"")"),509.0)</f>
        <v>509</v>
      </c>
      <c r="C522" s="10" t="str">
        <f>IFERROR(__xludf.DUMMYFUNCTION("""COMPUTED_VALUE""")," মোছা: আমেনা খাতুন ")</f>
        <v> মোছা: আমেনা খাতুন </v>
      </c>
      <c r="D522" s="10">
        <f>IFERROR(__xludf.DUMMYFUNCTION("""COMPUTED_VALUE"""),5.70056378901E11)</f>
        <v>570056378901</v>
      </c>
      <c r="E522" s="10" t="str">
        <f>IFERROR(__xludf.DUMMYFUNCTION("""COMPUTED_VALUE""")," মোঃ ছিয়ামদ্দিন ")</f>
        <v> মোঃ ছিয়ামদ্দিন </v>
      </c>
      <c r="F522" s="10" t="str">
        <f>IFERROR(__xludf.DUMMYFUNCTION("""COMPUTED_VALUE""")," মোছা: কপুরা খাতুন ")</f>
        <v> মোছা: কপুরা খাতুন </v>
      </c>
      <c r="G522" s="10" t="str">
        <f>IFERROR(__xludf.DUMMYFUNCTION("""COMPUTED_VALUE""")," ১০/১১/১৯৮৭ ")</f>
        <v> ১০/১১/১৯৮৭ </v>
      </c>
      <c r="H522" s="10" t="str">
        <f>IFERROR(__xludf.DUMMYFUNCTION("""COMPUTED_VALUE""")," গৃহিনী ")</f>
        <v> গৃহিনী </v>
      </c>
      <c r="I522" s="10" t="str">
        <f>IFERROR(__xludf.DUMMYFUNCTION("""COMPUTED_VALUE""")," জালশুকা, গাংনী, মেহেরপুর ")</f>
        <v> জালশুকা, গাংনী, মেহেরপুর </v>
      </c>
    </row>
    <row r="523">
      <c r="A523" s="9" t="s">
        <v>3223</v>
      </c>
      <c r="B523" s="10">
        <f>IFERROR(__xludf.DUMMYFUNCTION("SPLIT(A523,""|"")"),510.0)</f>
        <v>510</v>
      </c>
      <c r="C523" s="10" t="str">
        <f>IFERROR(__xludf.DUMMYFUNCTION("""COMPUTED_VALUE""")," মোছা: ছারেজান নেছা ")</f>
        <v> মোছা: ছারেজান নেছা </v>
      </c>
      <c r="D523" s="10">
        <f>IFERROR(__xludf.DUMMYFUNCTION("""COMPUTED_VALUE"""),5.70056378903E11)</f>
        <v>570056378903</v>
      </c>
      <c r="E523" s="10" t="str">
        <f>IFERROR(__xludf.DUMMYFUNCTION("""COMPUTED_VALUE""")," মোঃ হাবিবর রহমান ")</f>
        <v> মোঃ হাবিবর রহমান </v>
      </c>
      <c r="F523" s="10" t="str">
        <f>IFERROR(__xludf.DUMMYFUNCTION("""COMPUTED_VALUE""")," মোছা: কুলছুম খাতুন ")</f>
        <v> মোছা: কুলছুম খাতুন </v>
      </c>
      <c r="G523" s="10" t="str">
        <f>IFERROR(__xludf.DUMMYFUNCTION("""COMPUTED_VALUE""")," ০২/০৩/১৯৫৭ ")</f>
        <v> ০২/০৩/১৯৫৭ </v>
      </c>
      <c r="H523" s="10" t="str">
        <f>IFERROR(__xludf.DUMMYFUNCTION("""COMPUTED_VALUE""")," গৃহিনী ")</f>
        <v> গৃহিনী </v>
      </c>
      <c r="I523" s="10" t="str">
        <f>IFERROR(__xludf.DUMMYFUNCTION("""COMPUTED_VALUE""")," জালশুকা, গাংনী, মেহেরপুর ")</f>
        <v> জালশুকা, গাংনী, মেহেরপুর </v>
      </c>
    </row>
    <row r="524">
      <c r="A524" s="9" t="s">
        <v>3224</v>
      </c>
      <c r="B524" s="10">
        <f>IFERROR(__xludf.DUMMYFUNCTION("SPLIT(A524,""|"")"),511.0)</f>
        <v>511</v>
      </c>
      <c r="C524" s="10" t="str">
        <f>IFERROR(__xludf.DUMMYFUNCTION("""COMPUTED_VALUE""")," মোছা: শিউলী খাতুন ")</f>
        <v> মোছা: শিউলী খাতুন </v>
      </c>
      <c r="D524" s="10">
        <f>IFERROR(__xludf.DUMMYFUNCTION("""COMPUTED_VALUE"""),5.70056378906E11)</f>
        <v>570056378906</v>
      </c>
      <c r="E524" s="10" t="str">
        <f>IFERROR(__xludf.DUMMYFUNCTION("""COMPUTED_VALUE""")," মোঃ সিদ্দিক আলী ")</f>
        <v> মোঃ সিদ্দিক আলী </v>
      </c>
      <c r="F524" s="10" t="str">
        <f>IFERROR(__xludf.DUMMYFUNCTION("""COMPUTED_VALUE""")," মোছা: হাফিজা খাতুন ")</f>
        <v> মোছা: হাফিজা খাতুন </v>
      </c>
      <c r="G524" s="10" t="str">
        <f>IFERROR(__xludf.DUMMYFUNCTION("""COMPUTED_VALUE""")," ১২/০৫/১৯৮৭ ")</f>
        <v> ১২/০৫/১৯৮৭ </v>
      </c>
      <c r="H524" s="10" t="str">
        <f>IFERROR(__xludf.DUMMYFUNCTION("""COMPUTED_VALUE""")," গৃহিনী ")</f>
        <v> গৃহিনী </v>
      </c>
      <c r="I524" s="10" t="str">
        <f>IFERROR(__xludf.DUMMYFUNCTION("""COMPUTED_VALUE""")," জালশুকা, গাংনী, মেহেরপুর ")</f>
        <v> জালশুকা, গাংনী, মেহেরপুর </v>
      </c>
    </row>
    <row r="525">
      <c r="A525" s="9" t="s">
        <v>3225</v>
      </c>
      <c r="B525" s="10">
        <f>IFERROR(__xludf.DUMMYFUNCTION("SPLIT(A525,""|"")"),512.0)</f>
        <v>512</v>
      </c>
      <c r="C525" s="10" t="str">
        <f>IFERROR(__xludf.DUMMYFUNCTION("""COMPUTED_VALUE""")," মোছা: আকলিমা খাতুন ")</f>
        <v> মোছা: আকলিমা খাতুন </v>
      </c>
      <c r="D525" s="10">
        <f>IFERROR(__xludf.DUMMYFUNCTION("""COMPUTED_VALUE"""),5.70056378907E11)</f>
        <v>570056378907</v>
      </c>
      <c r="E525" s="10" t="str">
        <f>IFERROR(__xludf.DUMMYFUNCTION("""COMPUTED_VALUE""")," আইছদ্দিন মন্ডল ")</f>
        <v> আইছদ্দিন মন্ডল </v>
      </c>
      <c r="F525" s="10" t="str">
        <f>IFERROR(__xludf.DUMMYFUNCTION("""COMPUTED_VALUE""")," রাবিয়া খাতুন ")</f>
        <v> রাবিয়া খাতুন </v>
      </c>
      <c r="G525" s="10" t="str">
        <f>IFERROR(__xludf.DUMMYFUNCTION("""COMPUTED_VALUE""")," ০৯/০৬/১৯৬০ ")</f>
        <v> ০৯/০৬/১৯৬০ </v>
      </c>
      <c r="H525" s="10" t="str">
        <f>IFERROR(__xludf.DUMMYFUNCTION("""COMPUTED_VALUE""")," গৃহিনী ")</f>
        <v> গৃহিনী </v>
      </c>
      <c r="I525" s="10" t="str">
        <f>IFERROR(__xludf.DUMMYFUNCTION("""COMPUTED_VALUE""")," জালশুকা, গাংনী, মেহেরপুর ")</f>
        <v> জালশুকা, গাংনী, মেহেরপুর </v>
      </c>
    </row>
    <row r="526">
      <c r="A526" s="9" t="s">
        <v>3226</v>
      </c>
      <c r="B526" s="10">
        <f>IFERROR(__xludf.DUMMYFUNCTION("SPLIT(A526,""|"")"),513.0)</f>
        <v>513</v>
      </c>
      <c r="C526" s="10" t="str">
        <f>IFERROR(__xludf.DUMMYFUNCTION("""COMPUTED_VALUE""")," মোছা: শেফালী খাতুন ")</f>
        <v> মোছা: শেফালী খাতুন </v>
      </c>
      <c r="D526" s="10">
        <f>IFERROR(__xludf.DUMMYFUNCTION("""COMPUTED_VALUE"""),5.7005637891E11)</f>
        <v>570056378910</v>
      </c>
      <c r="E526" s="10" t="str">
        <f>IFERROR(__xludf.DUMMYFUNCTION("""COMPUTED_VALUE""")," মোঃ শহিদুল হক ")</f>
        <v> মোঃ শহিদুল হক </v>
      </c>
      <c r="F526" s="10" t="str">
        <f>IFERROR(__xludf.DUMMYFUNCTION("""COMPUTED_VALUE""")," মোছা: সুরাতন নেছা ")</f>
        <v> মোছা: সুরাতন নেছা </v>
      </c>
      <c r="G526" s="10" t="str">
        <f>IFERROR(__xludf.DUMMYFUNCTION("""COMPUTED_VALUE""")," ১০/০৭/১৯৭৫ ")</f>
        <v> ১০/০৭/১৯৭৫ </v>
      </c>
      <c r="H526" s="10" t="str">
        <f>IFERROR(__xludf.DUMMYFUNCTION("""COMPUTED_VALUE""")," গৃহিনী ")</f>
        <v> গৃহিনী </v>
      </c>
      <c r="I526" s="10" t="str">
        <f>IFERROR(__xludf.DUMMYFUNCTION("""COMPUTED_VALUE""")," জালশুকা, গাংনী, মেহেরপুর ")</f>
        <v> জালশুকা, গাংনী, মেহেরপুর </v>
      </c>
    </row>
    <row r="527">
      <c r="A527" s="9" t="s">
        <v>3227</v>
      </c>
      <c r="B527" s="10">
        <f>IFERROR(__xludf.DUMMYFUNCTION("SPLIT(A527,""|"")"),514.0)</f>
        <v>514</v>
      </c>
      <c r="C527" s="10" t="str">
        <f>IFERROR(__xludf.DUMMYFUNCTION("""COMPUTED_VALUE""")," মোছা: জাহানারা ")</f>
        <v> মোছা: জাহানারা </v>
      </c>
      <c r="D527" s="10">
        <f>IFERROR(__xludf.DUMMYFUNCTION("""COMPUTED_VALUE"""),5.70056378911E11)</f>
        <v>570056378911</v>
      </c>
      <c r="E527" s="10" t="str">
        <f>IFERROR(__xludf.DUMMYFUNCTION("""COMPUTED_VALUE""")," জমেদ আলী বিশ্বাস ")</f>
        <v> জমেদ আলী বিশ্বাস </v>
      </c>
      <c r="F527" s="10" t="str">
        <f>IFERROR(__xludf.DUMMYFUNCTION("""COMPUTED_VALUE""")," জমিরন নেছা ")</f>
        <v> জমিরন নেছা </v>
      </c>
      <c r="G527" s="10" t="str">
        <f>IFERROR(__xludf.DUMMYFUNCTION("""COMPUTED_VALUE""")," ১৯/০৭/১৯৫৭ ")</f>
        <v> ১৯/০৭/১৯৫৭ </v>
      </c>
      <c r="H527" s="10" t="str">
        <f>IFERROR(__xludf.DUMMYFUNCTION("""COMPUTED_VALUE""")," গৃহিনী ")</f>
        <v> গৃহিনী </v>
      </c>
      <c r="I527" s="10" t="str">
        <f>IFERROR(__xludf.DUMMYFUNCTION("""COMPUTED_VALUE""")," জালশুকা, গাংনী, মেহেরপুর ")</f>
        <v> জালশুকা, গাংনী, মেহেরপুর </v>
      </c>
    </row>
    <row r="528">
      <c r="A528" s="9" t="s">
        <v>3228</v>
      </c>
      <c r="B528" s="10">
        <f>IFERROR(__xludf.DUMMYFUNCTION("SPLIT(A528,""|"")"),515.0)</f>
        <v>515</v>
      </c>
      <c r="C528" s="10" t="str">
        <f>IFERROR(__xludf.DUMMYFUNCTION("""COMPUTED_VALUE""")," মোছা: হাজেরা খাতুন ")</f>
        <v> মোছা: হাজেরা খাতুন </v>
      </c>
      <c r="D528" s="10">
        <f>IFERROR(__xludf.DUMMYFUNCTION("""COMPUTED_VALUE"""),5.70056378912E11)</f>
        <v>570056378912</v>
      </c>
      <c r="E528" s="10" t="str">
        <f>IFERROR(__xludf.DUMMYFUNCTION("""COMPUTED_VALUE""")," বাদল মন্ডল ")</f>
        <v> বাদল মন্ডল </v>
      </c>
      <c r="F528" s="10" t="str">
        <f>IFERROR(__xludf.DUMMYFUNCTION("""COMPUTED_VALUE""")," মোছা: নিগারন নেছা ")</f>
        <v> মোছা: নিগারন নেছা </v>
      </c>
      <c r="G528" s="10" t="str">
        <f>IFERROR(__xludf.DUMMYFUNCTION("""COMPUTED_VALUE""")," ০৯/১০/১৯৭৫ ")</f>
        <v> ০৯/১০/১৯৭৫ </v>
      </c>
      <c r="H528" s="10" t="str">
        <f>IFERROR(__xludf.DUMMYFUNCTION("""COMPUTED_VALUE""")," গৃহিনী ")</f>
        <v> গৃহিনী </v>
      </c>
      <c r="I528" s="10" t="str">
        <f>IFERROR(__xludf.DUMMYFUNCTION("""COMPUTED_VALUE""")," জালশুকা, গাংনী, মেহেরপুর ")</f>
        <v> জালশুকা, গাংনী, মেহেরপুর </v>
      </c>
    </row>
    <row r="529">
      <c r="A529" s="9" t="s">
        <v>3229</v>
      </c>
      <c r="B529" s="10">
        <f>IFERROR(__xludf.DUMMYFUNCTION("SPLIT(A529,""|"")"),516.0)</f>
        <v>516</v>
      </c>
      <c r="C529" s="10" t="str">
        <f>IFERROR(__xludf.DUMMYFUNCTION("""COMPUTED_VALUE""")," মোছা: হাজেরা খাতুন ")</f>
        <v> মোছা: হাজেরা খাতুন </v>
      </c>
      <c r="D529" s="10">
        <f>IFERROR(__xludf.DUMMYFUNCTION("""COMPUTED_VALUE"""),5.70056378914E11)</f>
        <v>570056378914</v>
      </c>
      <c r="E529" s="10" t="str">
        <f>IFERROR(__xludf.DUMMYFUNCTION("""COMPUTED_VALUE""")," আবুজেল মন্ডল ")</f>
        <v> আবুজেল মন্ডল </v>
      </c>
      <c r="F529" s="10" t="str">
        <f>IFERROR(__xludf.DUMMYFUNCTION("""COMPUTED_VALUE""")," মোছা: আসমা খাতুন ")</f>
        <v> মোছা: আসমা খাতুন </v>
      </c>
      <c r="G529" s="10" t="str">
        <f>IFERROR(__xludf.DUMMYFUNCTION("""COMPUTED_VALUE""")," ১০/০৬/১৯৭২ ")</f>
        <v> ১০/০৬/১৯৭২ </v>
      </c>
      <c r="H529" s="10" t="str">
        <f>IFERROR(__xludf.DUMMYFUNCTION("""COMPUTED_VALUE""")," গৃহিনী ")</f>
        <v> গৃহিনী </v>
      </c>
      <c r="I529" s="10" t="str">
        <f>IFERROR(__xludf.DUMMYFUNCTION("""COMPUTED_VALUE""")," জালশুকা, গাংনী, মেহেরপুর ")</f>
        <v> জালশুকা, গাংনী, মেহেরপুর </v>
      </c>
    </row>
    <row r="530">
      <c r="A530" s="9" t="s">
        <v>3230</v>
      </c>
      <c r="B530" s="10">
        <f>IFERROR(__xludf.DUMMYFUNCTION("SPLIT(A530,""|"")"),517.0)</f>
        <v>517</v>
      </c>
      <c r="C530" s="10" t="str">
        <f>IFERROR(__xludf.DUMMYFUNCTION("""COMPUTED_VALUE""")," মোছা: ছালেহা বেগম ")</f>
        <v> মোছা: ছালেহা বেগম </v>
      </c>
      <c r="D530" s="10">
        <f>IFERROR(__xludf.DUMMYFUNCTION("""COMPUTED_VALUE"""),5.70056378915E11)</f>
        <v>570056378915</v>
      </c>
      <c r="E530" s="10" t="str">
        <f>IFERROR(__xludf.DUMMYFUNCTION("""COMPUTED_VALUE""")," কাশেম মন্ডল ")</f>
        <v> কাশেম মন্ডল </v>
      </c>
      <c r="F530" s="10" t="str">
        <f>IFERROR(__xludf.DUMMYFUNCTION("""COMPUTED_VALUE""")," মোছা: নিহারন নেছা ")</f>
        <v> মোছা: নিহারন নেছা </v>
      </c>
      <c r="G530" s="10" t="str">
        <f>IFERROR(__xludf.DUMMYFUNCTION("""COMPUTED_VALUE""")," ০২/০৪/১৯৮২ ")</f>
        <v> ০২/০৪/১৯৮২ </v>
      </c>
      <c r="H530" s="10" t="str">
        <f>IFERROR(__xludf.DUMMYFUNCTION("""COMPUTED_VALUE""")," গৃহিনী ")</f>
        <v> গৃহিনী </v>
      </c>
      <c r="I530" s="10" t="str">
        <f>IFERROR(__xludf.DUMMYFUNCTION("""COMPUTED_VALUE""")," জালশুকা, গাংনী, মেহেরপুর ")</f>
        <v> জালশুকা, গাংনী, মেহেরপুর </v>
      </c>
    </row>
    <row r="531">
      <c r="A531" s="9" t="s">
        <v>3231</v>
      </c>
      <c r="B531" s="10">
        <f>IFERROR(__xludf.DUMMYFUNCTION("SPLIT(A531,""|"")"),518.0)</f>
        <v>518</v>
      </c>
      <c r="C531" s="10" t="str">
        <f>IFERROR(__xludf.DUMMYFUNCTION("""COMPUTED_VALUE""")," মোছা: শিরিনা খাতুন ")</f>
        <v> মোছা: শিরিনা খাতুন </v>
      </c>
      <c r="D531" s="10">
        <f>IFERROR(__xludf.DUMMYFUNCTION("""COMPUTED_VALUE"""),5.70056378916E11)</f>
        <v>570056378916</v>
      </c>
      <c r="E531" s="10" t="str">
        <f>IFERROR(__xludf.DUMMYFUNCTION("""COMPUTED_VALUE""")," মোঃ আহারউদ্দীন ")</f>
        <v> মোঃ আহারউদ্দীন </v>
      </c>
      <c r="F531" s="10" t="str">
        <f>IFERROR(__xludf.DUMMYFUNCTION("""COMPUTED_VALUE""")," মোছা: জাহানারা ")</f>
        <v> মোছা: জাহানারা </v>
      </c>
      <c r="G531" s="10" t="str">
        <f>IFERROR(__xludf.DUMMYFUNCTION("""COMPUTED_VALUE""")," ০৩/০৮/১৯৮২ ")</f>
        <v> ০৩/০৮/১৯৮২ </v>
      </c>
      <c r="H531" s="10" t="str">
        <f>IFERROR(__xludf.DUMMYFUNCTION("""COMPUTED_VALUE""")," গৃহিনী ")</f>
        <v> গৃহিনী </v>
      </c>
      <c r="I531" s="10" t="str">
        <f>IFERROR(__xludf.DUMMYFUNCTION("""COMPUTED_VALUE""")," জালশুকা, গাংনী, মেহেরপুর ")</f>
        <v> জালশুকা, গাংনী, মেহেরপুর </v>
      </c>
    </row>
    <row r="532">
      <c r="A532" s="9" t="s">
        <v>3232</v>
      </c>
      <c r="B532" s="10">
        <f>IFERROR(__xludf.DUMMYFUNCTION("SPLIT(A532,""|"")"),519.0)</f>
        <v>519</v>
      </c>
      <c r="C532" s="10" t="str">
        <f>IFERROR(__xludf.DUMMYFUNCTION("""COMPUTED_VALUE""")," মোছা: জেসমিন খাতুন ")</f>
        <v> মোছা: জেসমিন খাতুন </v>
      </c>
      <c r="D532" s="10">
        <f>IFERROR(__xludf.DUMMYFUNCTION("""COMPUTED_VALUE"""),5.70056378919E11)</f>
        <v>570056378919</v>
      </c>
      <c r="E532" s="10" t="str">
        <f>IFERROR(__xludf.DUMMYFUNCTION("""COMPUTED_VALUE""")," নওশাদ আলী ")</f>
        <v> নওশাদ আলী </v>
      </c>
      <c r="F532" s="10" t="str">
        <f>IFERROR(__xludf.DUMMYFUNCTION("""COMPUTED_VALUE""")," মোছা: রশিদা খাতুন ")</f>
        <v> মোছা: রশিদা খাতুন </v>
      </c>
      <c r="G532" s="10" t="str">
        <f>IFERROR(__xludf.DUMMYFUNCTION("""COMPUTED_VALUE""")," ১৪/১০/১৯৮০ ")</f>
        <v> ১৪/১০/১৯৮০ </v>
      </c>
      <c r="H532" s="10" t="str">
        <f>IFERROR(__xludf.DUMMYFUNCTION("""COMPUTED_VALUE""")," গৃহিনী ")</f>
        <v> গৃহিনী </v>
      </c>
      <c r="I532" s="10" t="str">
        <f>IFERROR(__xludf.DUMMYFUNCTION("""COMPUTED_VALUE""")," জালশুকা, গাংনী, মেহেরপুর ")</f>
        <v> জালশুকা, গাংনী, মেহেরপুর </v>
      </c>
    </row>
    <row r="533">
      <c r="A533" s="9" t="s">
        <v>2712</v>
      </c>
      <c r="B533" s="10" t="str">
        <f>IFERROR(__xludf.DUMMYFUNCTION("SPLIT(A533,""|"")")," ক্রমিক নং ")</f>
        <v> ক্রমিক নং </v>
      </c>
      <c r="C533" s="10" t="str">
        <f>IFERROR(__xludf.DUMMYFUNCTION("""COMPUTED_VALUE""")," নাম ")</f>
        <v> নাম </v>
      </c>
      <c r="D533" s="10" t="str">
        <f>IFERROR(__xludf.DUMMYFUNCTION("""COMPUTED_VALUE""")," ভোটার নং ")</f>
        <v> ভোটার নং </v>
      </c>
      <c r="E533" s="10" t="str">
        <f>IFERROR(__xludf.DUMMYFUNCTION("""COMPUTED_VALUE""")," পিতা ")</f>
        <v> পিতা </v>
      </c>
      <c r="F533" s="10" t="str">
        <f>IFERROR(__xludf.DUMMYFUNCTION("""COMPUTED_VALUE""")," মাতা ")</f>
        <v> মাতা </v>
      </c>
      <c r="G533" s="10" t="str">
        <f>IFERROR(__xludf.DUMMYFUNCTION("""COMPUTED_VALUE""")," জন্ম তারিখ ")</f>
        <v> জন্ম তারিখ </v>
      </c>
      <c r="H533" s="10" t="str">
        <f>IFERROR(__xludf.DUMMYFUNCTION("""COMPUTED_VALUE""")," পেশা ")</f>
        <v> পেশা </v>
      </c>
      <c r="I533" s="10" t="str">
        <f>IFERROR(__xludf.DUMMYFUNCTION("""COMPUTED_VALUE""")," ঠিকানা ")</f>
        <v> ঠিকানা </v>
      </c>
    </row>
    <row r="534">
      <c r="A534" s="9" t="s">
        <v>2713</v>
      </c>
      <c r="B534" s="10" t="str">
        <f>IFERROR(__xludf.DUMMYFUNCTION("SPLIT(A534,""|"")"),"---")</f>
        <v>---</v>
      </c>
      <c r="C534" s="10" t="str">
        <f>IFERROR(__xludf.DUMMYFUNCTION("""COMPUTED_VALUE"""),"---")</f>
        <v>---</v>
      </c>
      <c r="D534" s="10" t="str">
        <f>IFERROR(__xludf.DUMMYFUNCTION("""COMPUTED_VALUE"""),"---")</f>
        <v>---</v>
      </c>
      <c r="E534" s="10" t="str">
        <f>IFERROR(__xludf.DUMMYFUNCTION("""COMPUTED_VALUE"""),"---")</f>
        <v>---</v>
      </c>
      <c r="F534" s="10" t="str">
        <f>IFERROR(__xludf.DUMMYFUNCTION("""COMPUTED_VALUE"""),"---")</f>
        <v>---</v>
      </c>
      <c r="G534" s="10" t="str">
        <f>IFERROR(__xludf.DUMMYFUNCTION("""COMPUTED_VALUE"""),"---")</f>
        <v>---</v>
      </c>
      <c r="H534" s="10" t="str">
        <f>IFERROR(__xludf.DUMMYFUNCTION("""COMPUTED_VALUE"""),"---")</f>
        <v>---</v>
      </c>
      <c r="I534" s="10" t="str">
        <f>IFERROR(__xludf.DUMMYFUNCTION("""COMPUTED_VALUE"""),"---")</f>
        <v>---</v>
      </c>
    </row>
    <row r="535">
      <c r="A535" s="9" t="s">
        <v>3233</v>
      </c>
      <c r="B535" s="10">
        <f>IFERROR(__xludf.DUMMYFUNCTION("SPLIT(A535,""|"")"),520.0)</f>
        <v>520</v>
      </c>
      <c r="C535" s="10" t="str">
        <f>IFERROR(__xludf.DUMMYFUNCTION("""COMPUTED_VALUE""")," মোছাঃ জাহিদা খাতুন ")</f>
        <v> মোছাঃ জাহিদা খাতুন </v>
      </c>
      <c r="D535" s="10">
        <f>IFERROR(__xludf.DUMMYFUNCTION("""COMPUTED_VALUE"""),5.7005637892E11)</f>
        <v>570056378920</v>
      </c>
      <c r="E535" s="10" t="str">
        <f>IFERROR(__xludf.DUMMYFUNCTION("""COMPUTED_VALUE""")," কছিমদ্দিন ")</f>
        <v> কছিমদ্দিন </v>
      </c>
      <c r="F535" s="10" t="str">
        <f>IFERROR(__xludf.DUMMYFUNCTION("""COMPUTED_VALUE""")," করিমন নেছা ")</f>
        <v> করিমন নেছা </v>
      </c>
      <c r="G535" s="10" t="str">
        <f>IFERROR(__xludf.DUMMYFUNCTION("""COMPUTED_VALUE""")," ০১/০১/১৯৪৮ ")</f>
        <v> ০১/০১/১৯৪৮ </v>
      </c>
      <c r="H535" s="10" t="str">
        <f>IFERROR(__xludf.DUMMYFUNCTION("""COMPUTED_VALUE""")," গৃহিণী ")</f>
        <v> গৃহিণী </v>
      </c>
      <c r="I535" s="10" t="str">
        <f>IFERROR(__xludf.DUMMYFUNCTION("""COMPUTED_VALUE""")," জালশুকা, গাংনী, মেহেরপুর ")</f>
        <v> জালশুকা, গাংনী, মেহেরপুর </v>
      </c>
    </row>
    <row r="536">
      <c r="A536" s="9" t="s">
        <v>3234</v>
      </c>
      <c r="B536" s="10">
        <f>IFERROR(__xludf.DUMMYFUNCTION("SPLIT(A536,""|"")"),521.0)</f>
        <v>521</v>
      </c>
      <c r="C536" s="10" t="str">
        <f>IFERROR(__xludf.DUMMYFUNCTION("""COMPUTED_VALUE""")," মোছাঃ সুফিয়া খাতুন ")</f>
        <v> মোছাঃ সুফিয়া খাতুন </v>
      </c>
      <c r="D536" s="10">
        <f>IFERROR(__xludf.DUMMYFUNCTION("""COMPUTED_VALUE"""),5.70056378921E11)</f>
        <v>570056378921</v>
      </c>
      <c r="E536" s="10" t="str">
        <f>IFERROR(__xludf.DUMMYFUNCTION("""COMPUTED_VALUE""")," মোঃ আফতাব হোসেন ")</f>
        <v> মোঃ আফতাব হোসেন </v>
      </c>
      <c r="F536" s="10" t="str">
        <f>IFERROR(__xludf.DUMMYFUNCTION("""COMPUTED_VALUE""")," মোছাঃ ছরজান ")</f>
        <v> মোছাঃ ছরজান </v>
      </c>
      <c r="G536" s="10" t="str">
        <f>IFERROR(__xludf.DUMMYFUNCTION("""COMPUTED_VALUE""")," ০৫/০৬/১৯৬৫ ")</f>
        <v> ০৫/০৬/১৯৬৫ </v>
      </c>
      <c r="H536" s="10" t="str">
        <f>IFERROR(__xludf.DUMMYFUNCTION("""COMPUTED_VALUE""")," গৃহিণী ")</f>
        <v> গৃহিণী </v>
      </c>
      <c r="I536" s="10" t="str">
        <f>IFERROR(__xludf.DUMMYFUNCTION("""COMPUTED_VALUE""")," জালশুকা, গাংনী, মেহেরপুর ")</f>
        <v> জালশুকা, গাংনী, মেহেরপুর </v>
      </c>
    </row>
    <row r="537">
      <c r="A537" s="9" t="s">
        <v>3235</v>
      </c>
      <c r="B537" s="10">
        <f>IFERROR(__xludf.DUMMYFUNCTION("SPLIT(A537,""|"")"),522.0)</f>
        <v>522</v>
      </c>
      <c r="C537" s="10" t="str">
        <f>IFERROR(__xludf.DUMMYFUNCTION("""COMPUTED_VALUE""")," মোছাঃ হানিয়াম মারিয়া ")</f>
        <v> মোছাঃ হানিয়াম মারিয়া </v>
      </c>
      <c r="D537" s="10">
        <f>IFERROR(__xludf.DUMMYFUNCTION("""COMPUTED_VALUE"""),5.70056378922E11)</f>
        <v>570056378922</v>
      </c>
      <c r="E537" s="10" t="str">
        <f>IFERROR(__xludf.DUMMYFUNCTION("""COMPUTED_VALUE""")," আশরাফ আলী ")</f>
        <v> আশরাফ আলী </v>
      </c>
      <c r="F537" s="10" t="str">
        <f>IFERROR(__xludf.DUMMYFUNCTION("""COMPUTED_VALUE""")," রমেলা খাতুন ")</f>
        <v> রমেলা খাতুন </v>
      </c>
      <c r="G537" s="10" t="str">
        <f>IFERROR(__xludf.DUMMYFUNCTION("""COMPUTED_VALUE""")," ১৬/০২/১৯৬৯ ")</f>
        <v> ১৬/০২/১৯৬৯ </v>
      </c>
      <c r="H537" s="10" t="str">
        <f>IFERROR(__xludf.DUMMYFUNCTION("""COMPUTED_VALUE""")," গৃহিণী ")</f>
        <v> গৃহিণী </v>
      </c>
      <c r="I537" s="10" t="str">
        <f>IFERROR(__xludf.DUMMYFUNCTION("""COMPUTED_VALUE""")," জালশুকা, গাংনী, মেহেরপুর ")</f>
        <v> জালশুকা, গাংনী, মেহেরপুর </v>
      </c>
    </row>
    <row r="538">
      <c r="A538" s="9" t="s">
        <v>3236</v>
      </c>
      <c r="B538" s="10">
        <f>IFERROR(__xludf.DUMMYFUNCTION("SPLIT(A538,""|"")"),523.0)</f>
        <v>523</v>
      </c>
      <c r="C538" s="10" t="str">
        <f>IFERROR(__xludf.DUMMYFUNCTION("""COMPUTED_VALUE""")," মোছাঃ ছালেহার খাতুন ")</f>
        <v> মোছাঃ ছালেহার খাতুন </v>
      </c>
      <c r="D538" s="10">
        <f>IFERROR(__xludf.DUMMYFUNCTION("""COMPUTED_VALUE"""),5.70056378923E11)</f>
        <v>570056378923</v>
      </c>
      <c r="E538" s="10" t="str">
        <f>IFERROR(__xludf.DUMMYFUNCTION("""COMPUTED_VALUE""")," আফজাল মালিথা ")</f>
        <v> আফজাল মালিথা </v>
      </c>
      <c r="F538" s="10" t="str">
        <f>IFERROR(__xludf.DUMMYFUNCTION("""COMPUTED_VALUE""")," মোছাঃ মমতাজ খাতুন ")</f>
        <v> মোছাঃ মমতাজ খাতুন </v>
      </c>
      <c r="G538" s="10" t="str">
        <f>IFERROR(__xludf.DUMMYFUNCTION("""COMPUTED_VALUE""")," ০৩/০৫/১৯৬৭ ")</f>
        <v> ০৩/০৫/১৯৬৭ </v>
      </c>
      <c r="H538" s="10" t="str">
        <f>IFERROR(__xludf.DUMMYFUNCTION("""COMPUTED_VALUE""")," গৃহিণী ")</f>
        <v> গৃহিণী </v>
      </c>
      <c r="I538" s="10" t="str">
        <f>IFERROR(__xludf.DUMMYFUNCTION("""COMPUTED_VALUE""")," জালশুকা, গাংনী, মেহেরপুর ")</f>
        <v> জালশুকা, গাংনী, মেহেরপুর </v>
      </c>
    </row>
    <row r="539">
      <c r="A539" s="9" t="s">
        <v>3237</v>
      </c>
      <c r="B539" s="10">
        <f>IFERROR(__xludf.DUMMYFUNCTION("SPLIT(A539,""|"")"),524.0)</f>
        <v>524</v>
      </c>
      <c r="C539" s="10" t="str">
        <f>IFERROR(__xludf.DUMMYFUNCTION("""COMPUTED_VALUE""")," মোছাঃ ফুলিয়ারা খাতুন ")</f>
        <v> মোছাঃ ফুলিয়ারা খাতুন </v>
      </c>
      <c r="D539" s="10">
        <f>IFERROR(__xludf.DUMMYFUNCTION("""COMPUTED_VALUE"""),5.70056378924E11)</f>
        <v>570056378924</v>
      </c>
      <c r="E539" s="10" t="str">
        <f>IFERROR(__xludf.DUMMYFUNCTION("""COMPUTED_VALUE""")," মো: আবুল কাশেম ")</f>
        <v> মো: আবুল কাশেম </v>
      </c>
      <c r="F539" s="10" t="str">
        <f>IFERROR(__xludf.DUMMYFUNCTION("""COMPUTED_VALUE""")," মোছাঃ শাহিদা খাতুন ")</f>
        <v> মোছাঃ শাহিদা খাতুন </v>
      </c>
      <c r="G539" s="10" t="str">
        <f>IFERROR(__xludf.DUMMYFUNCTION("""COMPUTED_VALUE""")," ১৫/০৪/১৯৮৮ ")</f>
        <v> ১৫/০৪/১৯৮৮ </v>
      </c>
      <c r="H539" s="10" t="str">
        <f>IFERROR(__xludf.DUMMYFUNCTION("""COMPUTED_VALUE""")," গৃহিণী ")</f>
        <v> গৃহিণী </v>
      </c>
      <c r="I539" s="10" t="str">
        <f>IFERROR(__xludf.DUMMYFUNCTION("""COMPUTED_VALUE""")," জালশুকা, গাংনী, মেহেরপুর ")</f>
        <v> জালশুকা, গাংনী, মেহেরপুর </v>
      </c>
    </row>
    <row r="540">
      <c r="A540" s="9" t="s">
        <v>3238</v>
      </c>
      <c r="B540" s="10">
        <f>IFERROR(__xludf.DUMMYFUNCTION("SPLIT(A540,""|"")"),525.0)</f>
        <v>525</v>
      </c>
      <c r="C540" s="10" t="str">
        <f>IFERROR(__xludf.DUMMYFUNCTION("""COMPUTED_VALUE""")," মোছাঃ কহিনুর বেগম ")</f>
        <v> মোছাঃ কহিনুর বেগম </v>
      </c>
      <c r="D540" s="10">
        <f>IFERROR(__xludf.DUMMYFUNCTION("""COMPUTED_VALUE"""),5.70056378925E11)</f>
        <v>570056378925</v>
      </c>
      <c r="E540" s="10" t="str">
        <f>IFERROR(__xludf.DUMMYFUNCTION("""COMPUTED_VALUE""")," হারান বিশ্বাস ")</f>
        <v> হারান বিশ্বাস </v>
      </c>
      <c r="F540" s="10" t="str">
        <f>IFERROR(__xludf.DUMMYFUNCTION("""COMPUTED_VALUE""")," জয়নব বেগম ")</f>
        <v> জয়নব বেগম </v>
      </c>
      <c r="G540" s="10" t="str">
        <f>IFERROR(__xludf.DUMMYFUNCTION("""COMPUTED_VALUE""")," ২২/০৩/১৯৫৭ ")</f>
        <v> ২২/০৩/১৯৫৭ </v>
      </c>
      <c r="H540" s="10" t="str">
        <f>IFERROR(__xludf.DUMMYFUNCTION("""COMPUTED_VALUE""")," গৃহিণী ")</f>
        <v> গৃহিণী </v>
      </c>
      <c r="I540" s="10" t="str">
        <f>IFERROR(__xludf.DUMMYFUNCTION("""COMPUTED_VALUE""")," জালশুকা, গাংনী, মেহেরপুর ")</f>
        <v> জালশুকা, গাংনী, মেহেরপুর </v>
      </c>
    </row>
    <row r="541">
      <c r="A541" s="9" t="s">
        <v>3239</v>
      </c>
      <c r="B541" s="10">
        <f>IFERROR(__xludf.DUMMYFUNCTION("SPLIT(A541,""|"")"),526.0)</f>
        <v>526</v>
      </c>
      <c r="C541" s="10" t="str">
        <f>IFERROR(__xludf.DUMMYFUNCTION("""COMPUTED_VALUE""")," মোছাঃ মমতাজ খাতুন ")</f>
        <v> মোছাঃ মমতাজ খাতুন </v>
      </c>
      <c r="D541" s="10">
        <f>IFERROR(__xludf.DUMMYFUNCTION("""COMPUTED_VALUE"""),5.70056378926E11)</f>
        <v>570056378926</v>
      </c>
      <c r="E541" s="10" t="str">
        <f>IFERROR(__xludf.DUMMYFUNCTION("""COMPUTED_VALUE""")," মো: তাহের আলী ")</f>
        <v> মো: তাহের আলী </v>
      </c>
      <c r="F541" s="10" t="str">
        <f>IFERROR(__xludf.DUMMYFUNCTION("""COMPUTED_VALUE""")," মোছাঃ মরিয়ম খাতুন ")</f>
        <v> মোছাঃ মরিয়ম খাতুন </v>
      </c>
      <c r="G541" s="10" t="str">
        <f>IFERROR(__xludf.DUMMYFUNCTION("""COMPUTED_VALUE""")," ১৬/০৯/১৯৭৮ ")</f>
        <v> ১৬/০৯/১৯৭৮ </v>
      </c>
      <c r="H541" s="10" t="str">
        <f>IFERROR(__xludf.DUMMYFUNCTION("""COMPUTED_VALUE""")," গৃহিণী ")</f>
        <v> গৃহিণী </v>
      </c>
      <c r="I541" s="10" t="str">
        <f>IFERROR(__xludf.DUMMYFUNCTION("""COMPUTED_VALUE""")," জালশুকা, গাংনী, মেহেরপুর ")</f>
        <v> জালশুকা, গাংনী, মেহেরপুর </v>
      </c>
    </row>
    <row r="542">
      <c r="A542" s="9" t="s">
        <v>3240</v>
      </c>
      <c r="B542" s="10">
        <f>IFERROR(__xludf.DUMMYFUNCTION("SPLIT(A542,""|"")"),527.0)</f>
        <v>527</v>
      </c>
      <c r="C542" s="10" t="str">
        <f>IFERROR(__xludf.DUMMYFUNCTION("""COMPUTED_VALUE""")," মোছাঃ সাহেনা খাতুন ")</f>
        <v> মোছাঃ সাহেনা খাতুন </v>
      </c>
      <c r="D542" s="10">
        <f>IFERROR(__xludf.DUMMYFUNCTION("""COMPUTED_VALUE"""),5.70056378927E11)</f>
        <v>570056378927</v>
      </c>
      <c r="E542" s="10" t="str">
        <f>IFERROR(__xludf.DUMMYFUNCTION("""COMPUTED_VALUE""")," মো: শাকের উদ্দীন ")</f>
        <v> মো: শাকের উদ্দীন </v>
      </c>
      <c r="F542" s="10" t="str">
        <f>IFERROR(__xludf.DUMMYFUNCTION("""COMPUTED_VALUE""")," সাহার বানু ")</f>
        <v> সাহার বানু </v>
      </c>
      <c r="G542" s="10" t="str">
        <f>IFERROR(__xludf.DUMMYFUNCTION("""COMPUTED_VALUE""")," ০২/০৫/১৯৭০ ")</f>
        <v> ০২/০৫/১৯৭০ </v>
      </c>
      <c r="H542" s="10" t="str">
        <f>IFERROR(__xludf.DUMMYFUNCTION("""COMPUTED_VALUE""")," গৃহিণী ")</f>
        <v> গৃহিণী </v>
      </c>
      <c r="I542" s="10" t="str">
        <f>IFERROR(__xludf.DUMMYFUNCTION("""COMPUTED_VALUE""")," জালশুকা, গাংনী, মেহেরপুর ")</f>
        <v> জালশুকা, গাংনী, মেহেরপুর </v>
      </c>
    </row>
    <row r="543">
      <c r="A543" s="9" t="s">
        <v>3241</v>
      </c>
      <c r="B543" s="10">
        <f>IFERROR(__xludf.DUMMYFUNCTION("SPLIT(A543,""|"")"),528.0)</f>
        <v>528</v>
      </c>
      <c r="C543" s="10" t="str">
        <f>IFERROR(__xludf.DUMMYFUNCTION("""COMPUTED_VALUE""")," মোছাঃ সাহার বানু ")</f>
        <v> মোছাঃ সাহার বানু </v>
      </c>
      <c r="D543" s="10">
        <f>IFERROR(__xludf.DUMMYFUNCTION("""COMPUTED_VALUE"""),5.70056378928E11)</f>
        <v>570056378928</v>
      </c>
      <c r="E543" s="10" t="str">
        <f>IFERROR(__xludf.DUMMYFUNCTION("""COMPUTED_VALUE""")," মোঃ গোলাম রসুল ")</f>
        <v> মোঃ গোলাম রসুল </v>
      </c>
      <c r="F543" s="10" t="str">
        <f>IFERROR(__xludf.DUMMYFUNCTION("""COMPUTED_VALUE""")," মোছাঃ হাজেরা খাতুন ")</f>
        <v> মোছাঃ হাজেরা খাতুন </v>
      </c>
      <c r="G543" s="10" t="str">
        <f>IFERROR(__xludf.DUMMYFUNCTION("""COMPUTED_VALUE""")," ০৮/০১/১৯৭২ ")</f>
        <v> ০৮/০১/১৯৭২ </v>
      </c>
      <c r="H543" s="10" t="str">
        <f>IFERROR(__xludf.DUMMYFUNCTION("""COMPUTED_VALUE""")," গৃহিণী ")</f>
        <v> গৃহিণী </v>
      </c>
      <c r="I543" s="10" t="str">
        <f>IFERROR(__xludf.DUMMYFUNCTION("""COMPUTED_VALUE""")," জালশুকা, গাংনী, মেহেরপুর ")</f>
        <v> জালশুকা, গাংনী, মেহেরপুর </v>
      </c>
    </row>
    <row r="544">
      <c r="A544" s="9" t="s">
        <v>3242</v>
      </c>
      <c r="B544" s="10">
        <f>IFERROR(__xludf.DUMMYFUNCTION("SPLIT(A544,""|"")"),529.0)</f>
        <v>529</v>
      </c>
      <c r="C544" s="10" t="str">
        <f>IFERROR(__xludf.DUMMYFUNCTION("""COMPUTED_VALUE""")," মোছাঃ ফিরোজা খাতুন ")</f>
        <v> মোছাঃ ফিরোজা খাতুন </v>
      </c>
      <c r="D544" s="10">
        <f>IFERROR(__xludf.DUMMYFUNCTION("""COMPUTED_VALUE"""),5.7005637893E11)</f>
        <v>570056378930</v>
      </c>
      <c r="E544" s="10" t="str">
        <f>IFERROR(__xludf.DUMMYFUNCTION("""COMPUTED_VALUE""")," মামান বিশ্বাস ")</f>
        <v> মামান বিশ্বাস </v>
      </c>
      <c r="F544" s="10" t="str">
        <f>IFERROR(__xludf.DUMMYFUNCTION("""COMPUTED_VALUE""")," মোছাঃ জরিমন নেছা ")</f>
        <v> মোছাঃ জরিমন নেছা </v>
      </c>
      <c r="G544" s="10" t="str">
        <f>IFERROR(__xludf.DUMMYFUNCTION("""COMPUTED_VALUE""")," ১৮/১১/১৯৬৭ ")</f>
        <v> ১৮/১১/১৯৬৭ </v>
      </c>
      <c r="H544" s="10" t="str">
        <f>IFERROR(__xludf.DUMMYFUNCTION("""COMPUTED_VALUE""")," গৃহিণী ")</f>
        <v> গৃহিণী </v>
      </c>
      <c r="I544" s="10" t="str">
        <f>IFERROR(__xludf.DUMMYFUNCTION("""COMPUTED_VALUE""")," জালশুকা, গাংনী, মেহেরপুর ")</f>
        <v> জালশুকা, গাংনী, মেহেরপুর </v>
      </c>
    </row>
    <row r="545">
      <c r="A545" s="9" t="s">
        <v>3243</v>
      </c>
      <c r="B545" s="10">
        <f>IFERROR(__xludf.DUMMYFUNCTION("SPLIT(A545,""|"")"),530.0)</f>
        <v>530</v>
      </c>
      <c r="C545" s="10" t="str">
        <f>IFERROR(__xludf.DUMMYFUNCTION("""COMPUTED_VALUE""")," মোছাঃ মাজিদা খাতুন ")</f>
        <v> মোছাঃ মাজিদা খাতুন </v>
      </c>
      <c r="D545" s="10">
        <f>IFERROR(__xludf.DUMMYFUNCTION("""COMPUTED_VALUE"""),5.70056378931E11)</f>
        <v>570056378931</v>
      </c>
      <c r="E545" s="10" t="str">
        <f>IFERROR(__xludf.DUMMYFUNCTION("""COMPUTED_VALUE""")," ফকির মহাম্মদ ")</f>
        <v> ফকির মহাম্মদ </v>
      </c>
      <c r="F545" s="10" t="str">
        <f>IFERROR(__xludf.DUMMYFUNCTION("""COMPUTED_VALUE""")," মোছাঃ রহিমা খাতুন ")</f>
        <v> মোছাঃ রহিমা খাতুন </v>
      </c>
      <c r="G545" s="10" t="str">
        <f>IFERROR(__xludf.DUMMYFUNCTION("""COMPUTED_VALUE""")," ১০/০২/১৯৭৭ ")</f>
        <v> ১০/০২/১৯৭৭ </v>
      </c>
      <c r="H545" s="10" t="str">
        <f>IFERROR(__xludf.DUMMYFUNCTION("""COMPUTED_VALUE""")," গৃহিণী ")</f>
        <v> গৃহিণী </v>
      </c>
      <c r="I545" s="10" t="str">
        <f>IFERROR(__xludf.DUMMYFUNCTION("""COMPUTED_VALUE""")," জালশুকা, গাংনী, মেহেরপুর ")</f>
        <v> জালশুকা, গাংনী, মেহেরপুর </v>
      </c>
    </row>
    <row r="546">
      <c r="A546" s="9" t="s">
        <v>3244</v>
      </c>
      <c r="B546" s="10">
        <f>IFERROR(__xludf.DUMMYFUNCTION("SPLIT(A546,""|"")"),531.0)</f>
        <v>531</v>
      </c>
      <c r="C546" s="10" t="str">
        <f>IFERROR(__xludf.DUMMYFUNCTION("""COMPUTED_VALUE""")," মোছাঃ সারজিনা খাতুন ")</f>
        <v> মোছাঃ সারজিনা খাতুন </v>
      </c>
      <c r="D546" s="10">
        <f>IFERROR(__xludf.DUMMYFUNCTION("""COMPUTED_VALUE"""),5.70056378933E11)</f>
        <v>570056378933</v>
      </c>
      <c r="E546" s="10" t="str">
        <f>IFERROR(__xludf.DUMMYFUNCTION("""COMPUTED_VALUE""")," গোলাম রসুল ")</f>
        <v> গোলাম রসুল </v>
      </c>
      <c r="F546" s="10" t="str">
        <f>IFERROR(__xludf.DUMMYFUNCTION("""COMPUTED_VALUE""")," মোছাঃ সুরতন নেছা ")</f>
        <v> মোছাঃ সুরতন নেছা </v>
      </c>
      <c r="G546" s="10" t="str">
        <f>IFERROR(__xludf.DUMMYFUNCTION("""COMPUTED_VALUE""")," ০২/০৩/১৯৬৭ ")</f>
        <v> ০২/০৩/১৯৬৭ </v>
      </c>
      <c r="H546" s="10" t="str">
        <f>IFERROR(__xludf.DUMMYFUNCTION("""COMPUTED_VALUE""")," গৃহিণী ")</f>
        <v> গৃহিণী </v>
      </c>
      <c r="I546" s="10" t="str">
        <f>IFERROR(__xludf.DUMMYFUNCTION("""COMPUTED_VALUE""")," জালশুকা, গাংনী, মেহেরপুর ")</f>
        <v> জালশুকা, গাংনী, মেহেরপুর </v>
      </c>
    </row>
    <row r="547">
      <c r="A547" s="9" t="s">
        <v>3245</v>
      </c>
      <c r="B547" s="10">
        <f>IFERROR(__xludf.DUMMYFUNCTION("SPLIT(A547,""|"")"),532.0)</f>
        <v>532</v>
      </c>
      <c r="C547" s="10" t="str">
        <f>IFERROR(__xludf.DUMMYFUNCTION("""COMPUTED_VALUE""")," মোছাঃ মুকলিছা খাতুন ")</f>
        <v> মোছাঃ মুকলিছা খাতুন </v>
      </c>
      <c r="D547" s="10">
        <f>IFERROR(__xludf.DUMMYFUNCTION("""COMPUTED_VALUE"""),5.70056378934E11)</f>
        <v>570056378934</v>
      </c>
      <c r="E547" s="10" t="str">
        <f>IFERROR(__xludf.DUMMYFUNCTION("""COMPUTED_VALUE""")," মো: আব্দুল মজিদ ")</f>
        <v> মো: আব্দুল মজিদ </v>
      </c>
      <c r="F547" s="10" t="str">
        <f>IFERROR(__xludf.DUMMYFUNCTION("""COMPUTED_VALUE""")," মোছাঃ সারজিনা খাতুন ")</f>
        <v> মোছাঃ সারজিনা খাতুন </v>
      </c>
      <c r="G547" s="10" t="str">
        <f>IFERROR(__xludf.DUMMYFUNCTION("""COMPUTED_VALUE""")," ১০/১১/১৯৮৮ ")</f>
        <v> ১০/১১/১৯৮৮ </v>
      </c>
      <c r="H547" s="10" t="str">
        <f>IFERROR(__xludf.DUMMYFUNCTION("""COMPUTED_VALUE""")," বেকার ")</f>
        <v> বেকার </v>
      </c>
      <c r="I547" s="10" t="str">
        <f>IFERROR(__xludf.DUMMYFUNCTION("""COMPUTED_VALUE""")," জালশুকা, গাংনী, মেহেরপুর ")</f>
        <v> জালশুকা, গাংনী, মেহেরপুর </v>
      </c>
    </row>
    <row r="548">
      <c r="A548" s="9" t="s">
        <v>3246</v>
      </c>
      <c r="B548" s="10">
        <f>IFERROR(__xludf.DUMMYFUNCTION("SPLIT(A548,""|"")"),533.0)</f>
        <v>533</v>
      </c>
      <c r="C548" s="10" t="str">
        <f>IFERROR(__xludf.DUMMYFUNCTION("""COMPUTED_VALUE""")," মোছাঃ মালেকা খাতুন ")</f>
        <v> মোছাঃ মালেকা খাতুন </v>
      </c>
      <c r="D548" s="10">
        <f>IFERROR(__xludf.DUMMYFUNCTION("""COMPUTED_VALUE"""),5.70056378937E11)</f>
        <v>570056378937</v>
      </c>
      <c r="E548" s="10" t="str">
        <f>IFERROR(__xludf.DUMMYFUNCTION("""COMPUTED_VALUE""")," মো: খাজেুদ্দিন ")</f>
        <v> মো: খাজেুদ্দিন </v>
      </c>
      <c r="F548" s="10" t="str">
        <f>IFERROR(__xludf.DUMMYFUNCTION("""COMPUTED_VALUE""")," মোছাঃ ছিরফান নেছা ")</f>
        <v> মোছাঃ ছিরফান নেছা </v>
      </c>
      <c r="G548" s="10" t="str">
        <f>IFERROR(__xludf.DUMMYFUNCTION("""COMPUTED_VALUE""")," ১৮/১০/১৯৬৭ ")</f>
        <v> ১৮/১০/১৯৬৭ </v>
      </c>
      <c r="H548" s="10" t="str">
        <f>IFERROR(__xludf.DUMMYFUNCTION("""COMPUTED_VALUE""")," গৃহিণী ")</f>
        <v> গৃহিণী </v>
      </c>
      <c r="I548" s="10" t="str">
        <f>IFERROR(__xludf.DUMMYFUNCTION("""COMPUTED_VALUE""")," জালশুকা, গাংনী, মেহেরপুর ")</f>
        <v> জালশুকা, গাংনী, মেহেরপুর </v>
      </c>
    </row>
    <row r="549">
      <c r="A549" s="9" t="s">
        <v>3247</v>
      </c>
      <c r="B549" s="10">
        <f>IFERROR(__xludf.DUMMYFUNCTION("SPLIT(A549,""|"")"),534.0)</f>
        <v>534</v>
      </c>
      <c r="C549" s="10" t="str">
        <f>IFERROR(__xludf.DUMMYFUNCTION("""COMPUTED_VALUE""")," মোছাঃ রসুলা খাতুন ")</f>
        <v> মোছাঃ রসুলা খাতুন </v>
      </c>
      <c r="D549" s="10">
        <f>IFERROR(__xludf.DUMMYFUNCTION("""COMPUTED_VALUE"""),5.70056378939E11)</f>
        <v>570056378939</v>
      </c>
      <c r="E549" s="10" t="str">
        <f>IFERROR(__xludf.DUMMYFUNCTION("""COMPUTED_VALUE""")," কিয়ামদ্দিন ")</f>
        <v> কিয়ামদ্দিন </v>
      </c>
      <c r="F549" s="10" t="str">
        <f>IFERROR(__xludf.DUMMYFUNCTION("""COMPUTED_VALUE""")," খাইরন নেছা ")</f>
        <v> খাইরন নেছা </v>
      </c>
      <c r="G549" s="10" t="str">
        <f>IFERROR(__xludf.DUMMYFUNCTION("""COMPUTED_VALUE""")," ০১/০১/১৯৫৩ ")</f>
        <v> ০১/০১/১৯৫৩ </v>
      </c>
      <c r="H549" s="10" t="str">
        <f>IFERROR(__xludf.DUMMYFUNCTION("""COMPUTED_VALUE""")," গৃহিণী ")</f>
        <v> গৃহিণী </v>
      </c>
      <c r="I549" s="10" t="str">
        <f>IFERROR(__xludf.DUMMYFUNCTION("""COMPUTED_VALUE""")," জালশুকা, গাংনী, মেহেরপুর ")</f>
        <v> জালশুকা, গাংনী, মেহেরপুর </v>
      </c>
    </row>
    <row r="550">
      <c r="A550" s="9" t="s">
        <v>3248</v>
      </c>
      <c r="B550" s="10">
        <f>IFERROR(__xludf.DUMMYFUNCTION("SPLIT(A550,""|"")"),535.0)</f>
        <v>535</v>
      </c>
      <c r="C550" s="10" t="str">
        <f>IFERROR(__xludf.DUMMYFUNCTION("""COMPUTED_VALUE""")," মোছাঃ আরাবিয়া খাতুন ")</f>
        <v> মোছাঃ আরাবিয়া খাতুন </v>
      </c>
      <c r="D550" s="10">
        <f>IFERROR(__xludf.DUMMYFUNCTION("""COMPUTED_VALUE"""),5.7005637894E11)</f>
        <v>570056378940</v>
      </c>
      <c r="E550" s="10" t="str">
        <f>IFERROR(__xludf.DUMMYFUNCTION("""COMPUTED_VALUE""")," মো: বাদশা মন্ডল ")</f>
        <v> মো: বাদশা মন্ডল </v>
      </c>
      <c r="F550" s="10" t="str">
        <f>IFERROR(__xludf.DUMMYFUNCTION("""COMPUTED_VALUE""")," মোছাঃ ফাতেমা খাতুন ")</f>
        <v> মোছাঃ ফাতেমা খাতুন </v>
      </c>
      <c r="G550" s="10" t="str">
        <f>IFERROR(__xludf.DUMMYFUNCTION("""COMPUTED_VALUE""")," ০১/০১/১৯৮৩ ")</f>
        <v> ০১/০১/১৯৮৩ </v>
      </c>
      <c r="H550" s="10" t="str">
        <f>IFERROR(__xludf.DUMMYFUNCTION("""COMPUTED_VALUE""")," গৃহিণী ")</f>
        <v> গৃহিণী </v>
      </c>
      <c r="I550" s="10" t="str">
        <f>IFERROR(__xludf.DUMMYFUNCTION("""COMPUTED_VALUE""")," জালশুকা, গাংনী, মেহেরপুর ")</f>
        <v> জালশুকা, গাংনী, মেহেরপুর </v>
      </c>
    </row>
    <row r="551">
      <c r="A551" s="9" t="s">
        <v>3249</v>
      </c>
      <c r="B551" s="10">
        <f>IFERROR(__xludf.DUMMYFUNCTION("SPLIT(A551,""|"")"),536.0)</f>
        <v>536</v>
      </c>
      <c r="C551" s="10" t="str">
        <f>IFERROR(__xludf.DUMMYFUNCTION("""COMPUTED_VALUE""")," মোছাঃ তাসলিমা খাতুন ")</f>
        <v> মোছাঃ তাসলিমা খাতুন </v>
      </c>
      <c r="D551" s="10">
        <f>IFERROR(__xludf.DUMMYFUNCTION("""COMPUTED_VALUE"""),5.70056378941E11)</f>
        <v>570056378941</v>
      </c>
      <c r="E551" s="10" t="str">
        <f>IFERROR(__xludf.DUMMYFUNCTION("""COMPUTED_VALUE""")," মো: ইসলাম ")</f>
        <v> মো: ইসলাম </v>
      </c>
      <c r="F551" s="10" t="str">
        <f>IFERROR(__xludf.DUMMYFUNCTION("""COMPUTED_VALUE""")," রোকেয়া বেগম ")</f>
        <v> রোকেয়া বেগম </v>
      </c>
      <c r="G551" s="10" t="str">
        <f>IFERROR(__xludf.DUMMYFUNCTION("""COMPUTED_VALUE""")," ০১/০১/১৯৮০ ")</f>
        <v> ০১/০১/১৯৮০ </v>
      </c>
      <c r="H551" s="10" t="str">
        <f>IFERROR(__xludf.DUMMYFUNCTION("""COMPUTED_VALUE""")," গৃহিণী ")</f>
        <v> গৃহিণী </v>
      </c>
      <c r="I551" s="10" t="str">
        <f>IFERROR(__xludf.DUMMYFUNCTION("""COMPUTED_VALUE""")," জালশুকা, গাংনী, মেহেরপুর ")</f>
        <v> জালশুকা, গাংনী, মেহেরপুর </v>
      </c>
    </row>
    <row r="552">
      <c r="A552" s="9" t="s">
        <v>3250</v>
      </c>
      <c r="B552" s="10">
        <f>IFERROR(__xludf.DUMMYFUNCTION("SPLIT(A552,""|"")"),537.0)</f>
        <v>537</v>
      </c>
      <c r="C552" s="10" t="str">
        <f>IFERROR(__xludf.DUMMYFUNCTION("""COMPUTED_VALUE""")," মোছাঃ রেখা খাতুন ")</f>
        <v> মোছাঃ রেখা খাতুন </v>
      </c>
      <c r="D552" s="10">
        <f>IFERROR(__xludf.DUMMYFUNCTION("""COMPUTED_VALUE"""),5.70056378943E11)</f>
        <v>570056378943</v>
      </c>
      <c r="E552" s="10" t="str">
        <f>IFERROR(__xludf.DUMMYFUNCTION("""COMPUTED_VALUE""")," মো: ওহাব আলী ")</f>
        <v> মো: ওহাব আলী </v>
      </c>
      <c r="F552" s="10" t="str">
        <f>IFERROR(__xludf.DUMMYFUNCTION("""COMPUTED_VALUE""")," মোছাঃ নুরেজান খাতুন ")</f>
        <v> মোছাঃ নুরেজান খাতুন </v>
      </c>
      <c r="G552" s="10" t="str">
        <f>IFERROR(__xludf.DUMMYFUNCTION("""COMPUTED_VALUE""")," ০১/০১/১৯৭৯ ")</f>
        <v> ০১/০১/১৯৭৯ </v>
      </c>
      <c r="H552" s="10" t="str">
        <f>IFERROR(__xludf.DUMMYFUNCTION("""COMPUTED_VALUE""")," গৃহিণী ")</f>
        <v> গৃহিণী </v>
      </c>
      <c r="I552" s="10" t="str">
        <f>IFERROR(__xludf.DUMMYFUNCTION("""COMPUTED_VALUE""")," জালশুকা, গাংনী, মেহেরপুর ")</f>
        <v> জালশুকা, গাংনী, মেহেরপুর </v>
      </c>
    </row>
    <row r="553">
      <c r="A553" s="9" t="s">
        <v>3251</v>
      </c>
      <c r="B553" s="10">
        <f>IFERROR(__xludf.DUMMYFUNCTION("SPLIT(A553,""|"")"),538.0)</f>
        <v>538</v>
      </c>
      <c r="C553" s="10" t="str">
        <f>IFERROR(__xludf.DUMMYFUNCTION("""COMPUTED_VALUE""")," মোছা: আনজিরা খাতুন ")</f>
        <v> মোছা: আনজিরা খাতুন </v>
      </c>
      <c r="D553" s="10">
        <f>IFERROR(__xludf.DUMMYFUNCTION("""COMPUTED_VALUE"""),5.70056378944E11)</f>
        <v>570056378944</v>
      </c>
      <c r="E553" s="10" t="str">
        <f>IFERROR(__xludf.DUMMYFUNCTION("""COMPUTED_VALUE""")," আমোদ আলী ")</f>
        <v> আমোদ আলী </v>
      </c>
      <c r="F553" s="10" t="str">
        <f>IFERROR(__xludf.DUMMYFUNCTION("""COMPUTED_VALUE""")," মোছা: সারেজান ")</f>
        <v> মোছা: সারেজান </v>
      </c>
      <c r="G553" s="10" t="str">
        <f>IFERROR(__xludf.DUMMYFUNCTION("""COMPUTED_VALUE""")," ০৩/০৩/১৯৬০ ")</f>
        <v> ০৩/০৩/১৯৬০ </v>
      </c>
      <c r="H553" s="10" t="str">
        <f>IFERROR(__xludf.DUMMYFUNCTION("""COMPUTED_VALUE""")," গৃহিনী ")</f>
        <v> গৃহিনী </v>
      </c>
      <c r="I553" s="10" t="str">
        <f>IFERROR(__xludf.DUMMYFUNCTION("""COMPUTED_VALUE""")," জালশুকা, গাংনী, মেহেরপুর ")</f>
        <v> জালশুকা, গাংনী, মেহেরপুর </v>
      </c>
    </row>
    <row r="554">
      <c r="A554" s="9" t="s">
        <v>3252</v>
      </c>
      <c r="B554" s="10">
        <f>IFERROR(__xludf.DUMMYFUNCTION("SPLIT(A554,""|"")"),539.0)</f>
        <v>539</v>
      </c>
      <c r="C554" s="10" t="str">
        <f>IFERROR(__xludf.DUMMYFUNCTION("""COMPUTED_VALUE""")," মোছা: কহুর খাতুন ")</f>
        <v> মোছা: কহুর খাতুন </v>
      </c>
      <c r="D554" s="10">
        <f>IFERROR(__xludf.DUMMYFUNCTION("""COMPUTED_VALUE"""),5.70056378946E11)</f>
        <v>570056378946</v>
      </c>
      <c r="E554" s="10" t="str">
        <f>IFERROR(__xludf.DUMMYFUNCTION("""COMPUTED_VALUE""")," এলাহী মন্ডল ")</f>
        <v> এলাহী মন্ডল </v>
      </c>
      <c r="F554" s="10" t="str">
        <f>IFERROR(__xludf.DUMMYFUNCTION("""COMPUTED_VALUE""")," মোছা: জাবেদা খাতুন ")</f>
        <v> মোছা: জাবেদা খাতুন </v>
      </c>
      <c r="G554" s="10" t="str">
        <f>IFERROR(__xludf.DUMMYFUNCTION("""COMPUTED_VALUE""")," ১০/০৫/১৯৪৭ ")</f>
        <v> ১০/০৫/১৯৪৭ </v>
      </c>
      <c r="H554" s="10" t="str">
        <f>IFERROR(__xludf.DUMMYFUNCTION("""COMPUTED_VALUE""")," গৃহিনী ")</f>
        <v> গৃহিনী </v>
      </c>
      <c r="I554" s="10" t="str">
        <f>IFERROR(__xludf.DUMMYFUNCTION("""COMPUTED_VALUE""")," জালশুকা, গাংনী, মেহেরপুর ")</f>
        <v> জালশুকা, গাংনী, মেহেরপুর </v>
      </c>
    </row>
    <row r="555">
      <c r="A555" s="9" t="s">
        <v>3253</v>
      </c>
      <c r="B555" s="10">
        <f>IFERROR(__xludf.DUMMYFUNCTION("SPLIT(A555,""|"")"),540.0)</f>
        <v>540</v>
      </c>
      <c r="C555" s="10" t="str">
        <f>IFERROR(__xludf.DUMMYFUNCTION("""COMPUTED_VALUE""")," মোছা: বেলিয়ারা খাতুন ")</f>
        <v> মোছা: বেলিয়ারা খাতুন </v>
      </c>
      <c r="D555" s="10">
        <f>IFERROR(__xludf.DUMMYFUNCTION("""COMPUTED_VALUE"""),5.70056378947E11)</f>
        <v>570056378947</v>
      </c>
      <c r="E555" s="10" t="str">
        <f>IFERROR(__xludf.DUMMYFUNCTION("""COMPUTED_VALUE""")," মোঃ বিল্লাল হোসেন ")</f>
        <v> মোঃ বিল্লাল হোসেন </v>
      </c>
      <c r="F555" s="10" t="str">
        <f>IFERROR(__xludf.DUMMYFUNCTION("""COMPUTED_VALUE""")," মোছা: শাহেদা খাতুন ")</f>
        <v> মোছা: শাহেদা খাতুন </v>
      </c>
      <c r="G555" s="10" t="str">
        <f>IFERROR(__xludf.DUMMYFUNCTION("""COMPUTED_VALUE""")," ০১/০৯/১৯৮০ ")</f>
        <v> ০১/০৯/১৯৮০ </v>
      </c>
      <c r="H555" s="10" t="str">
        <f>IFERROR(__xludf.DUMMYFUNCTION("""COMPUTED_VALUE""")," গৃহিনী ")</f>
        <v> গৃহিনী </v>
      </c>
      <c r="I555" s="10" t="str">
        <f>IFERROR(__xludf.DUMMYFUNCTION("""COMPUTED_VALUE""")," জালশুকা, গাংনী, মেহেরপুর ")</f>
        <v> জালশুকা, গাংনী, মেহেরপুর </v>
      </c>
    </row>
    <row r="556">
      <c r="A556" s="9" t="s">
        <v>3254</v>
      </c>
      <c r="B556" s="10">
        <f>IFERROR(__xludf.DUMMYFUNCTION("SPLIT(A556,""|"")"),541.0)</f>
        <v>541</v>
      </c>
      <c r="C556" s="10" t="str">
        <f>IFERROR(__xludf.DUMMYFUNCTION("""COMPUTED_VALUE""")," মোছাঃ ময়না খাতুন ")</f>
        <v> মোছাঃ ময়না খাতুন </v>
      </c>
      <c r="D556" s="10">
        <f>IFERROR(__xludf.DUMMYFUNCTION("""COMPUTED_VALUE"""),5.70056378948E11)</f>
        <v>570056378948</v>
      </c>
      <c r="E556" s="10" t="str">
        <f>IFERROR(__xludf.DUMMYFUNCTION("""COMPUTED_VALUE""")," মোঃ হাবিবুর রহমান ")</f>
        <v> মোঃ হাবিবুর রহমান </v>
      </c>
      <c r="F556" s="10" t="str">
        <f>IFERROR(__xludf.DUMMYFUNCTION("""COMPUTED_VALUE""")," মোছা: মোমেনা খাতুন ")</f>
        <v> মোছা: মোমেনা খাতুন </v>
      </c>
      <c r="G556" s="10" t="str">
        <f>IFERROR(__xludf.DUMMYFUNCTION("""COMPUTED_VALUE""")," ০১/০১/১৯৮৬ ")</f>
        <v> ০১/০১/১৯৮৬ </v>
      </c>
      <c r="H556" s="10" t="str">
        <f>IFERROR(__xludf.DUMMYFUNCTION("""COMPUTED_VALUE""")," গৃহিনী ")</f>
        <v> গৃহিনী </v>
      </c>
      <c r="I556" s="10" t="str">
        <f>IFERROR(__xludf.DUMMYFUNCTION("""COMPUTED_VALUE""")," জালশুকা, গাংনী, মেহেরপুর ")</f>
        <v> জালশুকা, গাংনী, মেহেরপুর </v>
      </c>
    </row>
    <row r="557">
      <c r="A557" s="9" t="s">
        <v>3255</v>
      </c>
      <c r="B557" s="10">
        <f>IFERROR(__xludf.DUMMYFUNCTION("SPLIT(A557,""|"")"),542.0)</f>
        <v>542</v>
      </c>
      <c r="C557" s="10" t="str">
        <f>IFERROR(__xludf.DUMMYFUNCTION("""COMPUTED_VALUE""")," মোছাঃ মিশরা খাতুন ")</f>
        <v> মোছাঃ মিশরা খাতুন </v>
      </c>
      <c r="D557" s="10">
        <f>IFERROR(__xludf.DUMMYFUNCTION("""COMPUTED_VALUE"""),5.70056378949E11)</f>
        <v>570056378949</v>
      </c>
      <c r="E557" s="10" t="str">
        <f>IFERROR(__xludf.DUMMYFUNCTION("""COMPUTED_VALUE""")," মোঃ হাবিবর রহমান ")</f>
        <v> মোঃ হাবিবর রহমান </v>
      </c>
      <c r="F557" s="10" t="str">
        <f>IFERROR(__xludf.DUMMYFUNCTION("""COMPUTED_VALUE""")," মোছা: রমেশ্বা ")</f>
        <v> মোছা: রমেশ্বা </v>
      </c>
      <c r="G557" s="10" t="str">
        <f>IFERROR(__xludf.DUMMYFUNCTION("""COMPUTED_VALUE""")," ০৫/০৮/১৯৭২ ")</f>
        <v> ০৫/০৮/১৯৭২ </v>
      </c>
      <c r="H557" s="10" t="str">
        <f>IFERROR(__xludf.DUMMYFUNCTION("""COMPUTED_VALUE""")," গৃহিনী ")</f>
        <v> গৃহিনী </v>
      </c>
      <c r="I557" s="10" t="str">
        <f>IFERROR(__xludf.DUMMYFUNCTION("""COMPUTED_VALUE""")," জালশুকা, গাংনী, মেহেরপুর ")</f>
        <v> জালশুকা, গাংনী, মেহেরপুর </v>
      </c>
    </row>
    <row r="558">
      <c r="A558" s="9" t="s">
        <v>3256</v>
      </c>
      <c r="B558" s="10">
        <f>IFERROR(__xludf.DUMMYFUNCTION("SPLIT(A558,""|"")"),543.0)</f>
        <v>543</v>
      </c>
      <c r="C558" s="10" t="str">
        <f>IFERROR(__xludf.DUMMYFUNCTION("""COMPUTED_VALUE""")," মোছাঃ জোসনে আরা ")</f>
        <v> মোছাঃ জোসনে আরা </v>
      </c>
      <c r="D558" s="10">
        <f>IFERROR(__xludf.DUMMYFUNCTION("""COMPUTED_VALUE"""),5.70056378953E11)</f>
        <v>570056378953</v>
      </c>
      <c r="E558" s="10" t="str">
        <f>IFERROR(__xludf.DUMMYFUNCTION("""COMPUTED_VALUE""")," মোঃ রমজান মন্ডল ")</f>
        <v> মোঃ রমজান মন্ডল </v>
      </c>
      <c r="F558" s="10" t="str">
        <f>IFERROR(__xludf.DUMMYFUNCTION("""COMPUTED_VALUE""")," মোছা: আজিরন নেছা ")</f>
        <v> মোছা: আজিরন নেছা </v>
      </c>
      <c r="G558" s="10" t="str">
        <f>IFERROR(__xludf.DUMMYFUNCTION("""COMPUTED_VALUE""")," ০১/০১/১৯৭৩ ")</f>
        <v> ০১/০১/১৯৭৩ </v>
      </c>
      <c r="H558" s="10" t="str">
        <f>IFERROR(__xludf.DUMMYFUNCTION("""COMPUTED_VALUE""")," গৃহিনী ")</f>
        <v> গৃহিনী </v>
      </c>
      <c r="I558" s="10" t="str">
        <f>IFERROR(__xludf.DUMMYFUNCTION("""COMPUTED_VALUE""")," জালশুকা, গাংনী, মেহেরপুর ")</f>
        <v> জালশুকা, গাংনী, মেহেরপুর </v>
      </c>
    </row>
    <row r="559">
      <c r="A559" s="9" t="s">
        <v>3257</v>
      </c>
      <c r="B559" s="10">
        <f>IFERROR(__xludf.DUMMYFUNCTION("SPLIT(A559,""|"")"),544.0)</f>
        <v>544</v>
      </c>
      <c r="C559" s="10" t="str">
        <f>IFERROR(__xludf.DUMMYFUNCTION("""COMPUTED_VALUE""")," মোছা: ফাহিমা খাতুন ")</f>
        <v> মোছা: ফাহিমা খাতুন </v>
      </c>
      <c r="D559" s="10">
        <f>IFERROR(__xludf.DUMMYFUNCTION("""COMPUTED_VALUE"""),5.70056378962E11)</f>
        <v>570056378962</v>
      </c>
      <c r="E559" s="10" t="str">
        <f>IFERROR(__xludf.DUMMYFUNCTION("""COMPUTED_VALUE""")," আলতাফ বিশ্বাস ")</f>
        <v> আলতাফ বিশ্বাস </v>
      </c>
      <c r="F559" s="10" t="str">
        <f>IFERROR(__xludf.DUMMYFUNCTION("""COMPUTED_VALUE""")," জারিমন নেছা ")</f>
        <v> জারিমন নেছা </v>
      </c>
      <c r="G559" s="10" t="str">
        <f>IFERROR(__xludf.DUMMYFUNCTION("""COMPUTED_VALUE""")," ১৪/০৩/১৯৮৭ ")</f>
        <v> ১৪/০৩/১৯৮৭ </v>
      </c>
      <c r="H559" s="10" t="str">
        <f>IFERROR(__xludf.DUMMYFUNCTION("""COMPUTED_VALUE""")," গৃহিনী ")</f>
        <v> গৃহিনী </v>
      </c>
      <c r="I559" s="10" t="str">
        <f>IFERROR(__xludf.DUMMYFUNCTION("""COMPUTED_VALUE""")," জালশুকা, গাংনী, মেহেরপুর ")</f>
        <v> জালশুকা, গাংনী, মেহেরপুর </v>
      </c>
    </row>
    <row r="560">
      <c r="A560" s="9" t="s">
        <v>3258</v>
      </c>
      <c r="B560" s="10">
        <f>IFERROR(__xludf.DUMMYFUNCTION("SPLIT(A560,""|"")"),545.0)</f>
        <v>545</v>
      </c>
      <c r="C560" s="10" t="str">
        <f>IFERROR(__xludf.DUMMYFUNCTION("""COMPUTED_VALUE""")," মোছা: হাজেরা খাতুন ")</f>
        <v> মোছা: হাজেরা খাতুন </v>
      </c>
      <c r="D560" s="10">
        <f>IFERROR(__xludf.DUMMYFUNCTION("""COMPUTED_VALUE"""),5.70056378967E11)</f>
        <v>570056378967</v>
      </c>
      <c r="E560" s="10" t="str">
        <f>IFERROR(__xludf.DUMMYFUNCTION("""COMPUTED_VALUE""")," মফেজ উদ্দিন ")</f>
        <v> মফেজ উদ্দিন </v>
      </c>
      <c r="F560" s="10" t="str">
        <f>IFERROR(__xludf.DUMMYFUNCTION("""COMPUTED_VALUE""")," রাকাতন নেছা ")</f>
        <v> রাকাতন নেছা </v>
      </c>
      <c r="G560" s="10" t="str">
        <f>IFERROR(__xludf.DUMMYFUNCTION("""COMPUTED_VALUE""")," ০৯/০৬/১৯৬৯ ")</f>
        <v> ০৯/০৬/১৯৬৯ </v>
      </c>
      <c r="H560" s="10" t="str">
        <f>IFERROR(__xludf.DUMMYFUNCTION("""COMPUTED_VALUE""")," গৃহিনী ")</f>
        <v> গৃহিনী </v>
      </c>
      <c r="I560" s="10" t="str">
        <f>IFERROR(__xludf.DUMMYFUNCTION("""COMPUTED_VALUE""")," জালশুকা, গাংনী, মেহেরপুর ")</f>
        <v> জালশুকা, গাংনী, মেহেরপুর </v>
      </c>
    </row>
    <row r="561">
      <c r="A561" s="9" t="s">
        <v>3259</v>
      </c>
      <c r="B561" s="10">
        <f>IFERROR(__xludf.DUMMYFUNCTION("SPLIT(A561,""|"")"),546.0)</f>
        <v>546</v>
      </c>
      <c r="C561" s="10" t="str">
        <f>IFERROR(__xludf.DUMMYFUNCTION("""COMPUTED_VALUE""")," মোছা: নাছরিন খাতুন ")</f>
        <v> মোছা: নাছরিন খাতুন </v>
      </c>
      <c r="D561" s="10">
        <f>IFERROR(__xludf.DUMMYFUNCTION("""COMPUTED_VALUE"""),5.70056378968E11)</f>
        <v>570056378968</v>
      </c>
      <c r="E561" s="10" t="str">
        <f>IFERROR(__xludf.DUMMYFUNCTION("""COMPUTED_VALUE""")," মোঃ আব্দুর রশিদ ")</f>
        <v> মোঃ আব্দুর রশিদ </v>
      </c>
      <c r="F561" s="10" t="str">
        <f>IFERROR(__xludf.DUMMYFUNCTION("""COMPUTED_VALUE""")," মোছা: রেখা খাতুন ")</f>
        <v> মোছা: রেখা খাতুন </v>
      </c>
      <c r="G561" s="10" t="str">
        <f>IFERROR(__xludf.DUMMYFUNCTION("""COMPUTED_VALUE""")," ১৭/০৩/১৯৮৮ ")</f>
        <v> ১৭/০৩/১৯৮৮ </v>
      </c>
      <c r="H561" s="10" t="str">
        <f>IFERROR(__xludf.DUMMYFUNCTION("""COMPUTED_VALUE""")," গৃহিনী ")</f>
        <v> গৃহিনী </v>
      </c>
      <c r="I561" s="10" t="str">
        <f>IFERROR(__xludf.DUMMYFUNCTION("""COMPUTED_VALUE""")," জালশুকা, গাংনী, মেহেরপুর ")</f>
        <v> জালশুকা, গাংনী, মেহেরপুর </v>
      </c>
    </row>
    <row r="562">
      <c r="A562" s="9" t="s">
        <v>3260</v>
      </c>
      <c r="B562" s="10">
        <f>IFERROR(__xludf.DUMMYFUNCTION("SPLIT(A562,""|"")"),547.0)</f>
        <v>547</v>
      </c>
      <c r="C562" s="10" t="str">
        <f>IFERROR(__xludf.DUMMYFUNCTION("""COMPUTED_VALUE""")," মোছা: সাহরন খাতুন ")</f>
        <v> মোছা: সাহরন খাতুন </v>
      </c>
      <c r="D562" s="10">
        <f>IFERROR(__xludf.DUMMYFUNCTION("""COMPUTED_VALUE"""),5.70056378969E11)</f>
        <v>570056378969</v>
      </c>
      <c r="E562" s="10" t="str">
        <f>IFERROR(__xludf.DUMMYFUNCTION("""COMPUTED_VALUE""")," কুড়ুন মন্ডল ")</f>
        <v> কুড়ুন মন্ডল </v>
      </c>
      <c r="F562" s="10" t="str">
        <f>IFERROR(__xludf.DUMMYFUNCTION("""COMPUTED_VALUE""")," মোছা: রওশনারা ")</f>
        <v> মোছা: রওশনারা </v>
      </c>
      <c r="G562" s="10" t="str">
        <f>IFERROR(__xludf.DUMMYFUNCTION("""COMPUTED_VALUE""")," ১৫/০২/১৯৫৭ ")</f>
        <v> ১৫/০২/১৯৫৭ </v>
      </c>
      <c r="H562" s="10" t="str">
        <f>IFERROR(__xludf.DUMMYFUNCTION("""COMPUTED_VALUE""")," গৃহিনী ")</f>
        <v> গৃহিনী </v>
      </c>
      <c r="I562" s="10" t="str">
        <f>IFERROR(__xludf.DUMMYFUNCTION("""COMPUTED_VALUE""")," জালশুকা, গাংনী, মেহেরপুর ")</f>
        <v> জালশুকা, গাংনী, মেহেরপুর </v>
      </c>
    </row>
    <row r="563">
      <c r="A563" s="9" t="s">
        <v>3261</v>
      </c>
      <c r="B563" s="10">
        <f>IFERROR(__xludf.DUMMYFUNCTION("SPLIT(A563,""|"")"),548.0)</f>
        <v>548</v>
      </c>
      <c r="C563" s="10" t="str">
        <f>IFERROR(__xludf.DUMMYFUNCTION("""COMPUTED_VALUE""")," মোছা: সুরাতন নেছা ")</f>
        <v> মোছা: সুরাতন নেছা </v>
      </c>
      <c r="D563" s="10">
        <f>IFERROR(__xludf.DUMMYFUNCTION("""COMPUTED_VALUE"""),5.70056378971E11)</f>
        <v>570056378971</v>
      </c>
      <c r="E563" s="10" t="str">
        <f>IFERROR(__xludf.DUMMYFUNCTION("""COMPUTED_VALUE""")," তাহাজউদ্দীন বিশ্বাস ")</f>
        <v> তাহাজউদ্দীন বিশ্বাস </v>
      </c>
      <c r="F563" s="10" t="str">
        <f>IFERROR(__xludf.DUMMYFUNCTION("""COMPUTED_VALUE""")," মোছা: করিমন নেছা ")</f>
        <v> মোছা: করিমন নেছা </v>
      </c>
      <c r="G563" s="10" t="str">
        <f>IFERROR(__xludf.DUMMYFUNCTION("""COMPUTED_VALUE""")," ১১/০৭/১৯৬২ ")</f>
        <v> ১১/০৭/১৯৬২ </v>
      </c>
      <c r="H563" s="10" t="str">
        <f>IFERROR(__xludf.DUMMYFUNCTION("""COMPUTED_VALUE""")," গৃহিনী ")</f>
        <v> গৃহিনী </v>
      </c>
      <c r="I563" s="10" t="str">
        <f>IFERROR(__xludf.DUMMYFUNCTION("""COMPUTED_VALUE""")," জালশুকা, গাংনী, মেহেরপুর ")</f>
        <v> জালশুকা, গাংনী, মেহেরপুর </v>
      </c>
    </row>
    <row r="564">
      <c r="A564" s="9" t="s">
        <v>3262</v>
      </c>
      <c r="B564" s="10">
        <f>IFERROR(__xludf.DUMMYFUNCTION("SPLIT(A564,""|"")"),549.0)</f>
        <v>549</v>
      </c>
      <c r="C564" s="10" t="str">
        <f>IFERROR(__xludf.DUMMYFUNCTION("""COMPUTED_VALUE""")," মোছা: আনজিরা খাতুন ")</f>
        <v> মোছা: আনজিরা খাতুন </v>
      </c>
      <c r="D564" s="10">
        <f>IFERROR(__xludf.DUMMYFUNCTION("""COMPUTED_VALUE"""),5.70056378973E11)</f>
        <v>570056378973</v>
      </c>
      <c r="E564" s="10" t="str">
        <f>IFERROR(__xludf.DUMMYFUNCTION("""COMPUTED_VALUE""")," মোঃ শাহাম্মদ মন্ডল ")</f>
        <v> মোঃ শাহাম্মদ মন্ডল </v>
      </c>
      <c r="F564" s="10" t="str">
        <f>IFERROR(__xludf.DUMMYFUNCTION("""COMPUTED_VALUE""")," মোছা: পানছুরা খাতুন ")</f>
        <v> মোছা: পানছুরা খাতুন </v>
      </c>
      <c r="G564" s="10" t="str">
        <f>IFERROR(__xludf.DUMMYFUNCTION("""COMPUTED_VALUE""")," ১৪/০৬/১৯৭০ ")</f>
        <v> ১৪/০৬/১৯৭০ </v>
      </c>
      <c r="H564" s="10" t="str">
        <f>IFERROR(__xludf.DUMMYFUNCTION("""COMPUTED_VALUE""")," গৃহিনী ")</f>
        <v> গৃহিনী </v>
      </c>
      <c r="I564" s="10" t="str">
        <f>IFERROR(__xludf.DUMMYFUNCTION("""COMPUTED_VALUE""")," জালশুকা, গাংনী, মেহেরপুর ")</f>
        <v> জালশুকা, গাংনী, মেহেরপুর </v>
      </c>
    </row>
    <row r="565">
      <c r="A565" s="9" t="s">
        <v>3263</v>
      </c>
      <c r="B565" s="10">
        <f>IFERROR(__xludf.DUMMYFUNCTION("SPLIT(A565,""|"")"),550.0)</f>
        <v>550</v>
      </c>
      <c r="C565" s="10" t="str">
        <f>IFERROR(__xludf.DUMMYFUNCTION("""COMPUTED_VALUE""")," মোছা: মেরিনা খাতুন ")</f>
        <v> মোছা: মেরিনা খাতুন </v>
      </c>
      <c r="D565" s="10">
        <f>IFERROR(__xludf.DUMMYFUNCTION("""COMPUTED_VALUE"""),5.70056378974E11)</f>
        <v>570056378974</v>
      </c>
      <c r="E565" s="10" t="str">
        <f>IFERROR(__xludf.DUMMYFUNCTION("""COMPUTED_VALUE""")," মোঃ নবিরুদ্দীন ")</f>
        <v> মোঃ নবিরুদ্দীন </v>
      </c>
      <c r="F565" s="10" t="str">
        <f>IFERROR(__xludf.DUMMYFUNCTION("""COMPUTED_VALUE""")," মোছা: জোসনা খাতুন ")</f>
        <v> মোছা: জোসনা খাতুন </v>
      </c>
      <c r="G565" s="10" t="str">
        <f>IFERROR(__xludf.DUMMYFUNCTION("""COMPUTED_VALUE""")," ০৩/০৩/১৯৮৫ ")</f>
        <v> ০৩/০৩/১৯৮৫ </v>
      </c>
      <c r="H565" s="10" t="str">
        <f>IFERROR(__xludf.DUMMYFUNCTION("""COMPUTED_VALUE""")," গৃহিনী ")</f>
        <v> গৃহিনী </v>
      </c>
      <c r="I565" s="10" t="str">
        <f>IFERROR(__xludf.DUMMYFUNCTION("""COMPUTED_VALUE""")," জালশুকা, গাংনী, মেহেরপুর ")</f>
        <v> জালশুকা, গাংনী, মেহেরপুর </v>
      </c>
    </row>
    <row r="566">
      <c r="A566" s="9" t="s">
        <v>3264</v>
      </c>
      <c r="B566" s="10">
        <f>IFERROR(__xludf.DUMMYFUNCTION("SPLIT(A566,""|"")"),551.0)</f>
        <v>551</v>
      </c>
      <c r="C566" s="10" t="str">
        <f>IFERROR(__xludf.DUMMYFUNCTION("""COMPUTED_VALUE""")," মোছা: রোকেয়া খাতুন ")</f>
        <v> মোছা: রোকেয়া খাতুন </v>
      </c>
      <c r="D566" s="10">
        <f>IFERROR(__xludf.DUMMYFUNCTION("""COMPUTED_VALUE"""),5.70056378975E11)</f>
        <v>570056378975</v>
      </c>
      <c r="E566" s="10" t="str">
        <f>IFERROR(__xludf.DUMMYFUNCTION("""COMPUTED_VALUE""")," বয়ান মন্ডল ")</f>
        <v> বয়ান মন্ডল </v>
      </c>
      <c r="F566" s="10" t="str">
        <f>IFERROR(__xludf.DUMMYFUNCTION("""COMPUTED_VALUE""")," মোছা: করিমন নেছা ")</f>
        <v> মোছা: করিমন নেছা </v>
      </c>
      <c r="G566" s="10" t="str">
        <f>IFERROR(__xludf.DUMMYFUNCTION("""COMPUTED_VALUE""")," ০৬/০৯/১৯৬১ ")</f>
        <v> ০৬/০৯/১৯৬১ </v>
      </c>
      <c r="H566" s="10" t="str">
        <f>IFERROR(__xludf.DUMMYFUNCTION("""COMPUTED_VALUE""")," গৃহিনী ")</f>
        <v> গৃহিনী </v>
      </c>
      <c r="I566" s="10" t="str">
        <f>IFERROR(__xludf.DUMMYFUNCTION("""COMPUTED_VALUE""")," জালশুকা, গাংনী, মেহেরপুর ")</f>
        <v> জালশুকা, গাংনী, মেহেরপুর </v>
      </c>
    </row>
    <row r="567">
      <c r="A567" s="9" t="s">
        <v>3265</v>
      </c>
      <c r="B567" s="10">
        <f>IFERROR(__xludf.DUMMYFUNCTION("SPLIT(A567,""|"")"),552.0)</f>
        <v>552</v>
      </c>
      <c r="C567" s="10" t="str">
        <f>IFERROR(__xludf.DUMMYFUNCTION("""COMPUTED_VALUE""")," মোছা: রেফেজা খাতুন ")</f>
        <v> মোছা: রেফেজা খাতুন </v>
      </c>
      <c r="D567" s="10">
        <f>IFERROR(__xludf.DUMMYFUNCTION("""COMPUTED_VALUE"""),5.70056378976E11)</f>
        <v>570056378976</v>
      </c>
      <c r="E567" s="10" t="str">
        <f>IFERROR(__xludf.DUMMYFUNCTION("""COMPUTED_VALUE""")," মোঃ ছিয়ামত আলী ")</f>
        <v> মোঃ ছিয়ামত আলী </v>
      </c>
      <c r="F567" s="10" t="str">
        <f>IFERROR(__xludf.DUMMYFUNCTION("""COMPUTED_VALUE""")," মোছা: ছুরাতন নেছা ")</f>
        <v> মোছা: ছুরাতন নেছা </v>
      </c>
      <c r="G567" s="10" t="str">
        <f>IFERROR(__xludf.DUMMYFUNCTION("""COMPUTED_VALUE""")," ২৫/০৪/১৯৭২ ")</f>
        <v> ২৫/০৪/১৯৭২ </v>
      </c>
      <c r="H567" s="10" t="str">
        <f>IFERROR(__xludf.DUMMYFUNCTION("""COMPUTED_VALUE""")," গৃহিনী ")</f>
        <v> গৃহিনী </v>
      </c>
      <c r="I567" s="10" t="str">
        <f>IFERROR(__xludf.DUMMYFUNCTION("""COMPUTED_VALUE""")," জালশুকা, গাংনী, মেহেরপুর ")</f>
        <v> জালশুকা, গাংনী, মেহেরপুর </v>
      </c>
    </row>
    <row r="568">
      <c r="A568" s="9" t="s">
        <v>3266</v>
      </c>
      <c r="B568" s="10">
        <f>IFERROR(__xludf.DUMMYFUNCTION("SPLIT(A568,""|"")"),553.0)</f>
        <v>553</v>
      </c>
      <c r="C568" s="10" t="str">
        <f>IFERROR(__xludf.DUMMYFUNCTION("""COMPUTED_VALUE""")," মোছা: পিনজিরা খাতুন ")</f>
        <v> মোছা: পিনজিরা খাতুন </v>
      </c>
      <c r="D568" s="10">
        <f>IFERROR(__xludf.DUMMYFUNCTION("""COMPUTED_VALUE"""),5.70056378978E11)</f>
        <v>570056378978</v>
      </c>
      <c r="E568" s="10" t="str">
        <f>IFERROR(__xludf.DUMMYFUNCTION("""COMPUTED_VALUE""")," মোঃ ইবাদত মন্ডল ")</f>
        <v> মোঃ ইবাদত মন্ডল </v>
      </c>
      <c r="F568" s="10" t="str">
        <f>IFERROR(__xludf.DUMMYFUNCTION("""COMPUTED_VALUE""")," মোছা: রসুলা খাতুন ")</f>
        <v> মোছা: রসুলা খাতুন </v>
      </c>
      <c r="G568" s="10" t="str">
        <f>IFERROR(__xludf.DUMMYFUNCTION("""COMPUTED_VALUE""")," ০৬/০৮/১৯৬৯ ")</f>
        <v> ০৬/০৮/১৯৬৯ </v>
      </c>
      <c r="H568" s="10" t="str">
        <f>IFERROR(__xludf.DUMMYFUNCTION("""COMPUTED_VALUE""")," গৃহিনী ")</f>
        <v> গৃহিনী </v>
      </c>
      <c r="I568" s="10" t="str">
        <f>IFERROR(__xludf.DUMMYFUNCTION("""COMPUTED_VALUE""")," জালশুকা, গাংনী, মেহেরপুর ")</f>
        <v> জালশুকা, গাংনী, মেহেরপুর </v>
      </c>
    </row>
    <row r="569">
      <c r="A569" s="9" t="s">
        <v>3267</v>
      </c>
      <c r="B569" s="10">
        <f>IFERROR(__xludf.DUMMYFUNCTION("SPLIT(A569,""|"")"),554.0)</f>
        <v>554</v>
      </c>
      <c r="C569" s="10" t="str">
        <f>IFERROR(__xludf.DUMMYFUNCTION("""COMPUTED_VALUE""")," মোছা: বানিয়ারা ")</f>
        <v> মোছা: বানিয়ারা </v>
      </c>
      <c r="D569" s="10">
        <f>IFERROR(__xludf.DUMMYFUNCTION("""COMPUTED_VALUE"""),5.70056378982E11)</f>
        <v>570056378982</v>
      </c>
      <c r="E569" s="10" t="str">
        <f>IFERROR(__xludf.DUMMYFUNCTION("""COMPUTED_VALUE""")," মোঃ আলফাজউদ্দীন ")</f>
        <v> মোঃ আলফাজউদ্দীন </v>
      </c>
      <c r="F569" s="10" t="str">
        <f>IFERROR(__xludf.DUMMYFUNCTION("""COMPUTED_VALUE""")," মোছা: হারেলা খাতুন ")</f>
        <v> মোছা: হারেলা খাতুন </v>
      </c>
      <c r="G569" s="10" t="str">
        <f>IFERROR(__xludf.DUMMYFUNCTION("""COMPUTED_VALUE""")," ১৬/০৯/১৯৭৫ ")</f>
        <v> ১৬/০৯/১৯৭৫ </v>
      </c>
      <c r="H569" s="10" t="str">
        <f>IFERROR(__xludf.DUMMYFUNCTION("""COMPUTED_VALUE""")," গৃহিনী ")</f>
        <v> গৃহিনী </v>
      </c>
      <c r="I569" s="10" t="str">
        <f>IFERROR(__xludf.DUMMYFUNCTION("""COMPUTED_VALUE""")," জালশুকা, গাংনী, মেহেরপুর ")</f>
        <v> জালশুকা, গাংনী, মেহেরপুর </v>
      </c>
    </row>
    <row r="570">
      <c r="A570" s="9" t="s">
        <v>3268</v>
      </c>
      <c r="B570" s="10">
        <f>IFERROR(__xludf.DUMMYFUNCTION("SPLIT(A570,""|"")"),555.0)</f>
        <v>555</v>
      </c>
      <c r="C570" s="10" t="str">
        <f>IFERROR(__xludf.DUMMYFUNCTION("""COMPUTED_VALUE""")," মাইগ্রেট হয়েছে ")</f>
        <v> মাইগ্রেট হয়েছে </v>
      </c>
      <c r="D570" s="10" t="str">
        <f>IFERROR(__xludf.DUMMYFUNCTION("""COMPUTED_VALUE"""),"  ")</f>
        <v>  </v>
      </c>
      <c r="E570" s="10" t="str">
        <f>IFERROR(__xludf.DUMMYFUNCTION("""COMPUTED_VALUE"""),"  ")</f>
        <v>  </v>
      </c>
      <c r="F570" s="10" t="str">
        <f>IFERROR(__xludf.DUMMYFUNCTION("""COMPUTED_VALUE"""),"  ")</f>
        <v>  </v>
      </c>
      <c r="G570" s="10" t="str">
        <f>IFERROR(__xludf.DUMMYFUNCTION("""COMPUTED_VALUE"""),"  ")</f>
        <v>  </v>
      </c>
      <c r="H570" s="10" t="str">
        <f>IFERROR(__xludf.DUMMYFUNCTION("""COMPUTED_VALUE"""),"  ")</f>
        <v>  </v>
      </c>
      <c r="I570" s="10" t="str">
        <f>IFERROR(__xludf.DUMMYFUNCTION("""COMPUTED_VALUE"""),"  ")</f>
        <v>  </v>
      </c>
    </row>
    <row r="571">
      <c r="A571" s="9" t="s">
        <v>3269</v>
      </c>
      <c r="B571" s="10">
        <f>IFERROR(__xludf.DUMMYFUNCTION("SPLIT(A571,""|"")"),556.0)</f>
        <v>556</v>
      </c>
      <c r="C571" s="10" t="str">
        <f>IFERROR(__xludf.DUMMYFUNCTION("""COMPUTED_VALUE""")," মোছাঃ ছবেদা খাতুন ")</f>
        <v> মোছাঃ ছবেদা খাতুন </v>
      </c>
      <c r="D571" s="10">
        <f>IFERROR(__xludf.DUMMYFUNCTION("""COMPUTED_VALUE"""),5.70056378984E11)</f>
        <v>570056378984</v>
      </c>
      <c r="E571" s="10" t="str">
        <f>IFERROR(__xludf.DUMMYFUNCTION("""COMPUTED_VALUE""")," তফসের বিশ্বাস ")</f>
        <v> তফসের বিশ্বাস </v>
      </c>
      <c r="F571" s="10" t="str">
        <f>IFERROR(__xludf.DUMMYFUNCTION("""COMPUTED_VALUE""")," মোছাঃ নির্মল বিবি ")</f>
        <v> মোছাঃ নির্মল বিবি </v>
      </c>
      <c r="G571" s="10" t="str">
        <f>IFERROR(__xludf.DUMMYFUNCTION("""COMPUTED_VALUE""")," ২১/০৫/১৯৭৭ ")</f>
        <v> ২১/০৫/১৯৭৭ </v>
      </c>
      <c r="H571" s="10" t="str">
        <f>IFERROR(__xludf.DUMMYFUNCTION("""COMPUTED_VALUE""")," গৃহিণী ")</f>
        <v> গৃহিণী </v>
      </c>
      <c r="I571" s="10" t="str">
        <f>IFERROR(__xludf.DUMMYFUNCTION("""COMPUTED_VALUE""")," জালশুকা, গাংনী, মেহেরপুর ")</f>
        <v> জালশুকা, গাংনী, মেহেরপুর </v>
      </c>
    </row>
    <row r="572">
      <c r="A572" s="9" t="s">
        <v>3270</v>
      </c>
      <c r="B572" s="10">
        <f>IFERROR(__xludf.DUMMYFUNCTION("SPLIT(A572,""|"")"),557.0)</f>
        <v>557</v>
      </c>
      <c r="C572" s="10" t="str">
        <f>IFERROR(__xludf.DUMMYFUNCTION("""COMPUTED_VALUE""")," মোছাঃ হোসনেয়ারা বেগম ")</f>
        <v> মোছাঃ হোসনেয়ারা বেগম </v>
      </c>
      <c r="D572" s="10">
        <f>IFERROR(__xludf.DUMMYFUNCTION("""COMPUTED_VALUE"""),5.70056378985E11)</f>
        <v>570056378985</v>
      </c>
      <c r="E572" s="10" t="str">
        <f>IFERROR(__xludf.DUMMYFUNCTION("""COMPUTED_VALUE""")," আফজাল হোসেন ")</f>
        <v> আফজাল হোসেন </v>
      </c>
      <c r="F572" s="10" t="str">
        <f>IFERROR(__xludf.DUMMYFUNCTION("""COMPUTED_VALUE""")," মোছাঃ ছালেহা খাতুন ")</f>
        <v> মোছাঃ ছালেহা খাতুন </v>
      </c>
      <c r="G572" s="10" t="str">
        <f>IFERROR(__xludf.DUMMYFUNCTION("""COMPUTED_VALUE""")," ১০/০৩/১৯৬০ ")</f>
        <v> ১০/০৩/১৯৬০ </v>
      </c>
      <c r="H572" s="10" t="str">
        <f>IFERROR(__xludf.DUMMYFUNCTION("""COMPUTED_VALUE""")," গৃহিণী ")</f>
        <v> গৃহিণী </v>
      </c>
      <c r="I572" s="10" t="str">
        <f>IFERROR(__xludf.DUMMYFUNCTION("""COMPUTED_VALUE""")," জালশুকা, গাংনী, মেহেরপুর ")</f>
        <v> জালশুকা, গাংনী, মেহেরপুর </v>
      </c>
    </row>
    <row r="573">
      <c r="A573" s="9" t="s">
        <v>3271</v>
      </c>
      <c r="B573" s="10">
        <f>IFERROR(__xludf.DUMMYFUNCTION("SPLIT(A573,""|"")"),558.0)</f>
        <v>558</v>
      </c>
      <c r="C573" s="10" t="str">
        <f>IFERROR(__xludf.DUMMYFUNCTION("""COMPUTED_VALUE""")," মোছাঃ রাশিদা খাতুন ")</f>
        <v> মোছাঃ রাশিদা খাতুন </v>
      </c>
      <c r="D573" s="10">
        <f>IFERROR(__xludf.DUMMYFUNCTION("""COMPUTED_VALUE"""),5.70056378986E11)</f>
        <v>570056378986</v>
      </c>
      <c r="E573" s="10" t="str">
        <f>IFERROR(__xludf.DUMMYFUNCTION("""COMPUTED_VALUE""")," শুকুর আলী ")</f>
        <v> শুকুর আলী </v>
      </c>
      <c r="F573" s="10" t="str">
        <f>IFERROR(__xludf.DUMMYFUNCTION("""COMPUTED_VALUE""")," মোছাঃ ছপুরা খাতুন ")</f>
        <v> মোছাঃ ছপুরা খাতুন </v>
      </c>
      <c r="G573" s="10" t="str">
        <f>IFERROR(__xludf.DUMMYFUNCTION("""COMPUTED_VALUE""")," ১৯/১০/১৯৮২ ")</f>
        <v> ১৯/১০/১৯৮২ </v>
      </c>
      <c r="H573" s="10" t="str">
        <f>IFERROR(__xludf.DUMMYFUNCTION("""COMPUTED_VALUE""")," গৃহিণী ")</f>
        <v> গৃহিণী </v>
      </c>
      <c r="I573" s="10" t="str">
        <f>IFERROR(__xludf.DUMMYFUNCTION("""COMPUTED_VALUE""")," জালশুকা, গাংনী, মেহেরপুর ")</f>
        <v> জালশুকা, গাংনী, মেহেরপুর </v>
      </c>
    </row>
    <row r="574">
      <c r="A574" s="9" t="s">
        <v>3272</v>
      </c>
      <c r="B574" s="10">
        <f>IFERROR(__xludf.DUMMYFUNCTION("SPLIT(A574,""|"")"),559.0)</f>
        <v>559</v>
      </c>
      <c r="C574" s="10" t="str">
        <f>IFERROR(__xludf.DUMMYFUNCTION("""COMPUTED_VALUE""")," মোছাঃ কামরুন্নাহার ")</f>
        <v> মোছাঃ কামরুন্নাহার </v>
      </c>
      <c r="D574" s="10">
        <f>IFERROR(__xludf.DUMMYFUNCTION("""COMPUTED_VALUE"""),5.70056378988E11)</f>
        <v>570056378988</v>
      </c>
      <c r="E574" s="10" t="str">
        <f>IFERROR(__xludf.DUMMYFUNCTION("""COMPUTED_VALUE""")," মোঃ ইউনুস আলি ")</f>
        <v> মোঃ ইউনুস আলি </v>
      </c>
      <c r="F574" s="10" t="str">
        <f>IFERROR(__xludf.DUMMYFUNCTION("""COMPUTED_VALUE""")," মোছাঃ হোসনেয়ারা ")</f>
        <v> মোছাঃ হোসনেয়ারা </v>
      </c>
      <c r="G574" s="10" t="str">
        <f>IFERROR(__xludf.DUMMYFUNCTION("""COMPUTED_VALUE""")," ০১/০১/১৯৮৮ ")</f>
        <v> ০১/০১/১৯৮৮ </v>
      </c>
      <c r="H574" s="10" t="str">
        <f>IFERROR(__xludf.DUMMYFUNCTION("""COMPUTED_VALUE""")," গৃহিণী ")</f>
        <v> গৃহিণী </v>
      </c>
      <c r="I574" s="10" t="str">
        <f>IFERROR(__xludf.DUMMYFUNCTION("""COMPUTED_VALUE""")," জালশুকা, গাংনী, মেহেরপুর ")</f>
        <v> জালশুকা, গাংনী, মেহেরপুর </v>
      </c>
    </row>
    <row r="575">
      <c r="A575" s="9" t="s">
        <v>3273</v>
      </c>
      <c r="B575" s="10">
        <f>IFERROR(__xludf.DUMMYFUNCTION("SPLIT(A575,""|"")"),560.0)</f>
        <v>560</v>
      </c>
      <c r="C575" s="10" t="str">
        <f>IFERROR(__xludf.DUMMYFUNCTION("""COMPUTED_VALUE""")," মোছাঃ কপুরা খাতুন ")</f>
        <v> মোছাঃ কপুরা খাতুন </v>
      </c>
      <c r="D575" s="10">
        <f>IFERROR(__xludf.DUMMYFUNCTION("""COMPUTED_VALUE"""),5.70056378992E11)</f>
        <v>570056378992</v>
      </c>
      <c r="E575" s="10" t="str">
        <f>IFERROR(__xludf.DUMMYFUNCTION("""COMPUTED_VALUE""")," মো: জমিরদ্দিন ")</f>
        <v> মো: জমিরদ্দিন </v>
      </c>
      <c r="F575" s="10" t="str">
        <f>IFERROR(__xludf.DUMMYFUNCTION("""COMPUTED_VALUE""")," মোছাঃ হাসিয়া খাতুন ")</f>
        <v> মোছাঃ হাসিয়া খাতুন </v>
      </c>
      <c r="G575" s="10" t="str">
        <f>IFERROR(__xludf.DUMMYFUNCTION("""COMPUTED_VALUE""")," ২৬/১০/১৯৭১ ")</f>
        <v> ২৬/১০/১৯৭১ </v>
      </c>
      <c r="H575" s="10" t="str">
        <f>IFERROR(__xludf.DUMMYFUNCTION("""COMPUTED_VALUE""")," গৃহিণী ")</f>
        <v> গৃহিণী </v>
      </c>
      <c r="I575" s="10" t="str">
        <f>IFERROR(__xludf.DUMMYFUNCTION("""COMPUTED_VALUE""")," জালশুকা, গাংনী, মেহেরপুর ")</f>
        <v> জালশুকা, গাংনী, মেহেরপুর </v>
      </c>
    </row>
    <row r="576">
      <c r="A576" s="9" t="s">
        <v>3274</v>
      </c>
      <c r="B576" s="10">
        <f>IFERROR(__xludf.DUMMYFUNCTION("SPLIT(A576,""|"")"),561.0)</f>
        <v>561</v>
      </c>
      <c r="C576" s="10" t="str">
        <f>IFERROR(__xludf.DUMMYFUNCTION("""COMPUTED_VALUE""")," মোছাঃ মরিয়ম খাতুন ")</f>
        <v> মোছাঃ মরিয়ম খাতুন </v>
      </c>
      <c r="D576" s="10">
        <f>IFERROR(__xludf.DUMMYFUNCTION("""COMPUTED_VALUE"""),5.70056378994E11)</f>
        <v>570056378994</v>
      </c>
      <c r="E576" s="10" t="str">
        <f>IFERROR(__xludf.DUMMYFUNCTION("""COMPUTED_VALUE""")," রহিম বকশ ")</f>
        <v> রহিম বকশ </v>
      </c>
      <c r="F576" s="10" t="str">
        <f>IFERROR(__xludf.DUMMYFUNCTION("""COMPUTED_VALUE""")," কমেলা খাতুন ")</f>
        <v> কমেলা খাতুন </v>
      </c>
      <c r="G576" s="10" t="str">
        <f>IFERROR(__xludf.DUMMYFUNCTION("""COMPUTED_VALUE""")," ০৩/০৪/১৯৬০ ")</f>
        <v> ০৩/০৪/১৯৬০ </v>
      </c>
      <c r="H576" s="10" t="str">
        <f>IFERROR(__xludf.DUMMYFUNCTION("""COMPUTED_VALUE""")," গৃহিণী ")</f>
        <v> গৃহিণী </v>
      </c>
      <c r="I576" s="10" t="str">
        <f>IFERROR(__xludf.DUMMYFUNCTION("""COMPUTED_VALUE""")," জালশুকা, গাংনী, মেহেরপুর ")</f>
        <v> জালশুকা, গাংনী, মেহেরপুর </v>
      </c>
    </row>
    <row r="577">
      <c r="A577" s="9" t="s">
        <v>3275</v>
      </c>
      <c r="B577" s="10">
        <f>IFERROR(__xludf.DUMMYFUNCTION("SPLIT(A577,""|"")"),562.0)</f>
        <v>562</v>
      </c>
      <c r="C577" s="10" t="str">
        <f>IFERROR(__xludf.DUMMYFUNCTION("""COMPUTED_VALUE""")," মোছাঃ আছিয়া খাতুন ")</f>
        <v> মোছাঃ আছিয়া খাতুন </v>
      </c>
      <c r="D577" s="10">
        <f>IFERROR(__xludf.DUMMYFUNCTION("""COMPUTED_VALUE"""),5.70056378996E11)</f>
        <v>570056378996</v>
      </c>
      <c r="E577" s="10" t="str">
        <f>IFERROR(__xludf.DUMMYFUNCTION("""COMPUTED_VALUE""")," আলতাফ হোসেন ")</f>
        <v> আলতাফ হোসেন </v>
      </c>
      <c r="F577" s="10" t="str">
        <f>IFERROR(__xludf.DUMMYFUNCTION("""COMPUTED_VALUE""")," মোছাঃ আমিনা খাতুন ")</f>
        <v> মোছাঃ আমিনা খাতুন </v>
      </c>
      <c r="G577" s="10" t="str">
        <f>IFERROR(__xludf.DUMMYFUNCTION("""COMPUTED_VALUE""")," ০২/০৩/১৯৪৭ ")</f>
        <v> ০২/০৩/১৯৪৭ </v>
      </c>
      <c r="H577" s="10" t="str">
        <f>IFERROR(__xludf.DUMMYFUNCTION("""COMPUTED_VALUE""")," গৃহিণী ")</f>
        <v> গৃহিণী </v>
      </c>
      <c r="I577" s="10" t="str">
        <f>IFERROR(__xludf.DUMMYFUNCTION("""COMPUTED_VALUE""")," জালশুকা, গাংনী, মেহেরপুর ")</f>
        <v> জালশুকা, গাংনী, মেহেরপুর </v>
      </c>
    </row>
    <row r="578">
      <c r="A578" s="9" t="s">
        <v>3276</v>
      </c>
      <c r="B578" s="10">
        <f>IFERROR(__xludf.DUMMYFUNCTION("SPLIT(A578,""|"")"),563.0)</f>
        <v>563</v>
      </c>
      <c r="C578" s="10" t="str">
        <f>IFERROR(__xludf.DUMMYFUNCTION("""COMPUTED_VALUE""")," মোছাঃ নিলুফা খাতুন ")</f>
        <v> মোছাঃ নিলুফা খাতুন </v>
      </c>
      <c r="D578" s="10">
        <f>IFERROR(__xludf.DUMMYFUNCTION("""COMPUTED_VALUE"""),5.70056378997E11)</f>
        <v>570056378997</v>
      </c>
      <c r="E578" s="10" t="str">
        <f>IFERROR(__xludf.DUMMYFUNCTION("""COMPUTED_VALUE""")," মো: দবিরউদ্দীন ")</f>
        <v> মো: দবিরউদ্দীন </v>
      </c>
      <c r="F578" s="10" t="str">
        <f>IFERROR(__xludf.DUMMYFUNCTION("""COMPUTED_VALUE""")," মোছাঃ বানুয়ারা ")</f>
        <v> মোছাঃ বানুয়ারা </v>
      </c>
      <c r="G578" s="10" t="str">
        <f>IFERROR(__xludf.DUMMYFUNCTION("""COMPUTED_VALUE""")," ০৪/০৫/১৯৭৮ ")</f>
        <v> ০৪/০৫/১৯৭৮ </v>
      </c>
      <c r="H578" s="10" t="str">
        <f>IFERROR(__xludf.DUMMYFUNCTION("""COMPUTED_VALUE""")," গৃহিণী ")</f>
        <v> গৃহিণী </v>
      </c>
      <c r="I578" s="10" t="str">
        <f>IFERROR(__xludf.DUMMYFUNCTION("""COMPUTED_VALUE""")," জালশুকা, গাংনী, মেহেরপুর ")</f>
        <v> জালশুকা, গাংনী, মেহেরপুর </v>
      </c>
    </row>
    <row r="579">
      <c r="A579" s="9" t="s">
        <v>3277</v>
      </c>
      <c r="B579" s="10">
        <f>IFERROR(__xludf.DUMMYFUNCTION("SPLIT(A579,""|"")"),564.0)</f>
        <v>564</v>
      </c>
      <c r="C579" s="10" t="str">
        <f>IFERROR(__xludf.DUMMYFUNCTION("""COMPUTED_VALUE""")," মোছাঃ মাজেদা খাতুন ")</f>
        <v> মোছাঃ মাজেদা খাতুন </v>
      </c>
      <c r="D579" s="10">
        <f>IFERROR(__xludf.DUMMYFUNCTION("""COMPUTED_VALUE"""),5.70056378998E11)</f>
        <v>570056378998</v>
      </c>
      <c r="E579" s="10" t="str">
        <f>IFERROR(__xludf.DUMMYFUNCTION("""COMPUTED_VALUE""")," মো: সুয়ত আলি ")</f>
        <v> মো: সুয়ত আলি </v>
      </c>
      <c r="F579" s="10" t="str">
        <f>IFERROR(__xludf.DUMMYFUNCTION("""COMPUTED_VALUE""")," মোছাঃ বানুয়ারা ")</f>
        <v> মোছাঃ বানুয়ারা </v>
      </c>
      <c r="G579" s="10" t="str">
        <f>IFERROR(__xludf.DUMMYFUNCTION("""COMPUTED_VALUE""")," ০২/০৫/১৯৭৫ ")</f>
        <v> ০২/০৫/১৯৭৫ </v>
      </c>
      <c r="H579" s="10" t="str">
        <f>IFERROR(__xludf.DUMMYFUNCTION("""COMPUTED_VALUE""")," গৃহিণী ")</f>
        <v> গৃহিণী </v>
      </c>
      <c r="I579" s="10" t="str">
        <f>IFERROR(__xludf.DUMMYFUNCTION("""COMPUTED_VALUE""")," জালশুকা, গাংনী, মেহেরপুর ")</f>
        <v> জালশুকা, গাংনী, মেহেরপুর </v>
      </c>
    </row>
    <row r="580">
      <c r="A580" s="9" t="s">
        <v>3278</v>
      </c>
      <c r="B580" s="10">
        <f>IFERROR(__xludf.DUMMYFUNCTION("SPLIT(A580,""|"")"),565.0)</f>
        <v>565</v>
      </c>
      <c r="C580" s="10" t="str">
        <f>IFERROR(__xludf.DUMMYFUNCTION("""COMPUTED_VALUE""")," মোছাঃ শাহনাজ পারভীন ")</f>
        <v> মোছাঃ শাহনাজ পারভীন </v>
      </c>
      <c r="D580" s="10">
        <f>IFERROR(__xludf.DUMMYFUNCTION("""COMPUTED_VALUE"""),5.70056244633E11)</f>
        <v>570056244633</v>
      </c>
      <c r="E580" s="10" t="str">
        <f>IFERROR(__xludf.DUMMYFUNCTION("""COMPUTED_VALUE""")," মো: জাবেদ মন্ডল ")</f>
        <v> মো: জাবেদ মন্ডল </v>
      </c>
      <c r="F580" s="10" t="str">
        <f>IFERROR(__xludf.DUMMYFUNCTION("""COMPUTED_VALUE""")," মোছাঃ সায়েদা বেগম ")</f>
        <v> মোছাঃ সায়েদা বেগম </v>
      </c>
      <c r="G580" s="10" t="str">
        <f>IFERROR(__xludf.DUMMYFUNCTION("""COMPUTED_VALUE""")," ২১/০২/১৯৮২ ")</f>
        <v> ২১/০২/১৯৮২ </v>
      </c>
      <c r="H580" s="10" t="str">
        <f>IFERROR(__xludf.DUMMYFUNCTION("""COMPUTED_VALUE""")," গৃহিণী ")</f>
        <v> গৃহিণী </v>
      </c>
      <c r="I580" s="10" t="str">
        <f>IFERROR(__xludf.DUMMYFUNCTION("""COMPUTED_VALUE""")," জালশুকা, গাংনী, মেহেরপুর ")</f>
        <v> জালশুকা, গাংনী, মেহেরপুর </v>
      </c>
    </row>
    <row r="581">
      <c r="A581" s="9" t="s">
        <v>3279</v>
      </c>
      <c r="B581" s="10">
        <f>IFERROR(__xludf.DUMMYFUNCTION("SPLIT(A581,""|"")"),566.0)</f>
        <v>566</v>
      </c>
      <c r="C581" s="10" t="str">
        <f>IFERROR(__xludf.DUMMYFUNCTION("""COMPUTED_VALUE""")," মোছাঃ পারভীনা খাতুন ")</f>
        <v> মোছাঃ পারভীনা খাতুন </v>
      </c>
      <c r="D581" s="10">
        <f>IFERROR(__xludf.DUMMYFUNCTION("""COMPUTED_VALUE"""),5.70056000002E11)</f>
        <v>570056000002</v>
      </c>
      <c r="E581" s="10" t="str">
        <f>IFERROR(__xludf.DUMMYFUNCTION("""COMPUTED_VALUE""")," মো: বজলুর রহমান ")</f>
        <v> মো: বজলুর রহমান </v>
      </c>
      <c r="F581" s="10" t="str">
        <f>IFERROR(__xludf.DUMMYFUNCTION("""COMPUTED_VALUE""")," মোছাঃ অফরোজা খাতুন ")</f>
        <v> মোছাঃ অফরোজা খাতুন </v>
      </c>
      <c r="G581" s="10" t="str">
        <f>IFERROR(__xludf.DUMMYFUNCTION("""COMPUTED_VALUE""")," ০১/০৬/১৯৮০ ")</f>
        <v> ০১/০৬/১৯৮০ </v>
      </c>
      <c r="H581" s="10" t="str">
        <f>IFERROR(__xludf.DUMMYFUNCTION("""COMPUTED_VALUE""")," গৃহিণী ")</f>
        <v> গৃহিণী </v>
      </c>
      <c r="I581" s="10" t="str">
        <f>IFERROR(__xludf.DUMMYFUNCTION("""COMPUTED_VALUE""")," জালশুকা, গাংনী, মেহেরপুর ")</f>
        <v> জালশুকা, গাংনী, মেহেরপুর </v>
      </c>
    </row>
    <row r="582">
      <c r="A582" s="9" t="s">
        <v>3280</v>
      </c>
      <c r="B582" s="10">
        <f>IFERROR(__xludf.DUMMYFUNCTION("SPLIT(A582,""|"")"),567.0)</f>
        <v>567</v>
      </c>
      <c r="C582" s="10" t="str">
        <f>IFERROR(__xludf.DUMMYFUNCTION("""COMPUTED_VALUE""")," মোছাঃ হালিমা খাতুন ")</f>
        <v> মোছাঃ হালিমা খাতুন </v>
      </c>
      <c r="D582" s="10">
        <f>IFERROR(__xludf.DUMMYFUNCTION("""COMPUTED_VALUE"""),5.70056000003E11)</f>
        <v>570056000003</v>
      </c>
      <c r="E582" s="10" t="str">
        <f>IFERROR(__xludf.DUMMYFUNCTION("""COMPUTED_VALUE""")," মো: আব্দুল আলিম ")</f>
        <v> মো: আব্দুল আলিম </v>
      </c>
      <c r="F582" s="10" t="str">
        <f>IFERROR(__xludf.DUMMYFUNCTION("""COMPUTED_VALUE""")," মোছাঃ ফিরোজা বেগম ")</f>
        <v> মোছাঃ ফিরোজা বেগম </v>
      </c>
      <c r="G582" s="10" t="str">
        <f>IFERROR(__xludf.DUMMYFUNCTION("""COMPUTED_VALUE""")," ৩০/০১/১৯৯০ ")</f>
        <v> ৩০/০১/১৯৯০ </v>
      </c>
      <c r="H582" s="10" t="str">
        <f>IFERROR(__xludf.DUMMYFUNCTION("""COMPUTED_VALUE""")," গৃহিণী ")</f>
        <v> গৃহিণী </v>
      </c>
      <c r="I582" s="10" t="str">
        <f>IFERROR(__xludf.DUMMYFUNCTION("""COMPUTED_VALUE""")," জালশুকা, গাংনী, মেহেরপুর ")</f>
        <v> জালশুকা, গাংনী, মেহেরপুর </v>
      </c>
    </row>
    <row r="583">
      <c r="A583" s="9" t="s">
        <v>3281</v>
      </c>
      <c r="B583" s="10">
        <f>IFERROR(__xludf.DUMMYFUNCTION("SPLIT(A583,""|"")"),568.0)</f>
        <v>568</v>
      </c>
      <c r="C583" s="10" t="str">
        <f>IFERROR(__xludf.DUMMYFUNCTION("""COMPUTED_VALUE""")," মোছাঃ রুনা নাসরিন ")</f>
        <v> মোছাঃ রুনা নাসরিন </v>
      </c>
      <c r="D583" s="10">
        <f>IFERROR(__xludf.DUMMYFUNCTION("""COMPUTED_VALUE"""),5.70056000004E11)</f>
        <v>570056000004</v>
      </c>
      <c r="E583" s="10" t="str">
        <f>IFERROR(__xludf.DUMMYFUNCTION("""COMPUTED_VALUE""")," মো: আনছার আলী ")</f>
        <v> মো: আনছার আলী </v>
      </c>
      <c r="F583" s="10" t="str">
        <f>IFERROR(__xludf.DUMMYFUNCTION("""COMPUTED_VALUE""")," মোছাঃ জরিনা খাতুন ")</f>
        <v> মোছাঃ জরিনা খাতুন </v>
      </c>
      <c r="G583" s="10" t="str">
        <f>IFERROR(__xludf.DUMMYFUNCTION("""COMPUTED_VALUE""")," ০১/০১/১৯৮৯ ")</f>
        <v> ০১/০১/১৯৮৯ </v>
      </c>
      <c r="H583" s="10" t="str">
        <f>IFERROR(__xludf.DUMMYFUNCTION("""COMPUTED_VALUE""")," গৃহিণী ")</f>
        <v> গৃহিণী </v>
      </c>
      <c r="I583" s="10" t="str">
        <f>IFERROR(__xludf.DUMMYFUNCTION("""COMPUTED_VALUE""")," জালশুকা, গাংনী, মেহেরপুর ")</f>
        <v> জালশুকা, গাংনী, মেহেরপুর </v>
      </c>
    </row>
    <row r="584">
      <c r="A584" s="9" t="s">
        <v>3282</v>
      </c>
      <c r="B584" s="10">
        <f>IFERROR(__xludf.DUMMYFUNCTION("SPLIT(A584,""|"")"),569.0)</f>
        <v>569</v>
      </c>
      <c r="C584" s="10" t="str">
        <f>IFERROR(__xludf.DUMMYFUNCTION("""COMPUTED_VALUE""")," মোছাঃ কামরুন্নাহার ")</f>
        <v> মোছাঃ কামরুন্নাহার </v>
      </c>
      <c r="D584" s="10">
        <f>IFERROR(__xludf.DUMMYFUNCTION("""COMPUTED_VALUE"""),5.70056000005E11)</f>
        <v>570056000005</v>
      </c>
      <c r="E584" s="10" t="str">
        <f>IFERROR(__xludf.DUMMYFUNCTION("""COMPUTED_VALUE""")," মো: মহির উদ্দীন মন্ডল ")</f>
        <v> মো: মহির উদ্দীন মন্ডল </v>
      </c>
      <c r="F584" s="10" t="str">
        <f>IFERROR(__xludf.DUMMYFUNCTION("""COMPUTED_VALUE""")," মোছাঃ নুরজাহান বেগম ")</f>
        <v> মোছাঃ নুরজাহান বেগম </v>
      </c>
      <c r="G584" s="10" t="str">
        <f>IFERROR(__xludf.DUMMYFUNCTION("""COMPUTED_VALUE""")," ১০/১২/১৯৯০ ")</f>
        <v> ১০/১২/১৯৯০ </v>
      </c>
      <c r="H584" s="10" t="str">
        <f>IFERROR(__xludf.DUMMYFUNCTION("""COMPUTED_VALUE""")," ছাত্র/ছাত্রী ")</f>
        <v> ছাত্র/ছাত্রী </v>
      </c>
      <c r="I584" s="10" t="str">
        <f>IFERROR(__xludf.DUMMYFUNCTION("""COMPUTED_VALUE""")," জালশুকা, গাংনী, মেহেরপুর ")</f>
        <v> জালশুকা, গাংনী, মেহেরপুর </v>
      </c>
    </row>
    <row r="585">
      <c r="A585" s="9" t="s">
        <v>3283</v>
      </c>
      <c r="B585" s="10">
        <f>IFERROR(__xludf.DUMMYFUNCTION("SPLIT(A585,""|"")"),570.0)</f>
        <v>570</v>
      </c>
      <c r="C585" s="10" t="str">
        <f>IFERROR(__xludf.DUMMYFUNCTION("""COMPUTED_VALUE""")," মোছাঃ আংগুরা খাতুন ")</f>
        <v> মোছাঃ আংগুরা খাতুন </v>
      </c>
      <c r="D585" s="10">
        <f>IFERROR(__xludf.DUMMYFUNCTION("""COMPUTED_VALUE"""),5.70056000006E11)</f>
        <v>570056000006</v>
      </c>
      <c r="E585" s="10" t="str">
        <f>IFERROR(__xludf.DUMMYFUNCTION("""COMPUTED_VALUE""")," মো: অলেক মন্ডল ")</f>
        <v> মো: অলেক মন্ডল </v>
      </c>
      <c r="F585" s="10" t="str">
        <f>IFERROR(__xludf.DUMMYFUNCTION("""COMPUTED_VALUE""")," মোছাঃ তানজিরা খাতুন ")</f>
        <v> মোছাঃ তানজিরা খাতুন </v>
      </c>
      <c r="G585" s="10" t="str">
        <f>IFERROR(__xludf.DUMMYFUNCTION("""COMPUTED_VALUE""")," ১২/০১/১৯৭৫ ")</f>
        <v> ১২/০১/১৯৭৫ </v>
      </c>
      <c r="H585" s="10" t="str">
        <f>IFERROR(__xludf.DUMMYFUNCTION("""COMPUTED_VALUE""")," গৃহিণী ")</f>
        <v> গৃহিণী </v>
      </c>
      <c r="I585" s="10" t="str">
        <f>IFERROR(__xludf.DUMMYFUNCTION("""COMPUTED_VALUE""")," জালশুকা, গাংনী, মেহেরপুর ")</f>
        <v> জালশুকা, গাংনী, মেহেরপুর </v>
      </c>
    </row>
    <row r="586">
      <c r="A586" s="9" t="s">
        <v>3284</v>
      </c>
      <c r="B586" s="10">
        <f>IFERROR(__xludf.DUMMYFUNCTION("SPLIT(A586,""|"")"),571.0)</f>
        <v>571</v>
      </c>
      <c r="C586" s="10" t="str">
        <f>IFERROR(__xludf.DUMMYFUNCTION("""COMPUTED_VALUE""")," মাইগ্রেট হয়েছে ")</f>
        <v> মাইগ্রেট হয়েছে </v>
      </c>
      <c r="D586" s="10" t="str">
        <f>IFERROR(__xludf.DUMMYFUNCTION("""COMPUTED_VALUE"""),"  ")</f>
        <v>  </v>
      </c>
      <c r="E586" s="10" t="str">
        <f>IFERROR(__xludf.DUMMYFUNCTION("""COMPUTED_VALUE"""),"  ")</f>
        <v>  </v>
      </c>
      <c r="F586" s="10" t="str">
        <f>IFERROR(__xludf.DUMMYFUNCTION("""COMPUTED_VALUE"""),"  ")</f>
        <v>  </v>
      </c>
      <c r="G586" s="10" t="str">
        <f>IFERROR(__xludf.DUMMYFUNCTION("""COMPUTED_VALUE"""),"  ")</f>
        <v>  </v>
      </c>
      <c r="H586" s="10" t="str">
        <f>IFERROR(__xludf.DUMMYFUNCTION("""COMPUTED_VALUE"""),"  ")</f>
        <v>  </v>
      </c>
      <c r="I586" s="10" t="str">
        <f>IFERROR(__xludf.DUMMYFUNCTION("""COMPUTED_VALUE"""),"  ")</f>
        <v>  </v>
      </c>
    </row>
    <row r="587">
      <c r="A587" s="9" t="s">
        <v>3285</v>
      </c>
      <c r="B587" s="10">
        <f>IFERROR(__xludf.DUMMYFUNCTION("SPLIT(A587,""|"")"),572.0)</f>
        <v>572</v>
      </c>
      <c r="C587" s="10" t="str">
        <f>IFERROR(__xludf.DUMMYFUNCTION("""COMPUTED_VALUE""")," মোছাঃ ফজিলা খাতুন ")</f>
        <v> মোছাঃ ফজিলা খাতুন </v>
      </c>
      <c r="D587" s="10">
        <f>IFERROR(__xludf.DUMMYFUNCTION("""COMPUTED_VALUE"""),5.70056000008E11)</f>
        <v>570056000008</v>
      </c>
      <c r="E587" s="10" t="str">
        <f>IFERROR(__xludf.DUMMYFUNCTION("""COMPUTED_VALUE""")," মো: আবুল কাশেম ")</f>
        <v> মো: আবুল কাশেম </v>
      </c>
      <c r="F587" s="10" t="str">
        <f>IFERROR(__xludf.DUMMYFUNCTION("""COMPUTED_VALUE""")," মোছাঃ শহিদা খাতুন ")</f>
        <v> মোছাঃ শহিদা খাতুন </v>
      </c>
      <c r="G587" s="10" t="str">
        <f>IFERROR(__xludf.DUMMYFUNCTION("""COMPUTED_VALUE""")," ০১/০১/১৯৯০ ")</f>
        <v> ০১/০১/১৯৯০ </v>
      </c>
      <c r="H587" s="10" t="str">
        <f>IFERROR(__xludf.DUMMYFUNCTION("""COMPUTED_VALUE""")," গৃহিণী ")</f>
        <v> গৃহিণী </v>
      </c>
      <c r="I587" s="10" t="str">
        <f>IFERROR(__xludf.DUMMYFUNCTION("""COMPUTED_VALUE""")," জালশুকা, গাংনী, মেহেরপুর ")</f>
        <v> জালশুকা, গাংনী, মেহেরপুর </v>
      </c>
    </row>
    <row r="588">
      <c r="A588" s="9" t="s">
        <v>3286</v>
      </c>
      <c r="B588" s="10">
        <f>IFERROR(__xludf.DUMMYFUNCTION("SPLIT(A588,""|"")"),573.0)</f>
        <v>573</v>
      </c>
      <c r="C588" s="10" t="str">
        <f>IFERROR(__xludf.DUMMYFUNCTION("""COMPUTED_VALUE""")," মোছাঃ নাজমা খাতুন ")</f>
        <v> মোছাঃ নাজমা খাতুন </v>
      </c>
      <c r="D588" s="10">
        <f>IFERROR(__xludf.DUMMYFUNCTION("""COMPUTED_VALUE"""),5.70056000011E11)</f>
        <v>570056000011</v>
      </c>
      <c r="E588" s="10" t="str">
        <f>IFERROR(__xludf.DUMMYFUNCTION("""COMPUTED_VALUE""")," মো: আনছার আলী ")</f>
        <v> মো: আনছার আলী </v>
      </c>
      <c r="F588" s="10" t="str">
        <f>IFERROR(__xludf.DUMMYFUNCTION("""COMPUTED_VALUE""")," মোছাঃ অফরোজা খাতুন ")</f>
        <v> মোছাঃ অফরোজা খাতুন </v>
      </c>
      <c r="G588" s="10" t="str">
        <f>IFERROR(__xludf.DUMMYFUNCTION("""COMPUTED_VALUE""")," ০১/০৮/১৯৮৫ ")</f>
        <v> ০১/০৮/১৯৮৫ </v>
      </c>
      <c r="H588" s="10" t="str">
        <f>IFERROR(__xludf.DUMMYFUNCTION("""COMPUTED_VALUE""")," গৃহিণী ")</f>
        <v> গৃহিণী </v>
      </c>
      <c r="I588" s="10" t="str">
        <f>IFERROR(__xludf.DUMMYFUNCTION("""COMPUTED_VALUE""")," জালশুকা, গাংনী, মেহেরপুর ")</f>
        <v> জালশুকা, গাংনী, মেহেরপুর </v>
      </c>
    </row>
    <row r="589">
      <c r="A589" s="9" t="s">
        <v>3287</v>
      </c>
      <c r="B589" s="10">
        <f>IFERROR(__xludf.DUMMYFUNCTION("SPLIT(A589,""|"")"),574.0)</f>
        <v>574</v>
      </c>
      <c r="C589" s="10" t="str">
        <f>IFERROR(__xludf.DUMMYFUNCTION("""COMPUTED_VALUE""")," মোছাঃ শ্যামলী খাতুন ")</f>
        <v> মোছাঃ শ্যামলী খাতুন </v>
      </c>
      <c r="D589" s="10">
        <f>IFERROR(__xludf.DUMMYFUNCTION("""COMPUTED_VALUE"""),5.70056000015E11)</f>
        <v>570056000015</v>
      </c>
      <c r="E589" s="10" t="str">
        <f>IFERROR(__xludf.DUMMYFUNCTION("""COMPUTED_VALUE""")," মো: মহিবুল ইসলাম ")</f>
        <v> মো: মহিবুল ইসলাম </v>
      </c>
      <c r="F589" s="10" t="str">
        <f>IFERROR(__xludf.DUMMYFUNCTION("""COMPUTED_VALUE""")," মোছাঃ শিউলি খাতুন ")</f>
        <v> মোছাঃ শিউলি খাতুন </v>
      </c>
      <c r="G589" s="10" t="str">
        <f>IFERROR(__xludf.DUMMYFUNCTION("""COMPUTED_VALUE""")," ০৫/০৩/১৯৮৪ ")</f>
        <v> ০৫/০৩/১৯৮৪ </v>
      </c>
      <c r="H589" s="10" t="str">
        <f>IFERROR(__xludf.DUMMYFUNCTION("""COMPUTED_VALUE""")," গৃহিণী ")</f>
        <v> গৃহিণী </v>
      </c>
      <c r="I589" s="10" t="str">
        <f>IFERROR(__xludf.DUMMYFUNCTION("""COMPUTED_VALUE""")," জালশুকা, গাংনী, মেহেরপুর ")</f>
        <v> জালশুকা, গাংনী, মেহেরপুর </v>
      </c>
    </row>
    <row r="590">
      <c r="A590" s="9" t="s">
        <v>3288</v>
      </c>
      <c r="B590" s="10">
        <f>IFERROR(__xludf.DUMMYFUNCTION("SPLIT(A590,""|"")"),575.0)</f>
        <v>575</v>
      </c>
      <c r="C590" s="10" t="str">
        <f>IFERROR(__xludf.DUMMYFUNCTION("""COMPUTED_VALUE""")," মোছাঃ সোনিয়া খাতুন ")</f>
        <v> মোছাঃ সোনিয়া খাতুন </v>
      </c>
      <c r="D590" s="10">
        <f>IFERROR(__xludf.DUMMYFUNCTION("""COMPUTED_VALUE"""),5.70056000016E11)</f>
        <v>570056000016</v>
      </c>
      <c r="E590" s="10" t="str">
        <f>IFERROR(__xludf.DUMMYFUNCTION("""COMPUTED_VALUE""")," মো: বদর উদ্দিন ")</f>
        <v> মো: বদর উদ্দিন </v>
      </c>
      <c r="F590" s="10" t="str">
        <f>IFERROR(__xludf.DUMMYFUNCTION("""COMPUTED_VALUE""")," মোছাঃ সেলিনা বেগম ")</f>
        <v> মোছাঃ সেলিনা বেগম </v>
      </c>
      <c r="G590" s="10" t="str">
        <f>IFERROR(__xludf.DUMMYFUNCTION("""COMPUTED_VALUE""")," ০১/০১/১৯৮৯ ")</f>
        <v> ০১/০১/১৯৮৯ </v>
      </c>
      <c r="H590" s="10" t="str">
        <f>IFERROR(__xludf.DUMMYFUNCTION("""COMPUTED_VALUE""")," গৃহিণী ")</f>
        <v> গৃহিণী </v>
      </c>
      <c r="I590" s="10" t="str">
        <f>IFERROR(__xludf.DUMMYFUNCTION("""COMPUTED_VALUE""")," জালশুকা, গাংনী, মেহেরপুর ")</f>
        <v> জালশুকা, গাংনী, মেহেরপুর </v>
      </c>
    </row>
    <row r="591">
      <c r="A591" s="9" t="s">
        <v>3289</v>
      </c>
      <c r="B591" s="10">
        <f>IFERROR(__xludf.DUMMYFUNCTION("SPLIT(A591,""|"")"),576.0)</f>
        <v>576</v>
      </c>
      <c r="C591" s="10" t="str">
        <f>IFERROR(__xludf.DUMMYFUNCTION("""COMPUTED_VALUE""")," মোছাঃ মিশকুরা খাতুন ")</f>
        <v> মোছাঃ মিশকুরা খাতুন </v>
      </c>
      <c r="D591" s="10">
        <f>IFERROR(__xludf.DUMMYFUNCTION("""COMPUTED_VALUE"""),5.70056000022E11)</f>
        <v>570056000022</v>
      </c>
      <c r="E591" s="10" t="str">
        <f>IFERROR(__xludf.DUMMYFUNCTION("""COMPUTED_VALUE""")," মো: আশাদুল ইসলাম ")</f>
        <v> মো: আশাদুল ইসলাম </v>
      </c>
      <c r="F591" s="10" t="str">
        <f>IFERROR(__xludf.DUMMYFUNCTION("""COMPUTED_VALUE""")," মোছাঃ কামরুন্নাহার ")</f>
        <v> মোছাঃ কামরুন্নাহার </v>
      </c>
      <c r="G591" s="10" t="str">
        <f>IFERROR(__xludf.DUMMYFUNCTION("""COMPUTED_VALUE""")," ১৭/০২/১৯৯০ ")</f>
        <v> ১৭/০২/১৯৯০ </v>
      </c>
      <c r="H591" s="10" t="str">
        <f>IFERROR(__xludf.DUMMYFUNCTION("""COMPUTED_VALUE""")," গৃহিণী ")</f>
        <v> গৃহিণী </v>
      </c>
      <c r="I591" s="10" t="str">
        <f>IFERROR(__xludf.DUMMYFUNCTION("""COMPUTED_VALUE""")," জালশুকা, গাংনী, মেহেরপুর ")</f>
        <v> জালশুকা, গাংনী, মেহেরপুর </v>
      </c>
    </row>
    <row r="592">
      <c r="A592" s="9" t="s">
        <v>3290</v>
      </c>
      <c r="B592" s="10">
        <f>IFERROR(__xludf.DUMMYFUNCTION("SPLIT(A592,""|"")"),577.0)</f>
        <v>577</v>
      </c>
      <c r="C592" s="10" t="str">
        <f>IFERROR(__xludf.DUMMYFUNCTION("""COMPUTED_VALUE""")," মোছাঃ জাহানারা খাতুন ")</f>
        <v> মোছাঃ জাহানারা খাতুন </v>
      </c>
      <c r="D592" s="10">
        <f>IFERROR(__xludf.DUMMYFUNCTION("""COMPUTED_VALUE"""),5.70056000029E11)</f>
        <v>570056000029</v>
      </c>
      <c r="E592" s="10" t="str">
        <f>IFERROR(__xludf.DUMMYFUNCTION("""COMPUTED_VALUE""")," ছিয়ামুদ্দিন মন্ডল ")</f>
        <v> ছিয়ামুদ্দিন মন্ডল </v>
      </c>
      <c r="F592" s="10" t="str">
        <f>IFERROR(__xludf.DUMMYFUNCTION("""COMPUTED_VALUE""")," মোছাঃ নিহারন খাতুন ")</f>
        <v> মোছাঃ নিহারন খাতুন </v>
      </c>
      <c r="G592" s="10" t="str">
        <f>IFERROR(__xludf.DUMMYFUNCTION("""COMPUTED_VALUE""")," ২৯/০৪/১৯৬৯ ")</f>
        <v> ২৯/০৪/১৯৬৯ </v>
      </c>
      <c r="H592" s="10" t="str">
        <f>IFERROR(__xludf.DUMMYFUNCTION("""COMPUTED_VALUE""")," গৃহিণী ")</f>
        <v> গৃহিণী </v>
      </c>
      <c r="I592" s="10" t="str">
        <f>IFERROR(__xludf.DUMMYFUNCTION("""COMPUTED_VALUE""")," জালশুকা, গাংনী, মেহেরপুর ")</f>
        <v> জালশুকা, গাংনী, মেহেরপুর </v>
      </c>
    </row>
    <row r="593">
      <c r="A593" s="9" t="s">
        <v>3291</v>
      </c>
      <c r="B593" s="10">
        <f>IFERROR(__xludf.DUMMYFUNCTION("SPLIT(A593,""|"")"),578.0)</f>
        <v>578</v>
      </c>
      <c r="C593" s="10" t="str">
        <f>IFERROR(__xludf.DUMMYFUNCTION("""COMPUTED_VALUE""")," মোছাঃ সামসুন্নাহার ")</f>
        <v> মোছাঃ সামসুন্নাহার </v>
      </c>
      <c r="D593" s="10">
        <f>IFERROR(__xludf.DUMMYFUNCTION("""COMPUTED_VALUE"""),5.70056000033E11)</f>
        <v>570056000033</v>
      </c>
      <c r="E593" s="10" t="str">
        <f>IFERROR(__xludf.DUMMYFUNCTION("""COMPUTED_VALUE""")," মো: বানারুল ইসলাম ")</f>
        <v> মো: বানারুল ইসলাম </v>
      </c>
      <c r="F593" s="10" t="str">
        <f>IFERROR(__xludf.DUMMYFUNCTION("""COMPUTED_VALUE""")," মোছাঃ রমেছা খাতুন ")</f>
        <v> মোছাঃ রমেছা খাতুন </v>
      </c>
      <c r="G593" s="10" t="str">
        <f>IFERROR(__xludf.DUMMYFUNCTION("""COMPUTED_VALUE""")," ০১/০৩/১৯৯০ ")</f>
        <v> ০১/০৩/১৯৯০ </v>
      </c>
      <c r="H593" s="10" t="str">
        <f>IFERROR(__xludf.DUMMYFUNCTION("""COMPUTED_VALUE""")," গৃহিণী ")</f>
        <v> গৃহিণী </v>
      </c>
      <c r="I593" s="10" t="str">
        <f>IFERROR(__xludf.DUMMYFUNCTION("""COMPUTED_VALUE""")," জালশুকা, গাংনী, মেহেরপুর ")</f>
        <v> জালশুকা, গাংনী, মেহেরপুর </v>
      </c>
    </row>
    <row r="594">
      <c r="A594" s="9" t="s">
        <v>3292</v>
      </c>
      <c r="B594" s="10">
        <f>IFERROR(__xludf.DUMMYFUNCTION("SPLIT(A594,""|"")"),579.0)</f>
        <v>579</v>
      </c>
      <c r="C594" s="10" t="str">
        <f>IFERROR(__xludf.DUMMYFUNCTION("""COMPUTED_VALUE""")," আখি তারা ")</f>
        <v> আখি তারা </v>
      </c>
      <c r="D594" s="10">
        <f>IFERROR(__xludf.DUMMYFUNCTION("""COMPUTED_VALUE"""),5.70056000037E11)</f>
        <v>570056000037</v>
      </c>
      <c r="E594" s="10" t="str">
        <f>IFERROR(__xludf.DUMMYFUNCTION("""COMPUTED_VALUE""")," হাবিবুর রহমান ")</f>
        <v> হাবিবুর রহমান </v>
      </c>
      <c r="F594" s="10" t="str">
        <f>IFERROR(__xludf.DUMMYFUNCTION("""COMPUTED_VALUE""")," জাহানারা খাতুন ")</f>
        <v> জাহানারা খাতুন </v>
      </c>
      <c r="G594" s="10" t="str">
        <f>IFERROR(__xludf.DUMMYFUNCTION("""COMPUTED_VALUE""")," ০৪/০৬/১৯৯০ ")</f>
        <v> ০৪/০৬/১৯৯০ </v>
      </c>
      <c r="H594" s="10" t="str">
        <f>IFERROR(__xludf.DUMMYFUNCTION("""COMPUTED_VALUE""")," গৃহিণী ")</f>
        <v> গৃহিণী </v>
      </c>
      <c r="I594" s="10" t="str">
        <f>IFERROR(__xludf.DUMMYFUNCTION("""COMPUTED_VALUE""")," জালশুকা, গাংনী, মেহেরপুর ")</f>
        <v> জালশুকা, গাংনী, মেহেরপুর </v>
      </c>
    </row>
    <row r="595">
      <c r="A595" s="9" t="s">
        <v>3293</v>
      </c>
      <c r="B595" s="10">
        <f>IFERROR(__xludf.DUMMYFUNCTION("SPLIT(A595,""|"")"),580.0)</f>
        <v>580</v>
      </c>
      <c r="C595" s="10" t="str">
        <f>IFERROR(__xludf.DUMMYFUNCTION("""COMPUTED_VALUE""")," মোছাঃ জোছনা খাতুন ")</f>
        <v> মোছাঃ জোছনা খাতুন </v>
      </c>
      <c r="D595" s="10">
        <f>IFERROR(__xludf.DUMMYFUNCTION("""COMPUTED_VALUE"""),5.70056000039E11)</f>
        <v>570056000039</v>
      </c>
      <c r="E595" s="10" t="str">
        <f>IFERROR(__xludf.DUMMYFUNCTION("""COMPUTED_VALUE""")," মো: সালাম ")</f>
        <v> মো: সালাম </v>
      </c>
      <c r="F595" s="10" t="str">
        <f>IFERROR(__xludf.DUMMYFUNCTION("""COMPUTED_VALUE""")," সেলিনা ")</f>
        <v> সেলিনা </v>
      </c>
      <c r="G595" s="10" t="str">
        <f>IFERROR(__xludf.DUMMYFUNCTION("""COMPUTED_VALUE""")," ১০/০৮/১৯৮৮ ")</f>
        <v> ১০/০৮/১৯৮৮ </v>
      </c>
      <c r="H595" s="10" t="str">
        <f>IFERROR(__xludf.DUMMYFUNCTION("""COMPUTED_VALUE""")," গৃহিণী ")</f>
        <v> গৃহিণী </v>
      </c>
      <c r="I595" s="10" t="str">
        <f>IFERROR(__xludf.DUMMYFUNCTION("""COMPUTED_VALUE""")," জালশুকা, গাংনী, মেহেরপুর ")</f>
        <v> জালশুকা, গাংনী, মেহেরপুর </v>
      </c>
    </row>
    <row r="596">
      <c r="A596" s="9" t="s">
        <v>3294</v>
      </c>
      <c r="B596" s="10">
        <f>IFERROR(__xludf.DUMMYFUNCTION("SPLIT(A596,""|"")"),581.0)</f>
        <v>581</v>
      </c>
      <c r="C596" s="10" t="str">
        <f>IFERROR(__xludf.DUMMYFUNCTION("""COMPUTED_VALUE""")," মোছাঃ নারগীচ ")</f>
        <v> মোছাঃ নারগীচ </v>
      </c>
      <c r="D596" s="10">
        <f>IFERROR(__xludf.DUMMYFUNCTION("""COMPUTED_VALUE"""),5.7005600004E11)</f>
        <v>570056000040</v>
      </c>
      <c r="E596" s="10" t="str">
        <f>IFERROR(__xludf.DUMMYFUNCTION("""COMPUTED_VALUE""")," আমিরুল ইসলাম ")</f>
        <v> আমিরুল ইসলাম </v>
      </c>
      <c r="F596" s="10" t="str">
        <f>IFERROR(__xludf.DUMMYFUNCTION("""COMPUTED_VALUE""")," জরিনা খাতুন ")</f>
        <v> জরিনা খাতুন </v>
      </c>
      <c r="G596" s="10" t="str">
        <f>IFERROR(__xludf.DUMMYFUNCTION("""COMPUTED_VALUE""")," ১০/০৬/১৯৯১ ")</f>
        <v> ১০/০৬/১৯৯১ </v>
      </c>
      <c r="H596" s="10" t="str">
        <f>IFERROR(__xludf.DUMMYFUNCTION("""COMPUTED_VALUE""")," গৃহিণী ")</f>
        <v> গৃহিণী </v>
      </c>
      <c r="I596" s="10" t="str">
        <f>IFERROR(__xludf.DUMMYFUNCTION("""COMPUTED_VALUE""")," জালশুকা, গাংনী, মেহেরপুর ")</f>
        <v> জালশুকা, গাংনী, মেহেরপুর </v>
      </c>
    </row>
    <row r="597">
      <c r="A597" s="9" t="s">
        <v>3295</v>
      </c>
      <c r="B597" s="10">
        <f>IFERROR(__xludf.DUMMYFUNCTION("SPLIT(A597,""|"")"),582.0)</f>
        <v>582</v>
      </c>
      <c r="C597" s="10" t="str">
        <f>IFERROR(__xludf.DUMMYFUNCTION("""COMPUTED_VALUE""")," মুন্নি মালা ")</f>
        <v> মুন্নি মালা </v>
      </c>
      <c r="D597" s="10">
        <f>IFERROR(__xludf.DUMMYFUNCTION("""COMPUTED_VALUE"""),5.70056000048E11)</f>
        <v>570056000048</v>
      </c>
      <c r="E597" s="10" t="str">
        <f>IFERROR(__xludf.DUMMYFUNCTION("""COMPUTED_VALUE""")," আ: মান্নান ")</f>
        <v> আ: মান্নান </v>
      </c>
      <c r="F597" s="10" t="str">
        <f>IFERROR(__xludf.DUMMYFUNCTION("""COMPUTED_VALUE""")," জামেলা ")</f>
        <v> জামেলা </v>
      </c>
      <c r="G597" s="10" t="str">
        <f>IFERROR(__xludf.DUMMYFUNCTION("""COMPUTED_VALUE""")," ২৫/১১/১৯৯০ ")</f>
        <v> ২৫/১১/১৯৯০ </v>
      </c>
      <c r="H597" s="10" t="str">
        <f>IFERROR(__xludf.DUMMYFUNCTION("""COMPUTED_VALUE""")," গৃহিণী ")</f>
        <v> গৃহিণী </v>
      </c>
      <c r="I597" s="10" t="str">
        <f>IFERROR(__xludf.DUMMYFUNCTION("""COMPUTED_VALUE""")," জালশুকা, গাংনী, মেহেরপুর ")</f>
        <v> জালশুকা, গাংনী, মেহেরপুর </v>
      </c>
    </row>
    <row r="598">
      <c r="A598" s="9" t="s">
        <v>3296</v>
      </c>
      <c r="B598" s="10">
        <f>IFERROR(__xludf.DUMMYFUNCTION("SPLIT(A598,""|"")"),583.0)</f>
        <v>583</v>
      </c>
      <c r="C598" s="10" t="str">
        <f>IFERROR(__xludf.DUMMYFUNCTION("""COMPUTED_VALUE""")," মোছাঃ ছনিয়া খাতুন ")</f>
        <v> মোছাঃ ছনিয়া খাতুন </v>
      </c>
      <c r="D598" s="10">
        <f>IFERROR(__xludf.DUMMYFUNCTION("""COMPUTED_VALUE"""),5.70056000055E11)</f>
        <v>570056000055</v>
      </c>
      <c r="E598" s="10" t="str">
        <f>IFERROR(__xludf.DUMMYFUNCTION("""COMPUTED_VALUE""")," মো: অসমত আলী ")</f>
        <v> মো: অসমত আলী </v>
      </c>
      <c r="F598" s="10" t="str">
        <f>IFERROR(__xludf.DUMMYFUNCTION("""COMPUTED_VALUE""")," মোছাঃ জাহানারা খাতুন ")</f>
        <v> মোছাঃ জাহানারা খাতুন </v>
      </c>
      <c r="G598" s="10" t="str">
        <f>IFERROR(__xludf.DUMMYFUNCTION("""COMPUTED_VALUE""")," ০১/০১/১৯৯২ ")</f>
        <v> ০১/০১/১৯৯২ </v>
      </c>
      <c r="H598" s="10" t="str">
        <f>IFERROR(__xludf.DUMMYFUNCTION("""COMPUTED_VALUE""")," গৃহিণী ")</f>
        <v> গৃহিণী </v>
      </c>
      <c r="I598" s="10" t="str">
        <f>IFERROR(__xludf.DUMMYFUNCTION("""COMPUTED_VALUE""")," জালশুকা, গাংনী, মেহেরপুর ")</f>
        <v> জালশুকা, গাংনী, মেহেরপুর </v>
      </c>
    </row>
    <row r="599">
      <c r="A599" s="9" t="s">
        <v>3297</v>
      </c>
      <c r="B599" s="10">
        <f>IFERROR(__xludf.DUMMYFUNCTION("SPLIT(A599,""|"")"),584.0)</f>
        <v>584</v>
      </c>
      <c r="C599" s="10" t="str">
        <f>IFERROR(__xludf.DUMMYFUNCTION("""COMPUTED_VALUE""")," খদেজান ")</f>
        <v> খদেজান </v>
      </c>
      <c r="D599" s="10">
        <f>IFERROR(__xludf.DUMMYFUNCTION("""COMPUTED_VALUE"""),5.70056000062E11)</f>
        <v>570056000062</v>
      </c>
      <c r="E599" s="10" t="str">
        <f>IFERROR(__xludf.DUMMYFUNCTION("""COMPUTED_VALUE""")," আ: মজিদ ")</f>
        <v> আ: মজিদ </v>
      </c>
      <c r="F599" s="10" t="str">
        <f>IFERROR(__xludf.DUMMYFUNCTION("""COMPUTED_VALUE""")," ছরজান ")</f>
        <v> ছরজান </v>
      </c>
      <c r="G599" s="10" t="str">
        <f>IFERROR(__xludf.DUMMYFUNCTION("""COMPUTED_VALUE""")," ১৭/০৫/১৯৪৭ ")</f>
        <v> ১৭/০৫/১৯৪৭ </v>
      </c>
      <c r="H599" s="10" t="str">
        <f>IFERROR(__xludf.DUMMYFUNCTION("""COMPUTED_VALUE""")," গৃহিণী ")</f>
        <v> গৃহিণী </v>
      </c>
      <c r="I599" s="10" t="str">
        <f>IFERROR(__xludf.DUMMYFUNCTION("""COMPUTED_VALUE""")," জালশুকা, গাংনী, মেহেরপুর ")</f>
        <v> জালশুকা, গাংনী, মেহেরপুর </v>
      </c>
    </row>
    <row r="600">
      <c r="A600" s="9" t="s">
        <v>3298</v>
      </c>
      <c r="B600" s="10">
        <f>IFERROR(__xludf.DUMMYFUNCTION("SPLIT(A600,""|"")"),585.0)</f>
        <v>585</v>
      </c>
      <c r="C600" s="10" t="str">
        <f>IFERROR(__xludf.DUMMYFUNCTION("""COMPUTED_VALUE""")," মোছাঃ নজেরা খাতুন ")</f>
        <v> মোছাঃ নজেরা খাতুন </v>
      </c>
      <c r="D600" s="10">
        <f>IFERROR(__xludf.DUMMYFUNCTION("""COMPUTED_VALUE"""),5.70056000065E11)</f>
        <v>570056000065</v>
      </c>
      <c r="E600" s="10" t="str">
        <f>IFERROR(__xludf.DUMMYFUNCTION("""COMPUTED_VALUE""")," মো: রেজাউল হক ")</f>
        <v> মো: রেজাউল হক </v>
      </c>
      <c r="F600" s="10" t="str">
        <f>IFERROR(__xludf.DUMMYFUNCTION("""COMPUTED_VALUE""")," সুন্দরী খাতুন ")</f>
        <v> সুন্দরী খাতুন </v>
      </c>
      <c r="G600" s="10" t="str">
        <f>IFERROR(__xludf.DUMMYFUNCTION("""COMPUTED_VALUE""")," ২৩/০৫/১৯৯০ ")</f>
        <v> ২৩/০৫/১৯৯০ </v>
      </c>
      <c r="H600" s="10" t="str">
        <f>IFERROR(__xludf.DUMMYFUNCTION("""COMPUTED_VALUE""")," গৃহিণী ")</f>
        <v> গৃহিণী </v>
      </c>
      <c r="I600" s="10" t="str">
        <f>IFERROR(__xludf.DUMMYFUNCTION("""COMPUTED_VALUE""")," শানঘাট, গাংনী, মেহেরপুর ")</f>
        <v> শানঘাট, গাংনী, মেহেরপুর </v>
      </c>
    </row>
    <row r="601">
      <c r="A601" s="9" t="s">
        <v>3299</v>
      </c>
      <c r="B601" s="10">
        <f>IFERROR(__xludf.DUMMYFUNCTION("SPLIT(A601,""|"")"),586.0)</f>
        <v>586</v>
      </c>
      <c r="C601" s="10" t="str">
        <f>IFERROR(__xludf.DUMMYFUNCTION("""COMPUTED_VALUE""")," মেঘনা খাতুন ")</f>
        <v> মেঘনা খাতুন </v>
      </c>
      <c r="D601" s="10">
        <f>IFERROR(__xludf.DUMMYFUNCTION("""COMPUTED_VALUE"""),5.70056000067E11)</f>
        <v>570056000067</v>
      </c>
      <c r="E601" s="10" t="str">
        <f>IFERROR(__xludf.DUMMYFUNCTION("""COMPUTED_VALUE""")," নজরুল ইসলাম ")</f>
        <v> নজরুল ইসলাম </v>
      </c>
      <c r="F601" s="10" t="str">
        <f>IFERROR(__xludf.DUMMYFUNCTION("""COMPUTED_VALUE""")," ফেরদৌস ")</f>
        <v> ফেরদৌস </v>
      </c>
      <c r="G601" s="10" t="str">
        <f>IFERROR(__xludf.DUMMYFUNCTION("""COMPUTED_VALUE""")," ০১/০৩/১৯৮৯ ")</f>
        <v> ০১/০৩/১৯৮৯ </v>
      </c>
      <c r="H601" s="10" t="str">
        <f>IFERROR(__xludf.DUMMYFUNCTION("""COMPUTED_VALUE""")," গৃহিণী ")</f>
        <v> গৃহিণী </v>
      </c>
      <c r="I601" s="10" t="str">
        <f>IFERROR(__xludf.DUMMYFUNCTION("""COMPUTED_VALUE""")," জালশুকা, গাংনী, মেহেরপুর ")</f>
        <v> জালশুকা, গাংনী, মেহেরপুর </v>
      </c>
    </row>
    <row r="602">
      <c r="A602" s="9" t="s">
        <v>3300</v>
      </c>
      <c r="B602" s="10">
        <f>IFERROR(__xludf.DUMMYFUNCTION("SPLIT(A602,""|"")"),587.0)</f>
        <v>587</v>
      </c>
      <c r="C602" s="10" t="str">
        <f>IFERROR(__xludf.DUMMYFUNCTION("""COMPUTED_VALUE""")," রোজিনা খাতুন ")</f>
        <v> রোজিনা খাতুন </v>
      </c>
      <c r="D602" s="10">
        <f>IFERROR(__xludf.DUMMYFUNCTION("""COMPUTED_VALUE"""),5.70056000073E11)</f>
        <v>570056000073</v>
      </c>
      <c r="E602" s="10" t="str">
        <f>IFERROR(__xludf.DUMMYFUNCTION("""COMPUTED_VALUE""")," তৈয়ব আলী ")</f>
        <v> তৈয়ব আলী </v>
      </c>
      <c r="F602" s="10" t="str">
        <f>IFERROR(__xludf.DUMMYFUNCTION("""COMPUTED_VALUE""")," সাহার বানু ")</f>
        <v> সাহার বানু </v>
      </c>
      <c r="G602" s="10" t="str">
        <f>IFERROR(__xludf.DUMMYFUNCTION("""COMPUTED_VALUE""")," ১০/০৭/১৯৮৭ ")</f>
        <v> ১০/০৭/১৯৮৭ </v>
      </c>
      <c r="H602" s="10" t="str">
        <f>IFERROR(__xludf.DUMMYFUNCTION("""COMPUTED_VALUE""")," গৃহিণী ")</f>
        <v> গৃহিণী </v>
      </c>
      <c r="I602" s="10" t="str">
        <f>IFERROR(__xludf.DUMMYFUNCTION("""COMPUTED_VALUE""")," জালশুকা, গাংনী, মেহেরপুর ")</f>
        <v> জালশুকা, গাংনী, মেহেরপুর </v>
      </c>
    </row>
    <row r="603">
      <c r="A603" s="9" t="s">
        <v>3301</v>
      </c>
      <c r="B603" s="10">
        <f>IFERROR(__xludf.DUMMYFUNCTION("SPLIT(A603,""|"")"),588.0)</f>
        <v>588</v>
      </c>
      <c r="C603" s="10" t="str">
        <f>IFERROR(__xludf.DUMMYFUNCTION("""COMPUTED_VALUE""")," মোছাঃ কুলসুম খাতুন ")</f>
        <v> মোছাঃ কুলসুম খাতুন </v>
      </c>
      <c r="D603" s="10">
        <f>IFERROR(__xludf.DUMMYFUNCTION("""COMPUTED_VALUE"""),5.70056000074E11)</f>
        <v>570056000074</v>
      </c>
      <c r="E603" s="10" t="str">
        <f>IFERROR(__xludf.DUMMYFUNCTION("""COMPUTED_VALUE""")," আজিল ")</f>
        <v> আজিল </v>
      </c>
      <c r="F603" s="10" t="str">
        <f>IFERROR(__xludf.DUMMYFUNCTION("""COMPUTED_VALUE""")," হাওয়া ")</f>
        <v> হাওয়া </v>
      </c>
      <c r="G603" s="10" t="str">
        <f>IFERROR(__xludf.DUMMYFUNCTION("""COMPUTED_VALUE""")," ২৬/০৩/১৯৭৪ ")</f>
        <v> ২৬/০৩/১৯৭৪ </v>
      </c>
      <c r="H603" s="10" t="str">
        <f>IFERROR(__xludf.DUMMYFUNCTION("""COMPUTED_VALUE""")," গৃহিণী ")</f>
        <v> গৃহিণী </v>
      </c>
      <c r="I603" s="10" t="str">
        <f>IFERROR(__xludf.DUMMYFUNCTION("""COMPUTED_VALUE""")," জালশুকা, গাংনী, মেহেরপুর ")</f>
        <v> জালশুকা, গাংনী, মেহেরপুর </v>
      </c>
    </row>
    <row r="604">
      <c r="A604" s="9" t="s">
        <v>3302</v>
      </c>
      <c r="B604" s="10">
        <f>IFERROR(__xludf.DUMMYFUNCTION("SPLIT(A604,""|"")"),589.0)</f>
        <v>589</v>
      </c>
      <c r="C604" s="10" t="str">
        <f>IFERROR(__xludf.DUMMYFUNCTION("""COMPUTED_VALUE""")," মুসলিমা ")</f>
        <v> মুসলিমা </v>
      </c>
      <c r="D604" s="10">
        <f>IFERROR(__xludf.DUMMYFUNCTION("""COMPUTED_VALUE"""),5.70056000075E11)</f>
        <v>570056000075</v>
      </c>
      <c r="E604" s="10" t="str">
        <f>IFERROR(__xludf.DUMMYFUNCTION("""COMPUTED_VALUE""")," মোশাররফ হোসেন ")</f>
        <v> মোশাররফ হোসেন </v>
      </c>
      <c r="F604" s="10" t="str">
        <f>IFERROR(__xludf.DUMMYFUNCTION("""COMPUTED_VALUE""")," রিনা খাতুন ")</f>
        <v> রিনা খাতুন </v>
      </c>
      <c r="G604" s="10" t="str">
        <f>IFERROR(__xludf.DUMMYFUNCTION("""COMPUTED_VALUE""")," ১০/১০/১৯৮৯ ")</f>
        <v> ১০/১০/১৯৮৯ </v>
      </c>
      <c r="H604" s="10" t="str">
        <f>IFERROR(__xludf.DUMMYFUNCTION("""COMPUTED_VALUE""")," গৃহিণী ")</f>
        <v> গৃহিণী </v>
      </c>
      <c r="I604" s="10" t="str">
        <f>IFERROR(__xludf.DUMMYFUNCTION("""COMPUTED_VALUE""")," জালশুকা, গাংনী, মেহেরপুর ")</f>
        <v> জালশুকা, গাংনী, মেহেরপুর </v>
      </c>
    </row>
    <row r="605">
      <c r="A605" s="9" t="s">
        <v>3303</v>
      </c>
      <c r="B605" s="10">
        <f>IFERROR(__xludf.DUMMYFUNCTION("SPLIT(A605,""|"")"),590.0)</f>
        <v>590</v>
      </c>
      <c r="C605" s="10" t="str">
        <f>IFERROR(__xludf.DUMMYFUNCTION("""COMPUTED_VALUE""")," মোছাঃ রূপালী খাতুন ")</f>
        <v> মোছাঃ রূপালী খাতুন </v>
      </c>
      <c r="D605" s="10">
        <f>IFERROR(__xludf.DUMMYFUNCTION("""COMPUTED_VALUE"""),5.70056000076E11)</f>
        <v>570056000076</v>
      </c>
      <c r="E605" s="10" t="str">
        <f>IFERROR(__xludf.DUMMYFUNCTION("""COMPUTED_VALUE""")," মো: ইলিয়াছ হোসেন ")</f>
        <v> মো: ইলিয়াছ হোসেন </v>
      </c>
      <c r="F605" s="10" t="str">
        <f>IFERROR(__xludf.DUMMYFUNCTION("""COMPUTED_VALUE""")," মায়ারাণী ")</f>
        <v> মায়ারাণী </v>
      </c>
      <c r="G605" s="10" t="str">
        <f>IFERROR(__xludf.DUMMYFUNCTION("""COMPUTED_VALUE""")," ০১/০৬/১৯৮৭ ")</f>
        <v> ০১/০৬/১৯৮৭ </v>
      </c>
      <c r="H605" s="10" t="str">
        <f>IFERROR(__xludf.DUMMYFUNCTION("""COMPUTED_VALUE""")," গৃহিণী ")</f>
        <v> গৃহিণী </v>
      </c>
      <c r="I605" s="10" t="str">
        <f>IFERROR(__xludf.DUMMYFUNCTION("""COMPUTED_VALUE""")," জালশুকা, গাংনী, মেহেরপুর ")</f>
        <v> জালশুকা, গাংনী, মেহেরপুর </v>
      </c>
    </row>
    <row r="606">
      <c r="A606" s="9" t="s">
        <v>3304</v>
      </c>
      <c r="B606" s="10">
        <f>IFERROR(__xludf.DUMMYFUNCTION("SPLIT(A606,""|"")"),591.0)</f>
        <v>591</v>
      </c>
      <c r="C606" s="10" t="str">
        <f>IFERROR(__xludf.DUMMYFUNCTION("""COMPUTED_VALUE""")," শিল্পীয়ারা খাতুন ")</f>
        <v> শিল্পীয়ারা খাতুন </v>
      </c>
      <c r="D606" s="10">
        <f>IFERROR(__xludf.DUMMYFUNCTION("""COMPUTED_VALUE"""),5.70056000081E11)</f>
        <v>570056000081</v>
      </c>
      <c r="E606" s="10" t="str">
        <f>IFERROR(__xludf.DUMMYFUNCTION("""COMPUTED_VALUE""")," তিজার আলী ")</f>
        <v> তিজার আলী </v>
      </c>
      <c r="F606" s="10" t="str">
        <f>IFERROR(__xludf.DUMMYFUNCTION("""COMPUTED_VALUE""")," রাহিমা খাতুন ")</f>
        <v> রাহিমা খাতুন </v>
      </c>
      <c r="G606" s="10" t="str">
        <f>IFERROR(__xludf.DUMMYFUNCTION("""COMPUTED_VALUE""")," ০১/০৪/১৯৯১ ")</f>
        <v> ০১/০৪/১৯৯১ </v>
      </c>
      <c r="H606" s="10" t="str">
        <f>IFERROR(__xludf.DUMMYFUNCTION("""COMPUTED_VALUE""")," গৃহিণী ")</f>
        <v> গৃহিণী </v>
      </c>
      <c r="I606" s="10" t="str">
        <f>IFERROR(__xludf.DUMMYFUNCTION("""COMPUTED_VALUE""")," জালশুকা, গাংনী, মেহেরপুর ")</f>
        <v> জালশুকা, গাংনী, মেহেরপুর </v>
      </c>
    </row>
    <row r="607">
      <c r="A607" s="9" t="s">
        <v>3305</v>
      </c>
      <c r="B607" s="10">
        <f>IFERROR(__xludf.DUMMYFUNCTION("SPLIT(A607,""|"")"),592.0)</f>
        <v>592</v>
      </c>
      <c r="C607" s="10" t="str">
        <f>IFERROR(__xludf.DUMMYFUNCTION("""COMPUTED_VALUE""")," মোছাঃ রাবিয়া খাতুন ")</f>
        <v> মোছাঃ রাবিয়া খাতুন </v>
      </c>
      <c r="D607" s="10">
        <f>IFERROR(__xludf.DUMMYFUNCTION("""COMPUTED_VALUE"""),5.70056000082E11)</f>
        <v>570056000082</v>
      </c>
      <c r="E607" s="10" t="str">
        <f>IFERROR(__xludf.DUMMYFUNCTION("""COMPUTED_VALUE""")," দাউদ আলী ")</f>
        <v> দাউদ আলী </v>
      </c>
      <c r="F607" s="10" t="str">
        <f>IFERROR(__xludf.DUMMYFUNCTION("""COMPUTED_VALUE""")," অছিয়া খাতুন ")</f>
        <v> অছিয়া খাতুন </v>
      </c>
      <c r="G607" s="10" t="str">
        <f>IFERROR(__xludf.DUMMYFUNCTION("""COMPUTED_VALUE""")," ০৮/১০/১৯৮০ ")</f>
        <v> ০৮/১০/১৯৮০ </v>
      </c>
      <c r="H607" s="10" t="str">
        <f>IFERROR(__xludf.DUMMYFUNCTION("""COMPUTED_VALUE""")," গৃহিণী ")</f>
        <v> গৃহিণী </v>
      </c>
      <c r="I607" s="10" t="str">
        <f>IFERROR(__xludf.DUMMYFUNCTION("""COMPUTED_VALUE""")," জালশুকা, গাংনী, মেহেরপুর ")</f>
        <v> জালশুকা, গাংনী, মেহেরপুর </v>
      </c>
    </row>
    <row r="608">
      <c r="A608" s="9" t="s">
        <v>3306</v>
      </c>
      <c r="B608" s="10">
        <f>IFERROR(__xludf.DUMMYFUNCTION("SPLIT(A608,""|"")"),593.0)</f>
        <v>593</v>
      </c>
      <c r="C608" s="10" t="str">
        <f>IFERROR(__xludf.DUMMYFUNCTION("""COMPUTED_VALUE""")," ময়মুনা খাতুন ")</f>
        <v> ময়মুনা খাতুন </v>
      </c>
      <c r="D608" s="10">
        <f>IFERROR(__xludf.DUMMYFUNCTION("""COMPUTED_VALUE"""),5.70056000085E11)</f>
        <v>570056000085</v>
      </c>
      <c r="E608" s="10" t="str">
        <f>IFERROR(__xludf.DUMMYFUNCTION("""COMPUTED_VALUE""")," মোঃ ওমর আলী ")</f>
        <v> মোঃ ওমর আলী </v>
      </c>
      <c r="F608" s="10" t="str">
        <f>IFERROR(__xludf.DUMMYFUNCTION("""COMPUTED_VALUE""")," জোহরা বেগম ")</f>
        <v> জোহরা বেগম </v>
      </c>
      <c r="G608" s="10" t="str">
        <f>IFERROR(__xludf.DUMMYFUNCTION("""COMPUTED_VALUE""")," ১২/০৬/১৯৯১ ")</f>
        <v> ১২/০৬/১৯৯১ </v>
      </c>
      <c r="H608" s="10" t="str">
        <f>IFERROR(__xludf.DUMMYFUNCTION("""COMPUTED_VALUE""")," গৃহিণী ")</f>
        <v> গৃহিণী </v>
      </c>
      <c r="I608" s="10" t="str">
        <f>IFERROR(__xludf.DUMMYFUNCTION("""COMPUTED_VALUE""")," জালশুকা, গাংনী, মেহেরপুর ")</f>
        <v> জালশুকা, গাংনী, মেহেরপুর </v>
      </c>
    </row>
    <row r="609">
      <c r="A609" s="9" t="s">
        <v>3307</v>
      </c>
      <c r="B609" s="10">
        <f>IFERROR(__xludf.DUMMYFUNCTION("SPLIT(A609,""|"")"),594.0)</f>
        <v>594</v>
      </c>
      <c r="C609" s="10" t="str">
        <f>IFERROR(__xludf.DUMMYFUNCTION("""COMPUTED_VALUE""")," মৌসুমি খাতুন ")</f>
        <v> মৌসুমি খাতুন </v>
      </c>
      <c r="D609" s="10">
        <f>IFERROR(__xludf.DUMMYFUNCTION("""COMPUTED_VALUE"""),5.70056000089E11)</f>
        <v>570056000089</v>
      </c>
      <c r="E609" s="10" t="str">
        <f>IFERROR(__xludf.DUMMYFUNCTION("""COMPUTED_VALUE""")," আলা উদ্দিন ")</f>
        <v> আলা উদ্দিন </v>
      </c>
      <c r="F609" s="10" t="str">
        <f>IFERROR(__xludf.DUMMYFUNCTION("""COMPUTED_VALUE""")," হাসিনা খাতুন ")</f>
        <v> হাসিনা খাতুন </v>
      </c>
      <c r="G609" s="10" t="str">
        <f>IFERROR(__xludf.DUMMYFUNCTION("""COMPUTED_VALUE""")," ১৩/০৬/১৯৯০ ")</f>
        <v> ১৩/০৬/১৯৯০ </v>
      </c>
      <c r="H609" s="10" t="str">
        <f>IFERROR(__xludf.DUMMYFUNCTION("""COMPUTED_VALUE""")," গৃহিণী ")</f>
        <v> গৃহিণী </v>
      </c>
      <c r="I609" s="10" t="str">
        <f>IFERROR(__xludf.DUMMYFUNCTION("""COMPUTED_VALUE""")," জালশুকা, গাংনী, মেহেরপুর ")</f>
        <v> জালশুকা, গাংনী, মেহেরপুর </v>
      </c>
    </row>
    <row r="610">
      <c r="A610" s="9" t="s">
        <v>3308</v>
      </c>
      <c r="B610" s="10">
        <f>IFERROR(__xludf.DUMMYFUNCTION("SPLIT(A610,""|"")"),595.0)</f>
        <v>595</v>
      </c>
      <c r="C610" s="10" t="str">
        <f>IFERROR(__xludf.DUMMYFUNCTION("""COMPUTED_VALUE""")," মোছাঃ কুলসুম আরা ")</f>
        <v> মোছাঃ কুলসুম আরা </v>
      </c>
      <c r="D610" s="10">
        <f>IFERROR(__xludf.DUMMYFUNCTION("""COMPUTED_VALUE"""),5.700560001104E12)</f>
        <v>5700560001104</v>
      </c>
      <c r="E610" s="10" t="str">
        <f>IFERROR(__xludf.DUMMYFUNCTION("""COMPUTED_VALUE""")," মনিরুল ইসলাম ")</f>
        <v> মনিরুল ইসলাম </v>
      </c>
      <c r="F610" s="10" t="str">
        <f>IFERROR(__xludf.DUMMYFUNCTION("""COMPUTED_VALUE""")," মোছাঃ সফুরা খাতুন ")</f>
        <v> মোছাঃ সফুরা খাতুন </v>
      </c>
      <c r="G610" s="10" t="str">
        <f>IFERROR(__xludf.DUMMYFUNCTION("""COMPUTED_VALUE""")," ০৪/০৯/১৯৯১ ")</f>
        <v> ০৪/০৯/১৯৯১ </v>
      </c>
      <c r="H610" s="10" t="str">
        <f>IFERROR(__xludf.DUMMYFUNCTION("""COMPUTED_VALUE""")," গৃহিণী ")</f>
        <v> গৃহিণী </v>
      </c>
      <c r="I610" s="10" t="str">
        <f>IFERROR(__xludf.DUMMYFUNCTION("""COMPUTED_VALUE""")," জালশুকা, গাংনী, মেহেরপুর ")</f>
        <v> জালশুকা, গাংনী, মেহেরপুর </v>
      </c>
    </row>
    <row r="611">
      <c r="A611" s="9" t="s">
        <v>3309</v>
      </c>
      <c r="B611" s="10">
        <f>IFERROR(__xludf.DUMMYFUNCTION("SPLIT(A611,""|"")"),596.0)</f>
        <v>596</v>
      </c>
      <c r="C611" s="10" t="str">
        <f>IFERROR(__xludf.DUMMYFUNCTION("""COMPUTED_VALUE""")," মোছাঃ ময়না খাতুন ")</f>
        <v> মোছাঃ ময়না খাতুন </v>
      </c>
      <c r="D611" s="10">
        <f>IFERROR(__xludf.DUMMYFUNCTION("""COMPUTED_VALUE"""),5.700560001105E12)</f>
        <v>5700560001105</v>
      </c>
      <c r="E611" s="10" t="str">
        <f>IFERROR(__xludf.DUMMYFUNCTION("""COMPUTED_VALUE""")," জামরুল ")</f>
        <v> জামরুল </v>
      </c>
      <c r="F611" s="10" t="str">
        <f>IFERROR(__xludf.DUMMYFUNCTION("""COMPUTED_VALUE""")," মনোয়ারা ")</f>
        <v> মনোয়ারা </v>
      </c>
      <c r="G611" s="10" t="str">
        <f>IFERROR(__xludf.DUMMYFUNCTION("""COMPUTED_VALUE""")," ১০/০২/১৯৯০ ")</f>
        <v> ১০/০২/১৯৯০ </v>
      </c>
      <c r="H611" s="10" t="str">
        <f>IFERROR(__xludf.DUMMYFUNCTION("""COMPUTED_VALUE""")," গৃহিণী ")</f>
        <v> গৃহিণী </v>
      </c>
      <c r="I611" s="10" t="str">
        <f>IFERROR(__xludf.DUMMYFUNCTION("""COMPUTED_VALUE""")," জালশুকা, গাংনী, মেহেরপুর ")</f>
        <v> জালশুকা, গাংনী, মেহেরপুর </v>
      </c>
    </row>
    <row r="612">
      <c r="A612" s="9" t="s">
        <v>3310</v>
      </c>
      <c r="B612" s="10">
        <f>IFERROR(__xludf.DUMMYFUNCTION("SPLIT(A612,""|"")"),597.0)</f>
        <v>597</v>
      </c>
      <c r="C612" s="10" t="str">
        <f>IFERROR(__xludf.DUMMYFUNCTION("""COMPUTED_VALUE""")," মোছাঃ আছিয়া খাতুন ")</f>
        <v> মোছাঃ আছিয়া খাতুন </v>
      </c>
      <c r="D612" s="10">
        <f>IFERROR(__xludf.DUMMYFUNCTION("""COMPUTED_VALUE"""),5.700560001106E12)</f>
        <v>5700560001106</v>
      </c>
      <c r="E612" s="10" t="str">
        <f>IFERROR(__xludf.DUMMYFUNCTION("""COMPUTED_VALUE""")," আবু বকর ")</f>
        <v> আবু বকর </v>
      </c>
      <c r="F612" s="10" t="str">
        <f>IFERROR(__xludf.DUMMYFUNCTION("""COMPUTED_VALUE""")," হাসিনা খাতুন ")</f>
        <v> হাসিনা খাতুন </v>
      </c>
      <c r="G612" s="10" t="str">
        <f>IFERROR(__xludf.DUMMYFUNCTION("""COMPUTED_VALUE""")," ০৫/০৩/১৯৮৭ ")</f>
        <v> ০৫/০৩/১৯৮৭ </v>
      </c>
      <c r="H612" s="10" t="str">
        <f>IFERROR(__xludf.DUMMYFUNCTION("""COMPUTED_VALUE""")," গৃহিণী ")</f>
        <v> গৃহিণী </v>
      </c>
      <c r="I612" s="10" t="str">
        <f>IFERROR(__xludf.DUMMYFUNCTION("""COMPUTED_VALUE""")," জালশুকা, গাংনী, মেহেরপুর ")</f>
        <v> জালশুকা, গাংনী, মেহেরপুর </v>
      </c>
    </row>
    <row r="613">
      <c r="A613" s="9" t="s">
        <v>3311</v>
      </c>
      <c r="B613" s="10">
        <f>IFERROR(__xludf.DUMMYFUNCTION("SPLIT(A613,""|"")"),598.0)</f>
        <v>598</v>
      </c>
      <c r="C613" s="10" t="str">
        <f>IFERROR(__xludf.DUMMYFUNCTION("""COMPUTED_VALUE""")," হুসনেয়ারা খাতুন ")</f>
        <v> হুসনেয়ারা খাতুন </v>
      </c>
      <c r="D613" s="10">
        <f>IFERROR(__xludf.DUMMYFUNCTION("""COMPUTED_VALUE"""),5.7005600011E11)</f>
        <v>570056000110</v>
      </c>
      <c r="E613" s="10" t="str">
        <f>IFERROR(__xludf.DUMMYFUNCTION("""COMPUTED_VALUE""")," আবু বকর ")</f>
        <v> আবু বকর </v>
      </c>
      <c r="F613" s="10" t="str">
        <f>IFERROR(__xludf.DUMMYFUNCTION("""COMPUTED_VALUE""")," হাসিনা খাতুন ")</f>
        <v> হাসিনা খাতুন </v>
      </c>
      <c r="G613" s="10" t="str">
        <f>IFERROR(__xludf.DUMMYFUNCTION("""COMPUTED_VALUE""")," ১০/১১/১৯৮৫ ")</f>
        <v> ১০/১১/১৯৮৫ </v>
      </c>
      <c r="H613" s="10" t="str">
        <f>IFERROR(__xludf.DUMMYFUNCTION("""COMPUTED_VALUE""")," গৃহিণী ")</f>
        <v> গৃহিণী </v>
      </c>
      <c r="I613" s="10" t="str">
        <f>IFERROR(__xludf.DUMMYFUNCTION("""COMPUTED_VALUE""")," জালশুকা, গাংনী, মেহেরপুর ")</f>
        <v> জালশুকা, গাংনী, মেহেরপুর </v>
      </c>
    </row>
    <row r="614">
      <c r="A614" s="9" t="s">
        <v>3312</v>
      </c>
      <c r="B614" s="10">
        <f>IFERROR(__xludf.DUMMYFUNCTION("SPLIT(A614,""|"")"),599.0)</f>
        <v>599</v>
      </c>
      <c r="C614" s="10" t="str">
        <f>IFERROR(__xludf.DUMMYFUNCTION("""COMPUTED_VALUE""")," হুসনেয়ারা খাতুন ")</f>
        <v> হুসনেয়ারা খাতুন </v>
      </c>
      <c r="D614" s="10">
        <f>IFERROR(__xludf.DUMMYFUNCTION("""COMPUTED_VALUE"""),5.70056000115E11)</f>
        <v>570056000115</v>
      </c>
      <c r="E614" s="10" t="str">
        <f>IFERROR(__xludf.DUMMYFUNCTION("""COMPUTED_VALUE""")," মজিবর ")</f>
        <v> মজিবর </v>
      </c>
      <c r="F614" s="10" t="str">
        <f>IFERROR(__xludf.DUMMYFUNCTION("""COMPUTED_VALUE""")," আছমা খাতুন ")</f>
        <v> আছমা খাতুন </v>
      </c>
      <c r="G614" s="10" t="str">
        <f>IFERROR(__xludf.DUMMYFUNCTION("""COMPUTED_VALUE""")," ০৫/০২/১৯৬৫ ")</f>
        <v> ০৫/০২/১৯৬৫ </v>
      </c>
      <c r="H614" s="10" t="str">
        <f>IFERROR(__xludf.DUMMYFUNCTION("""COMPUTED_VALUE""")," গৃহিণী ")</f>
        <v> গৃহিণী </v>
      </c>
      <c r="I614" s="10" t="str">
        <f>IFERROR(__xludf.DUMMYFUNCTION("""COMPUTED_VALUE""")," জালশুকা, গাংনী, মেহেরপুর ")</f>
        <v> জালশুকা, গাংনী, মেহেরপুর </v>
      </c>
    </row>
    <row r="615">
      <c r="A615" s="9" t="s">
        <v>3313</v>
      </c>
      <c r="B615" s="10">
        <f>IFERROR(__xludf.DUMMYFUNCTION("SPLIT(A615,""|"")"),600.0)</f>
        <v>600</v>
      </c>
      <c r="C615" s="10" t="str">
        <f>IFERROR(__xludf.DUMMYFUNCTION("""COMPUTED_VALUE""")," মোছাঃ রোজিনা খাতুন ")</f>
        <v> মোছাঃ রোজিনা খাতুন </v>
      </c>
      <c r="D615" s="10">
        <f>IFERROR(__xludf.DUMMYFUNCTION("""COMPUTED_VALUE"""),5.70056000118E11)</f>
        <v>570056000118</v>
      </c>
      <c r="E615" s="10" t="str">
        <f>IFERROR(__xludf.DUMMYFUNCTION("""COMPUTED_VALUE""")," এলাহী ")</f>
        <v> এলাহী </v>
      </c>
      <c r="F615" s="10" t="str">
        <f>IFERROR(__xludf.DUMMYFUNCTION("""COMPUTED_VALUE""")," ছকেনা ")</f>
        <v> ছকেনা </v>
      </c>
      <c r="G615" s="10" t="str">
        <f>IFERROR(__xludf.DUMMYFUNCTION("""COMPUTED_VALUE""")," ০১/০৪/১৯৯০ ")</f>
        <v> ০১/০৪/১৯৯০ </v>
      </c>
      <c r="H615" s="10" t="str">
        <f>IFERROR(__xludf.DUMMYFUNCTION("""COMPUTED_VALUE""")," গৃহিণী ")</f>
        <v> গৃহিণী </v>
      </c>
      <c r="I615" s="10" t="str">
        <f>IFERROR(__xludf.DUMMYFUNCTION("""COMPUTED_VALUE""")," জালশুকা, গাংনী, মেহেরপুর ")</f>
        <v> জালশুকা, গাংনী, মেহেরপুর </v>
      </c>
    </row>
    <row r="616">
      <c r="A616" s="9" t="s">
        <v>3314</v>
      </c>
      <c r="B616" s="10">
        <f>IFERROR(__xludf.DUMMYFUNCTION("SPLIT(A616,""|"")"),601.0)</f>
        <v>601</v>
      </c>
      <c r="C616" s="10" t="str">
        <f>IFERROR(__xludf.DUMMYFUNCTION("""COMPUTED_VALUE""")," মোছাঃ কল্পনা খাতুন ")</f>
        <v> মোছাঃ কল্পনা খাতুন </v>
      </c>
      <c r="D616" s="10">
        <f>IFERROR(__xludf.DUMMYFUNCTION("""COMPUTED_VALUE"""),5.7005600012E11)</f>
        <v>570056000120</v>
      </c>
      <c r="E616" s="10" t="str">
        <f>IFERROR(__xludf.DUMMYFUNCTION("""COMPUTED_VALUE""")," এনামুল হক ")</f>
        <v> এনামুল হক </v>
      </c>
      <c r="F616" s="10" t="str">
        <f>IFERROR(__xludf.DUMMYFUNCTION("""COMPUTED_VALUE""")," নজেরা খাতুন ")</f>
        <v> নজেরা খাতুন </v>
      </c>
      <c r="G616" s="10" t="str">
        <f>IFERROR(__xludf.DUMMYFUNCTION("""COMPUTED_VALUE""")," ২৮/১০/১৯৯১ ")</f>
        <v> ২৮/১০/১৯৯১ </v>
      </c>
      <c r="H616" s="10" t="str">
        <f>IFERROR(__xludf.DUMMYFUNCTION("""COMPUTED_VALUE""")," ছাত্র/ছাত্রী ")</f>
        <v> ছাত্র/ছাত্রী </v>
      </c>
      <c r="I616" s="10" t="str">
        <f>IFERROR(__xludf.DUMMYFUNCTION("""COMPUTED_VALUE""")," জালশুকা, গাংনী, মেহেরপুর ")</f>
        <v> জালশুকা, গাংনী, মেহেরপুর </v>
      </c>
    </row>
    <row r="617">
      <c r="A617" s="9" t="s">
        <v>3315</v>
      </c>
      <c r="B617" s="10">
        <f>IFERROR(__xludf.DUMMYFUNCTION("SPLIT(A617,""|"")"),602.0)</f>
        <v>602</v>
      </c>
      <c r="C617" s="10" t="str">
        <f>IFERROR(__xludf.DUMMYFUNCTION("""COMPUTED_VALUE""")," মোছাঃ রিনা খাতুন ")</f>
        <v> মোছাঃ রিনা খাতুন </v>
      </c>
      <c r="D617" s="10">
        <f>IFERROR(__xludf.DUMMYFUNCTION("""COMPUTED_VALUE"""),5.70056000122E11)</f>
        <v>570056000122</v>
      </c>
      <c r="E617" s="10" t="str">
        <f>IFERROR(__xludf.DUMMYFUNCTION("""COMPUTED_VALUE""")," আ: মজিদ ")</f>
        <v> আ: মজিদ </v>
      </c>
      <c r="F617" s="10" t="str">
        <f>IFERROR(__xludf.DUMMYFUNCTION("""COMPUTED_VALUE""")," আল্লাদী খাতুন ")</f>
        <v> আল্লাদী খাতুন </v>
      </c>
      <c r="G617" s="10" t="str">
        <f>IFERROR(__xludf.DUMMYFUNCTION("""COMPUTED_VALUE""")," ২২/০৫/১৯৯০ ")</f>
        <v> ২২/০৫/১৯৯০ </v>
      </c>
      <c r="H617" s="10" t="str">
        <f>IFERROR(__xludf.DUMMYFUNCTION("""COMPUTED_VALUE""")," গৃহিণী ")</f>
        <v> গৃহিণী </v>
      </c>
      <c r="I617" s="10" t="str">
        <f>IFERROR(__xludf.DUMMYFUNCTION("""COMPUTED_VALUE""")," জালশুকা, গাংনী, মেহেরপুর ")</f>
        <v> জালশুকা, গাংনী, মেহেরপুর </v>
      </c>
    </row>
    <row r="618">
      <c r="A618" s="9" t="s">
        <v>3316</v>
      </c>
      <c r="B618" s="10">
        <f>IFERROR(__xludf.DUMMYFUNCTION("SPLIT(A618,""|"")"),603.0)</f>
        <v>603</v>
      </c>
      <c r="C618" s="10" t="str">
        <f>IFERROR(__xludf.DUMMYFUNCTION("""COMPUTED_VALUE""")," মোছাঃ রোজিনা খাতুন ")</f>
        <v> মোছাঃ রোজিনা খাতুন </v>
      </c>
      <c r="D618" s="10">
        <f>IFERROR(__xludf.DUMMYFUNCTION("""COMPUTED_VALUE"""),5.70056000123E11)</f>
        <v>570056000123</v>
      </c>
      <c r="E618" s="10" t="str">
        <f>IFERROR(__xludf.DUMMYFUNCTION("""COMPUTED_VALUE""")," আইয়ুব আলী ")</f>
        <v> আইয়ুব আলী </v>
      </c>
      <c r="F618" s="10" t="str">
        <f>IFERROR(__xludf.DUMMYFUNCTION("""COMPUTED_VALUE""")," সুফিয়া খাতুন ")</f>
        <v> সুফিয়া খাতুন </v>
      </c>
      <c r="G618" s="10" t="str">
        <f>IFERROR(__xludf.DUMMYFUNCTION("""COMPUTED_VALUE""")," ০৫/০৬/১৯৯১ ")</f>
        <v> ০৫/০৬/১৯৯১ </v>
      </c>
      <c r="H618" s="10" t="str">
        <f>IFERROR(__xludf.DUMMYFUNCTION("""COMPUTED_VALUE""")," গৃহিণী ")</f>
        <v> গৃহিণী </v>
      </c>
      <c r="I618" s="10" t="str">
        <f>IFERROR(__xludf.DUMMYFUNCTION("""COMPUTED_VALUE""")," জালশুকা, গাংনী, মেহেরপুর ")</f>
        <v> জালশুকা, গাংনী, মেহেরপুর </v>
      </c>
    </row>
    <row r="619">
      <c r="A619" s="9" t="s">
        <v>3317</v>
      </c>
      <c r="B619" s="10">
        <f>IFERROR(__xludf.DUMMYFUNCTION("SPLIT(A619,""|"")"),604.0)</f>
        <v>604</v>
      </c>
      <c r="C619" s="10" t="str">
        <f>IFERROR(__xludf.DUMMYFUNCTION("""COMPUTED_VALUE""")," মোছাঃ রেক্সনা ")</f>
        <v> মোছাঃ রেক্সনা </v>
      </c>
      <c r="D619" s="10">
        <f>IFERROR(__xludf.DUMMYFUNCTION("""COMPUTED_VALUE"""),5.70056000124E11)</f>
        <v>570056000124</v>
      </c>
      <c r="E619" s="10" t="str">
        <f>IFERROR(__xludf.DUMMYFUNCTION("""COMPUTED_VALUE""")," জামাল উদ্দীন ")</f>
        <v> জামাল উদ্দীন </v>
      </c>
      <c r="F619" s="10" t="str">
        <f>IFERROR(__xludf.DUMMYFUNCTION("""COMPUTED_VALUE""")," বাশিরা ")</f>
        <v> বাশিরা </v>
      </c>
      <c r="G619" s="10" t="str">
        <f>IFERROR(__xludf.DUMMYFUNCTION("""COMPUTED_VALUE""")," ১৪/০৪/১৯৯১ ")</f>
        <v> ১৪/০৪/১৯৯১ </v>
      </c>
      <c r="H619" s="10" t="str">
        <f>IFERROR(__xludf.DUMMYFUNCTION("""COMPUTED_VALUE""")," দর্জি ")</f>
        <v> দর্জি </v>
      </c>
      <c r="I619" s="10" t="str">
        <f>IFERROR(__xludf.DUMMYFUNCTION("""COMPUTED_VALUE""")," জালশুকা, গাংনী, মেহেরপুর ")</f>
        <v> জালশুকা, গাংনী, মেহেরপুর </v>
      </c>
    </row>
    <row r="620">
      <c r="A620" s="9" t="s">
        <v>3318</v>
      </c>
      <c r="B620" s="10">
        <f>IFERROR(__xludf.DUMMYFUNCTION("SPLIT(A620,""|"")"),605.0)</f>
        <v>605</v>
      </c>
      <c r="C620" s="10" t="str">
        <f>IFERROR(__xludf.DUMMYFUNCTION("""COMPUTED_VALUE""")," মোছাঃ উনজিলা খাতুন ")</f>
        <v> মোছাঃ উনজিলা খাতুন </v>
      </c>
      <c r="D620" s="10">
        <f>IFERROR(__xludf.DUMMYFUNCTION("""COMPUTED_VALUE"""),5.70056000133E11)</f>
        <v>570056000133</v>
      </c>
      <c r="E620" s="10" t="str">
        <f>IFERROR(__xludf.DUMMYFUNCTION("""COMPUTED_VALUE""")," মো: সাবান আলী ")</f>
        <v> মো: সাবান আলী </v>
      </c>
      <c r="F620" s="10" t="str">
        <f>IFERROR(__xludf.DUMMYFUNCTION("""COMPUTED_VALUE""")," সালমা খাতুন ")</f>
        <v> সালমা খাতুন </v>
      </c>
      <c r="G620" s="10" t="str">
        <f>IFERROR(__xludf.DUMMYFUNCTION("""COMPUTED_VALUE""")," ১৩/০১/১৯৯১ ")</f>
        <v> ১৩/০১/১৯৯১ </v>
      </c>
      <c r="H620" s="10" t="str">
        <f>IFERROR(__xludf.DUMMYFUNCTION("""COMPUTED_VALUE""")," গৃহিণী ")</f>
        <v> গৃহিণী </v>
      </c>
      <c r="I620" s="10" t="str">
        <f>IFERROR(__xludf.DUMMYFUNCTION("""COMPUTED_VALUE""")," জালশুকা, গাংনী, মেহেরপুর ")</f>
        <v> জালশুকা, গাংনী, মেহেরপুর </v>
      </c>
    </row>
    <row r="621">
      <c r="A621" s="9" t="s">
        <v>3319</v>
      </c>
      <c r="B621" s="10">
        <f>IFERROR(__xludf.DUMMYFUNCTION("SPLIT(A621,""|"")"),606.0)</f>
        <v>606</v>
      </c>
      <c r="C621" s="10" t="str">
        <f>IFERROR(__xludf.DUMMYFUNCTION("""COMPUTED_VALUE""")," মোছাঃ উম্মিয়া খাতুন ")</f>
        <v> মোছাঃ উম্মিয়া খাতুন </v>
      </c>
      <c r="D621" s="10">
        <f>IFERROR(__xludf.DUMMYFUNCTION("""COMPUTED_VALUE"""),5.70056000137E11)</f>
        <v>570056000137</v>
      </c>
      <c r="E621" s="10" t="str">
        <f>IFERROR(__xludf.DUMMYFUNCTION("""COMPUTED_VALUE""")," মো: উমিদ আলী ")</f>
        <v> মো: উমিদ আলী </v>
      </c>
      <c r="F621" s="10" t="str">
        <f>IFERROR(__xludf.DUMMYFUNCTION("""COMPUTED_VALUE""")," বেদনা খাতুন ")</f>
        <v> বেদনা খাতুন </v>
      </c>
      <c r="G621" s="10" t="str">
        <f>IFERROR(__xludf.DUMMYFUNCTION("""COMPUTED_VALUE""")," ০১/০১/১৯৯০ ")</f>
        <v> ০১/০১/১৯৯০ </v>
      </c>
      <c r="H621" s="10" t="str">
        <f>IFERROR(__xludf.DUMMYFUNCTION("""COMPUTED_VALUE""")," গৃহিণী ")</f>
        <v> গৃহিণী </v>
      </c>
      <c r="I621" s="10" t="str">
        <f>IFERROR(__xludf.DUMMYFUNCTION("""COMPUTED_VALUE""")," জালশুকা, গাংনী, মেহেরপুর ")</f>
        <v> জালশুকা, গাংনী, মেহেরপুর </v>
      </c>
    </row>
    <row r="622">
      <c r="A622" s="9" t="s">
        <v>3320</v>
      </c>
      <c r="B622" s="10">
        <f>IFERROR(__xludf.DUMMYFUNCTION("SPLIT(A622,""|"")"),607.0)</f>
        <v>607</v>
      </c>
      <c r="C622" s="10" t="str">
        <f>IFERROR(__xludf.DUMMYFUNCTION("""COMPUTED_VALUE""")," মোছাঃ বানেছা খাতুন ")</f>
        <v> মোছাঃ বানেছা খাতুন </v>
      </c>
      <c r="D622" s="10">
        <f>IFERROR(__xludf.DUMMYFUNCTION("""COMPUTED_VALUE"""),5.70056000141E11)</f>
        <v>570056000141</v>
      </c>
      <c r="E622" s="10" t="str">
        <f>IFERROR(__xludf.DUMMYFUNCTION("""COMPUTED_VALUE""")," মো: আজমত আলী ")</f>
        <v> মো: আজমত আলী </v>
      </c>
      <c r="F622" s="10" t="str">
        <f>IFERROR(__xludf.DUMMYFUNCTION("""COMPUTED_VALUE""")," মোছাঃ সুজিলা খাতুন ")</f>
        <v> মোছাঃ সুজিলা খাতুন </v>
      </c>
      <c r="G622" s="10" t="str">
        <f>IFERROR(__xludf.DUMMYFUNCTION("""COMPUTED_VALUE""")," ১০/০৩/১৯৯০ ")</f>
        <v> ১০/০৩/১৯৯০ </v>
      </c>
      <c r="H622" s="10" t="str">
        <f>IFERROR(__xludf.DUMMYFUNCTION("""COMPUTED_VALUE""")," গৃহিণী ")</f>
        <v> গৃহিণী </v>
      </c>
      <c r="I622" s="10" t="str">
        <f>IFERROR(__xludf.DUMMYFUNCTION("""COMPUTED_VALUE""")," জালশুকা, গাংনী, মেহেরপুর ")</f>
        <v> জালশুকা, গাংনী, মেহেরপুর </v>
      </c>
    </row>
    <row r="623">
      <c r="A623" s="9" t="s">
        <v>3321</v>
      </c>
      <c r="B623" s="10">
        <f>IFERROR(__xludf.DUMMYFUNCTION("SPLIT(A623,""|"")"),608.0)</f>
        <v>608</v>
      </c>
      <c r="C623" s="10" t="str">
        <f>IFERROR(__xludf.DUMMYFUNCTION("""COMPUTED_VALUE""")," মোছাঃ রিজিয়া খাতুন ")</f>
        <v> মোছাঃ রিজিয়া খাতুন </v>
      </c>
      <c r="D623" s="10">
        <f>IFERROR(__xludf.DUMMYFUNCTION("""COMPUTED_VALUE"""),5.70056000145E11)</f>
        <v>570056000145</v>
      </c>
      <c r="E623" s="10" t="str">
        <f>IFERROR(__xludf.DUMMYFUNCTION("""COMPUTED_VALUE""")," রহিম বক্স ")</f>
        <v> রহিম বক্স </v>
      </c>
      <c r="F623" s="10" t="str">
        <f>IFERROR(__xludf.DUMMYFUNCTION("""COMPUTED_VALUE""")," মোছাঃ সাহার বানু ")</f>
        <v> মোছাঃ সাহার বানু </v>
      </c>
      <c r="G623" s="10" t="str">
        <f>IFERROR(__xludf.DUMMYFUNCTION("""COMPUTED_VALUE""")," ২০/১২/১৯৬১ ")</f>
        <v> ২০/১২/১৯৬১ </v>
      </c>
      <c r="H623" s="10" t="str">
        <f>IFERROR(__xludf.DUMMYFUNCTION("""COMPUTED_VALUE""")," গৃহিণী ")</f>
        <v> গৃহিণী </v>
      </c>
      <c r="I623" s="10" t="str">
        <f>IFERROR(__xludf.DUMMYFUNCTION("""COMPUTED_VALUE""")," জালশুকা, গাংনী, মেহেরপুর ")</f>
        <v> জালশুকা, গাংনী, মেহেরপুর </v>
      </c>
    </row>
    <row r="624">
      <c r="A624" s="9" t="s">
        <v>3322</v>
      </c>
      <c r="B624" s="10">
        <f>IFERROR(__xludf.DUMMYFUNCTION("SPLIT(A624,""|"")"),609.0)</f>
        <v>609</v>
      </c>
      <c r="C624" s="10" t="str">
        <f>IFERROR(__xludf.DUMMYFUNCTION("""COMPUTED_VALUE""")," মোছাঃ আছিয়া খাতুন ")</f>
        <v> মোছাঃ আছিয়া খাতুন </v>
      </c>
      <c r="D624" s="10">
        <f>IFERROR(__xludf.DUMMYFUNCTION("""COMPUTED_VALUE"""),5.70056000147E11)</f>
        <v>570056000147</v>
      </c>
      <c r="E624" s="10" t="str">
        <f>IFERROR(__xludf.DUMMYFUNCTION("""COMPUTED_VALUE""")," আ: ওহাব ")</f>
        <v> আ: ওহাব </v>
      </c>
      <c r="F624" s="10" t="str">
        <f>IFERROR(__xludf.DUMMYFUNCTION("""COMPUTED_VALUE""")," মোছাঃ আরজিনা খাতুন ")</f>
        <v> মোছাঃ আরজিনা খাতুন </v>
      </c>
      <c r="G624" s="10" t="str">
        <f>IFERROR(__xludf.DUMMYFUNCTION("""COMPUTED_VALUE""")," ০১/১১/১৯৯০ ")</f>
        <v> ০১/১১/১৯৯০ </v>
      </c>
      <c r="H624" s="10" t="str">
        <f>IFERROR(__xludf.DUMMYFUNCTION("""COMPUTED_VALUE""")," গৃহিণী ")</f>
        <v> গৃহিণী </v>
      </c>
      <c r="I624" s="10" t="str">
        <f>IFERROR(__xludf.DUMMYFUNCTION("""COMPUTED_VALUE""")," জালশুকা, গাংনী, মেহেরপুর ")</f>
        <v> জালশুকা, গাংনী, মেহেরপুর </v>
      </c>
    </row>
    <row r="625">
      <c r="A625" s="9" t="s">
        <v>3323</v>
      </c>
      <c r="B625" s="10">
        <f>IFERROR(__xludf.DUMMYFUNCTION("SPLIT(A625,""|"")"),610.0)</f>
        <v>610</v>
      </c>
      <c r="C625" s="10" t="str">
        <f>IFERROR(__xludf.DUMMYFUNCTION("""COMPUTED_VALUE""")," মোছাঃ বিপাশা ")</f>
        <v> মোছাঃ বিপাশা </v>
      </c>
      <c r="D625" s="10">
        <f>IFERROR(__xludf.DUMMYFUNCTION("""COMPUTED_VALUE"""),5.70056000148E11)</f>
        <v>570056000148</v>
      </c>
      <c r="E625" s="10" t="str">
        <f>IFERROR(__xludf.DUMMYFUNCTION("""COMPUTED_VALUE""")," মোঃ আঃ হামিদ ")</f>
        <v> মোঃ আঃ হামিদ </v>
      </c>
      <c r="F625" s="10" t="str">
        <f>IFERROR(__xludf.DUMMYFUNCTION("""COMPUTED_VALUE""")," মোছাঃ ফরিদা খাতুন ")</f>
        <v> মোছাঃ ফরিদা খাতুন </v>
      </c>
      <c r="G625" s="10" t="str">
        <f>IFERROR(__xludf.DUMMYFUNCTION("""COMPUTED_VALUE""")," ০১/০৮/১৯৯০ ")</f>
        <v> ০১/০৮/১৯৯০ </v>
      </c>
      <c r="H625" s="10" t="str">
        <f>IFERROR(__xludf.DUMMYFUNCTION("""COMPUTED_VALUE""")," ছাত্র/ছাত্রী ")</f>
        <v> ছাত্র/ছাত্রী </v>
      </c>
      <c r="I625" s="10" t="str">
        <f>IFERROR(__xludf.DUMMYFUNCTION("""COMPUTED_VALUE""")," জালশুকা, গাংনী, মেহেরপুর ")</f>
        <v> জালশুকা, গাংনী, মেহেরপুর </v>
      </c>
    </row>
    <row r="626">
      <c r="A626" s="9" t="s">
        <v>3324</v>
      </c>
      <c r="B626" s="10">
        <f>IFERROR(__xludf.DUMMYFUNCTION("SPLIT(A626,""|"")"),611.0)</f>
        <v>611</v>
      </c>
      <c r="C626" s="10" t="str">
        <f>IFERROR(__xludf.DUMMYFUNCTION("""COMPUTED_VALUE""")," মোছাঃ আহম্মাতুন্ন নঈম ")</f>
        <v> মোছাঃ আহম্মাতুন্ন নঈম </v>
      </c>
      <c r="D626" s="10">
        <f>IFERROR(__xludf.DUMMYFUNCTION("""COMPUTED_VALUE"""),5.70056000151E11)</f>
        <v>570056000151</v>
      </c>
      <c r="E626" s="10" t="str">
        <f>IFERROR(__xludf.DUMMYFUNCTION("""COMPUTED_VALUE""")," মোঃ মখলেছুর রহমান ")</f>
        <v> মোঃ মখলেছুর রহমান </v>
      </c>
      <c r="F626" s="10" t="str">
        <f>IFERROR(__xludf.DUMMYFUNCTION("""COMPUTED_VALUE""")," মোছাঃ ময়না খাতুন ")</f>
        <v> মোছাঃ ময়না খাতুন </v>
      </c>
      <c r="G626" s="10" t="str">
        <f>IFERROR(__xludf.DUMMYFUNCTION("""COMPUTED_VALUE""")," ০১/১২/১৯৮৯ ")</f>
        <v> ০১/১২/১৯৮৯ </v>
      </c>
      <c r="H626" s="10" t="str">
        <f>IFERROR(__xludf.DUMMYFUNCTION("""COMPUTED_VALUE""")," গৃহিনী ")</f>
        <v> গৃহিনী </v>
      </c>
      <c r="I626" s="10" t="str">
        <f>IFERROR(__xludf.DUMMYFUNCTION("""COMPUTED_VALUE""")," জালশুকা, গাংনী, মেহেরপুর ")</f>
        <v> জালশুকা, গাংনী, মেহেরপুর </v>
      </c>
    </row>
    <row r="627">
      <c r="A627" s="9" t="s">
        <v>3325</v>
      </c>
      <c r="B627" s="10">
        <f>IFERROR(__xludf.DUMMYFUNCTION("SPLIT(A627,""|"")"),612.0)</f>
        <v>612</v>
      </c>
      <c r="C627" s="10" t="str">
        <f>IFERROR(__xludf.DUMMYFUNCTION("""COMPUTED_VALUE""")," মোছাঃ পারভিনা খাতুন রিনা ")</f>
        <v> মোছাঃ পারভিনা খাতুন রিনা </v>
      </c>
      <c r="D627" s="10">
        <f>IFERROR(__xludf.DUMMYFUNCTION("""COMPUTED_VALUE"""),5.70056000156E11)</f>
        <v>570056000156</v>
      </c>
      <c r="E627" s="10" t="str">
        <f>IFERROR(__xludf.DUMMYFUNCTION("""COMPUTED_VALUE""")," মোঃ বজলুর রহমান ")</f>
        <v> মোঃ বজলুর রহমান </v>
      </c>
      <c r="F627" s="10" t="str">
        <f>IFERROR(__xludf.DUMMYFUNCTION("""COMPUTED_VALUE""")," মোছাঃ আফরোজা খাতুন ")</f>
        <v> মোছাঃ আফরোজা খাতুন </v>
      </c>
      <c r="G627" s="10" t="str">
        <f>IFERROR(__xludf.DUMMYFUNCTION("""COMPUTED_VALUE""")," ০১/০৬/১৯৮০ ")</f>
        <v> ০১/০৬/১৯৮০ </v>
      </c>
      <c r="H627" s="10" t="str">
        <f>IFERROR(__xludf.DUMMYFUNCTION("""COMPUTED_VALUE""")," গৃহিনী ")</f>
        <v> গৃহিনী </v>
      </c>
      <c r="I627" s="10" t="str">
        <f>IFERROR(__xludf.DUMMYFUNCTION("""COMPUTED_VALUE""")," জালশুকা, গাংনী, মেহেরপুর ")</f>
        <v> জালশুকা, গাংনী, মেহেরপুর </v>
      </c>
    </row>
    <row r="628">
      <c r="A628" s="9" t="s">
        <v>3326</v>
      </c>
      <c r="B628" s="10">
        <f>IFERROR(__xludf.DUMMYFUNCTION("SPLIT(A628,""|"")"),613.0)</f>
        <v>613</v>
      </c>
      <c r="C628" s="10" t="str">
        <f>IFERROR(__xludf.DUMMYFUNCTION("""COMPUTED_VALUE""")," মোছাঃ এসেমোতারা খাতুন ")</f>
        <v> মোছাঃ এসেমোতারা খাতুন </v>
      </c>
      <c r="D628" s="10">
        <f>IFERROR(__xludf.DUMMYFUNCTION("""COMPUTED_VALUE"""),5.70056000157E11)</f>
        <v>570056000157</v>
      </c>
      <c r="E628" s="10" t="str">
        <f>IFERROR(__xludf.DUMMYFUNCTION("""COMPUTED_VALUE""")," মোঃ আফজেল হোসেন ")</f>
        <v> মোঃ আফজেল হোসেন </v>
      </c>
      <c r="F628" s="10" t="str">
        <f>IFERROR(__xludf.DUMMYFUNCTION("""COMPUTED_VALUE""")," মোছাঃ ফজিলা খাতুন ")</f>
        <v> মোছাঃ ফজিলা খাতুন </v>
      </c>
      <c r="G628" s="10" t="str">
        <f>IFERROR(__xludf.DUMMYFUNCTION("""COMPUTED_VALUE""")," ০৮/১০/১৯৯০ ")</f>
        <v> ০৮/১০/১৯৯০ </v>
      </c>
      <c r="H628" s="10" t="str">
        <f>IFERROR(__xludf.DUMMYFUNCTION("""COMPUTED_VALUE""")," গৃহিনী ")</f>
        <v> গৃহিনী </v>
      </c>
      <c r="I628" s="10" t="str">
        <f>IFERROR(__xludf.DUMMYFUNCTION("""COMPUTED_VALUE""")," জালশুকা, গাংনী, মেহেরপুর ")</f>
        <v> জালশুকা, গাংনী, মেহেরপুর </v>
      </c>
    </row>
    <row r="629">
      <c r="A629" s="9" t="s">
        <v>3327</v>
      </c>
      <c r="B629" s="10">
        <f>IFERROR(__xludf.DUMMYFUNCTION("SPLIT(A629,""|"")"),614.0)</f>
        <v>614</v>
      </c>
      <c r="C629" s="10" t="str">
        <f>IFERROR(__xludf.DUMMYFUNCTION("""COMPUTED_VALUE""")," মোছাঃ রনি খাতুন ")</f>
        <v> মোছাঃ রনি খাতুন </v>
      </c>
      <c r="D629" s="10">
        <f>IFERROR(__xludf.DUMMYFUNCTION("""COMPUTED_VALUE"""),5.70056000163E11)</f>
        <v>570056000163</v>
      </c>
      <c r="E629" s="10" t="str">
        <f>IFERROR(__xludf.DUMMYFUNCTION("""COMPUTED_VALUE""")," মোঃ আঃ আলিম ")</f>
        <v> মোঃ আঃ আলিম </v>
      </c>
      <c r="F629" s="10" t="str">
        <f>IFERROR(__xludf.DUMMYFUNCTION("""COMPUTED_VALUE""")," মোছাঃ মমতাজ খাতুন ")</f>
        <v> মোছাঃ মমতাজ খাতুন </v>
      </c>
      <c r="G629" s="10" t="str">
        <f>IFERROR(__xludf.DUMMYFUNCTION("""COMPUTED_VALUE""")," ০১/১১/১৯৮৯ ")</f>
        <v> ০১/১১/১৯৮৯ </v>
      </c>
      <c r="H629" s="10" t="str">
        <f>IFERROR(__xludf.DUMMYFUNCTION("""COMPUTED_VALUE""")," গৃহিনী ")</f>
        <v> গৃহিনী </v>
      </c>
      <c r="I629" s="10" t="str">
        <f>IFERROR(__xludf.DUMMYFUNCTION("""COMPUTED_VALUE""")," জালশুকা, গাংনী, মেহেরপুর ")</f>
        <v> জালশুকা, গাংনী, মেহেরপুর </v>
      </c>
    </row>
    <row r="630">
      <c r="A630" s="9" t="s">
        <v>3328</v>
      </c>
      <c r="B630" s="10">
        <f>IFERROR(__xludf.DUMMYFUNCTION("SPLIT(A630,""|"")"),615.0)</f>
        <v>615</v>
      </c>
      <c r="C630" s="10" t="str">
        <f>IFERROR(__xludf.DUMMYFUNCTION("""COMPUTED_VALUE""")," মোছাঃ মেহেরন নেছা ")</f>
        <v> মোছাঃ মেহেরন নেছা </v>
      </c>
      <c r="D630" s="10">
        <f>IFERROR(__xludf.DUMMYFUNCTION("""COMPUTED_VALUE"""),5.70056000168E11)</f>
        <v>570056000168</v>
      </c>
      <c r="E630" s="10" t="str">
        <f>IFERROR(__xludf.DUMMYFUNCTION("""COMPUTED_VALUE""")," মোঃ খলিলুর রহমান ")</f>
        <v> মোঃ খলিলুর রহমান </v>
      </c>
      <c r="F630" s="10" t="str">
        <f>IFERROR(__xludf.DUMMYFUNCTION("""COMPUTED_VALUE""")," মোছাঃ আনজিরা খাতুন ")</f>
        <v> মোছাঃ আনজিরা খাতুন </v>
      </c>
      <c r="G630" s="10" t="str">
        <f>IFERROR(__xludf.DUMMYFUNCTION("""COMPUTED_VALUE""")," ২৮/০৬/১৯৯০ ")</f>
        <v> ২৮/০৬/১৯৯০ </v>
      </c>
      <c r="H630" s="10" t="str">
        <f>IFERROR(__xludf.DUMMYFUNCTION("""COMPUTED_VALUE""")," ছাত্র/ছাত্রী ")</f>
        <v> ছাত্র/ছাত্রী </v>
      </c>
      <c r="I630" s="10" t="str">
        <f>IFERROR(__xludf.DUMMYFUNCTION("""COMPUTED_VALUE""")," জালশুকা, গাংনী, মেহেরপুর ")</f>
        <v> জালশুকা, গাংনী, মেহেরপুর </v>
      </c>
    </row>
    <row r="631">
      <c r="A631" s="9" t="s">
        <v>3329</v>
      </c>
      <c r="B631" s="10">
        <f>IFERROR(__xludf.DUMMYFUNCTION("SPLIT(A631,""|"")"),616.0)</f>
        <v>616</v>
      </c>
      <c r="C631" s="10" t="str">
        <f>IFERROR(__xludf.DUMMYFUNCTION("""COMPUTED_VALUE""")," মোছাঃ সালমা খাতুন ")</f>
        <v> মোছাঃ সালমা খাতুন </v>
      </c>
      <c r="D631" s="10">
        <f>IFERROR(__xludf.DUMMYFUNCTION("""COMPUTED_VALUE"""),5.70056000171E11)</f>
        <v>570056000171</v>
      </c>
      <c r="E631" s="10" t="str">
        <f>IFERROR(__xludf.DUMMYFUNCTION("""COMPUTED_VALUE""")," মোঃ সহিদুল ইসলাম ")</f>
        <v> মোঃ সহিদুল ইসলাম </v>
      </c>
      <c r="F631" s="10" t="str">
        <f>IFERROR(__xludf.DUMMYFUNCTION("""COMPUTED_VALUE""")," মোছাঃ রশিদা খাতুন ")</f>
        <v> মোছাঃ রশিদা খাতুন </v>
      </c>
      <c r="G631" s="10" t="str">
        <f>IFERROR(__xludf.DUMMYFUNCTION("""COMPUTED_VALUE""")," ০১/০২/১৯৯১ ")</f>
        <v> ০১/০২/১৯৯১ </v>
      </c>
      <c r="H631" s="10" t="str">
        <f>IFERROR(__xludf.DUMMYFUNCTION("""COMPUTED_VALUE""")," বেকার ")</f>
        <v> বেকার </v>
      </c>
      <c r="I631" s="10" t="str">
        <f>IFERROR(__xludf.DUMMYFUNCTION("""COMPUTED_VALUE""")," জালশুকা, গাংনী, মেহেরপুর ")</f>
        <v> জালশুকা, গাংনী, মেহেরপুর </v>
      </c>
    </row>
    <row r="632">
      <c r="A632" s="9" t="s">
        <v>3330</v>
      </c>
      <c r="B632" s="10">
        <f>IFERROR(__xludf.DUMMYFUNCTION("SPLIT(A632,""|"")"),617.0)</f>
        <v>617</v>
      </c>
      <c r="C632" s="10" t="str">
        <f>IFERROR(__xludf.DUMMYFUNCTION("""COMPUTED_VALUE""")," মোছাঃ সাবানা খাতুন ")</f>
        <v> মোছাঃ সাবানা খাতুন </v>
      </c>
      <c r="D632" s="10">
        <f>IFERROR(__xludf.DUMMYFUNCTION("""COMPUTED_VALUE"""),5.70056000177E11)</f>
        <v>570056000177</v>
      </c>
      <c r="E632" s="10" t="str">
        <f>IFERROR(__xludf.DUMMYFUNCTION("""COMPUTED_VALUE""")," শফিরদ্দীন ")</f>
        <v> শফিরদ্দীন </v>
      </c>
      <c r="F632" s="10" t="str">
        <f>IFERROR(__xludf.DUMMYFUNCTION("""COMPUTED_VALUE""")," মোছাঃ ফেরদৌসী ")</f>
        <v> মোছাঃ ফেরদৌসী </v>
      </c>
      <c r="G632" s="10" t="str">
        <f>IFERROR(__xludf.DUMMYFUNCTION("""COMPUTED_VALUE""")," ০৫/০৩/১৯৮৯ ")</f>
        <v> ০৫/০৩/১৯৮৯ </v>
      </c>
      <c r="H632" s="10" t="str">
        <f>IFERROR(__xludf.DUMMYFUNCTION("""COMPUTED_VALUE""")," গৃহিনী ")</f>
        <v> গৃহিনী </v>
      </c>
      <c r="I632" s="10" t="str">
        <f>IFERROR(__xludf.DUMMYFUNCTION("""COMPUTED_VALUE""")," জালশুকা, গাংনী, মেহেরপুর ")</f>
        <v> জালশুকা, গাংনী, মেহেরপুর </v>
      </c>
    </row>
    <row r="633">
      <c r="A633" s="9" t="s">
        <v>3331</v>
      </c>
      <c r="B633" s="10">
        <f>IFERROR(__xludf.DUMMYFUNCTION("SPLIT(A633,""|"")"),618.0)</f>
        <v>618</v>
      </c>
      <c r="C633" s="10" t="str">
        <f>IFERROR(__xludf.DUMMYFUNCTION("""COMPUTED_VALUE""")," মোছাঃ লামিয়া খাতুন ")</f>
        <v> মোছাঃ লামিয়া খাতুন </v>
      </c>
      <c r="D633" s="10">
        <f>IFERROR(__xludf.DUMMYFUNCTION("""COMPUTED_VALUE"""),5.70056000178E11)</f>
        <v>570056000178</v>
      </c>
      <c r="E633" s="10" t="str">
        <f>IFERROR(__xludf.DUMMYFUNCTION("""COMPUTED_VALUE""")," মোঃ সেকেন্দার ")</f>
        <v> মোঃ সেকেন্দার </v>
      </c>
      <c r="F633" s="10" t="str">
        <f>IFERROR(__xludf.DUMMYFUNCTION("""COMPUTED_VALUE""")," মোছাঃ মুক্তরা ")</f>
        <v> মোছাঃ মুক্তরা </v>
      </c>
      <c r="G633" s="10" t="str">
        <f>IFERROR(__xludf.DUMMYFUNCTION("""COMPUTED_VALUE""")," ১০/০৫/১৯৮৫ ")</f>
        <v> ১০/০৫/১৯৮৫ </v>
      </c>
      <c r="H633" s="10" t="str">
        <f>IFERROR(__xludf.DUMMYFUNCTION("""COMPUTED_VALUE""")," গৃহিনী ")</f>
        <v> গৃহিনী </v>
      </c>
      <c r="I633" s="10" t="str">
        <f>IFERROR(__xludf.DUMMYFUNCTION("""COMPUTED_VALUE""")," জালশুকা, গাংনী, মেহেরপুর ")</f>
        <v> জালশুকা, গাংনী, মেহেরপুর </v>
      </c>
    </row>
    <row r="634">
      <c r="A634" s="9" t="s">
        <v>3332</v>
      </c>
      <c r="B634" s="10">
        <f>IFERROR(__xludf.DUMMYFUNCTION("SPLIT(A634,""|"")"),619.0)</f>
        <v>619</v>
      </c>
      <c r="C634" s="10" t="str">
        <f>IFERROR(__xludf.DUMMYFUNCTION("""COMPUTED_VALUE""")," মোছাঃ সাবানা খাতুন ")</f>
        <v> মোছাঃ সাবানা খাতুন </v>
      </c>
      <c r="D634" s="10">
        <f>IFERROR(__xludf.DUMMYFUNCTION("""COMPUTED_VALUE"""),5.7005600018E11)</f>
        <v>570056000180</v>
      </c>
      <c r="E634" s="10" t="str">
        <f>IFERROR(__xludf.DUMMYFUNCTION("""COMPUTED_VALUE""")," মোঃ মকবুল হোসেন ")</f>
        <v> মোঃ মকবুল হোসেন </v>
      </c>
      <c r="F634" s="10" t="str">
        <f>IFERROR(__xludf.DUMMYFUNCTION("""COMPUTED_VALUE""")," মোছাঃ শাহানারা ")</f>
        <v> মোছাঃ শাহানারা </v>
      </c>
      <c r="G634" s="10" t="str">
        <f>IFERROR(__xludf.DUMMYFUNCTION("""COMPUTED_VALUE""")," ২০/০৪/১৯৮৭ ")</f>
        <v> ২০/০৪/১৯৮৭ </v>
      </c>
      <c r="H634" s="10" t="str">
        <f>IFERROR(__xludf.DUMMYFUNCTION("""COMPUTED_VALUE""")," গৃহিনী ")</f>
        <v> গৃহিনী </v>
      </c>
      <c r="I634" s="10" t="str">
        <f>IFERROR(__xludf.DUMMYFUNCTION("""COMPUTED_VALUE""")," জালশুকা, গাংনী, মেহেরপুর ")</f>
        <v> জালশুকা, গাংনী, মেহেরপুর </v>
      </c>
    </row>
    <row r="635">
      <c r="A635" s="9" t="s">
        <v>3333</v>
      </c>
      <c r="B635" s="10">
        <f>IFERROR(__xludf.DUMMYFUNCTION("SPLIT(A635,""|"")"),620.0)</f>
        <v>620</v>
      </c>
      <c r="C635" s="10" t="str">
        <f>IFERROR(__xludf.DUMMYFUNCTION("""COMPUTED_VALUE""")," মোছাঃ রোকসনা খাতুন ")</f>
        <v> মোছাঃ রোকসনা খাতুন </v>
      </c>
      <c r="D635" s="10">
        <f>IFERROR(__xludf.DUMMYFUNCTION("""COMPUTED_VALUE"""),5.70056000183E11)</f>
        <v>570056000183</v>
      </c>
      <c r="E635" s="10" t="str">
        <f>IFERROR(__xludf.DUMMYFUNCTION("""COMPUTED_VALUE""")," মোঃ আফজেল ")</f>
        <v> মোঃ আফজেল </v>
      </c>
      <c r="F635" s="10" t="str">
        <f>IFERROR(__xludf.DUMMYFUNCTION("""COMPUTED_VALUE""")," মোছাঃ রোকেয়া খাতুন ")</f>
        <v> মোছাঃ রোকেয়া খাতুন </v>
      </c>
      <c r="G635" s="10" t="str">
        <f>IFERROR(__xludf.DUMMYFUNCTION("""COMPUTED_VALUE""")," ১৫/০৪/১৯৯১ ")</f>
        <v> ১৫/০৪/১৯৯১ </v>
      </c>
      <c r="H635" s="10" t="str">
        <f>IFERROR(__xludf.DUMMYFUNCTION("""COMPUTED_VALUE""")," গৃহিনী ")</f>
        <v> গৃহিনী </v>
      </c>
      <c r="I635" s="10" t="str">
        <f>IFERROR(__xludf.DUMMYFUNCTION("""COMPUTED_VALUE""")," জালশুকা, গাংনী, মেহেরপুর ")</f>
        <v> জালশুকা, গাংনী, মেহেরপুর </v>
      </c>
    </row>
    <row r="636">
      <c r="A636" s="9" t="s">
        <v>3334</v>
      </c>
      <c r="B636" s="10">
        <f>IFERROR(__xludf.DUMMYFUNCTION("SPLIT(A636,""|"")"),621.0)</f>
        <v>621</v>
      </c>
      <c r="C636" s="10" t="str">
        <f>IFERROR(__xludf.DUMMYFUNCTION("""COMPUTED_VALUE""")," মোছাঃ শিল্পিয়ারা খাতুন ")</f>
        <v> মোছাঃ শিল্পিয়ারা খাতুন </v>
      </c>
      <c r="D636" s="10">
        <f>IFERROR(__xludf.DUMMYFUNCTION("""COMPUTED_VALUE"""),5.70056000184E11)</f>
        <v>570056000184</v>
      </c>
      <c r="E636" s="10" t="str">
        <f>IFERROR(__xludf.DUMMYFUNCTION("""COMPUTED_VALUE""")," মোঃ সাবান আলী ")</f>
        <v> মোঃ সাবান আলী </v>
      </c>
      <c r="F636" s="10" t="str">
        <f>IFERROR(__xludf.DUMMYFUNCTION("""COMPUTED_VALUE""")," মোছাঃ শিরিনা খাতুন ")</f>
        <v> মোছাঃ শিরিনা খাতুন </v>
      </c>
      <c r="G636" s="10" t="str">
        <f>IFERROR(__xludf.DUMMYFUNCTION("""COMPUTED_VALUE""")," ০১/০১/১৯৯১ ")</f>
        <v> ০১/০১/১৯৯১ </v>
      </c>
      <c r="H636" s="10" t="str">
        <f>IFERROR(__xludf.DUMMYFUNCTION("""COMPUTED_VALUE""")," গৃহিনী ")</f>
        <v> গৃহিনী </v>
      </c>
      <c r="I636" s="10" t="str">
        <f>IFERROR(__xludf.DUMMYFUNCTION("""COMPUTED_VALUE""")," জালশুকা, গাংনী, মেহেরপুর ")</f>
        <v> জালশুকা, গাংনী, মেহেরপুর </v>
      </c>
    </row>
    <row r="637">
      <c r="A637" s="9" t="s">
        <v>3335</v>
      </c>
      <c r="B637" s="10">
        <f>IFERROR(__xludf.DUMMYFUNCTION("SPLIT(A637,""|"")"),622.0)</f>
        <v>622</v>
      </c>
      <c r="C637" s="10" t="str">
        <f>IFERROR(__xludf.DUMMYFUNCTION("""COMPUTED_VALUE""")," মোছাঃ ফুলপতি খাতুন ")</f>
        <v> মোছাঃ ফুলপতি খাতুন </v>
      </c>
      <c r="D637" s="10">
        <f>IFERROR(__xludf.DUMMYFUNCTION("""COMPUTED_VALUE"""),5.70056000185E11)</f>
        <v>570056000185</v>
      </c>
      <c r="E637" s="10" t="str">
        <f>IFERROR(__xludf.DUMMYFUNCTION("""COMPUTED_VALUE""")," মোঃ তৈয়ব আলী ")</f>
        <v> মোঃ তৈয়ব আলী </v>
      </c>
      <c r="F637" s="10" t="str">
        <f>IFERROR(__xludf.DUMMYFUNCTION("""COMPUTED_VALUE""")," মোছাঃ শাহানারা খাতুন ")</f>
        <v> মোছাঃ শাহানারা খাতুন </v>
      </c>
      <c r="G637" s="10" t="str">
        <f>IFERROR(__xludf.DUMMYFUNCTION("""COMPUTED_VALUE""")," ১৫/০৩/১৯৮৬ ")</f>
        <v> ১৫/০৩/১৯৮৬ </v>
      </c>
      <c r="H637" s="10" t="str">
        <f>IFERROR(__xludf.DUMMYFUNCTION("""COMPUTED_VALUE""")," গৃহিনী ")</f>
        <v> গৃহিনী </v>
      </c>
      <c r="I637" s="10" t="str">
        <f>IFERROR(__xludf.DUMMYFUNCTION("""COMPUTED_VALUE""")," জালশুকা, গাংনী, মেহেরপুর ")</f>
        <v> জালশুকা, গাংনী, মেহেরপুর </v>
      </c>
    </row>
    <row r="638">
      <c r="A638" s="9" t="s">
        <v>3336</v>
      </c>
      <c r="B638" s="10">
        <f>IFERROR(__xludf.DUMMYFUNCTION("SPLIT(A638,""|"")"),623.0)</f>
        <v>623</v>
      </c>
      <c r="C638" s="10" t="str">
        <f>IFERROR(__xludf.DUMMYFUNCTION("""COMPUTED_VALUE""")," মোছাঃ জাহানারা খাতুন ")</f>
        <v> মোছাঃ জাহানারা খাতুন </v>
      </c>
      <c r="D638" s="10">
        <f>IFERROR(__xludf.DUMMYFUNCTION("""COMPUTED_VALUE"""),5.70056000186E11)</f>
        <v>570056000186</v>
      </c>
      <c r="E638" s="10" t="str">
        <f>IFERROR(__xludf.DUMMYFUNCTION("""COMPUTED_VALUE""")," মোঃ শুকুর আলী ")</f>
        <v> মোঃ শুকুর আলী </v>
      </c>
      <c r="F638" s="10" t="str">
        <f>IFERROR(__xludf.DUMMYFUNCTION("""COMPUTED_VALUE""")," মোছাঃ মনোয়ারা খাতুন ")</f>
        <v> মোছাঃ মনোয়ারা খাতুন </v>
      </c>
      <c r="G638" s="10" t="str">
        <f>IFERROR(__xludf.DUMMYFUNCTION("""COMPUTED_VALUE""")," ২০/০২/১৯৮৪ ")</f>
        <v> ২০/০২/১৯৮৪ </v>
      </c>
      <c r="H638" s="10" t="str">
        <f>IFERROR(__xludf.DUMMYFUNCTION("""COMPUTED_VALUE""")," গৃহিনী ")</f>
        <v> গৃহিনী </v>
      </c>
      <c r="I638" s="10" t="str">
        <f>IFERROR(__xludf.DUMMYFUNCTION("""COMPUTED_VALUE""")," জালশুকা, গাংনী, মেহেরপুর ")</f>
        <v> জালশুকা, গাংনী, মেহেরপুর </v>
      </c>
    </row>
    <row r="639">
      <c r="A639" s="9" t="s">
        <v>3337</v>
      </c>
      <c r="B639" s="10">
        <f>IFERROR(__xludf.DUMMYFUNCTION("SPLIT(A639,""|"")"),624.0)</f>
        <v>624</v>
      </c>
      <c r="C639" s="10" t="str">
        <f>IFERROR(__xludf.DUMMYFUNCTION("""COMPUTED_VALUE""")," মোছাঃ মুন্নি মালা ")</f>
        <v> মোছাঃ মুন্নি মালা </v>
      </c>
      <c r="D639" s="10">
        <f>IFERROR(__xludf.DUMMYFUNCTION("""COMPUTED_VALUE"""),5.70056000187E11)</f>
        <v>570056000187</v>
      </c>
      <c r="E639" s="10" t="str">
        <f>IFERROR(__xludf.DUMMYFUNCTION("""COMPUTED_VALUE""")," মোঃ মন্টু আলী ")</f>
        <v> মোঃ মন্টু আলী </v>
      </c>
      <c r="F639" s="10" t="str">
        <f>IFERROR(__xludf.DUMMYFUNCTION("""COMPUTED_VALUE""")," মোছাঃ জাহানারা খাতুন ")</f>
        <v> মোছাঃ জাহানারা খাতুন </v>
      </c>
      <c r="G639" s="10" t="str">
        <f>IFERROR(__xludf.DUMMYFUNCTION("""COMPUTED_VALUE""")," ২০/০২/১৯৯০ ")</f>
        <v> ২০/০২/১৯৯০ </v>
      </c>
      <c r="H639" s="10" t="str">
        <f>IFERROR(__xludf.DUMMYFUNCTION("""COMPUTED_VALUE""")," গৃহিনী ")</f>
        <v> গৃহিনী </v>
      </c>
      <c r="I639" s="10" t="str">
        <f>IFERROR(__xludf.DUMMYFUNCTION("""COMPUTED_VALUE""")," জালশুকা, গাংনী, মেহেরপুর ")</f>
        <v> জালশুকা, গাংনী, মেহেরপুর </v>
      </c>
    </row>
    <row r="640">
      <c r="A640" s="9" t="s">
        <v>3338</v>
      </c>
      <c r="B640" s="10">
        <f>IFERROR(__xludf.DUMMYFUNCTION("SPLIT(A640,""|"")"),625.0)</f>
        <v>625</v>
      </c>
      <c r="C640" s="10" t="str">
        <f>IFERROR(__xludf.DUMMYFUNCTION("""COMPUTED_VALUE""")," মোছাঃ বিলকিস আরা ")</f>
        <v> মোছাঃ বিলকিস আরা </v>
      </c>
      <c r="D640" s="10">
        <f>IFERROR(__xludf.DUMMYFUNCTION("""COMPUTED_VALUE"""),5.70056000191E11)</f>
        <v>570056000191</v>
      </c>
      <c r="E640" s="10" t="str">
        <f>IFERROR(__xludf.DUMMYFUNCTION("""COMPUTED_VALUE""")," মোঃ বেল্টু ")</f>
        <v> মোঃ বেল্টু </v>
      </c>
      <c r="F640" s="10" t="str">
        <f>IFERROR(__xludf.DUMMYFUNCTION("""COMPUTED_VALUE""")," মোছাঃ ফিরোজা খাতুন ")</f>
        <v> মোছাঃ ফিরোজা খাতুন </v>
      </c>
      <c r="G640" s="10" t="str">
        <f>IFERROR(__xludf.DUMMYFUNCTION("""COMPUTED_VALUE""")," ০৫/০৯/১৯৮৯ ")</f>
        <v> ০৫/০৯/১৯৮৯ </v>
      </c>
      <c r="H640" s="10" t="str">
        <f>IFERROR(__xludf.DUMMYFUNCTION("""COMPUTED_VALUE""")," গৃহিনী ")</f>
        <v> গৃহিনী </v>
      </c>
      <c r="I640" s="10" t="str">
        <f>IFERROR(__xludf.DUMMYFUNCTION("""COMPUTED_VALUE""")," জালশুকা, গাংনী, মেহেরপুর ")</f>
        <v> জালশুকা, গাংনী, মেহেরপুর </v>
      </c>
    </row>
    <row r="641">
      <c r="A641" s="9" t="s">
        <v>3339</v>
      </c>
      <c r="B641" s="10">
        <f>IFERROR(__xludf.DUMMYFUNCTION("SPLIT(A641,""|"")"),626.0)</f>
        <v>626</v>
      </c>
      <c r="C641" s="10" t="str">
        <f>IFERROR(__xludf.DUMMYFUNCTION("""COMPUTED_VALUE""")," মোছাঃ ফুলকি খাতুন ")</f>
        <v> মোছাঃ ফুলকি খাতুন </v>
      </c>
      <c r="D641" s="10">
        <f>IFERROR(__xludf.DUMMYFUNCTION("""COMPUTED_VALUE"""),5.70056000192E11)</f>
        <v>570056000192</v>
      </c>
      <c r="E641" s="10" t="str">
        <f>IFERROR(__xludf.DUMMYFUNCTION("""COMPUTED_VALUE""")," মোঃ আবুছদ্দীন ")</f>
        <v> মোঃ আবুছদ্দীন </v>
      </c>
      <c r="F641" s="10" t="str">
        <f>IFERROR(__xludf.DUMMYFUNCTION("""COMPUTED_VALUE""")," মোছাঃ দোলনা খাতুন ")</f>
        <v> মোছাঃ দোলনা খাতুন </v>
      </c>
      <c r="G641" s="10" t="str">
        <f>IFERROR(__xludf.DUMMYFUNCTION("""COMPUTED_VALUE""")," ২৭/০৩/১৯৯০ ")</f>
        <v> ২৭/০৩/১৯৯০ </v>
      </c>
      <c r="H641" s="10" t="str">
        <f>IFERROR(__xludf.DUMMYFUNCTION("""COMPUTED_VALUE""")," গৃহিনী ")</f>
        <v> গৃহিনী </v>
      </c>
      <c r="I641" s="10" t="str">
        <f>IFERROR(__xludf.DUMMYFUNCTION("""COMPUTED_VALUE""")," জালশুকা, গাংনী, মেহেরপুর ")</f>
        <v> জালশুকা, গাংনী, মেহেরপুর </v>
      </c>
    </row>
    <row r="642">
      <c r="A642" s="9" t="s">
        <v>3340</v>
      </c>
      <c r="B642" s="10">
        <f>IFERROR(__xludf.DUMMYFUNCTION("SPLIT(A642,""|"")"),627.0)</f>
        <v>627</v>
      </c>
      <c r="C642" s="10" t="str">
        <f>IFERROR(__xludf.DUMMYFUNCTION("""COMPUTED_VALUE""")," মোছাঃ সুরাইয়া খাতুন ")</f>
        <v> মোছাঃ সুরাইয়া খাতুন </v>
      </c>
      <c r="D642" s="10">
        <f>IFERROR(__xludf.DUMMYFUNCTION("""COMPUTED_VALUE"""),5.70056000195E11)</f>
        <v>570056000195</v>
      </c>
      <c r="E642" s="10" t="str">
        <f>IFERROR(__xludf.DUMMYFUNCTION("""COMPUTED_VALUE""")," মোঃ মরজেম আলী ")</f>
        <v> মোঃ মরজেম আলী </v>
      </c>
      <c r="F642" s="10" t="str">
        <f>IFERROR(__xludf.DUMMYFUNCTION("""COMPUTED_VALUE""")," মোছাঃ হানিয়াম মারিয়া ")</f>
        <v> মোছাঃ হানিয়াম মারিয়া </v>
      </c>
      <c r="G642" s="10" t="str">
        <f>IFERROR(__xludf.DUMMYFUNCTION("""COMPUTED_VALUE""")," ১০/০৩/১৯৮৯ ")</f>
        <v> ১০/০৩/১৯৮৯ </v>
      </c>
      <c r="H642" s="10" t="str">
        <f>IFERROR(__xludf.DUMMYFUNCTION("""COMPUTED_VALUE""")," ছাত্র/ছাত্রী ")</f>
        <v> ছাত্র/ছাত্রী </v>
      </c>
      <c r="I642" s="10" t="str">
        <f>IFERROR(__xludf.DUMMYFUNCTION("""COMPUTED_VALUE""")," জালশুকা, গাংনী, মেহেরপুর ")</f>
        <v> জালশুকা, গাংনী, মেহেরপুর </v>
      </c>
    </row>
    <row r="643">
      <c r="A643" s="9" t="s">
        <v>2712</v>
      </c>
      <c r="B643" s="10" t="str">
        <f>IFERROR(__xludf.DUMMYFUNCTION("SPLIT(A643,""|"")")," ক্রমিক নং ")</f>
        <v> ক্রমিক নং </v>
      </c>
      <c r="C643" s="10" t="str">
        <f>IFERROR(__xludf.DUMMYFUNCTION("""COMPUTED_VALUE""")," নাম ")</f>
        <v> নাম </v>
      </c>
      <c r="D643" s="10" t="str">
        <f>IFERROR(__xludf.DUMMYFUNCTION("""COMPUTED_VALUE""")," ভোটার নং ")</f>
        <v> ভোটার নং </v>
      </c>
      <c r="E643" s="10" t="str">
        <f>IFERROR(__xludf.DUMMYFUNCTION("""COMPUTED_VALUE""")," পিতা ")</f>
        <v> পিতা </v>
      </c>
      <c r="F643" s="10" t="str">
        <f>IFERROR(__xludf.DUMMYFUNCTION("""COMPUTED_VALUE""")," মাতা ")</f>
        <v> মাতা </v>
      </c>
      <c r="G643" s="10" t="str">
        <f>IFERROR(__xludf.DUMMYFUNCTION("""COMPUTED_VALUE""")," জন্ম তারিখ ")</f>
        <v> জন্ম তারিখ </v>
      </c>
      <c r="H643" s="10" t="str">
        <f>IFERROR(__xludf.DUMMYFUNCTION("""COMPUTED_VALUE""")," পেশা ")</f>
        <v> পেশা </v>
      </c>
      <c r="I643" s="10" t="str">
        <f>IFERROR(__xludf.DUMMYFUNCTION("""COMPUTED_VALUE""")," ঠিকানা ")</f>
        <v> ঠিকানা </v>
      </c>
    </row>
    <row r="644">
      <c r="A644" s="9" t="s">
        <v>2713</v>
      </c>
      <c r="B644" s="10" t="str">
        <f>IFERROR(__xludf.DUMMYFUNCTION("SPLIT(A644,""|"")"),"---")</f>
        <v>---</v>
      </c>
      <c r="C644" s="10" t="str">
        <f>IFERROR(__xludf.DUMMYFUNCTION("""COMPUTED_VALUE"""),"---")</f>
        <v>---</v>
      </c>
      <c r="D644" s="10" t="str">
        <f>IFERROR(__xludf.DUMMYFUNCTION("""COMPUTED_VALUE"""),"---")</f>
        <v>---</v>
      </c>
      <c r="E644" s="10" t="str">
        <f>IFERROR(__xludf.DUMMYFUNCTION("""COMPUTED_VALUE"""),"---")</f>
        <v>---</v>
      </c>
      <c r="F644" s="10" t="str">
        <f>IFERROR(__xludf.DUMMYFUNCTION("""COMPUTED_VALUE"""),"---")</f>
        <v>---</v>
      </c>
      <c r="G644" s="10" t="str">
        <f>IFERROR(__xludf.DUMMYFUNCTION("""COMPUTED_VALUE"""),"---")</f>
        <v>---</v>
      </c>
      <c r="H644" s="10" t="str">
        <f>IFERROR(__xludf.DUMMYFUNCTION("""COMPUTED_VALUE"""),"---")</f>
        <v>---</v>
      </c>
      <c r="I644" s="10" t="str">
        <f>IFERROR(__xludf.DUMMYFUNCTION("""COMPUTED_VALUE"""),"---")</f>
        <v>---</v>
      </c>
    </row>
    <row r="645">
      <c r="A645" s="9" t="s">
        <v>3341</v>
      </c>
      <c r="B645" s="10">
        <f>IFERROR(__xludf.DUMMYFUNCTION("SPLIT(A645,""|"")"),628.0)</f>
        <v>628</v>
      </c>
      <c r="C645" s="10" t="str">
        <f>IFERROR(__xludf.DUMMYFUNCTION("""COMPUTED_VALUE""")," মোছা: ফাহিমা খাতুন ")</f>
        <v> মোছা: ফাহিমা খাতুন </v>
      </c>
      <c r="D645" s="10">
        <f>IFERROR(__xludf.DUMMYFUNCTION("""COMPUTED_VALUE"""),5.70056000038E11)</f>
        <v>570056000038</v>
      </c>
      <c r="E645" s="10" t="str">
        <f>IFERROR(__xludf.DUMMYFUNCTION("""COMPUTED_VALUE""")," খইবার আলী ")</f>
        <v> খইবার আলী </v>
      </c>
      <c r="F645" s="10" t="str">
        <f>IFERROR(__xludf.DUMMYFUNCTION("""COMPUTED_VALUE""")," খুশি খাতুন ")</f>
        <v> খুশি খাতুন </v>
      </c>
      <c r="G645" s="10" t="str">
        <f>IFERROR(__xludf.DUMMYFUNCTION("""COMPUTED_VALUE""")," ১২/১০/১৯৯২ ")</f>
        <v> ১২/১০/১৯৯২ </v>
      </c>
      <c r="H645" s="10" t="str">
        <f>IFERROR(__xludf.DUMMYFUNCTION("""COMPUTED_VALUE""")," গৃহিনী ")</f>
        <v> গৃহিনী </v>
      </c>
      <c r="I645" s="10" t="str">
        <f>IFERROR(__xludf.DUMMYFUNCTION("""COMPUTED_VALUE""")," জালশুকা, গাংনী, মেহেরপুর ")</f>
        <v> জালশুকা, গাংনী, মেহেরপুর </v>
      </c>
    </row>
    <row r="646">
      <c r="A646" s="9" t="s">
        <v>3342</v>
      </c>
      <c r="B646" s="10">
        <f>IFERROR(__xludf.DUMMYFUNCTION("SPLIT(A646,""|"")"),629.0)</f>
        <v>629</v>
      </c>
      <c r="C646" s="10" t="str">
        <f>IFERROR(__xludf.DUMMYFUNCTION("""COMPUTED_VALUE""")," তানিয়া খাতুন ")</f>
        <v> তানিয়া খাতুন </v>
      </c>
      <c r="D646" s="10">
        <f>IFERROR(__xludf.DUMMYFUNCTION("""COMPUTED_VALUE"""),5.70056000043E11)</f>
        <v>570056000043</v>
      </c>
      <c r="E646" s="10" t="str">
        <f>IFERROR(__xludf.DUMMYFUNCTION("""COMPUTED_VALUE""")," শাহজাহান ")</f>
        <v> শাহজাহান </v>
      </c>
      <c r="F646" s="10" t="str">
        <f>IFERROR(__xludf.DUMMYFUNCTION("""COMPUTED_VALUE""")," রহিমা খাতুন ")</f>
        <v> রহিমা খাতুন </v>
      </c>
      <c r="G646" s="10" t="str">
        <f>IFERROR(__xludf.DUMMYFUNCTION("""COMPUTED_VALUE""")," ১০/০৫/১৯৯২ ")</f>
        <v> ১০/০৫/১৯৯২ </v>
      </c>
      <c r="H646" s="10" t="str">
        <f>IFERROR(__xludf.DUMMYFUNCTION("""COMPUTED_VALUE""")," গৃহিনী ")</f>
        <v> গৃহিনী </v>
      </c>
      <c r="I646" s="10" t="str">
        <f>IFERROR(__xludf.DUMMYFUNCTION("""COMPUTED_VALUE""")," জালশুকা, গাংনী, মেহেরপুর ")</f>
        <v> জালশুকা, গাংনী, মেহেরপুর </v>
      </c>
    </row>
    <row r="647">
      <c r="A647" s="9" t="s">
        <v>3343</v>
      </c>
      <c r="B647" s="10">
        <f>IFERROR(__xludf.DUMMYFUNCTION("SPLIT(A647,""|"")"),630.0)</f>
        <v>630</v>
      </c>
      <c r="C647" s="10" t="str">
        <f>IFERROR(__xludf.DUMMYFUNCTION("""COMPUTED_VALUE""")," মোছা: পারুলা খাতুন ")</f>
        <v> মোছা: পারুলা খাতুন </v>
      </c>
      <c r="D647" s="10">
        <f>IFERROR(__xludf.DUMMYFUNCTION("""COMPUTED_VALUE"""),5.70056000066E11)</f>
        <v>570056000066</v>
      </c>
      <c r="E647" s="10" t="str">
        <f>IFERROR(__xludf.DUMMYFUNCTION("""COMPUTED_VALUE""")," তৈয়ব আলী ")</f>
        <v> তৈয়ব আলী </v>
      </c>
      <c r="F647" s="10" t="str">
        <f>IFERROR(__xludf.DUMMYFUNCTION("""COMPUTED_VALUE""")," মহিমা খাতুন ")</f>
        <v> মহিমা খাতুন </v>
      </c>
      <c r="G647" s="10" t="str">
        <f>IFERROR(__xludf.DUMMYFUNCTION("""COMPUTED_VALUE""")," ০৫/১২/১৯৯২ ")</f>
        <v> ০৫/১২/১৯৯২ </v>
      </c>
      <c r="H647" s="10" t="str">
        <f>IFERROR(__xludf.DUMMYFUNCTION("""COMPUTED_VALUE""")," দর্জি ")</f>
        <v> দর্জি </v>
      </c>
      <c r="I647" s="10" t="str">
        <f>IFERROR(__xludf.DUMMYFUNCTION("""COMPUTED_VALUE""")," জালশুকা, গাংনী, মেহেরপুর ")</f>
        <v> জালশুকা, গাংনী, মেহেরপুর </v>
      </c>
    </row>
    <row r="648">
      <c r="A648" s="9" t="s">
        <v>3344</v>
      </c>
      <c r="B648" s="10">
        <f>IFERROR(__xludf.DUMMYFUNCTION("SPLIT(A648,""|"")"),631.0)</f>
        <v>631</v>
      </c>
      <c r="C648" s="10" t="str">
        <f>IFERROR(__xludf.DUMMYFUNCTION("""COMPUTED_VALUE""")," মোছা: ফেন্সি খাতুন ")</f>
        <v> মোছা: ফেন্সি খাতুন </v>
      </c>
      <c r="D648" s="10">
        <f>IFERROR(__xludf.DUMMYFUNCTION("""COMPUTED_VALUE"""),5.70056000083E11)</f>
        <v>570056000083</v>
      </c>
      <c r="E648" s="10" t="str">
        <f>IFERROR(__xludf.DUMMYFUNCTION("""COMPUTED_VALUE""")," মোঃ তৈয়ব আলী ")</f>
        <v> মোঃ তৈয়ব আলী </v>
      </c>
      <c r="F648" s="10" t="str">
        <f>IFERROR(__xludf.DUMMYFUNCTION("""COMPUTED_VALUE""")," জাহাতন খাতুন ")</f>
        <v> জাহাতন খাতুন </v>
      </c>
      <c r="G648" s="10" t="str">
        <f>IFERROR(__xludf.DUMMYFUNCTION("""COMPUTED_VALUE""")," ০১/১০/১৯৯২ ")</f>
        <v> ০১/১০/১৯৯২ </v>
      </c>
      <c r="H648" s="10" t="str">
        <f>IFERROR(__xludf.DUMMYFUNCTION("""COMPUTED_VALUE""")," গৃহিনী ")</f>
        <v> গৃহিনী </v>
      </c>
      <c r="I648" s="10" t="str">
        <f>IFERROR(__xludf.DUMMYFUNCTION("""COMPUTED_VALUE""")," জালশুকা, গাংনী, মেহেরপুর ")</f>
        <v> জালশুকা, গাংনী, মেহেরপুর </v>
      </c>
    </row>
    <row r="649">
      <c r="A649" s="9" t="s">
        <v>3345</v>
      </c>
      <c r="B649" s="10">
        <f>IFERROR(__xludf.DUMMYFUNCTION("SPLIT(A649,""|"")"),632.0)</f>
        <v>632</v>
      </c>
      <c r="C649" s="10" t="str">
        <f>IFERROR(__xludf.DUMMYFUNCTION("""COMPUTED_VALUE""")," মোছা: শিউলি খাতুন ")</f>
        <v> মোছা: শিউলি খাতুন </v>
      </c>
      <c r="D649" s="10">
        <f>IFERROR(__xludf.DUMMYFUNCTION("""COMPUTED_VALUE"""),5.70056000084E11)</f>
        <v>570056000084</v>
      </c>
      <c r="E649" s="10" t="str">
        <f>IFERROR(__xludf.DUMMYFUNCTION("""COMPUTED_VALUE""")," মোঃ আবুল কাশেম ")</f>
        <v> মোঃ আবুল কাশেম </v>
      </c>
      <c r="F649" s="10" t="str">
        <f>IFERROR(__xludf.DUMMYFUNCTION("""COMPUTED_VALUE""")," শাহিদা ")</f>
        <v> শাহিদা </v>
      </c>
      <c r="G649" s="10" t="str">
        <f>IFERROR(__xludf.DUMMYFUNCTION("""COMPUTED_VALUE""")," ০২/০৩/১৯৯২ ")</f>
        <v> ০২/০৩/১৯৯২ </v>
      </c>
      <c r="H649" s="10" t="str">
        <f>IFERROR(__xludf.DUMMYFUNCTION("""COMPUTED_VALUE""")," ছাত্র/ছাত্রী ")</f>
        <v> ছাত্র/ছাত্রী </v>
      </c>
      <c r="I649" s="10" t="str">
        <f>IFERROR(__xludf.DUMMYFUNCTION("""COMPUTED_VALUE""")," জালশুকা, গাংনী, মেহেরপুর ")</f>
        <v> জালশুকা, গাংনী, মেহেরপুর </v>
      </c>
    </row>
    <row r="650">
      <c r="A650" s="9" t="s">
        <v>3346</v>
      </c>
      <c r="B650" s="10">
        <f>IFERROR(__xludf.DUMMYFUNCTION("SPLIT(A650,""|"")"),633.0)</f>
        <v>633</v>
      </c>
      <c r="C650" s="10" t="str">
        <f>IFERROR(__xludf.DUMMYFUNCTION("""COMPUTED_VALUE""")," মোছা: ছনিয়া খাতুন ")</f>
        <v> মোছা: ছনিয়া খাতুন </v>
      </c>
      <c r="D650" s="10">
        <f>IFERROR(__xludf.DUMMYFUNCTION("""COMPUTED_VALUE"""),5.70056000095E11)</f>
        <v>570056000095</v>
      </c>
      <c r="E650" s="10" t="str">
        <f>IFERROR(__xludf.DUMMYFUNCTION("""COMPUTED_VALUE""")," মোঃ তরিকুল ইসলাম ")</f>
        <v> মোঃ তরিকুল ইসলাম </v>
      </c>
      <c r="F650" s="10" t="str">
        <f>IFERROR(__xludf.DUMMYFUNCTION("""COMPUTED_VALUE""")," পানছুরা খাতুন ")</f>
        <v> পানছুরা খাতুন </v>
      </c>
      <c r="G650" s="10" t="str">
        <f>IFERROR(__xludf.DUMMYFUNCTION("""COMPUTED_VALUE""")," ০৫/০৮/১৯৯২ ")</f>
        <v> ০৫/০৮/১৯৯২ </v>
      </c>
      <c r="H650" s="10" t="str">
        <f>IFERROR(__xludf.DUMMYFUNCTION("""COMPUTED_VALUE""")," গৃহিনী ")</f>
        <v> গৃহিনী </v>
      </c>
      <c r="I650" s="10" t="str">
        <f>IFERROR(__xludf.DUMMYFUNCTION("""COMPUTED_VALUE""")," জালশুকা, গাংনী, মেহেরপুর ")</f>
        <v> জালশুকা, গাংনী, মেহেরপুর </v>
      </c>
    </row>
    <row r="651">
      <c r="A651" s="9" t="s">
        <v>3347</v>
      </c>
      <c r="B651" s="10">
        <f>IFERROR(__xludf.DUMMYFUNCTION("SPLIT(A651,""|"")"),634.0)</f>
        <v>634</v>
      </c>
      <c r="C651" s="10" t="str">
        <f>IFERROR(__xludf.DUMMYFUNCTION("""COMPUTED_VALUE""")," মোছা: শাহিদা খাতুন ")</f>
        <v> মোছা: শাহিদা খাতুন </v>
      </c>
      <c r="D651" s="10">
        <f>IFERROR(__xludf.DUMMYFUNCTION("""COMPUTED_VALUE"""),5.70056000119E11)</f>
        <v>570056000119</v>
      </c>
      <c r="E651" s="10" t="str">
        <f>IFERROR(__xludf.DUMMYFUNCTION("""COMPUTED_VALUE""")," সাইদুর রহমান ")</f>
        <v> সাইদুর রহমান </v>
      </c>
      <c r="F651" s="10" t="str">
        <f>IFERROR(__xludf.DUMMYFUNCTION("""COMPUTED_VALUE""")," রফুল খাতুন ")</f>
        <v> রফুল খাতুন </v>
      </c>
      <c r="G651" s="10" t="str">
        <f>IFERROR(__xludf.DUMMYFUNCTION("""COMPUTED_VALUE""")," ১০/০৬/১৯৯২ ")</f>
        <v> ১০/০৬/১৯৯২ </v>
      </c>
      <c r="H651" s="10" t="str">
        <f>IFERROR(__xludf.DUMMYFUNCTION("""COMPUTED_VALUE""")," গৃহিনী ")</f>
        <v> গৃহিনী </v>
      </c>
      <c r="I651" s="10" t="str">
        <f>IFERROR(__xludf.DUMMYFUNCTION("""COMPUTED_VALUE""")," জালশুকা, গাংনী, মেহেরপুর ")</f>
        <v> জালশুকা, গাংনী, মেহেরপুর </v>
      </c>
    </row>
    <row r="652">
      <c r="A652" s="9" t="s">
        <v>3348</v>
      </c>
      <c r="B652" s="10">
        <f>IFERROR(__xludf.DUMMYFUNCTION("SPLIT(A652,""|"")"),635.0)</f>
        <v>635</v>
      </c>
      <c r="C652" s="10" t="str">
        <f>IFERROR(__xludf.DUMMYFUNCTION("""COMPUTED_VALUE""")," মোছা: লাবিবা ")</f>
        <v> মোছা: লাবিবা </v>
      </c>
      <c r="D652" s="10">
        <f>IFERROR(__xludf.DUMMYFUNCTION("""COMPUTED_VALUE"""),5.7005600014E11)</f>
        <v>570056000140</v>
      </c>
      <c r="E652" s="10" t="str">
        <f>IFERROR(__xludf.DUMMYFUNCTION("""COMPUTED_VALUE""")," মোঃ মজনুর রহমান ")</f>
        <v> মোঃ মজনুর রহমান </v>
      </c>
      <c r="F652" s="10" t="str">
        <f>IFERROR(__xludf.DUMMYFUNCTION("""COMPUTED_VALUE""")," মোছা: মারিয়া খাতুন ")</f>
        <v> মোছা: মারিয়া খাতুন </v>
      </c>
      <c r="G652" s="10" t="str">
        <f>IFERROR(__xludf.DUMMYFUNCTION("""COMPUTED_VALUE""")," ১২/০৬/১৯৯২ ")</f>
        <v> ১২/০৬/১৯৯২ </v>
      </c>
      <c r="H652" s="10" t="str">
        <f>IFERROR(__xludf.DUMMYFUNCTION("""COMPUTED_VALUE""")," গৃহিনী ")</f>
        <v> গৃহিনী </v>
      </c>
      <c r="I652" s="10" t="str">
        <f>IFERROR(__xludf.DUMMYFUNCTION("""COMPUTED_VALUE""")," জালশুকা, গাংনী, মেহেরপুর ")</f>
        <v> জালশুকা, গাংনী, মেহেরপুর </v>
      </c>
    </row>
    <row r="653">
      <c r="A653" s="9" t="s">
        <v>3349</v>
      </c>
      <c r="B653" s="10">
        <f>IFERROR(__xludf.DUMMYFUNCTION("SPLIT(A653,""|"")"),636.0)</f>
        <v>636</v>
      </c>
      <c r="C653" s="10" t="str">
        <f>IFERROR(__xludf.DUMMYFUNCTION("""COMPUTED_VALUE""")," মোছা: আয়েশা খাতুন ")</f>
        <v> মোছা: আয়েশা খাতুন </v>
      </c>
      <c r="D653" s="10">
        <f>IFERROR(__xludf.DUMMYFUNCTION("""COMPUTED_VALUE"""),5.70056000167E11)</f>
        <v>570056000167</v>
      </c>
      <c r="E653" s="10" t="str">
        <f>IFERROR(__xludf.DUMMYFUNCTION("""COMPUTED_VALUE""")," মোঃ আজিবার ")</f>
        <v> মোঃ আজিবার </v>
      </c>
      <c r="F653" s="10" t="str">
        <f>IFERROR(__xludf.DUMMYFUNCTION("""COMPUTED_VALUE""")," মোছাঃ হালিমা খাতুন ")</f>
        <v> মোছাঃ হালিমা খাতুন </v>
      </c>
      <c r="G653" s="10" t="str">
        <f>IFERROR(__xludf.DUMMYFUNCTION("""COMPUTED_VALUE""")," ২০/০২/১৯৯২ ")</f>
        <v> ২০/০২/১৯৯২ </v>
      </c>
      <c r="H653" s="10" t="str">
        <f>IFERROR(__xludf.DUMMYFUNCTION("""COMPUTED_VALUE""")," গৃহিনী ")</f>
        <v> গৃহিনী </v>
      </c>
      <c r="I653" s="10" t="str">
        <f>IFERROR(__xludf.DUMMYFUNCTION("""COMPUTED_VALUE""")," জালশুকা, গাংনী, মেহেরপুর ")</f>
        <v> জালশুকা, গাংনী, মেহেরপুর </v>
      </c>
    </row>
    <row r="654">
      <c r="A654" s="9" t="s">
        <v>3350</v>
      </c>
      <c r="B654" s="10">
        <f>IFERROR(__xludf.DUMMYFUNCTION("SPLIT(A654,""|"")"),637.0)</f>
        <v>637</v>
      </c>
      <c r="C654" s="10" t="str">
        <f>IFERROR(__xludf.DUMMYFUNCTION("""COMPUTED_VALUE""")," মোছা: কামরুন্নাহার ")</f>
        <v> মোছা: কামরুন্নাহার </v>
      </c>
      <c r="D654" s="10">
        <f>IFERROR(__xludf.DUMMYFUNCTION("""COMPUTED_VALUE"""),5.7005600017E11)</f>
        <v>570056000170</v>
      </c>
      <c r="E654" s="10" t="str">
        <f>IFERROR(__xludf.DUMMYFUNCTION("""COMPUTED_VALUE""")," মোঃ এনামুল হক ")</f>
        <v> মোঃ এনামুল হক </v>
      </c>
      <c r="F654" s="10" t="str">
        <f>IFERROR(__xludf.DUMMYFUNCTION("""COMPUTED_VALUE""")," মোছা: জাহানারা খাতুন ")</f>
        <v> মোছা: জাহানারা খাতুন </v>
      </c>
      <c r="G654" s="10" t="str">
        <f>IFERROR(__xludf.DUMMYFUNCTION("""COMPUTED_VALUE""")," ১২/০৪/১৯৯২ ")</f>
        <v> ১২/০৪/১৯৯২ </v>
      </c>
      <c r="H654" s="10" t="str">
        <f>IFERROR(__xludf.DUMMYFUNCTION("""COMPUTED_VALUE""")," ছাত্র/ছাত্রী ")</f>
        <v> ছাত্র/ছাত্রী </v>
      </c>
      <c r="I654" s="10" t="str">
        <f>IFERROR(__xludf.DUMMYFUNCTION("""COMPUTED_VALUE""")," জালশুকা, গাংনী, মেহেরপুর ")</f>
        <v> জালশুকা, গাংনী, মেহেরপুর </v>
      </c>
    </row>
    <row r="655">
      <c r="A655" s="9" t="s">
        <v>3351</v>
      </c>
      <c r="B655" s="10">
        <f>IFERROR(__xludf.DUMMYFUNCTION("SPLIT(A655,""|"")"),638.0)</f>
        <v>638</v>
      </c>
      <c r="C655" s="10" t="str">
        <f>IFERROR(__xludf.DUMMYFUNCTION("""COMPUTED_VALUE""")," রানু খাতুন ")</f>
        <v> রানু খাতুন </v>
      </c>
      <c r="D655" s="10">
        <f>IFERROR(__xludf.DUMMYFUNCTION("""COMPUTED_VALUE"""),5.70056000035E11)</f>
        <v>570056000035</v>
      </c>
      <c r="E655" s="10" t="str">
        <f>IFERROR(__xludf.DUMMYFUNCTION("""COMPUTED_VALUE""")," আজমত আলী ")</f>
        <v> আজমত আলী </v>
      </c>
      <c r="F655" s="10" t="str">
        <f>IFERROR(__xludf.DUMMYFUNCTION("""COMPUTED_VALUE""")," মোছাঃ জাহানারা খাতুন ")</f>
        <v> মোছাঃ জাহানারা খাতুন </v>
      </c>
      <c r="G655" s="10" t="str">
        <f>IFERROR(__xludf.DUMMYFUNCTION("""COMPUTED_VALUE""")," ২৫/০২/১৯৯৩ ")</f>
        <v> ২৫/০২/১৯৯৩ </v>
      </c>
      <c r="H655" s="10" t="str">
        <f>IFERROR(__xludf.DUMMYFUNCTION("""COMPUTED_VALUE""")," গৃহিনী ")</f>
        <v> গৃহিনী </v>
      </c>
      <c r="I655" s="10" t="str">
        <f>IFERROR(__xludf.DUMMYFUNCTION("""COMPUTED_VALUE""")," জালশুকা, গাংনী, মেহেরপুর ")</f>
        <v> জালশুকা, গাংনী, মেহেরপুর </v>
      </c>
    </row>
    <row r="656">
      <c r="A656" s="9" t="s">
        <v>3352</v>
      </c>
      <c r="B656" s="10">
        <f>IFERROR(__xludf.DUMMYFUNCTION("SPLIT(A656,""|"")"),639.0)</f>
        <v>639</v>
      </c>
      <c r="C656" s="10" t="str">
        <f>IFERROR(__xludf.DUMMYFUNCTION("""COMPUTED_VALUE""")," মরিয়ম ")</f>
        <v> মরিয়ম </v>
      </c>
      <c r="D656" s="10">
        <f>IFERROR(__xludf.DUMMYFUNCTION("""COMPUTED_VALUE"""),5.70056000042E11)</f>
        <v>570056000042</v>
      </c>
      <c r="E656" s="10" t="str">
        <f>IFERROR(__xludf.DUMMYFUNCTION("""COMPUTED_VALUE""")," আমছার আলী ")</f>
        <v> আমছার আলী </v>
      </c>
      <c r="F656" s="10" t="str">
        <f>IFERROR(__xludf.DUMMYFUNCTION("""COMPUTED_VALUE""")," নেকজান ")</f>
        <v> নেকজান </v>
      </c>
      <c r="G656" s="10" t="str">
        <f>IFERROR(__xludf.DUMMYFUNCTION("""COMPUTED_VALUE""")," ১০/০৬/১৯৯৩ ")</f>
        <v> ১০/০৬/১৯৯৩ </v>
      </c>
      <c r="H656" s="10" t="str">
        <f>IFERROR(__xludf.DUMMYFUNCTION("""COMPUTED_VALUE""")," গৃহিনী ")</f>
        <v> গৃহিনী </v>
      </c>
      <c r="I656" s="10" t="str">
        <f>IFERROR(__xludf.DUMMYFUNCTION("""COMPUTED_VALUE""")," জালশুকা, গাংনী, মেহেরপুর ")</f>
        <v> জালশুকা, গাংনী, মেহেরপুর </v>
      </c>
    </row>
    <row r="657">
      <c r="A657" s="9" t="s">
        <v>3353</v>
      </c>
      <c r="B657" s="10">
        <f>IFERROR(__xludf.DUMMYFUNCTION("SPLIT(A657,""|"")"),640.0)</f>
        <v>640</v>
      </c>
      <c r="C657" s="10" t="str">
        <f>IFERROR(__xludf.DUMMYFUNCTION("""COMPUTED_VALUE""")," মোছা: রাজিয়া খাতুন ")</f>
        <v> মোছা: রাজিয়া খাতুন </v>
      </c>
      <c r="D657" s="10">
        <f>IFERROR(__xludf.DUMMYFUNCTION("""COMPUTED_VALUE"""),5.70056000046E11)</f>
        <v>570056000046</v>
      </c>
      <c r="E657" s="10" t="str">
        <f>IFERROR(__xludf.DUMMYFUNCTION("""COMPUTED_VALUE""")," মুফাজ্জেল ")</f>
        <v> মুফাজ্জেল </v>
      </c>
      <c r="F657" s="10" t="str">
        <f>IFERROR(__xludf.DUMMYFUNCTION("""COMPUTED_VALUE""")," মাসুরা ")</f>
        <v> মাসুরা </v>
      </c>
      <c r="G657" s="10" t="str">
        <f>IFERROR(__xludf.DUMMYFUNCTION("""COMPUTED_VALUE""")," ১০/০৮/১৯৯৩ ")</f>
        <v> ১০/০৮/১৯৯৩ </v>
      </c>
      <c r="H657" s="10" t="str">
        <f>IFERROR(__xludf.DUMMYFUNCTION("""COMPUTED_VALUE""")," গৃহিনী ")</f>
        <v> গৃহিনী </v>
      </c>
      <c r="I657" s="10" t="str">
        <f>IFERROR(__xludf.DUMMYFUNCTION("""COMPUTED_VALUE""")," জালশুকা, গাংনী, মেহেরপুর ")</f>
        <v> জালশুকা, গাংনী, মেহেরপুর </v>
      </c>
    </row>
    <row r="658">
      <c r="A658" s="9" t="s">
        <v>3354</v>
      </c>
      <c r="B658" s="10">
        <f>IFERROR(__xludf.DUMMYFUNCTION("SPLIT(A658,""|"")"),641.0)</f>
        <v>641</v>
      </c>
      <c r="C658" s="10" t="str">
        <f>IFERROR(__xludf.DUMMYFUNCTION("""COMPUTED_VALUE""")," শান্তনা ")</f>
        <v> শান্তনা </v>
      </c>
      <c r="D658" s="10">
        <f>IFERROR(__xludf.DUMMYFUNCTION("""COMPUTED_VALUE"""),5.70056000051E11)</f>
        <v>570056000051</v>
      </c>
      <c r="E658" s="10" t="str">
        <f>IFERROR(__xludf.DUMMYFUNCTION("""COMPUTED_VALUE""")," বাহাজ ")</f>
        <v> বাহাজ </v>
      </c>
      <c r="F658" s="10" t="str">
        <f>IFERROR(__xludf.DUMMYFUNCTION("""COMPUTED_VALUE""")," মালেকা ")</f>
        <v> মালেকা </v>
      </c>
      <c r="G658" s="10" t="str">
        <f>IFERROR(__xludf.DUMMYFUNCTION("""COMPUTED_VALUE""")," ১০/০৩/১৯৯৩ ")</f>
        <v> ১০/০৩/১৯৯৩ </v>
      </c>
      <c r="H658" s="10" t="str">
        <f>IFERROR(__xludf.DUMMYFUNCTION("""COMPUTED_VALUE""")," গৃহিনী ")</f>
        <v> গৃহিনী </v>
      </c>
      <c r="I658" s="10" t="str">
        <f>IFERROR(__xludf.DUMMYFUNCTION("""COMPUTED_VALUE""")," জালশুকা, গাংনী, মেহেরপুর ")</f>
        <v> জালশুকা, গাংনী, মেহেরপুর </v>
      </c>
    </row>
    <row r="659">
      <c r="A659" s="9" t="s">
        <v>3355</v>
      </c>
      <c r="B659" s="10">
        <f>IFERROR(__xludf.DUMMYFUNCTION("SPLIT(A659,""|"")"),642.0)</f>
        <v>642</v>
      </c>
      <c r="C659" s="10" t="str">
        <f>IFERROR(__xludf.DUMMYFUNCTION("""COMPUTED_VALUE""")," মোছা: মেহেনিকা খাতুন ")</f>
        <v> মোছা: মেহেনিকা খাতুন </v>
      </c>
      <c r="D659" s="10">
        <f>IFERROR(__xludf.DUMMYFUNCTION("""COMPUTED_VALUE"""),5.70056000056E11)</f>
        <v>570056000056</v>
      </c>
      <c r="E659" s="10" t="str">
        <f>IFERROR(__xludf.DUMMYFUNCTION("""COMPUTED_VALUE""")," মোজ্জেম মন্ডল ")</f>
        <v> মোজ্জেম মন্ডল </v>
      </c>
      <c r="F659" s="10" t="str">
        <f>IFERROR(__xludf.DUMMYFUNCTION("""COMPUTED_VALUE""")," মোছা: রহিমা খাতুন ")</f>
        <v> মোছা: রহিমা খাতুন </v>
      </c>
      <c r="G659" s="10" t="str">
        <f>IFERROR(__xludf.DUMMYFUNCTION("""COMPUTED_VALUE""")," ১২/০৫/১৯৯৩ ")</f>
        <v> ১২/০৫/১৯৯৩ </v>
      </c>
      <c r="H659" s="10" t="str">
        <f>IFERROR(__xludf.DUMMYFUNCTION("""COMPUTED_VALUE""")," গৃহিনী ")</f>
        <v> গৃহিনী </v>
      </c>
      <c r="I659" s="10" t="str">
        <f>IFERROR(__xludf.DUMMYFUNCTION("""COMPUTED_VALUE""")," জালশুকা, গাংনী, মেহেরপুর ")</f>
        <v> জালশুকা, গাংনী, মেহেরপুর </v>
      </c>
    </row>
    <row r="660">
      <c r="A660" s="9" t="s">
        <v>3356</v>
      </c>
      <c r="B660" s="10">
        <f>IFERROR(__xludf.DUMMYFUNCTION("SPLIT(A660,""|"")"),643.0)</f>
        <v>643</v>
      </c>
      <c r="C660" s="10" t="str">
        <f>IFERROR(__xludf.DUMMYFUNCTION("""COMPUTED_VALUE""")," মোছা: কুলছুম ")</f>
        <v> মোছা: কুলছুম </v>
      </c>
      <c r="D660" s="10">
        <f>IFERROR(__xludf.DUMMYFUNCTION("""COMPUTED_VALUE"""),5.70056000063E11)</f>
        <v>570056000063</v>
      </c>
      <c r="E660" s="10" t="str">
        <f>IFERROR(__xludf.DUMMYFUNCTION("""COMPUTED_VALUE""")," নেকছার আলী ")</f>
        <v> নেকছার আলী </v>
      </c>
      <c r="F660" s="10" t="str">
        <f>IFERROR(__xludf.DUMMYFUNCTION("""COMPUTED_VALUE""")," মোছা: ফজিলা ")</f>
        <v> মোছা: ফজিলা </v>
      </c>
      <c r="G660" s="10" t="str">
        <f>IFERROR(__xludf.DUMMYFUNCTION("""COMPUTED_VALUE""")," ০১/০২/১৯৯৩ ")</f>
        <v> ০১/০২/১৯৯৩ </v>
      </c>
      <c r="H660" s="10" t="str">
        <f>IFERROR(__xludf.DUMMYFUNCTION("""COMPUTED_VALUE""")," গৃহিনী ")</f>
        <v> গৃহিনী </v>
      </c>
      <c r="I660" s="10" t="str">
        <f>IFERROR(__xludf.DUMMYFUNCTION("""COMPUTED_VALUE""")," জালশুকা, গাংনী, মেহেরপুর ")</f>
        <v> জালশুকা, গাংনী, মেহেরপুর </v>
      </c>
    </row>
    <row r="661">
      <c r="A661" s="9" t="s">
        <v>3357</v>
      </c>
      <c r="B661" s="10">
        <f>IFERROR(__xludf.DUMMYFUNCTION("SPLIT(A661,""|"")"),644.0)</f>
        <v>644</v>
      </c>
      <c r="C661" s="10" t="str">
        <f>IFERROR(__xludf.DUMMYFUNCTION("""COMPUTED_VALUE""")," মোছা: রিমা খাতুন ")</f>
        <v> মোছা: রিমা খাতুন </v>
      </c>
      <c r="D661" s="10">
        <f>IFERROR(__xludf.DUMMYFUNCTION("""COMPUTED_VALUE"""),5.70056000088E11)</f>
        <v>570056000088</v>
      </c>
      <c r="E661" s="10" t="str">
        <f>IFERROR(__xludf.DUMMYFUNCTION("""COMPUTED_VALUE""")," আলাউদ্দীন ")</f>
        <v> আলাউদ্দীন </v>
      </c>
      <c r="F661" s="10" t="str">
        <f>IFERROR(__xludf.DUMMYFUNCTION("""COMPUTED_VALUE""")," রিতা খাতুন ")</f>
        <v> রিতা খাতুন </v>
      </c>
      <c r="G661" s="10" t="str">
        <f>IFERROR(__xludf.DUMMYFUNCTION("""COMPUTED_VALUE""")," ০৮/১২/১৯৯৩ ")</f>
        <v> ০৮/১২/১৯৯৩ </v>
      </c>
      <c r="H661" s="10" t="str">
        <f>IFERROR(__xludf.DUMMYFUNCTION("""COMPUTED_VALUE""")," গৃহিনী ")</f>
        <v> গৃহিনী </v>
      </c>
      <c r="I661" s="10" t="str">
        <f>IFERROR(__xludf.DUMMYFUNCTION("""COMPUTED_VALUE""")," জালশুকা, গাংনী, মেহেরপুর ")</f>
        <v> জালশুকা, গাংনী, মেহেরপুর </v>
      </c>
    </row>
    <row r="662">
      <c r="A662" s="9" t="s">
        <v>3358</v>
      </c>
      <c r="B662" s="10">
        <f>IFERROR(__xludf.DUMMYFUNCTION("SPLIT(A662,""|"")"),645.0)</f>
        <v>645</v>
      </c>
      <c r="C662" s="10" t="str">
        <f>IFERROR(__xludf.DUMMYFUNCTION("""COMPUTED_VALUE""")," মোছা: রাবিনা খাতুন ")</f>
        <v> মোছা: রাবিনা খাতুন </v>
      </c>
      <c r="D662" s="10">
        <f>IFERROR(__xludf.DUMMYFUNCTION("""COMPUTED_VALUE"""),5.70056000114E11)</f>
        <v>570056000114</v>
      </c>
      <c r="E662" s="10" t="str">
        <f>IFERROR(__xludf.DUMMYFUNCTION("""COMPUTED_VALUE""")," মোঃ হযরত আলী ")</f>
        <v> মোঃ হযরত আলী </v>
      </c>
      <c r="F662" s="10" t="str">
        <f>IFERROR(__xludf.DUMMYFUNCTION("""COMPUTED_VALUE""")," হাসেনা খাতুন ")</f>
        <v> হাসেনা খাতুন </v>
      </c>
      <c r="G662" s="10" t="str">
        <f>IFERROR(__xludf.DUMMYFUNCTION("""COMPUTED_VALUE""")," ১২/১২/১৯৯৩ ")</f>
        <v> ১২/১২/১৯৯৩ </v>
      </c>
      <c r="H662" s="10" t="str">
        <f>IFERROR(__xludf.DUMMYFUNCTION("""COMPUTED_VALUE""")," ছাত্র/ছাত্রী ")</f>
        <v> ছাত্র/ছাত্রী </v>
      </c>
      <c r="I662" s="10" t="str">
        <f>IFERROR(__xludf.DUMMYFUNCTION("""COMPUTED_VALUE""")," জালশুকা, গাংনী, মেহেরপুর ")</f>
        <v> জালশুকা, গাংনী, মেহেরপুর </v>
      </c>
    </row>
    <row r="663">
      <c r="A663" s="9" t="s">
        <v>3359</v>
      </c>
      <c r="B663" s="10">
        <f>IFERROR(__xludf.DUMMYFUNCTION("SPLIT(A663,""|"")"),646.0)</f>
        <v>646</v>
      </c>
      <c r="C663" s="10" t="str">
        <f>IFERROR(__xludf.DUMMYFUNCTION("""COMPUTED_VALUE""")," মোছাঃ হীরা খাতুন ")</f>
        <v> মোছাঃ হীরা খাতুন </v>
      </c>
      <c r="D663" s="10">
        <f>IFERROR(__xludf.DUMMYFUNCTION("""COMPUTED_VALUE"""),5.70056000117E11)</f>
        <v>570056000117</v>
      </c>
      <c r="E663" s="10" t="str">
        <f>IFERROR(__xludf.DUMMYFUNCTION("""COMPUTED_VALUE""")," মোঃ নুরুল ইসলাম ")</f>
        <v> মোঃ নুরুল ইসলাম </v>
      </c>
      <c r="F663" s="10" t="str">
        <f>IFERROR(__xludf.DUMMYFUNCTION("""COMPUTED_VALUE""")," মোছাঃ রওশন আরা ")</f>
        <v> মোছাঃ রওশন আরা </v>
      </c>
      <c r="G663" s="10" t="str">
        <f>IFERROR(__xludf.DUMMYFUNCTION("""COMPUTED_VALUE""")," ০৮/০৬/১৯৯৩ ")</f>
        <v> ০৮/০৬/১৯৯৩ </v>
      </c>
      <c r="H663" s="10" t="str">
        <f>IFERROR(__xludf.DUMMYFUNCTION("""COMPUTED_VALUE""")," ছাত্র/ছাত্রী ")</f>
        <v> ছাত্র/ছাত্রী </v>
      </c>
      <c r="I663" s="10" t="str">
        <f>IFERROR(__xludf.DUMMYFUNCTION("""COMPUTED_VALUE""")," জালশুকা, গাংনী, মেহেরপুর ")</f>
        <v> জালশুকা, গাংনী, মেহেরপুর </v>
      </c>
    </row>
    <row r="664">
      <c r="A664" s="9" t="s">
        <v>3360</v>
      </c>
      <c r="B664" s="10">
        <f>IFERROR(__xludf.DUMMYFUNCTION("SPLIT(A664,""|"")"),647.0)</f>
        <v>647</v>
      </c>
      <c r="C664" s="10" t="str">
        <f>IFERROR(__xludf.DUMMYFUNCTION("""COMPUTED_VALUE""")," মোছাঃ নাজমা খাতুন ")</f>
        <v> মোছাঃ নাজমা খাতুন </v>
      </c>
      <c r="D664" s="10">
        <f>IFERROR(__xludf.DUMMYFUNCTION("""COMPUTED_VALUE"""),5.70056000131E11)</f>
        <v>570056000131</v>
      </c>
      <c r="E664" s="10" t="str">
        <f>IFERROR(__xludf.DUMMYFUNCTION("""COMPUTED_VALUE""")," মোঃ মান্নান ")</f>
        <v> মোঃ মান্নান </v>
      </c>
      <c r="F664" s="10" t="str">
        <f>IFERROR(__xludf.DUMMYFUNCTION("""COMPUTED_VALUE""")," মাতা: মর্জিনা ")</f>
        <v> মাতা: মর্জিনা </v>
      </c>
      <c r="G664" s="10" t="str">
        <f>IFERROR(__xludf.DUMMYFUNCTION("""COMPUTED_VALUE""")," ০১/০৫/১৯৯৩ ")</f>
        <v> ০১/০৫/১৯৯৩ </v>
      </c>
      <c r="H664" s="10" t="str">
        <f>IFERROR(__xludf.DUMMYFUNCTION("""COMPUTED_VALUE""")," গৃহিনী ")</f>
        <v> গৃহিনী </v>
      </c>
      <c r="I664" s="10" t="str">
        <f>IFERROR(__xludf.DUMMYFUNCTION("""COMPUTED_VALUE""")," জালশুকা, গাংনী, মেহেরপুর ")</f>
        <v> জালশুকা, গাংনী, মেহেরপুর </v>
      </c>
    </row>
    <row r="665">
      <c r="A665" s="9" t="s">
        <v>3361</v>
      </c>
      <c r="B665" s="10">
        <f>IFERROR(__xludf.DUMMYFUNCTION("SPLIT(A665,""|"")"),648.0)</f>
        <v>648</v>
      </c>
      <c r="C665" s="10" t="str">
        <f>IFERROR(__xludf.DUMMYFUNCTION("""COMPUTED_VALUE""")," মোছাঃ শাহানারা খাতুন ")</f>
        <v> মোছাঃ শাহানারা খাতুন </v>
      </c>
      <c r="D665" s="10">
        <f>IFERROR(__xludf.DUMMYFUNCTION("""COMPUTED_VALUE"""),5.70056000134E11)</f>
        <v>570056000134</v>
      </c>
      <c r="E665" s="10" t="str">
        <f>IFERROR(__xludf.DUMMYFUNCTION("""COMPUTED_VALUE""")," পিতা: শাহাজুল ইসলাম ")</f>
        <v> পিতা: শাহাজুল ইসলাম </v>
      </c>
      <c r="F665" s="10" t="str">
        <f>IFERROR(__xludf.DUMMYFUNCTION("""COMPUTED_VALUE""")," মাতা: শরজান নেছা ")</f>
        <v> মাতা: শরজান নেছা </v>
      </c>
      <c r="G665" s="10" t="str">
        <f>IFERROR(__xludf.DUMMYFUNCTION("""COMPUTED_VALUE""")," ০১/০১/১৯৯৪ ")</f>
        <v> ০১/০১/১৯৯৪ </v>
      </c>
      <c r="H665" s="10" t="str">
        <f>IFERROR(__xludf.DUMMYFUNCTION("""COMPUTED_VALUE""")," গৃহিনী ")</f>
        <v> গৃহিনী </v>
      </c>
      <c r="I665" s="10" t="str">
        <f>IFERROR(__xludf.DUMMYFUNCTION("""COMPUTED_VALUE""")," জালশুকা, গাংনী, মেহেরপুর ")</f>
        <v> জালশুকা, গাংনী, মেহেরপুর </v>
      </c>
    </row>
    <row r="666">
      <c r="A666" s="9" t="s">
        <v>3362</v>
      </c>
      <c r="B666" s="10">
        <f>IFERROR(__xludf.DUMMYFUNCTION("SPLIT(A666,""|"")"),649.0)</f>
        <v>649</v>
      </c>
      <c r="C666" s="10" t="str">
        <f>IFERROR(__xludf.DUMMYFUNCTION("""COMPUTED_VALUE""")," মোছাঃ খাদেজা খাতুন ")</f>
        <v> মোছাঃ খাদেজা খাতুন </v>
      </c>
      <c r="D666" s="10">
        <f>IFERROR(__xludf.DUMMYFUNCTION("""COMPUTED_VALUE"""),5.70056000136E11)</f>
        <v>570056000136</v>
      </c>
      <c r="E666" s="10" t="str">
        <f>IFERROR(__xludf.DUMMYFUNCTION("""COMPUTED_VALUE""")," মোঃ আঃ খালেক মোল্লা ")</f>
        <v> মোঃ আঃ খালেক মোল্লা </v>
      </c>
      <c r="F666" s="10" t="str">
        <f>IFERROR(__xludf.DUMMYFUNCTION("""COMPUTED_VALUE""")," মোছাঃ হাজেরা খাতুন ")</f>
        <v> মোছাঃ হাজেরা খাতুন </v>
      </c>
      <c r="G666" s="10" t="str">
        <f>IFERROR(__xludf.DUMMYFUNCTION("""COMPUTED_VALUE""")," ০১/০২/১৯৯৪ ")</f>
        <v> ০১/০২/১৯৯৪ </v>
      </c>
      <c r="H666" s="10" t="str">
        <f>IFERROR(__xludf.DUMMYFUNCTION("""COMPUTED_VALUE""")," গৃহিনী ")</f>
        <v> গৃহিনী </v>
      </c>
      <c r="I666" s="10" t="str">
        <f>IFERROR(__xludf.DUMMYFUNCTION("""COMPUTED_VALUE""")," জালশুকা, গাংনী, মেহেরপুর ")</f>
        <v> জালশুকা, গাংনী, মেহেরপুর </v>
      </c>
    </row>
    <row r="667">
      <c r="A667" s="9" t="s">
        <v>3363</v>
      </c>
      <c r="B667" s="10">
        <f>IFERROR(__xludf.DUMMYFUNCTION("SPLIT(A667,""|"")"),650.0)</f>
        <v>650</v>
      </c>
      <c r="C667" s="10" t="str">
        <f>IFERROR(__xludf.DUMMYFUNCTION("""COMPUTED_VALUE""")," নাম: আজমিরা ")</f>
        <v> নাম: আজমিরা </v>
      </c>
      <c r="D667" s="10">
        <f>IFERROR(__xludf.DUMMYFUNCTION("""COMPUTED_VALUE"""),5.70056000044E11)</f>
        <v>570056000044</v>
      </c>
      <c r="E667" s="10" t="str">
        <f>IFERROR(__xludf.DUMMYFUNCTION("""COMPUTED_VALUE""")," পিতা: আলাউদ্দীন ")</f>
        <v> পিতা: আলাউদ্দীন </v>
      </c>
      <c r="F667" s="10" t="str">
        <f>IFERROR(__xludf.DUMMYFUNCTION("""COMPUTED_VALUE""")," মাতা: কামরুন্নাহার ")</f>
        <v> মাতা: কামরুন্নাহার </v>
      </c>
      <c r="G667" s="10" t="str">
        <f>IFERROR(__xludf.DUMMYFUNCTION("""COMPUTED_VALUE""")," ০৫/০৩/১৯৯৪ ")</f>
        <v> ০৫/০৩/১৯৯৪ </v>
      </c>
      <c r="H667" s="10" t="str">
        <f>IFERROR(__xludf.DUMMYFUNCTION("""COMPUTED_VALUE""")," গৃহিনী ")</f>
        <v> গৃহিনী </v>
      </c>
      <c r="I667" s="10" t="str">
        <f>IFERROR(__xludf.DUMMYFUNCTION("""COMPUTED_VALUE""")," জালশুকা, গাংনী, মেহেরপুর ")</f>
        <v> জালশুকা, গাংনী, মেহেরপুর </v>
      </c>
    </row>
    <row r="668">
      <c r="A668" s="9" t="s">
        <v>3364</v>
      </c>
      <c r="B668" s="10">
        <f>IFERROR(__xludf.DUMMYFUNCTION("SPLIT(A668,""|"")"),651.0)</f>
        <v>651</v>
      </c>
      <c r="C668" s="10" t="str">
        <f>IFERROR(__xludf.DUMMYFUNCTION("""COMPUTED_VALUE""")," নাম: মোছাঃ রুপালী ")</f>
        <v> নাম: মোছাঃ রুপালী </v>
      </c>
      <c r="D668" s="10">
        <f>IFERROR(__xludf.DUMMYFUNCTION("""COMPUTED_VALUE"""),5.70056000052E11)</f>
        <v>570056000052</v>
      </c>
      <c r="E668" s="10" t="str">
        <f>IFERROR(__xludf.DUMMYFUNCTION("""COMPUTED_VALUE""")," পিতা: ইসমাইল হোসেন ")</f>
        <v> পিতা: ইসমাইল হোসেন </v>
      </c>
      <c r="F668" s="10" t="str">
        <f>IFERROR(__xludf.DUMMYFUNCTION("""COMPUTED_VALUE""")," মাতা: ওজিলা খাতুন ")</f>
        <v> মাতা: ওজিলা খাতুন </v>
      </c>
      <c r="G668" s="10" t="str">
        <f>IFERROR(__xludf.DUMMYFUNCTION("""COMPUTED_VALUE""")," ২০/০৬/১৯৯৪ ")</f>
        <v> ২০/০৬/১৯৯৪ </v>
      </c>
      <c r="H668" s="10" t="str">
        <f>IFERROR(__xludf.DUMMYFUNCTION("""COMPUTED_VALUE""")," গৃহিনী ")</f>
        <v> গৃহিনী </v>
      </c>
      <c r="I668" s="10" t="str">
        <f>IFERROR(__xludf.DUMMYFUNCTION("""COMPUTED_VALUE""")," জালশুকা, গাংনী, মেহেরপুর ")</f>
        <v> জালশুকা, গাংনী, মেহেরপুর </v>
      </c>
    </row>
    <row r="669">
      <c r="A669" s="9" t="s">
        <v>3365</v>
      </c>
      <c r="B669" s="10">
        <f>IFERROR(__xludf.DUMMYFUNCTION("SPLIT(A669,""|"")"),652.0)</f>
        <v>652</v>
      </c>
      <c r="C669" s="10" t="str">
        <f>IFERROR(__xludf.DUMMYFUNCTION("""COMPUTED_VALUE""")," নাম: মোছাঃ সাগরী খাতুন ")</f>
        <v> নাম: মোছাঃ সাগরী খাতুন </v>
      </c>
      <c r="D669" s="10">
        <f>IFERROR(__xludf.DUMMYFUNCTION("""COMPUTED_VALUE"""),5.70056000058E11)</f>
        <v>570056000058</v>
      </c>
      <c r="E669" s="10" t="str">
        <f>IFERROR(__xludf.DUMMYFUNCTION("""COMPUTED_VALUE""")," মোঃ বজলুর রহমান ")</f>
        <v> মোঃ বজলুর রহমান </v>
      </c>
      <c r="F669" s="10" t="str">
        <f>IFERROR(__xludf.DUMMYFUNCTION("""COMPUTED_VALUE""")," মোছাঃ রেহেনা খাতুন ")</f>
        <v> মোছাঃ রেহেনা খাতুন </v>
      </c>
      <c r="G669" s="10" t="str">
        <f>IFERROR(__xludf.DUMMYFUNCTION("""COMPUTED_VALUE""")," ১৩/০৩/১৯৯৪ ")</f>
        <v> ১৩/০৩/১৯৯৪ </v>
      </c>
      <c r="H669" s="10" t="str">
        <f>IFERROR(__xludf.DUMMYFUNCTION("""COMPUTED_VALUE""")," ছাত্র/ছাত্রী ")</f>
        <v> ছাত্র/ছাত্রী </v>
      </c>
      <c r="I669" s="10" t="str">
        <f>IFERROR(__xludf.DUMMYFUNCTION("""COMPUTED_VALUE""")," জালশুকা, গাংনী, মেহেরপুর ")</f>
        <v> জালশুকা, গাংনী, মেহেরপুর </v>
      </c>
    </row>
    <row r="670">
      <c r="A670" s="9" t="s">
        <v>3366</v>
      </c>
      <c r="B670" s="10">
        <f>IFERROR(__xludf.DUMMYFUNCTION("SPLIT(A670,""|"")"),653.0)</f>
        <v>653</v>
      </c>
      <c r="C670" s="10" t="str">
        <f>IFERROR(__xludf.DUMMYFUNCTION("""COMPUTED_VALUE""")," নাম: মোছাঃ লাবনী খাতুন ")</f>
        <v> নাম: মোছাঃ লাবনী খাতুন </v>
      </c>
      <c r="D670" s="10">
        <f>IFERROR(__xludf.DUMMYFUNCTION("""COMPUTED_VALUE"""),5.7005600006E11)</f>
        <v>570056000060</v>
      </c>
      <c r="E670" s="10" t="str">
        <f>IFERROR(__xludf.DUMMYFUNCTION("""COMPUTED_VALUE""")," পিতা: সিরাজুল ইসলাম ")</f>
        <v> পিতা: সিরাজুল ইসলাম </v>
      </c>
      <c r="F670" s="10" t="str">
        <f>IFERROR(__xludf.DUMMYFUNCTION("""COMPUTED_VALUE""")," মাতা: বিউটি খাতুন ")</f>
        <v> মাতা: বিউটি খাতুন </v>
      </c>
      <c r="G670" s="10" t="str">
        <f>IFERROR(__xludf.DUMMYFUNCTION("""COMPUTED_VALUE""")," ১৫/০৬/১৯৯৪ ")</f>
        <v> ১৫/০৬/১৯৯৪ </v>
      </c>
      <c r="H670" s="10" t="str">
        <f>IFERROR(__xludf.DUMMYFUNCTION("""COMPUTED_VALUE""")," গৃহিনী ")</f>
        <v> গৃহিনী </v>
      </c>
      <c r="I670" s="10" t="str">
        <f>IFERROR(__xludf.DUMMYFUNCTION("""COMPUTED_VALUE""")," জালশুকা, গাংনী, মেহেরপুর ")</f>
        <v> জালশুকা, গাংনী, মেহেরপুর </v>
      </c>
    </row>
    <row r="671">
      <c r="A671" s="9" t="s">
        <v>3367</v>
      </c>
      <c r="B671" s="10">
        <f>IFERROR(__xludf.DUMMYFUNCTION("SPLIT(A671,""|"")"),654.0)</f>
        <v>654</v>
      </c>
      <c r="C671" s="10" t="str">
        <f>IFERROR(__xludf.DUMMYFUNCTION("""COMPUTED_VALUE""")," নাম: মোছাঃ সালমা খাতুন ")</f>
        <v> নাম: মোছাঃ সালমা খাতুন </v>
      </c>
      <c r="D671" s="10">
        <f>IFERROR(__xludf.DUMMYFUNCTION("""COMPUTED_VALUE"""),5.70056000069E11)</f>
        <v>570056000069</v>
      </c>
      <c r="E671" s="10" t="str">
        <f>IFERROR(__xludf.DUMMYFUNCTION("""COMPUTED_VALUE""")," পিতা: মোঃ ইদ্রিস আলী ")</f>
        <v> পিতা: মোঃ ইদ্রিস আলী </v>
      </c>
      <c r="F671" s="10" t="str">
        <f>IFERROR(__xludf.DUMMYFUNCTION("""COMPUTED_VALUE""")," মাতা: মোছাঃ তহমিনা ")</f>
        <v> মাতা: মোছাঃ তহমিনা </v>
      </c>
      <c r="G671" s="10" t="str">
        <f>IFERROR(__xludf.DUMMYFUNCTION("""COMPUTED_VALUE""")," ১৫/০২/১৯৯৪ ")</f>
        <v> ১৫/০২/১৯৯৪ </v>
      </c>
      <c r="H671" s="10" t="str">
        <f>IFERROR(__xludf.DUMMYFUNCTION("""COMPUTED_VALUE""")," ছাত্র/ছাত্রী ")</f>
        <v> ছাত্র/ছাত্রী </v>
      </c>
      <c r="I671" s="10" t="str">
        <f>IFERROR(__xludf.DUMMYFUNCTION("""COMPUTED_VALUE""")," জালশুকা, গাংনী, মেহেরপুর ")</f>
        <v> জালশুকা, গাংনী, মেহেরপুর </v>
      </c>
    </row>
    <row r="672">
      <c r="A672" s="9" t="s">
        <v>3368</v>
      </c>
      <c r="B672" s="10">
        <f>IFERROR(__xludf.DUMMYFUNCTION("SPLIT(A672,""|"")"),655.0)</f>
        <v>655</v>
      </c>
      <c r="C672" s="10" t="str">
        <f>IFERROR(__xludf.DUMMYFUNCTION("""COMPUTED_VALUE""")," নাম: মোছাঃ আজমিরা খাতুন ")</f>
        <v> নাম: মোছাঃ আজমিরা খাতুন </v>
      </c>
      <c r="D672" s="10">
        <f>IFERROR(__xludf.DUMMYFUNCTION("""COMPUTED_VALUE"""),5.70056000071E11)</f>
        <v>570056000071</v>
      </c>
      <c r="E672" s="10" t="str">
        <f>IFERROR(__xludf.DUMMYFUNCTION("""COMPUTED_VALUE""")," পিতা: মোঃ জমসেদ আলী ")</f>
        <v> পিতা: মোঃ জমসেদ আলী </v>
      </c>
      <c r="F672" s="10" t="str">
        <f>IFERROR(__xludf.DUMMYFUNCTION("""COMPUTED_VALUE""")," মাতা: মোছাঃ হালিমা খাতুন ")</f>
        <v> মাতা: মোছাঃ হালিমা খাতুন </v>
      </c>
      <c r="G672" s="10" t="str">
        <f>IFERROR(__xludf.DUMMYFUNCTION("""COMPUTED_VALUE""")," ১৫/০৬/১৯৯৪ ")</f>
        <v> ১৫/০৬/১৯৯৪ </v>
      </c>
      <c r="H672" s="10" t="str">
        <f>IFERROR(__xludf.DUMMYFUNCTION("""COMPUTED_VALUE""")," ছাত্র/ছাত্রী ")</f>
        <v> ছাত্র/ছাত্রী </v>
      </c>
      <c r="I672" s="10" t="str">
        <f>IFERROR(__xludf.DUMMYFUNCTION("""COMPUTED_VALUE""")," জালশুকা, গাংনী, মেহেরপুর ")</f>
        <v> জালশুকা, গাংনী, মেহেরপুর </v>
      </c>
    </row>
    <row r="673">
      <c r="A673" s="9" t="s">
        <v>3369</v>
      </c>
      <c r="B673" s="10">
        <f>IFERROR(__xludf.DUMMYFUNCTION("SPLIT(A673,""|"")"),656.0)</f>
        <v>656</v>
      </c>
      <c r="C673" s="10" t="str">
        <f>IFERROR(__xludf.DUMMYFUNCTION("""COMPUTED_VALUE""")," নাম: মোছাঃ ফাতেমা খাতুন ")</f>
        <v> নাম: মোছাঃ ফাতেমা খাতুন </v>
      </c>
      <c r="D673" s="10">
        <f>IFERROR(__xludf.DUMMYFUNCTION("""COMPUTED_VALUE"""),5.70056000092E11)</f>
        <v>570056000092</v>
      </c>
      <c r="E673" s="10" t="str">
        <f>IFERROR(__xludf.DUMMYFUNCTION("""COMPUTED_VALUE""")," পিতা: ইয়াছিন আলী ")</f>
        <v> পিতা: ইয়াছিন আলী </v>
      </c>
      <c r="F673" s="10" t="str">
        <f>IFERROR(__xludf.DUMMYFUNCTION("""COMPUTED_VALUE""")," মাতা: ফুলজান খাতুন ")</f>
        <v> মাতা: ফুলজান খাতুন </v>
      </c>
      <c r="G673" s="10" t="str">
        <f>IFERROR(__xludf.DUMMYFUNCTION("""COMPUTED_VALUE""")," ২৯/০৭/১৯৯৪ ")</f>
        <v> ২৯/০৭/১৯৯৪ </v>
      </c>
      <c r="H673" s="10" t="str">
        <f>IFERROR(__xludf.DUMMYFUNCTION("""COMPUTED_VALUE""")," গৃহিনী ")</f>
        <v> গৃহিনী </v>
      </c>
      <c r="I673" s="10" t="str">
        <f>IFERROR(__xludf.DUMMYFUNCTION("""COMPUTED_VALUE""")," জালশুকা, গাংনী, মেহেরপুর ")</f>
        <v> জালশুকা, গাংনী, মেহেরপুর </v>
      </c>
    </row>
    <row r="674">
      <c r="A674" s="9" t="s">
        <v>3370</v>
      </c>
      <c r="B674" s="10">
        <f>IFERROR(__xludf.DUMMYFUNCTION("SPLIT(A674,""|"")"),657.0)</f>
        <v>657</v>
      </c>
      <c r="C674" s="10" t="str">
        <f>IFERROR(__xludf.DUMMYFUNCTION("""COMPUTED_VALUE""")," নাম: মোছাঃ রুশিয়া খাতুন ")</f>
        <v> নাম: মোছাঃ রুশিয়া খাতুন </v>
      </c>
      <c r="D674" s="10">
        <f>IFERROR(__xludf.DUMMYFUNCTION("""COMPUTED_VALUE"""),5.70056000094E11)</f>
        <v>570056000094</v>
      </c>
      <c r="E674" s="10" t="str">
        <f>IFERROR(__xludf.DUMMYFUNCTION("""COMPUTED_VALUE""")," পিতা: ইদ্রিস প্রামানিক ")</f>
        <v> পিতা: ইদ্রিস প্রামানিক </v>
      </c>
      <c r="F674" s="10" t="str">
        <f>IFERROR(__xludf.DUMMYFUNCTION("""COMPUTED_VALUE""")," মাতা: তুরুজান ")</f>
        <v> মাতা: তুরুজান </v>
      </c>
      <c r="G674" s="10" t="str">
        <f>IFERROR(__xludf.DUMMYFUNCTION("""COMPUTED_VALUE""")," ০১/০৩/১৯৯৪ ")</f>
        <v> ০১/০৩/১৯৯৪ </v>
      </c>
      <c r="H674" s="10" t="str">
        <f>IFERROR(__xludf.DUMMYFUNCTION("""COMPUTED_VALUE""")," গৃহিনী ")</f>
        <v> গৃহিনী </v>
      </c>
      <c r="I674" s="10" t="str">
        <f>IFERROR(__xludf.DUMMYFUNCTION("""COMPUTED_VALUE""")," জালশুকা, গাংনী, মেহেরপুর ")</f>
        <v> জালশুকা, গাংনী, মেহেরপুর </v>
      </c>
    </row>
    <row r="675">
      <c r="A675" s="9" t="s">
        <v>3371</v>
      </c>
      <c r="B675" s="10">
        <f>IFERROR(__xludf.DUMMYFUNCTION("SPLIT(A675,""|"")"),658.0)</f>
        <v>658</v>
      </c>
      <c r="C675" s="10" t="str">
        <f>IFERROR(__xludf.DUMMYFUNCTION("""COMPUTED_VALUE""")," নাম: মোছাঃ ববিতা খাতুন ")</f>
        <v> নাম: মোছাঃ ববিতা খাতুন </v>
      </c>
      <c r="D675" s="10">
        <f>IFERROR(__xludf.DUMMYFUNCTION("""COMPUTED_VALUE"""),5.70056000138E11)</f>
        <v>570056000138</v>
      </c>
      <c r="E675" s="10" t="str">
        <f>IFERROR(__xludf.DUMMYFUNCTION("""COMPUTED_VALUE""")," পিতা: তৈয়ব আলী ")</f>
        <v> পিতা: তৈয়ব আলী </v>
      </c>
      <c r="F675" s="10" t="str">
        <f>IFERROR(__xludf.DUMMYFUNCTION("""COMPUTED_VALUE""")," মাতা: রমেলা খাতুন ")</f>
        <v> মাতা: রমেলা খাতুন </v>
      </c>
      <c r="G675" s="10" t="str">
        <f>IFERROR(__xludf.DUMMYFUNCTION("""COMPUTED_VALUE""")," ১৩/০৮/১৯৯৪ ")</f>
        <v> ১৩/০৮/১৯৯৪ </v>
      </c>
      <c r="H675" s="10" t="str">
        <f>IFERROR(__xludf.DUMMYFUNCTION("""COMPUTED_VALUE""")," গৃহিনী ")</f>
        <v> গৃহিনী </v>
      </c>
      <c r="I675" s="10" t="str">
        <f>IFERROR(__xludf.DUMMYFUNCTION("""COMPUTED_VALUE""")," জালশুকা, গাংনী, মেহেরপুর ")</f>
        <v> জালশুকা, গাংনী, মেহেরপুর </v>
      </c>
    </row>
    <row r="676">
      <c r="A676" s="9" t="s">
        <v>3372</v>
      </c>
      <c r="B676" s="10">
        <f>IFERROR(__xludf.DUMMYFUNCTION("SPLIT(A676,""|"")"),659.0)</f>
        <v>659</v>
      </c>
      <c r="C676" s="10" t="str">
        <f>IFERROR(__xludf.DUMMYFUNCTION("""COMPUTED_VALUE""")," নাম: মোছাঃ জুলেখা খাতুন ")</f>
        <v> নাম: মোছাঃ জুলেখা খাতুন </v>
      </c>
      <c r="D676" s="10">
        <f>IFERROR(__xludf.DUMMYFUNCTION("""COMPUTED_VALUE"""),5.70056000158E11)</f>
        <v>570056000158</v>
      </c>
      <c r="E676" s="10" t="str">
        <f>IFERROR(__xludf.DUMMYFUNCTION("""COMPUTED_VALUE""")," পিতা: মোঃ আলতাব ")</f>
        <v> পিতা: মোঃ আলতাব </v>
      </c>
      <c r="F676" s="10" t="str">
        <f>IFERROR(__xludf.DUMMYFUNCTION("""COMPUTED_VALUE""")," মাতা: মোছাঃ আংগুরা ")</f>
        <v> মাতা: মোছাঃ আংগুরা </v>
      </c>
      <c r="G676" s="10" t="str">
        <f>IFERROR(__xludf.DUMMYFUNCTION("""COMPUTED_VALUE""")," ২৮/০৪/১৯৯৪ ")</f>
        <v> ২৮/০৪/১৯৯৪ </v>
      </c>
      <c r="H676" s="10" t="str">
        <f>IFERROR(__xludf.DUMMYFUNCTION("""COMPUTED_VALUE""")," গৃহিনী ")</f>
        <v> গৃহিনী </v>
      </c>
      <c r="I676" s="10" t="str">
        <f>IFERROR(__xludf.DUMMYFUNCTION("""COMPUTED_VALUE""")," জালশুকা, গাংনী, মেহেরপুর ")</f>
        <v> জালশুকা, গাংনী, মেহেরপুর </v>
      </c>
    </row>
    <row r="677">
      <c r="A677" s="9" t="s">
        <v>3373</v>
      </c>
      <c r="B677" s="10">
        <f>IFERROR(__xludf.DUMMYFUNCTION("SPLIT(A677,""|"")"),660.0)</f>
        <v>660</v>
      </c>
      <c r="C677" s="10" t="str">
        <f>IFERROR(__xludf.DUMMYFUNCTION("""COMPUTED_VALUE""")," নাম: মোছাঃ রোমানা খাতুন ")</f>
        <v> নাম: মোছাঃ রোমানা খাতুন </v>
      </c>
      <c r="D677" s="10">
        <f>IFERROR(__xludf.DUMMYFUNCTION("""COMPUTED_VALUE"""),5.70056000169E11)</f>
        <v>570056000169</v>
      </c>
      <c r="E677" s="10" t="str">
        <f>IFERROR(__xludf.DUMMYFUNCTION("""COMPUTED_VALUE""")," পিতা: মোঃ ছলিমদ্দীন ")</f>
        <v> পিতা: মোঃ ছলিমদ্দীন </v>
      </c>
      <c r="F677" s="10" t="str">
        <f>IFERROR(__xludf.DUMMYFUNCTION("""COMPUTED_VALUE""")," মাতা: মোছাঃ জরিনা খাতুন ")</f>
        <v> মাতা: মোছাঃ জরিনা খাতুন </v>
      </c>
      <c r="G677" s="10" t="str">
        <f>IFERROR(__xludf.DUMMYFUNCTION("""COMPUTED_VALUE""")," ১২/০৬/১৯৯৪ ")</f>
        <v> ১২/০৬/১৯৯৪ </v>
      </c>
      <c r="H677" s="10" t="str">
        <f>IFERROR(__xludf.DUMMYFUNCTION("""COMPUTED_VALUE""")," ছাত্র/ছাত্রী ")</f>
        <v> ছাত্র/ছাত্রী </v>
      </c>
      <c r="I677" s="10" t="str">
        <f>IFERROR(__xludf.DUMMYFUNCTION("""COMPUTED_VALUE""")," জালশুকা, গাংনী, মেহেরপুর ")</f>
        <v> জালশুকা, গাংনী, মেহেরপুর </v>
      </c>
    </row>
    <row r="678">
      <c r="A678" s="9" t="s">
        <v>3374</v>
      </c>
      <c r="B678" s="10">
        <f>IFERROR(__xludf.DUMMYFUNCTION("SPLIT(A678,""|"")"),661.0)</f>
        <v>661</v>
      </c>
      <c r="C678" s="10" t="str">
        <f>IFERROR(__xludf.DUMMYFUNCTION("""COMPUTED_VALUE""")," নাম: মেরিনা খাতুন ")</f>
        <v> নাম: মেরিনা খাতুন </v>
      </c>
      <c r="D678" s="10">
        <f>IFERROR(__xludf.DUMMYFUNCTION("""COMPUTED_VALUE"""),5.7005600201E10)</f>
        <v>57005600201</v>
      </c>
      <c r="E678" s="10" t="str">
        <f>IFERROR(__xludf.DUMMYFUNCTION("""COMPUTED_VALUE""")," পিতা: মোঃ ইদ্রিস আলী ")</f>
        <v> পিতা: মোঃ ইদ্রিস আলী </v>
      </c>
      <c r="F678" s="10" t="str">
        <f>IFERROR(__xludf.DUMMYFUNCTION("""COMPUTED_VALUE""")," মাতা: মোছাঃ রোজিনা খাতুন ")</f>
        <v> মাতা: মোছাঃ রোজিনা খাতুন </v>
      </c>
      <c r="G678" s="10" t="str">
        <f>IFERROR(__xludf.DUMMYFUNCTION("""COMPUTED_VALUE""")," ১৬/১২/১৯৯৪ ")</f>
        <v> ১৬/১২/১৯৯৪ </v>
      </c>
      <c r="H678" s="10" t="str">
        <f>IFERROR(__xludf.DUMMYFUNCTION("""COMPUTED_VALUE""")," গৃহিনী ")</f>
        <v> গৃহিনী </v>
      </c>
      <c r="I678" s="10" t="str">
        <f>IFERROR(__xludf.DUMMYFUNCTION("""COMPUTED_VALUE""")," জালশুকা, গাংনী, মেহেরপুর ")</f>
        <v> জালশুকা, গাংনী, মেহেরপুর </v>
      </c>
    </row>
    <row r="679">
      <c r="A679" s="9" t="s">
        <v>3375</v>
      </c>
      <c r="B679" s="10">
        <f>IFERROR(__xludf.DUMMYFUNCTION("SPLIT(A679,""|"")"),662.0)</f>
        <v>662</v>
      </c>
      <c r="C679" s="10" t="str">
        <f>IFERROR(__xludf.DUMMYFUNCTION("""COMPUTED_VALUE""")," নাম: মোছাঃ তানজিলা ")</f>
        <v> নাম: মোছাঃ তানজিলা </v>
      </c>
      <c r="D679" s="10">
        <f>IFERROR(__xludf.DUMMYFUNCTION("""COMPUTED_VALUE"""),5.70056000206E11)</f>
        <v>570056000206</v>
      </c>
      <c r="E679" s="10" t="str">
        <f>IFERROR(__xludf.DUMMYFUNCTION("""COMPUTED_VALUE""")," পিতা: মোঃ আনারুল হক ")</f>
        <v> পিতা: মোঃ আনারুল হক </v>
      </c>
      <c r="F679" s="10" t="str">
        <f>IFERROR(__xludf.DUMMYFUNCTION("""COMPUTED_VALUE""")," মাতা: মোছাঃ সাহারা খাতুন ")</f>
        <v> মাতা: মোছাঃ সাহারা খাতুন </v>
      </c>
      <c r="G679" s="10" t="str">
        <f>IFERROR(__xludf.DUMMYFUNCTION("""COMPUTED_VALUE""")," ০২/০১/১৯৯৪ ")</f>
        <v> ০২/০১/১৯৯৪ </v>
      </c>
      <c r="H679" s="10" t="str">
        <f>IFERROR(__xludf.DUMMYFUNCTION("""COMPUTED_VALUE""")," গৃহিনী ")</f>
        <v> গৃহিনী </v>
      </c>
      <c r="I679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0">
      <c r="A680" s="9" t="s">
        <v>3376</v>
      </c>
      <c r="B680" s="10">
        <f>IFERROR(__xludf.DUMMYFUNCTION("SPLIT(A680,""|"")"),663.0)</f>
        <v>663</v>
      </c>
      <c r="C680" s="10" t="str">
        <f>IFERROR(__xludf.DUMMYFUNCTION("""COMPUTED_VALUE""")," নাম: রেশমা খাতুন ")</f>
        <v> নাম: রেশমা খাতুন </v>
      </c>
      <c r="D680" s="10">
        <f>IFERROR(__xludf.DUMMYFUNCTION("""COMPUTED_VALUE"""),5.70056000208E11)</f>
        <v>570056000208</v>
      </c>
      <c r="E680" s="10" t="str">
        <f>IFERROR(__xludf.DUMMYFUNCTION("""COMPUTED_VALUE""")," পিতা: আব্দুর রাজ্জাক ")</f>
        <v> পিতা: আব্দুর রাজ্জাক </v>
      </c>
      <c r="F680" s="10" t="str">
        <f>IFERROR(__xludf.DUMMYFUNCTION("""COMPUTED_VALUE""")," মাতা: ফিরোজা খাতুন ")</f>
        <v> মাতা: ফিরোজা খাতুন </v>
      </c>
      <c r="G680" s="10" t="str">
        <f>IFERROR(__xludf.DUMMYFUNCTION("""COMPUTED_VALUE""")," ২৫/০১/১৯৯৫ ")</f>
        <v> ২৫/০১/১৯৯৫ </v>
      </c>
      <c r="H680" s="10" t="str">
        <f>IFERROR(__xludf.DUMMYFUNCTION("""COMPUTED_VALUE""")," গৃহিনী ")</f>
        <v> গৃহিনী </v>
      </c>
      <c r="I680" s="10" t="str">
        <f>IFERROR(__xludf.DUMMYFUNCTION("""COMPUTED_VALUE""")," জালশুকা, গাংনী, মেহেরপুর ")</f>
        <v> জালশুকা, গাংনী, মেহেরপুর </v>
      </c>
    </row>
    <row r="681">
      <c r="A681" s="9" t="s">
        <v>3377</v>
      </c>
      <c r="B681" s="10">
        <f>IFERROR(__xludf.DUMMYFUNCTION("SPLIT(A681,""|"")"),664.0)</f>
        <v>664</v>
      </c>
      <c r="C681" s="10" t="str">
        <f>IFERROR(__xludf.DUMMYFUNCTION("""COMPUTED_VALUE""")," নাম: রুকছানা খাতুন ")</f>
        <v> নাম: রুকছানা খাতুন </v>
      </c>
      <c r="D681" s="10">
        <f>IFERROR(__xludf.DUMMYFUNCTION("""COMPUTED_VALUE"""),5.7005600021E11)</f>
        <v>570056000210</v>
      </c>
      <c r="E681" s="10" t="str">
        <f>IFERROR(__xludf.DUMMYFUNCTION("""COMPUTED_VALUE""")," পিতা: নিহাল উদ্দীন ")</f>
        <v> পিতা: নিহাল উদ্দীন </v>
      </c>
      <c r="F681" s="10" t="str">
        <f>IFERROR(__xludf.DUMMYFUNCTION("""COMPUTED_VALUE""")," মাতা: রাশিদা খাতুন ")</f>
        <v> মাতা: রাশিদা খাতুন </v>
      </c>
      <c r="G681" s="10" t="str">
        <f>IFERROR(__xludf.DUMMYFUNCTION("""COMPUTED_VALUE""")," ০১/০৬/১৯৯২ ")</f>
        <v> ০১/০৬/১৯৯২ </v>
      </c>
      <c r="H681" s="10" t="str">
        <f>IFERROR(__xludf.DUMMYFUNCTION("""COMPUTED_VALUE""")," গৃহিনী ")</f>
        <v> গৃহিনী </v>
      </c>
      <c r="I681" s="10" t="str">
        <f>IFERROR(__xludf.DUMMYFUNCTION("""COMPUTED_VALUE""")," জালশুকা, গাংনী, মেহেরপুর ")</f>
        <v> জালশুকা, গাংনী, মেহেরপুর </v>
      </c>
    </row>
    <row r="682">
      <c r="A682" s="9" t="s">
        <v>3378</v>
      </c>
      <c r="B682" s="10">
        <f>IFERROR(__xludf.DUMMYFUNCTION("SPLIT(A682,""|"")"),665.0)</f>
        <v>665</v>
      </c>
      <c r="C682" s="10" t="str">
        <f>IFERROR(__xludf.DUMMYFUNCTION("""COMPUTED_VALUE""")," নাম: মোছাঃ মুক্তি খাতুন ")</f>
        <v> নাম: মোছাঃ মুক্তি খাতুন </v>
      </c>
      <c r="D682" s="10">
        <f>IFERROR(__xludf.DUMMYFUNCTION("""COMPUTED_VALUE"""),5.70056000212E11)</f>
        <v>570056000212</v>
      </c>
      <c r="E682" s="10" t="str">
        <f>IFERROR(__xludf.DUMMYFUNCTION("""COMPUTED_VALUE""")," পিতা: ইনামুল মালিথা ")</f>
        <v> পিতা: ইনামুল মালিথা </v>
      </c>
      <c r="F682" s="10" t="str">
        <f>IFERROR(__xludf.DUMMYFUNCTION("""COMPUTED_VALUE""")," মাতা: মোছাঃ আশাফোন ")</f>
        <v> মাতা: মোছাঃ আশাফোন </v>
      </c>
      <c r="G682" s="10" t="str">
        <f>IFERROR(__xludf.DUMMYFUNCTION("""COMPUTED_VALUE""")," ২১/০৪/১৯৯৪ ")</f>
        <v> ২১/০৪/১৯৯৪ </v>
      </c>
      <c r="H682" s="10" t="str">
        <f>IFERROR(__xludf.DUMMYFUNCTION("""COMPUTED_VALUE""")," গৃহিনী ")</f>
        <v> গৃহিনী </v>
      </c>
      <c r="I682" s="10" t="str">
        <f>IFERROR(__xludf.DUMMYFUNCTION("""COMPUTED_VALUE""")," জালশুকা, গাংনী, মেহেরপুর ")</f>
        <v> জালশুকা, গাংনী, মেহেরপুর </v>
      </c>
    </row>
    <row r="683">
      <c r="A683" s="9" t="s">
        <v>3379</v>
      </c>
      <c r="B683" s="10">
        <f>IFERROR(__xludf.DUMMYFUNCTION("SPLIT(A683,""|"")"),666.0)</f>
        <v>666</v>
      </c>
      <c r="C683" s="10" t="str">
        <f>IFERROR(__xludf.DUMMYFUNCTION("""COMPUTED_VALUE""")," নাম: রুবিনা খাতুন ")</f>
        <v> নাম: রুবিনা খাতুন </v>
      </c>
      <c r="D683" s="10">
        <f>IFERROR(__xludf.DUMMYFUNCTION("""COMPUTED_VALUE"""),5.70056000219E11)</f>
        <v>570056000219</v>
      </c>
      <c r="E683" s="10" t="str">
        <f>IFERROR(__xludf.DUMMYFUNCTION("""COMPUTED_VALUE""")," পিতা: বিল্লাল বিশ্বাস ")</f>
        <v> পিতা: বিল্লাল বিশ্বাস </v>
      </c>
      <c r="F683" s="10" t="str">
        <f>IFERROR(__xludf.DUMMYFUNCTION("""COMPUTED_VALUE""")," মাতা: মোছাঃ মিনারা খাতুন ")</f>
        <v> মাতা: মোছাঃ মিনারা খাতুন </v>
      </c>
      <c r="G683" s="10" t="str">
        <f>IFERROR(__xludf.DUMMYFUNCTION("""COMPUTED_VALUE""")," ১৪/০২/১৯৯৫ ")</f>
        <v> ১৪/০২/১৯৯৫ </v>
      </c>
      <c r="H683" s="10" t="str">
        <f>IFERROR(__xludf.DUMMYFUNCTION("""COMPUTED_VALUE""")," গৃহিনী ")</f>
        <v> গৃহিনী </v>
      </c>
      <c r="I683" s="10" t="str">
        <f>IFERROR(__xludf.DUMMYFUNCTION("""COMPUTED_VALUE""")," জালশুকা, গাংনী, মেহেরপুর ")</f>
        <v> জালশুকা, গাংনী, মেহেরপুর </v>
      </c>
    </row>
    <row r="684">
      <c r="A684" s="9" t="s">
        <v>3380</v>
      </c>
      <c r="B684" s="10">
        <f>IFERROR(__xludf.DUMMYFUNCTION("SPLIT(A684,""|"")"),667.0)</f>
        <v>667</v>
      </c>
      <c r="C684" s="10" t="str">
        <f>IFERROR(__xludf.DUMMYFUNCTION("""COMPUTED_VALUE""")," নাম: মোছাঃ তাছলিমা খাতুন ")</f>
        <v> নাম: মোছাঃ তাছলিমা খাতুন </v>
      </c>
      <c r="D684" s="10">
        <f>IFERROR(__xludf.DUMMYFUNCTION("""COMPUTED_VALUE"""),5.7005600022E11)</f>
        <v>570056000220</v>
      </c>
      <c r="E684" s="10" t="str">
        <f>IFERROR(__xludf.DUMMYFUNCTION("""COMPUTED_VALUE""")," পিতা: বাদশা ")</f>
        <v> পিতা: বাদশা </v>
      </c>
      <c r="F684" s="10" t="str">
        <f>IFERROR(__xludf.DUMMYFUNCTION("""COMPUTED_VALUE""")," মাতা: রেহেনা খাতুন ")</f>
        <v> মাতা: রেহেনা খাতুন </v>
      </c>
      <c r="G684" s="10" t="str">
        <f>IFERROR(__xludf.DUMMYFUNCTION("""COMPUTED_VALUE""")," ০১/০১/১৯৯৩ ")</f>
        <v> ০১/০১/১৯৯৩ </v>
      </c>
      <c r="H684" s="10" t="str">
        <f>IFERROR(__xludf.DUMMYFUNCTION("""COMPUTED_VALUE""")," গৃহিনী ")</f>
        <v> গৃহিনী </v>
      </c>
      <c r="I684" s="10" t="str">
        <f>IFERROR(__xludf.DUMMYFUNCTION("""COMPUTED_VALUE""")," জালশুকা, গাংনী, মেহেরপুর ")</f>
        <v> জালশুকা, গাংনী, মেহেরপুর </v>
      </c>
    </row>
    <row r="685">
      <c r="A685" s="9" t="s">
        <v>3381</v>
      </c>
      <c r="B685" s="10">
        <f>IFERROR(__xludf.DUMMYFUNCTION("SPLIT(A685,""|"")"),668.0)</f>
        <v>668</v>
      </c>
      <c r="C685" s="10" t="str">
        <f>IFERROR(__xludf.DUMMYFUNCTION("""COMPUTED_VALUE""")," নাম: মোছাঃ শিরিনা খাতুন ")</f>
        <v> নাম: মোছাঃ শিরিনা খাতুন </v>
      </c>
      <c r="D685" s="10">
        <f>IFERROR(__xludf.DUMMYFUNCTION("""COMPUTED_VALUE"""),5.70056000222E11)</f>
        <v>570056000222</v>
      </c>
      <c r="E685" s="10" t="str">
        <f>IFERROR(__xludf.DUMMYFUNCTION("""COMPUTED_VALUE""")," পিতা: জিনারুল ইসলাম ")</f>
        <v> পিতা: জিনারুল ইসলাম </v>
      </c>
      <c r="F685" s="10" t="str">
        <f>IFERROR(__xludf.DUMMYFUNCTION("""COMPUTED_VALUE""")," মাতা: পারুলা খাতুন ")</f>
        <v> মাতা: পারুলা খাতুন </v>
      </c>
      <c r="G685" s="10" t="str">
        <f>IFERROR(__xludf.DUMMYFUNCTION("""COMPUTED_VALUE""")," ০১/০১/১৯৯৪ ")</f>
        <v> ০১/০১/১৯৯৪ </v>
      </c>
      <c r="H685" s="10" t="str">
        <f>IFERROR(__xludf.DUMMYFUNCTION("""COMPUTED_VALUE""")," গৃহিনী ")</f>
        <v> গৃহিনী </v>
      </c>
      <c r="I685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6">
      <c r="A686" s="9" t="s">
        <v>3382</v>
      </c>
      <c r="B686" s="10">
        <f>IFERROR(__xludf.DUMMYFUNCTION("SPLIT(A686,""|"")"),669.0)</f>
        <v>669</v>
      </c>
      <c r="C686" s="10" t="str">
        <f>IFERROR(__xludf.DUMMYFUNCTION("""COMPUTED_VALUE""")," নাম: মোছাঃ পিনজিরা খাতুন ")</f>
        <v> নাম: মোছাঃ পিনজিরা খাতুন </v>
      </c>
      <c r="D686" s="10">
        <f>IFERROR(__xludf.DUMMYFUNCTION("""COMPUTED_VALUE"""),5.70056000223E11)</f>
        <v>570056000223</v>
      </c>
      <c r="E686" s="10" t="str">
        <f>IFERROR(__xludf.DUMMYFUNCTION("""COMPUTED_VALUE""")," পিতা: শফিকুল ইসলাম ")</f>
        <v> পিতা: শফিকুল ইসলাম </v>
      </c>
      <c r="F686" s="10" t="str">
        <f>IFERROR(__xludf.DUMMYFUNCTION("""COMPUTED_VALUE""")," মাতা: আনজিরা খাতুন ")</f>
        <v> মাতা: আনজিরা খাতুন </v>
      </c>
      <c r="G686" s="10" t="str">
        <f>IFERROR(__xludf.DUMMYFUNCTION("""COMPUTED_VALUE""")," ০৪/০২/১৯৯৫ ")</f>
        <v> ০৪/০২/১৯৯৫ </v>
      </c>
      <c r="H686" s="10" t="str">
        <f>IFERROR(__xludf.DUMMYFUNCTION("""COMPUTED_VALUE""")," ছাত্র/ছাত্রী ")</f>
        <v> ছাত্র/ছাত্রী </v>
      </c>
      <c r="I686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7">
      <c r="A687" s="9" t="s">
        <v>3383</v>
      </c>
      <c r="B687" s="10">
        <f>IFERROR(__xludf.DUMMYFUNCTION("SPLIT(A687,""|"")"),670.0)</f>
        <v>670</v>
      </c>
      <c r="C687" s="10" t="str">
        <f>IFERROR(__xludf.DUMMYFUNCTION("""COMPUTED_VALUE""")," নাম: মোছাঃ সাবিনা খাতুন ")</f>
        <v> নাম: মোছাঃ সাবিনা খাতুন </v>
      </c>
      <c r="D687" s="10">
        <f>IFERROR(__xludf.DUMMYFUNCTION("""COMPUTED_VALUE"""),5.70056000224E11)</f>
        <v>570056000224</v>
      </c>
      <c r="E687" s="10" t="str">
        <f>IFERROR(__xludf.DUMMYFUNCTION("""COMPUTED_VALUE""")," পিতা: শওকত আলী ")</f>
        <v> পিতা: শওকত আলী </v>
      </c>
      <c r="F687" s="10" t="str">
        <f>IFERROR(__xludf.DUMMYFUNCTION("""COMPUTED_VALUE""")," মাতা: কারিমন নেছা ")</f>
        <v> মাতা: কারিমন নেছা </v>
      </c>
      <c r="G687" s="10" t="str">
        <f>IFERROR(__xludf.DUMMYFUNCTION("""COMPUTED_VALUE""")," ১০/০৮/১৯৯২ ")</f>
        <v> ১০/০৮/১৯৯২ </v>
      </c>
      <c r="H687" s="10" t="str">
        <f>IFERROR(__xludf.DUMMYFUNCTION("""COMPUTED_VALUE""")," গৃহিনী ")</f>
        <v> গৃহিনী </v>
      </c>
      <c r="I687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8">
      <c r="A688" s="9" t="s">
        <v>3384</v>
      </c>
      <c r="B688" s="10">
        <f>IFERROR(__xludf.DUMMYFUNCTION("SPLIT(A688,""|"")"),671.0)</f>
        <v>671</v>
      </c>
      <c r="C688" s="10" t="str">
        <f>IFERROR(__xludf.DUMMYFUNCTION("""COMPUTED_VALUE""")," নাম: মোছাঃ লাবনী খাতুন ")</f>
        <v> নাম: মোছাঃ লাবনী খাতুন </v>
      </c>
      <c r="D688" s="10">
        <f>IFERROR(__xludf.DUMMYFUNCTION("""COMPUTED_VALUE"""),5.70056000225E11)</f>
        <v>570056000225</v>
      </c>
      <c r="E688" s="10" t="str">
        <f>IFERROR(__xludf.DUMMYFUNCTION("""COMPUTED_VALUE""")," পিতা: ফজলুল হক ")</f>
        <v> পিতা: ফজলুল হক </v>
      </c>
      <c r="F688" s="10" t="str">
        <f>IFERROR(__xludf.DUMMYFUNCTION("""COMPUTED_VALUE""")," মাতা: উম্মিয়া খাতুন ")</f>
        <v> মাতা: উম্মিয়া খাতুন </v>
      </c>
      <c r="G688" s="10" t="str">
        <f>IFERROR(__xludf.DUMMYFUNCTION("""COMPUTED_VALUE""")," ০২/০৫/১৯৯০ ")</f>
        <v> ০২/০৫/১৯৯০ </v>
      </c>
      <c r="H688" s="10" t="str">
        <f>IFERROR(__xludf.DUMMYFUNCTION("""COMPUTED_VALUE""")," গৃহিনী ")</f>
        <v> গৃহিনী </v>
      </c>
      <c r="I688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9">
      <c r="A689" s="9" t="s">
        <v>3385</v>
      </c>
      <c r="B689" s="10">
        <f>IFERROR(__xludf.DUMMYFUNCTION("SPLIT(A689,""|"")"),672.0)</f>
        <v>672</v>
      </c>
      <c r="C689" s="10" t="str">
        <f>IFERROR(__xludf.DUMMYFUNCTION("""COMPUTED_VALUE""")," নাম: মোছাঃ উরমিলা খাতুন ")</f>
        <v> নাম: মোছাঃ উরমিলা খাতুন </v>
      </c>
      <c r="D689" s="10">
        <f>IFERROR(__xludf.DUMMYFUNCTION("""COMPUTED_VALUE"""),5.70056000226E11)</f>
        <v>570056000226</v>
      </c>
      <c r="E689" s="10" t="str">
        <f>IFERROR(__xludf.DUMMYFUNCTION("""COMPUTED_VALUE""")," পিতা: আঃ মমিন ")</f>
        <v> পিতা: আঃ মমিন </v>
      </c>
      <c r="F689" s="10" t="str">
        <f>IFERROR(__xludf.DUMMYFUNCTION("""COMPUTED_VALUE""")," মাতা: মজিফন নেছা ")</f>
        <v> মাতা: মজিফন নেছা </v>
      </c>
      <c r="G689" s="10" t="str">
        <f>IFERROR(__xludf.DUMMYFUNCTION("""COMPUTED_VALUE""")," ২৭/০৩/১৯৯৩ ")</f>
        <v> ২৭/০৩/১৯৯৩ </v>
      </c>
      <c r="H689" s="10" t="str">
        <f>IFERROR(__xludf.DUMMYFUNCTION("""COMPUTED_VALUE""")," শ্রমিক ")</f>
        <v> শ্রমিক </v>
      </c>
      <c r="I689" s="10" t="str">
        <f>IFERROR(__xludf.DUMMYFUNCTION("""COMPUTED_VALUE""")," জালশুকা, গাংনী, মেহেরপুর ")</f>
        <v> জালশুকা, গাংনী, মেহেরপুর </v>
      </c>
    </row>
    <row r="690">
      <c r="A690" s="9" t="s">
        <v>3386</v>
      </c>
      <c r="B690" s="10">
        <f>IFERROR(__xludf.DUMMYFUNCTION("SPLIT(A690,""|"")"),673.0)</f>
        <v>673</v>
      </c>
      <c r="C690" s="10" t="str">
        <f>IFERROR(__xludf.DUMMYFUNCTION("""COMPUTED_VALUE""")," নাম: মোছাঃ শিখা মনি ")</f>
        <v> নাম: মোছাঃ শিখা মনি </v>
      </c>
      <c r="D690" s="10">
        <f>IFERROR(__xludf.DUMMYFUNCTION("""COMPUTED_VALUE"""),5.70056000227E11)</f>
        <v>570056000227</v>
      </c>
      <c r="E690" s="10" t="str">
        <f>IFERROR(__xludf.DUMMYFUNCTION("""COMPUTED_VALUE""")," পিতা: মোঃ বজলুল হক ")</f>
        <v> পিতা: মোঃ বজলুল হক </v>
      </c>
      <c r="F690" s="10" t="str">
        <f>IFERROR(__xludf.DUMMYFUNCTION("""COMPUTED_VALUE""")," মাতা: মোছাঃ জাহানারা খাতুন ")</f>
        <v> মাতা: মোছাঃ জাহানারা খাতুন </v>
      </c>
      <c r="G690" s="10" t="str">
        <f>IFERROR(__xludf.DUMMYFUNCTION("""COMPUTED_VALUE""")," ০৩/০১/১৯৯৫ ")</f>
        <v> ০৩/০১/১৯৯৫ </v>
      </c>
      <c r="H690" s="10" t="str">
        <f>IFERROR(__xludf.DUMMYFUNCTION("""COMPUTED_VALUE""")," ছাত্র/ছাত্রী ")</f>
        <v> ছাত্র/ছাত্রী </v>
      </c>
      <c r="I690" s="10" t="str">
        <f>IFERROR(__xludf.DUMMYFUNCTION("""COMPUTED_VALUE""")," জালশুকা, গাংনী, মেহেরপুর ")</f>
        <v> জালশুকা, গাংনী, মেহেরপুর </v>
      </c>
    </row>
    <row r="691">
      <c r="A691" s="9" t="s">
        <v>3387</v>
      </c>
      <c r="B691" s="10">
        <f>IFERROR(__xludf.DUMMYFUNCTION("SPLIT(A691,""|"")"),674.0)</f>
        <v>674</v>
      </c>
      <c r="C691" s="10" t="str">
        <f>IFERROR(__xludf.DUMMYFUNCTION("""COMPUTED_VALUE""")," নাম: আরিফা খাতুন ")</f>
        <v> নাম: আরিফা খাতুন </v>
      </c>
      <c r="D691" s="10">
        <f>IFERROR(__xludf.DUMMYFUNCTION("""COMPUTED_VALUE"""),5.70056000231E11)</f>
        <v>570056000231</v>
      </c>
      <c r="E691" s="10" t="str">
        <f>IFERROR(__xludf.DUMMYFUNCTION("""COMPUTED_VALUE""")," পিতা: বোরহান উদ্দীন ")</f>
        <v> পিতা: বোরহান উদ্দীন </v>
      </c>
      <c r="F691" s="10" t="str">
        <f>IFERROR(__xludf.DUMMYFUNCTION("""COMPUTED_VALUE""")," মাতা: রেজীয়া খাতুন ")</f>
        <v> মাতা: রেজীয়া খাতুন </v>
      </c>
      <c r="G691" s="10" t="str">
        <f>IFERROR(__xludf.DUMMYFUNCTION("""COMPUTED_VALUE""")," ২৫/০৭/১৯৯২ ")</f>
        <v> ২৫/০৭/১৯৯২ </v>
      </c>
      <c r="H691" s="10" t="str">
        <f>IFERROR(__xludf.DUMMYFUNCTION("""COMPUTED_VALUE""")," গৃহিনী ")</f>
        <v> গৃহিনী </v>
      </c>
      <c r="I691" s="10" t="str">
        <f>IFERROR(__xludf.DUMMYFUNCTION("""COMPUTED_VALUE""")," জালশুকা, গাংনী, মেহেরপুর ")</f>
        <v> জালশুকা, গাংনী, মেহেরপুর </v>
      </c>
    </row>
    <row r="692">
      <c r="A692" s="9" t="s">
        <v>3388</v>
      </c>
      <c r="B692" s="10">
        <f>IFERROR(__xludf.DUMMYFUNCTION("SPLIT(A692,""|"")"),675.0)</f>
        <v>675</v>
      </c>
      <c r="C692" s="10" t="str">
        <f>IFERROR(__xludf.DUMMYFUNCTION("""COMPUTED_VALUE""")," নাম: মোছাঃ জলিযারা ")</f>
        <v> নাম: মোছাঃ জলিযারা </v>
      </c>
      <c r="D692" s="10">
        <f>IFERROR(__xludf.DUMMYFUNCTION("""COMPUTED_VALUE"""),5.70056000235E11)</f>
        <v>570056000235</v>
      </c>
      <c r="E692" s="10" t="str">
        <f>IFERROR(__xludf.DUMMYFUNCTION("""COMPUTED_VALUE""")," পিতা: মোঃ খলিলুর রহমান ")</f>
        <v> পিতা: মোঃ খলিলুর রহমান </v>
      </c>
      <c r="F692" s="10" t="str">
        <f>IFERROR(__xludf.DUMMYFUNCTION("""COMPUTED_VALUE""")," মাতা: রাশেদা খাতুন ")</f>
        <v> মাতা: রাশেদা খাতুন </v>
      </c>
      <c r="G692" s="10" t="str">
        <f>IFERROR(__xludf.DUMMYFUNCTION("""COMPUTED_VALUE""")," ১১/১১/১৯৯১ ")</f>
        <v> ১১/১১/১৯৯১ </v>
      </c>
      <c r="H692" s="10" t="str">
        <f>IFERROR(__xludf.DUMMYFUNCTION("""COMPUTED_VALUE""")," গৃহিনী ")</f>
        <v> গৃহিনী </v>
      </c>
      <c r="I692" s="10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693">
      <c r="A693" s="9" t="s">
        <v>3389</v>
      </c>
      <c r="B693" s="10">
        <f>IFERROR(__xludf.DUMMYFUNCTION("SPLIT(A693,""|"")"),676.0)</f>
        <v>676</v>
      </c>
      <c r="C693" s="10" t="str">
        <f>IFERROR(__xludf.DUMMYFUNCTION("""COMPUTED_VALUE""")," নাম: মোছাঃ উনজিলা খাতুন ")</f>
        <v> নাম: মোছাঃ উনজিলা খাতুন </v>
      </c>
      <c r="D693" s="10">
        <f>IFERROR(__xludf.DUMMYFUNCTION("""COMPUTED_VALUE"""),5.70056000239E11)</f>
        <v>570056000239</v>
      </c>
      <c r="E693" s="10" t="str">
        <f>IFERROR(__xludf.DUMMYFUNCTION("""COMPUTED_VALUE""")," পিতা: মোঃ ছাবের আলী ")</f>
        <v> পিতা: মোঃ ছাবের আলী </v>
      </c>
      <c r="F693" s="10" t="str">
        <f>IFERROR(__xludf.DUMMYFUNCTION("""COMPUTED_VALUE""")," মাতা: মোছাঃ আশানুর ")</f>
        <v> মাতা: মোছাঃ আশানুর </v>
      </c>
      <c r="G693" s="10" t="str">
        <f>IFERROR(__xludf.DUMMYFUNCTION("""COMPUTED_VALUE""")," ১৩/১২/১৯৯৩ ")</f>
        <v> ১৩/১২/১৯৯৩ </v>
      </c>
      <c r="H693" s="10" t="str">
        <f>IFERROR(__xludf.DUMMYFUNCTION("""COMPUTED_VALUE""")," গৃহিনী ")</f>
        <v> গৃহিনী </v>
      </c>
      <c r="I693" s="10" t="str">
        <f>IFERROR(__xludf.DUMMYFUNCTION("""COMPUTED_VALUE""")," ভিটাপাড়া, জালশুকা, গাংনী, মেহেরপুর ")</f>
        <v> ভিটাপাড়া, জালশুকা, গাংনী, মেহেরপুর </v>
      </c>
    </row>
    <row r="694">
      <c r="A694" s="9" t="s">
        <v>3390</v>
      </c>
      <c r="B694" s="10">
        <f>IFERROR(__xludf.DUMMYFUNCTION("SPLIT(A694,""|"")"),677.0)</f>
        <v>677</v>
      </c>
      <c r="C694" s="10" t="str">
        <f>IFERROR(__xludf.DUMMYFUNCTION("""COMPUTED_VALUE""")," নাম: মোছাঃ তানজিলা খাতুন ")</f>
        <v> নাম: মোছাঃ তানজিলা খাতুন </v>
      </c>
      <c r="D694" s="10">
        <f>IFERROR(__xludf.DUMMYFUNCTION("""COMPUTED_VALUE"""),5.7005600024E11)</f>
        <v>570056000240</v>
      </c>
      <c r="E694" s="10" t="str">
        <f>IFERROR(__xludf.DUMMYFUNCTION("""COMPUTED_VALUE""")," পিতা: মোঃ সিদ্দিক আলী ")</f>
        <v> পিতা: মোঃ সিদ্দিক আলী </v>
      </c>
      <c r="F694" s="10" t="str">
        <f>IFERROR(__xludf.DUMMYFUNCTION("""COMPUTED_VALUE""")," মাতা: সুফিয়া খাতুন ")</f>
        <v> মাতা: সুফিয়া খাতুন </v>
      </c>
      <c r="G694" s="10" t="str">
        <f>IFERROR(__xludf.DUMMYFUNCTION("""COMPUTED_VALUE""")," ০২/০৯/১৯৯৪ ")</f>
        <v> ০২/০৯/১৯৯৪ </v>
      </c>
      <c r="H694" s="10" t="str">
        <f>IFERROR(__xludf.DUMMYFUNCTION("""COMPUTED_VALUE""")," গৃহিনী ")</f>
        <v> গৃহিনী </v>
      </c>
      <c r="I694" s="10" t="str">
        <f>IFERROR(__xludf.DUMMYFUNCTION("""COMPUTED_VALUE""")," জালশুকা, গাংনী, মেহেরপুর ")</f>
        <v> জালশুকা, গাংনী, মেহেরপুর </v>
      </c>
    </row>
    <row r="695">
      <c r="A695" s="9" t="s">
        <v>3391</v>
      </c>
      <c r="B695" s="10">
        <f>IFERROR(__xludf.DUMMYFUNCTION("SPLIT(A695,""|"")"),678.0)</f>
        <v>678</v>
      </c>
      <c r="C695" s="10" t="str">
        <f>IFERROR(__xludf.DUMMYFUNCTION("""COMPUTED_VALUE""")," নাম: মোছাঃ শাহিনা খাতুন ")</f>
        <v> নাম: মোছাঃ শাহিনা খাতুন </v>
      </c>
      <c r="D695" s="10">
        <f>IFERROR(__xludf.DUMMYFUNCTION("""COMPUTED_VALUE"""),5.70056000243E11)</f>
        <v>570056000243</v>
      </c>
      <c r="E695" s="10" t="str">
        <f>IFERROR(__xludf.DUMMYFUNCTION("""COMPUTED_VALUE""")," পিতা: আঃ রাজ্জাক ")</f>
        <v> পিতা: আঃ রাজ্জাক </v>
      </c>
      <c r="F695" s="10" t="str">
        <f>IFERROR(__xludf.DUMMYFUNCTION("""COMPUTED_VALUE""")," মাতা: আসুরা খাতুন ")</f>
        <v> মাতা: আসুরা খাতুন </v>
      </c>
      <c r="G695" s="10" t="str">
        <f>IFERROR(__xludf.DUMMYFUNCTION("""COMPUTED_VALUE""")," ০২/০১/১৯৯০ ")</f>
        <v> ০২/০১/১৯৯০ </v>
      </c>
      <c r="H695" s="10" t="str">
        <f>IFERROR(__xludf.DUMMYFUNCTION("""COMPUTED_VALUE""")," গৃহিনী ")</f>
        <v> গৃহিনী </v>
      </c>
      <c r="I695" s="10" t="str">
        <f>IFERROR(__xludf.DUMMYFUNCTION("""COMPUTED_VALUE""")," জালশুকা, গাংনী, মেহেরপুর ")</f>
        <v> জালশুকা, গাংনী, মেহেরপুর </v>
      </c>
    </row>
    <row r="696">
      <c r="A696" s="9" t="s">
        <v>3392</v>
      </c>
      <c r="B696" s="10">
        <f>IFERROR(__xludf.DUMMYFUNCTION("SPLIT(A696,""|"")"),679.0)</f>
        <v>679</v>
      </c>
      <c r="C696" s="10" t="str">
        <f>IFERROR(__xludf.DUMMYFUNCTION("""COMPUTED_VALUE""")," নাম: মোছাঃ ছাবিনা খাতুন ")</f>
        <v> নাম: মোছাঃ ছাবিনা খাতুন </v>
      </c>
      <c r="D696" s="10">
        <f>IFERROR(__xludf.DUMMYFUNCTION("""COMPUTED_VALUE"""),5.70056000244E11)</f>
        <v>570056000244</v>
      </c>
      <c r="E696" s="10" t="str">
        <f>IFERROR(__xludf.DUMMYFUNCTION("""COMPUTED_VALUE""")," পিতা: মোঃ নায়েব আলী ")</f>
        <v> পিতা: মোঃ নায়েব আলী </v>
      </c>
      <c r="F696" s="10" t="str">
        <f>IFERROR(__xludf.DUMMYFUNCTION("""COMPUTED_VALUE""")," মাতা: মোছাঃ খদিজা খাতুন ")</f>
        <v> মাতা: মোছাঃ খদিজা খাতুন </v>
      </c>
      <c r="G696" s="10" t="str">
        <f>IFERROR(__xludf.DUMMYFUNCTION("""COMPUTED_VALUE""")," ০৫/০৩/১৯৯৩ ")</f>
        <v> ০৫/০৩/১৯৯৩ </v>
      </c>
      <c r="H696" s="10" t="str">
        <f>IFERROR(__xludf.DUMMYFUNCTION("""COMPUTED_VALUE""")," গৃহিনী ")</f>
        <v> গৃহিনী </v>
      </c>
      <c r="I696" s="10" t="str">
        <f>IFERROR(__xludf.DUMMYFUNCTION("""COMPUTED_VALUE""")," জালশুকা, গাংনী, মেহেরপুর ")</f>
        <v> জালশুকা, গাংনী, মেহেরপুর </v>
      </c>
    </row>
    <row r="697">
      <c r="A697" s="9" t="s">
        <v>3393</v>
      </c>
      <c r="B697" s="10">
        <f>IFERROR(__xludf.DUMMYFUNCTION("SPLIT(A697,""|"")"),680.0)</f>
        <v>680</v>
      </c>
      <c r="C697" s="10" t="str">
        <f>IFERROR(__xludf.DUMMYFUNCTION("""COMPUTED_VALUE""")," নাম: মোছাঃ হিরা খাতুন ")</f>
        <v> নাম: মোছাঃ হিরা খাতুন </v>
      </c>
      <c r="D697" s="10">
        <f>IFERROR(__xludf.DUMMYFUNCTION("""COMPUTED_VALUE"""),5.70056000245E11)</f>
        <v>570056000245</v>
      </c>
      <c r="E697" s="10" t="str">
        <f>IFERROR(__xludf.DUMMYFUNCTION("""COMPUTED_VALUE""")," পিতা: মোঃ আঃ লতিফ ")</f>
        <v> পিতা: মোঃ আঃ লতিফ </v>
      </c>
      <c r="F697" s="10" t="str">
        <f>IFERROR(__xludf.DUMMYFUNCTION("""COMPUTED_VALUE""")," মাতা: জেলেহার খাতুন ")</f>
        <v> মাতা: জেলেহার খাতুন </v>
      </c>
      <c r="G697" s="10" t="str">
        <f>IFERROR(__xludf.DUMMYFUNCTION("""COMPUTED_VALUE""")," ০১/০৪/১৯৯৬ ")</f>
        <v> ০১/০৪/১৯৯৬ </v>
      </c>
      <c r="H697" s="10" t="str">
        <f>IFERROR(__xludf.DUMMYFUNCTION("""COMPUTED_VALUE""")," গৃহিনী ")</f>
        <v> গৃহিনী </v>
      </c>
      <c r="I697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98">
      <c r="A698" s="9" t="s">
        <v>3394</v>
      </c>
      <c r="B698" s="10">
        <f>IFERROR(__xludf.DUMMYFUNCTION("SPLIT(A698,""|"")"),681.0)</f>
        <v>681</v>
      </c>
      <c r="C698" s="10" t="str">
        <f>IFERROR(__xludf.DUMMYFUNCTION("""COMPUTED_VALUE""")," নাম: মোছাঃ রজিনা খাতুন ")</f>
        <v> নাম: মোছাঃ রজিনা খাতুন </v>
      </c>
      <c r="D698" s="10">
        <f>IFERROR(__xludf.DUMMYFUNCTION("""COMPUTED_VALUE"""),5.70056000246E11)</f>
        <v>570056000246</v>
      </c>
      <c r="E698" s="10" t="str">
        <f>IFERROR(__xludf.DUMMYFUNCTION("""COMPUTED_VALUE""")," পিতা: আনারুল ")</f>
        <v> পিতা: আনারুল </v>
      </c>
      <c r="F698" s="10" t="str">
        <f>IFERROR(__xludf.DUMMYFUNCTION("""COMPUTED_VALUE""")," মাতা: ছারেজান ")</f>
        <v> মাতা: ছারেজান </v>
      </c>
      <c r="G698" s="10" t="str">
        <f>IFERROR(__xludf.DUMMYFUNCTION("""COMPUTED_VALUE""")," ১০/০৮/১৯৯৬ ")</f>
        <v> ১০/০৮/১৯৯৬ </v>
      </c>
      <c r="H698" s="10" t="str">
        <f>IFERROR(__xludf.DUMMYFUNCTION("""COMPUTED_VALUE""")," গৃহিনী ")</f>
        <v> গৃহিনী </v>
      </c>
      <c r="I698" s="10" t="str">
        <f>IFERROR(__xludf.DUMMYFUNCTION("""COMPUTED_VALUE""")," জালশুকা, গাংনী, মেহেরপুর ")</f>
        <v> জালশুকা, গাংনী, মেহেরপুর </v>
      </c>
    </row>
    <row r="699">
      <c r="A699" s="9" t="s">
        <v>3395</v>
      </c>
      <c r="B699" s="10">
        <f>IFERROR(__xludf.DUMMYFUNCTION("SPLIT(A699,""|"")"),682.0)</f>
        <v>682</v>
      </c>
      <c r="C699" s="10" t="str">
        <f>IFERROR(__xludf.DUMMYFUNCTION("""COMPUTED_VALUE""")," নাম: মোছাঃ সাবিনা ইয়াছমিন ")</f>
        <v> নাম: মোছাঃ সাবিনা ইয়াছমিন </v>
      </c>
      <c r="D699" s="10">
        <f>IFERROR(__xludf.DUMMYFUNCTION("""COMPUTED_VALUE"""),5.70056000247E11)</f>
        <v>570056000247</v>
      </c>
      <c r="E699" s="10" t="str">
        <f>IFERROR(__xludf.DUMMYFUNCTION("""COMPUTED_VALUE""")," পিতা: শরিফউদ্দীন ")</f>
        <v> পিতা: শরিফউদ্দীন </v>
      </c>
      <c r="F699" s="10" t="str">
        <f>IFERROR(__xludf.DUMMYFUNCTION("""COMPUTED_VALUE""")," মাতা: রুপিয়া খাতুন ")</f>
        <v> মাতা: রুপিয়া খাতুন </v>
      </c>
      <c r="G699" s="10" t="str">
        <f>IFERROR(__xludf.DUMMYFUNCTION("""COMPUTED_VALUE""")," ১৫/১২/১৯৯৬ ")</f>
        <v> ১৫/১২/১৯৯৬ </v>
      </c>
      <c r="H699" s="10" t="str">
        <f>IFERROR(__xludf.DUMMYFUNCTION("""COMPUTED_VALUE""")," গৃহিনী ")</f>
        <v> গৃহিনী </v>
      </c>
      <c r="I699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700">
      <c r="A700" s="9" t="s">
        <v>3396</v>
      </c>
      <c r="B700" s="10">
        <f>IFERROR(__xludf.DUMMYFUNCTION("SPLIT(A700,""|"")"),683.0)</f>
        <v>683</v>
      </c>
      <c r="C700" s="10" t="str">
        <f>IFERROR(__xludf.DUMMYFUNCTION("""COMPUTED_VALUE""")," নাম: মোছাঃ আঙ্গুরী খাতুন ")</f>
        <v> নাম: মোছাঃ আঙ্গুরী খাতুন </v>
      </c>
      <c r="D700" s="10">
        <f>IFERROR(__xludf.DUMMYFUNCTION("""COMPUTED_VALUE"""),5.70056000249E11)</f>
        <v>570056000249</v>
      </c>
      <c r="E700" s="10" t="str">
        <f>IFERROR(__xludf.DUMMYFUNCTION("""COMPUTED_VALUE""")," পিতা: মহিবুল হক ")</f>
        <v> পিতা: মহিবুল হক </v>
      </c>
      <c r="F700" s="10" t="str">
        <f>IFERROR(__xludf.DUMMYFUNCTION("""COMPUTED_VALUE""")," মাতা: ময়না খাতুন ")</f>
        <v> মাতা: ময়না খাতুন </v>
      </c>
      <c r="G700" s="10" t="str">
        <f>IFERROR(__xludf.DUMMYFUNCTION("""COMPUTED_VALUE""")," ০১/১২/১৯৯৬ ")</f>
        <v> ০১/১২/১৯৯৬ </v>
      </c>
      <c r="H700" s="10" t="str">
        <f>IFERROR(__xludf.DUMMYFUNCTION("""COMPUTED_VALUE""")," ছাত্র/ছাত্রী ")</f>
        <v> ছাত্র/ছাত্রী </v>
      </c>
      <c r="I700" s="10" t="str">
        <f>IFERROR(__xludf.DUMMYFUNCTION("""COMPUTED_VALUE""")," জালশুকা, গাংনী, মেহেরপুর ")</f>
        <v> জালশুকা, গাংনী, মেহেরপুর </v>
      </c>
    </row>
    <row r="701">
      <c r="A701" s="9" t="s">
        <v>3397</v>
      </c>
      <c r="B701" s="10">
        <f>IFERROR(__xludf.DUMMYFUNCTION("SPLIT(A701,""|"")"),684.0)</f>
        <v>684</v>
      </c>
      <c r="C701" s="10" t="str">
        <f>IFERROR(__xludf.DUMMYFUNCTION("""COMPUTED_VALUE""")," নাম: মোছাঃ সাজেদা খাতুন ")</f>
        <v> নাম: মোছাঃ সাজেদা খাতুন </v>
      </c>
      <c r="D701" s="10">
        <f>IFERROR(__xludf.DUMMYFUNCTION("""COMPUTED_VALUE"""),5.7005600025E11)</f>
        <v>570056000250</v>
      </c>
      <c r="E701" s="10" t="str">
        <f>IFERROR(__xludf.DUMMYFUNCTION("""COMPUTED_VALUE""")," পিতা: মোঃ ফজলুল হক ")</f>
        <v> পিতা: মোঃ ফজলুল হক </v>
      </c>
      <c r="F701" s="10" t="str">
        <f>IFERROR(__xludf.DUMMYFUNCTION("""COMPUTED_VALUE""")," মাতা: মোছাঃ ফেরদৌসী খাতুন ")</f>
        <v> মাতা: মোছাঃ ফেরদৌসী খাতুন </v>
      </c>
      <c r="G701" s="10" t="str">
        <f>IFERROR(__xludf.DUMMYFUNCTION("""COMPUTED_VALUE""")," ১৫/০৫/১৯৯৬ ")</f>
        <v> ১৫/০৫/১৯৯৬ </v>
      </c>
      <c r="H701" s="10" t="str">
        <f>IFERROR(__xludf.DUMMYFUNCTION("""COMPUTED_VALUE""")," গৃহিনী ")</f>
        <v> গৃহিনী </v>
      </c>
      <c r="I701" s="10" t="str">
        <f>IFERROR(__xludf.DUMMYFUNCTION("""COMPUTED_VALUE""")," জালশুকা, গাংনী, মেহেরপুর ")</f>
        <v> জালশুকা, গাংনী, মেহেরপুর </v>
      </c>
    </row>
    <row r="702">
      <c r="A702" s="9" t="s">
        <v>3398</v>
      </c>
      <c r="B702" s="10">
        <f>IFERROR(__xludf.DUMMYFUNCTION("SPLIT(A702,""|"")"),685.0)</f>
        <v>685</v>
      </c>
      <c r="C702" s="10" t="str">
        <f>IFERROR(__xludf.DUMMYFUNCTION("""COMPUTED_VALUE""")," নাম: মোছাঃ তানজিলা খাতুন ")</f>
        <v> নাম: মোছাঃ তানজিলা খাতুন </v>
      </c>
      <c r="D702" s="10">
        <f>IFERROR(__xludf.DUMMYFUNCTION("""COMPUTED_VALUE"""),5.70056000252E11)</f>
        <v>570056000252</v>
      </c>
      <c r="E702" s="10" t="str">
        <f>IFERROR(__xludf.DUMMYFUNCTION("""COMPUTED_VALUE""")," পিতা: মোঃ ইনামুল ইসলাম ")</f>
        <v> পিতা: মোঃ ইনামুল ইসলাম </v>
      </c>
      <c r="F702" s="10" t="str">
        <f>IFERROR(__xludf.DUMMYFUNCTION("""COMPUTED_VALUE""")," মাতা: মোছাঃ হফেলা খাতুন ")</f>
        <v> মাতা: মোছাঃ হফেলা খাতুন </v>
      </c>
      <c r="G702" s="10" t="str">
        <f>IFERROR(__xludf.DUMMYFUNCTION("""COMPUTED_VALUE""")," ০২/০৩/১৯৯৭ ")</f>
        <v> ০২/০৩/১৯৯৭ </v>
      </c>
      <c r="H702" s="10" t="str">
        <f>IFERROR(__xludf.DUMMYFUNCTION("""COMPUTED_VALUE""")," গৃহিনী ")</f>
        <v> গৃহিনী </v>
      </c>
      <c r="I702" s="10" t="str">
        <f>IFERROR(__xludf.DUMMYFUNCTION("""COMPUTED_VALUE""")," জালশুকা, গাংনী, মেহেরপুর ")</f>
        <v> জালশুকা, গাংনী, মেহেরপুর </v>
      </c>
    </row>
    <row r="703">
      <c r="A703" s="9" t="s">
        <v>3399</v>
      </c>
      <c r="B703" s="10">
        <f>IFERROR(__xludf.DUMMYFUNCTION("SPLIT(A703,""|"")"),686.0)</f>
        <v>686</v>
      </c>
      <c r="C703" s="10" t="str">
        <f>IFERROR(__xludf.DUMMYFUNCTION("""COMPUTED_VALUE""")," নাম: মোছাঃ মালা খাতুন ")</f>
        <v> নাম: মোছাঃ মালা খাতুন </v>
      </c>
      <c r="D703" s="10">
        <f>IFERROR(__xludf.DUMMYFUNCTION("""COMPUTED_VALUE"""),5.70056000255E11)</f>
        <v>570056000255</v>
      </c>
      <c r="E703" s="10" t="str">
        <f>IFERROR(__xludf.DUMMYFUNCTION("""COMPUTED_VALUE""")," পিতা: মোঃ শহিদুল ইসলাম ")</f>
        <v> পিতা: মোঃ শহিদুল ইসলাম </v>
      </c>
      <c r="F703" s="10" t="str">
        <f>IFERROR(__xludf.DUMMYFUNCTION("""COMPUTED_VALUE""")," মাতা: মোছাঃ মেহের নিগার ")</f>
        <v> মাতা: মোছাঃ মেহের নিগার </v>
      </c>
      <c r="G703" s="10" t="str">
        <f>IFERROR(__xludf.DUMMYFUNCTION("""COMPUTED_VALUE""")," ১৭/০২/১৯৯৭ ")</f>
        <v> ১৭/০২/১৯৯৭ </v>
      </c>
      <c r="H703" s="10" t="str">
        <f>IFERROR(__xludf.DUMMYFUNCTION("""COMPUTED_VALUE""")," ছাত্র/ছাত্রী ")</f>
        <v> ছাত্র/ছাত্রী </v>
      </c>
      <c r="I703" s="10" t="str">
        <f>IFERROR(__xludf.DUMMYFUNCTION("""COMPUTED_VALUE""")," জালশুকা, গাংনী, মেহেরপুর ")</f>
        <v> জালশুকা, গাংনী, মেহেরপুর </v>
      </c>
    </row>
    <row r="704">
      <c r="A704" s="9" t="s">
        <v>3400</v>
      </c>
      <c r="B704" s="10">
        <f>IFERROR(__xludf.DUMMYFUNCTION("SPLIT(A704,""|"")"),687.0)</f>
        <v>687</v>
      </c>
      <c r="C704" s="10" t="str">
        <f>IFERROR(__xludf.DUMMYFUNCTION("""COMPUTED_VALUE""")," নাম: মোছাঃ শাহনাজ আক্তার জলি ")</f>
        <v> নাম: মোছাঃ শাহনাজ আক্তার জলি </v>
      </c>
      <c r="D704" s="10">
        <f>IFERROR(__xludf.DUMMYFUNCTION("""COMPUTED_VALUE"""),5.70056000257E11)</f>
        <v>570056000257</v>
      </c>
      <c r="E704" s="10" t="str">
        <f>IFERROR(__xludf.DUMMYFUNCTION("""COMPUTED_VALUE""")," পিতা: মোঃ জামাল হোসেন ")</f>
        <v> পিতা: মোঃ জামাল হোসেন </v>
      </c>
      <c r="F704" s="10" t="str">
        <f>IFERROR(__xludf.DUMMYFUNCTION("""COMPUTED_VALUE""")," মাতা: মোছাঃ হুরিনা খাতুন ")</f>
        <v> মাতা: মোছাঃ হুরিনা খাতুন </v>
      </c>
      <c r="G704" s="10" t="str">
        <f>IFERROR(__xludf.DUMMYFUNCTION("""COMPUTED_VALUE""")," ১০/০৭/১৯৯৬ ")</f>
        <v> ১০/০৭/১৯৯৬ </v>
      </c>
      <c r="H704" s="10" t="str">
        <f>IFERROR(__xludf.DUMMYFUNCTION("""COMPUTED_VALUE""")," গৃহিনী ")</f>
        <v> গৃহিনী </v>
      </c>
      <c r="I704" s="10" t="str">
        <f>IFERROR(__xludf.DUMMYFUNCTION("""COMPUTED_VALUE""")," জালশুকা, গাংনী, মেহেরপুর ")</f>
        <v> জালশুকা, গাংনী, মেহেরপুর </v>
      </c>
    </row>
    <row r="705">
      <c r="A705" s="9" t="s">
        <v>3401</v>
      </c>
      <c r="B705" s="10">
        <f>IFERROR(__xludf.DUMMYFUNCTION("SPLIT(A705,""|"")"),688.0)</f>
        <v>688</v>
      </c>
      <c r="C705" s="10" t="str">
        <f>IFERROR(__xludf.DUMMYFUNCTION("""COMPUTED_VALUE""")," নাম: মোছাঃ সীমা খাতুন ")</f>
        <v> নাম: মোছাঃ সীমা খাতুন </v>
      </c>
      <c r="D705" s="10">
        <f>IFERROR(__xludf.DUMMYFUNCTION("""COMPUTED_VALUE"""),5.70056000258E11)</f>
        <v>570056000258</v>
      </c>
      <c r="E705" s="10" t="str">
        <f>IFERROR(__xludf.DUMMYFUNCTION("""COMPUTED_VALUE""")," পিতা: মোঃ রহমান আলী ")</f>
        <v> পিতা: মোঃ রহমান আলী </v>
      </c>
      <c r="F705" s="10" t="str">
        <f>IFERROR(__xludf.DUMMYFUNCTION("""COMPUTED_VALUE""")," মাতা: মোছাঃ জাহানারা খাতুন ")</f>
        <v> মাতা: মোছাঃ জাহানারা খাতুন </v>
      </c>
      <c r="G705" s="10" t="str">
        <f>IFERROR(__xludf.DUMMYFUNCTION("""COMPUTED_VALUE""")," ০৭/০৬/১৯৯৬ ")</f>
        <v> ০৭/০৬/১৯৯৬ </v>
      </c>
      <c r="H705" s="10" t="str">
        <f>IFERROR(__xludf.DUMMYFUNCTION("""COMPUTED_VALUE""")," গৃহিনী ")</f>
        <v> গৃহিনী </v>
      </c>
      <c r="I705" s="10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06">
      <c r="A706" s="9" t="s">
        <v>3402</v>
      </c>
      <c r="B706" s="10">
        <f>IFERROR(__xludf.DUMMYFUNCTION("SPLIT(A706,""|"")"),689.0)</f>
        <v>689</v>
      </c>
      <c r="C706" s="10" t="str">
        <f>IFERROR(__xludf.DUMMYFUNCTION("""COMPUTED_VALUE""")," নাম: মোছাঃ কাকলী খাতুন ")</f>
        <v> নাম: মোছাঃ কাকলী খাতুন </v>
      </c>
      <c r="D706" s="10">
        <f>IFERROR(__xludf.DUMMYFUNCTION("""COMPUTED_VALUE"""),5.70056000259E11)</f>
        <v>570056000259</v>
      </c>
      <c r="E706" s="10" t="str">
        <f>IFERROR(__xludf.DUMMYFUNCTION("""COMPUTED_VALUE""")," পিতা: জামাল উদ্দীন ")</f>
        <v> পিতা: জামাল উদ্দীন </v>
      </c>
      <c r="F706" s="10" t="str">
        <f>IFERROR(__xludf.DUMMYFUNCTION("""COMPUTED_VALUE""")," মাতা: মিনারা খাতুন ")</f>
        <v> মাতা: মিনারা খাতুন </v>
      </c>
      <c r="G706" s="10" t="str">
        <f>IFERROR(__xludf.DUMMYFUNCTION("""COMPUTED_VALUE""")," ১৭/১২/১৯৯০ ")</f>
        <v> ১৭/১২/১৯৯০ </v>
      </c>
      <c r="H706" s="10" t="str">
        <f>IFERROR(__xludf.DUMMYFUNCTION("""COMPUTED_VALUE""")," গৃহিনী ")</f>
        <v> গৃহিনী </v>
      </c>
      <c r="I706" s="10" t="str">
        <f>IFERROR(__xludf.DUMMYFUNCTION("""COMPUTED_VALUE""")," জালশুকা, গাংনী, মেহেরপুর ")</f>
        <v> জালশুকা, গাংনী, মেহেরপুর </v>
      </c>
    </row>
    <row r="707">
      <c r="A707" s="9" t="s">
        <v>3403</v>
      </c>
      <c r="B707" s="10">
        <f>IFERROR(__xludf.DUMMYFUNCTION("SPLIT(A707,""|"")"),690.0)</f>
        <v>690</v>
      </c>
      <c r="C707" s="10" t="str">
        <f>IFERROR(__xludf.DUMMYFUNCTION("""COMPUTED_VALUE""")," নাম: মর্জিনা ")</f>
        <v> নাম: মর্জিনা </v>
      </c>
      <c r="D707" s="10">
        <f>IFERROR(__xludf.DUMMYFUNCTION("""COMPUTED_VALUE"""),5.70056000264E11)</f>
        <v>570056000264</v>
      </c>
      <c r="E707" s="10" t="str">
        <f>IFERROR(__xludf.DUMMYFUNCTION("""COMPUTED_VALUE""")," পিতা: গোলাম মোস্তফা ")</f>
        <v> পিতা: গোলাম মোস্তফা </v>
      </c>
      <c r="F707" s="10" t="str">
        <f>IFERROR(__xludf.DUMMYFUNCTION("""COMPUTED_VALUE""")," মাতা: ফুলছুরাতন ")</f>
        <v> মাতা: ফুলছুরাতন </v>
      </c>
      <c r="G707" s="10" t="str">
        <f>IFERROR(__xludf.DUMMYFUNCTION("""COMPUTED_VALUE""")," ০২/০২/১৯৯২ ")</f>
        <v> ০২/০২/১৯৯২ </v>
      </c>
      <c r="H707" s="10" t="str">
        <f>IFERROR(__xludf.DUMMYFUNCTION("""COMPUTED_VALUE""")," গৃহিনী ")</f>
        <v> গৃহিনী </v>
      </c>
      <c r="I707" s="10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08">
      <c r="A708" s="9" t="s">
        <v>3404</v>
      </c>
      <c r="B708" s="10">
        <f>IFERROR(__xludf.DUMMYFUNCTION("SPLIT(A708,""|"")"),691.0)</f>
        <v>691</v>
      </c>
      <c r="C708" s="10" t="str">
        <f>IFERROR(__xludf.DUMMYFUNCTION("""COMPUTED_VALUE""")," নাম: মোছাঃ রিতা খাতুন ")</f>
        <v> নাম: মোছাঃ রিতা খাতুন </v>
      </c>
      <c r="D708" s="10">
        <f>IFERROR(__xludf.DUMMYFUNCTION("""COMPUTED_VALUE"""),5.70056000269E11)</f>
        <v>570056000269</v>
      </c>
      <c r="E708" s="10" t="str">
        <f>IFERROR(__xludf.DUMMYFUNCTION("""COMPUTED_VALUE""")," পিতা: মোছাঃ হমায়ন ")</f>
        <v> পিতা: মোছাঃ হমায়ন </v>
      </c>
      <c r="F708" s="10" t="str">
        <f>IFERROR(__xludf.DUMMYFUNCTION("""COMPUTED_VALUE""")," মাতা: মোছাঃ কবরী খাতুন ")</f>
        <v> মাতা: মোছাঃ কবরী খাতুন </v>
      </c>
      <c r="G708" s="10" t="str">
        <f>IFERROR(__xludf.DUMMYFUNCTION("""COMPUTED_VALUE""")," ২০/০৫/১৯৯৭ ")</f>
        <v> ২০/০৫/১৯৯৭ </v>
      </c>
      <c r="H708" s="10" t="str">
        <f>IFERROR(__xludf.DUMMYFUNCTION("""COMPUTED_VALUE""")," ছাত্র/ছাত্রী ")</f>
        <v> ছাত্র/ছাত্রী </v>
      </c>
      <c r="I708" s="10" t="str">
        <f>IFERROR(__xludf.DUMMYFUNCTION("""COMPUTED_VALUE""")," জালশুকা, গাংনী, মেহেরপুর ")</f>
        <v> জালশুকা, গাংনী, মেহেরপুর </v>
      </c>
    </row>
    <row r="709">
      <c r="A709" s="9" t="s">
        <v>3405</v>
      </c>
      <c r="B709" s="10">
        <f>IFERROR(__xludf.DUMMYFUNCTION("SPLIT(A709,""|"")"),692.0)</f>
        <v>692</v>
      </c>
      <c r="C709" s="10" t="str">
        <f>IFERROR(__xludf.DUMMYFUNCTION("""COMPUTED_VALUE""")," নাম: মোছাঃ হালিমা খাতুন ")</f>
        <v> নাম: মোছাঃ হালিমা খাতুন </v>
      </c>
      <c r="D709" s="10">
        <f>IFERROR(__xludf.DUMMYFUNCTION("""COMPUTED_VALUE"""),5.70056000271E11)</f>
        <v>570056000271</v>
      </c>
      <c r="E709" s="10" t="str">
        <f>IFERROR(__xludf.DUMMYFUNCTION("""COMPUTED_VALUE""")," পিতা: মোঃ মহিবুল ইসলাম ")</f>
        <v> পিতা: মোঃ মহিবুল ইসলাম </v>
      </c>
      <c r="F709" s="10" t="str">
        <f>IFERROR(__xludf.DUMMYFUNCTION("""COMPUTED_VALUE""")," মাতা: মোছাঃ বেদনা খাতুন ")</f>
        <v> মাতা: মোছাঃ বেদনা খাতুন </v>
      </c>
      <c r="G709" s="10" t="str">
        <f>IFERROR(__xludf.DUMMYFUNCTION("""COMPUTED_VALUE""")," ০৪/০১/১৯৯৪ ")</f>
        <v> ০৪/০১/১৯৯৪ </v>
      </c>
      <c r="H709" s="10" t="str">
        <f>IFERROR(__xludf.DUMMYFUNCTION("""COMPUTED_VALUE""")," ছাত্র/ছাত্রী ")</f>
        <v> ছাত্র/ছাত্রী </v>
      </c>
      <c r="I709" s="10" t="str">
        <f>IFERROR(__xludf.DUMMYFUNCTION("""COMPUTED_VALUE""")," জালশুকা, গাংনী, মেহেরপুর ")</f>
        <v> জালশুকা, গাংনী, মেহেরপুর </v>
      </c>
    </row>
    <row r="710">
      <c r="A710" s="9" t="s">
        <v>3406</v>
      </c>
      <c r="B710" s="10">
        <f>IFERROR(__xludf.DUMMYFUNCTION("SPLIT(A710,""|"")"),693.0)</f>
        <v>693</v>
      </c>
      <c r="C710" s="10" t="str">
        <f>IFERROR(__xludf.DUMMYFUNCTION("""COMPUTED_VALUE""")," নাম: মোছাঃ খুশিয়ারা খাতুন ")</f>
        <v> নাম: মোছাঃ খুশিয়ারা খাতুন </v>
      </c>
      <c r="D710" s="10">
        <f>IFERROR(__xludf.DUMMYFUNCTION("""COMPUTED_VALUE"""),5.70056000274E11)</f>
        <v>570056000274</v>
      </c>
      <c r="E710" s="10" t="str">
        <f>IFERROR(__xludf.DUMMYFUNCTION("""COMPUTED_VALUE""")," পিতা: মোঃ জমির উদ্দিন ")</f>
        <v> পিতা: মোঃ জমির উদ্দিন </v>
      </c>
      <c r="F710" s="10" t="str">
        <f>IFERROR(__xludf.DUMMYFUNCTION("""COMPUTED_VALUE""")," মাতা: মোছাঃ নাসের খাতুন ")</f>
        <v> মাতা: মোছাঃ নাসের খাতুন </v>
      </c>
      <c r="G710" s="10" t="str">
        <f>IFERROR(__xludf.DUMMYFUNCTION("""COMPUTED_VALUE""")," ০৮/০৪/১৯৯৫ ")</f>
        <v> ০৮/০৪/১৯৯৫ </v>
      </c>
      <c r="H710" s="10" t="str">
        <f>IFERROR(__xludf.DUMMYFUNCTION("""COMPUTED_VALUE""")," ছাত্র/ছাত্রী ")</f>
        <v> ছাত্র/ছাত্রী </v>
      </c>
      <c r="I710" s="10" t="str">
        <f>IFERROR(__xludf.DUMMYFUNCTION("""COMPUTED_VALUE""")," জালশুকা স্কুল পাড়া, জালশুকা, গাংনী, মেহেরপুর ")</f>
        <v> জালশুকা স্কুল পাড়া, জালশুকা, গাংনী, মেহেরপুর </v>
      </c>
    </row>
    <row r="711">
      <c r="A711" s="9" t="s">
        <v>3407</v>
      </c>
      <c r="B711" s="10">
        <f>IFERROR(__xludf.DUMMYFUNCTION("SPLIT(A711,""|"")"),694.0)</f>
        <v>694</v>
      </c>
      <c r="C711" s="10" t="str">
        <f>IFERROR(__xludf.DUMMYFUNCTION("""COMPUTED_VALUE""")," নাম: মোছাঃ মিতা খাতুন ")</f>
        <v> নাম: মোছাঃ মিতা খাতুন </v>
      </c>
      <c r="D711" s="10">
        <f>IFERROR(__xludf.DUMMYFUNCTION("""COMPUTED_VALUE"""),5.70056000275E11)</f>
        <v>570056000275</v>
      </c>
      <c r="E711" s="10" t="str">
        <f>IFERROR(__xludf.DUMMYFUNCTION("""COMPUTED_VALUE""")," পিতা: মোঃ ইলিয়াস হোসেন ")</f>
        <v> পিতা: মোঃ ইলিয়াস হোসেন </v>
      </c>
      <c r="F711" s="10" t="str">
        <f>IFERROR(__xludf.DUMMYFUNCTION("""COMPUTED_VALUE""")," মাতা: মোছাঃ আকলিমা খাতুন ")</f>
        <v> মাতা: মোছাঃ আকলিমা খাতুন </v>
      </c>
      <c r="G711" s="10" t="str">
        <f>IFERROR(__xludf.DUMMYFUNCTION("""COMPUTED_VALUE""")," ০৮/০৩/১৯৯৬ ")</f>
        <v> ০৮/০৩/১৯৯৬ </v>
      </c>
      <c r="H711" s="10" t="str">
        <f>IFERROR(__xludf.DUMMYFUNCTION("""COMPUTED_VALUE""")," ছাত্র/ছাত্রী ")</f>
        <v> ছাত্র/ছাত্রী </v>
      </c>
      <c r="I711" s="10" t="str">
        <f>IFERROR(__xludf.DUMMYFUNCTION("""COMPUTED_VALUE""")," জালশুকা, গাংনী, মেহেরপুর ")</f>
        <v> জালশুকা, গাংনী, মেহেরপুর </v>
      </c>
    </row>
    <row r="712">
      <c r="A712" s="9" t="s">
        <v>3408</v>
      </c>
      <c r="B712" s="10">
        <f>IFERROR(__xludf.DUMMYFUNCTION("SPLIT(A712,""|"")"),695.0)</f>
        <v>695</v>
      </c>
      <c r="C712" s="10" t="str">
        <f>IFERROR(__xludf.DUMMYFUNCTION("""COMPUTED_VALUE""")," নাম: মোছাঃ রোকেয়া খাতুন ")</f>
        <v> নাম: মোছাঃ রোকেয়া খাতুন </v>
      </c>
      <c r="D712" s="10">
        <f>IFERROR(__xludf.DUMMYFUNCTION("""COMPUTED_VALUE"""),5.70056000276E11)</f>
        <v>570056000276</v>
      </c>
      <c r="E712" s="10" t="str">
        <f>IFERROR(__xludf.DUMMYFUNCTION("""COMPUTED_VALUE""")," পিতা: মোছাঃ আব্দুল জব্বার ")</f>
        <v> পিতা: মোছাঃ আব্দুল জব্বার </v>
      </c>
      <c r="F712" s="10" t="str">
        <f>IFERROR(__xludf.DUMMYFUNCTION("""COMPUTED_VALUE""")," মাতা: মোছাঃ ফুরাতন ")</f>
        <v> মাতা: মোছাঃ ফুরাতন </v>
      </c>
      <c r="G712" s="10" t="str">
        <f>IFERROR(__xludf.DUMMYFUNCTION("""COMPUTED_VALUE""")," ১০/০৫/১৯৯৫ ")</f>
        <v> ১০/০৫/১৯৯৫ </v>
      </c>
      <c r="H712" s="10" t="str">
        <f>IFERROR(__xludf.DUMMYFUNCTION("""COMPUTED_VALUE""")," গৃহিনী ")</f>
        <v> গৃহিনী </v>
      </c>
      <c r="I712" s="10" t="str">
        <f>IFERROR(__xludf.DUMMYFUNCTION("""COMPUTED_VALUE""")," জালশুকা, গাংনী, মেহেরপুর ")</f>
        <v> জালশুকা, গাংনী, মেহেরপুর </v>
      </c>
    </row>
    <row r="713">
      <c r="A713" s="9" t="s">
        <v>3409</v>
      </c>
      <c r="B713" s="10">
        <f>IFERROR(__xludf.DUMMYFUNCTION("SPLIT(A713,""|"")"),696.0)</f>
        <v>696</v>
      </c>
      <c r="C713" s="10" t="str">
        <f>IFERROR(__xludf.DUMMYFUNCTION("""COMPUTED_VALUE""")," নাম: মোছাঃ রাফিয়া খাতুন ")</f>
        <v> নাম: মোছাঃ রাফিয়া খাতুন </v>
      </c>
      <c r="D713" s="10">
        <f>IFERROR(__xludf.DUMMYFUNCTION("""COMPUTED_VALUE"""),5.70056000278E11)</f>
        <v>570056000278</v>
      </c>
      <c r="E713" s="10" t="str">
        <f>IFERROR(__xludf.DUMMYFUNCTION("""COMPUTED_VALUE""")," পিতা: মোঃ নাসির উদ্দীন ")</f>
        <v> পিতা: মোঃ নাসির উদ্দীন </v>
      </c>
      <c r="F713" s="10" t="str">
        <f>IFERROR(__xludf.DUMMYFUNCTION("""COMPUTED_VALUE""")," মাতা: মোছাঃ অনুরা খাতুন ")</f>
        <v> মাতা: মোছাঃ অনুরা খাতুন </v>
      </c>
      <c r="G713" s="10" t="str">
        <f>IFERROR(__xludf.DUMMYFUNCTION("""COMPUTED_VALUE""")," ০৫/১১/১৯৯৫ ")</f>
        <v> ০৫/১১/১৯৯৫ </v>
      </c>
      <c r="H713" s="10" t="str">
        <f>IFERROR(__xludf.DUMMYFUNCTION("""COMPUTED_VALUE""")," গৃহিনী ")</f>
        <v> গৃহিনী </v>
      </c>
      <c r="I713" s="10" t="str">
        <f>IFERROR(__xludf.DUMMYFUNCTION("""COMPUTED_VALUE""")," জালশুকা, গাংনী, মেহেরপুর ")</f>
        <v> জালশুকা, গাংনী, মেহেরপুর </v>
      </c>
    </row>
    <row r="714">
      <c r="A714" s="9" t="s">
        <v>3410</v>
      </c>
      <c r="B714" s="10">
        <f>IFERROR(__xludf.DUMMYFUNCTION("SPLIT(A714,""|"")"),697.0)</f>
        <v>697</v>
      </c>
      <c r="C714" s="10" t="str">
        <f>IFERROR(__xludf.DUMMYFUNCTION("""COMPUTED_VALUE""")," নাম: মোছাঃ শুকতারা ")</f>
        <v> নাম: মোছাঃ শুকতারা </v>
      </c>
      <c r="D714" s="10">
        <f>IFERROR(__xludf.DUMMYFUNCTION("""COMPUTED_VALUE"""),5.70056000281E11)</f>
        <v>570056000281</v>
      </c>
      <c r="E714" s="10" t="str">
        <f>IFERROR(__xludf.DUMMYFUNCTION("""COMPUTED_VALUE""")," পিতা: মনোয়ারা ")</f>
        <v> পিতা: মনোয়ারা </v>
      </c>
      <c r="F714" s="10" t="str">
        <f>IFERROR(__xludf.DUMMYFUNCTION("""COMPUTED_VALUE""")," মাতা: আলতা ")</f>
        <v> মাতা: আলতা </v>
      </c>
      <c r="G714" s="10" t="str">
        <f>IFERROR(__xludf.DUMMYFUNCTION("""COMPUTED_VALUE""")," ১০/০৮/১৯৯৬ ")</f>
        <v> ১০/০৮/১৯৯৬ </v>
      </c>
      <c r="H714" s="10" t="str">
        <f>IFERROR(__xludf.DUMMYFUNCTION("""COMPUTED_VALUE""")," গৃহিনী ")</f>
        <v> গৃহিনী </v>
      </c>
      <c r="I714" s="10" t="str">
        <f>IFERROR(__xludf.DUMMYFUNCTION("""COMPUTED_VALUE""")," জালশুকা, গাংনী, মেহেরপুর ")</f>
        <v> জালশুকা, গাংনী, মেহেরপুর </v>
      </c>
    </row>
    <row r="715">
      <c r="A715" s="9" t="s">
        <v>3411</v>
      </c>
      <c r="B715" s="10">
        <f>IFERROR(__xludf.DUMMYFUNCTION("SPLIT(A715,""|"")"),698.0)</f>
        <v>698</v>
      </c>
      <c r="C715" s="10" t="str">
        <f>IFERROR(__xludf.DUMMYFUNCTION("""COMPUTED_VALUE""")," নাম: মোছাঃ মুক্তা মালা ")</f>
        <v> নাম: মোছাঃ মুক্তা মালা </v>
      </c>
      <c r="D715" s="10">
        <f>IFERROR(__xludf.DUMMYFUNCTION("""COMPUTED_VALUE"""),5.70056000284E11)</f>
        <v>570056000284</v>
      </c>
      <c r="E715" s="10" t="str">
        <f>IFERROR(__xludf.DUMMYFUNCTION("""COMPUTED_VALUE""")," পিতা: মোঃ সাহাবুল ইসলাম ")</f>
        <v> পিতা: মোঃ সাহাবুল ইসলাম </v>
      </c>
      <c r="F715" s="10" t="str">
        <f>IFERROR(__xludf.DUMMYFUNCTION("""COMPUTED_VALUE""")," মাতা: মোছাঃ নাহরিন খাতুন ")</f>
        <v> মাতা: মোছাঃ নাহরিন খাতুন </v>
      </c>
      <c r="G715" s="10" t="str">
        <f>IFERROR(__xludf.DUMMYFUNCTION("""COMPUTED_VALUE""")," ০৯/০৩/১৯৯৭ ")</f>
        <v> ০৯/০৩/১৯৯৭ </v>
      </c>
      <c r="H715" s="10" t="str">
        <f>IFERROR(__xludf.DUMMYFUNCTION("""COMPUTED_VALUE""")," ছাত্র/ছাত্রী ")</f>
        <v> ছাত্র/ছাত্রী </v>
      </c>
      <c r="I715" s="10" t="str">
        <f>IFERROR(__xludf.DUMMYFUNCTION("""COMPUTED_VALUE""")," জালশুকা, গাংনী, মেহেরপুর ")</f>
        <v> জালশুকা, গাংনী, মেহেরপুর </v>
      </c>
    </row>
    <row r="716">
      <c r="A716" s="9" t="s">
        <v>3412</v>
      </c>
      <c r="B716" s="10">
        <f>IFERROR(__xludf.DUMMYFUNCTION("SPLIT(A716,""|"")"),699.0)</f>
        <v>699</v>
      </c>
      <c r="C716" s="10" t="str">
        <f>IFERROR(__xludf.DUMMYFUNCTION("""COMPUTED_VALUE""")," নাম: সাগরিকা খাতুন ")</f>
        <v> নাম: সাগরিকা খাতুন </v>
      </c>
      <c r="D716" s="10">
        <f>IFERROR(__xludf.DUMMYFUNCTION("""COMPUTED_VALUE"""),5.70056000288E11)</f>
        <v>570056000288</v>
      </c>
      <c r="E716" s="10" t="str">
        <f>IFERROR(__xludf.DUMMYFUNCTION("""COMPUTED_VALUE""")," পিতা: মোঃ আব্দুল কুদ্দুস ")</f>
        <v> পিতা: মোঃ আব্দুল কুদ্দুস </v>
      </c>
      <c r="F716" s="10" t="str">
        <f>IFERROR(__xludf.DUMMYFUNCTION("""COMPUTED_VALUE""")," মাতা: মোছাঃ রেহেনা খাতুন ")</f>
        <v> মাতা: মোছাঃ রেহেনা খাতুন </v>
      </c>
      <c r="G716" s="10" t="str">
        <f>IFERROR(__xludf.DUMMYFUNCTION("""COMPUTED_VALUE""")," ১৫/০৭/১৯৯৬ ")</f>
        <v> ১৫/০৭/১৯৯৬ </v>
      </c>
      <c r="H716" s="10" t="str">
        <f>IFERROR(__xludf.DUMMYFUNCTION("""COMPUTED_VALUE""")," ছাত্র/ছাত্রী ")</f>
        <v> ছাত্র/ছাত্রী </v>
      </c>
      <c r="I716" s="10" t="str">
        <f>IFERROR(__xludf.DUMMYFUNCTION("""COMPUTED_VALUE""")," জালশুকা, গাংনী, মেহেরপুর ")</f>
        <v> জালশুকা, গাংনী, মেহেরপুর </v>
      </c>
    </row>
    <row r="717">
      <c r="A717" s="9" t="s">
        <v>3413</v>
      </c>
      <c r="B717" s="10">
        <f>IFERROR(__xludf.DUMMYFUNCTION("SPLIT(A717,""|"")"),700.0)</f>
        <v>700</v>
      </c>
      <c r="C717" s="10" t="str">
        <f>IFERROR(__xludf.DUMMYFUNCTION("""COMPUTED_VALUE""")," নাম: মোছাঃ মারুফা খাতুন ")</f>
        <v> নাম: মোছাঃ মারুফা খাতুন </v>
      </c>
      <c r="D717" s="10">
        <f>IFERROR(__xludf.DUMMYFUNCTION("""COMPUTED_VALUE"""),5.7005600029E11)</f>
        <v>570056000290</v>
      </c>
      <c r="E717" s="10" t="str">
        <f>IFERROR(__xludf.DUMMYFUNCTION("""COMPUTED_VALUE""")," পিতা: মোঃ আঃ রাজ্জাক ")</f>
        <v> পিতা: মোঃ আঃ রাজ্জাক </v>
      </c>
      <c r="F717" s="10" t="str">
        <f>IFERROR(__xludf.DUMMYFUNCTION("""COMPUTED_VALUE""")," মাতা: মোছাঃ আতরা খাতুন ")</f>
        <v> মাতা: মোছাঃ আতরা খাতুন </v>
      </c>
      <c r="G717" s="10" t="str">
        <f>IFERROR(__xludf.DUMMYFUNCTION("""COMPUTED_VALUE""")," ০৪/১১/১৯৯৭ ")</f>
        <v> ০৪/১১/১৯৯৭ </v>
      </c>
      <c r="H717" s="10" t="str">
        <f>IFERROR(__xludf.DUMMYFUNCTION("""COMPUTED_VALUE""")," ছাত্র/ছাত্রী ")</f>
        <v> ছাত্র/ছাত্রী </v>
      </c>
      <c r="I717" s="10" t="str">
        <f>IFERROR(__xludf.DUMMYFUNCTION("""COMPUTED_VALUE""")," জালশুকা, গাংনী, মেহেরপুর ")</f>
        <v> জালশুকা, গাংনী, মেহেরপুর </v>
      </c>
    </row>
    <row r="718">
      <c r="A718" s="9" t="s">
        <v>3414</v>
      </c>
      <c r="B718" s="10">
        <f>IFERROR(__xludf.DUMMYFUNCTION("SPLIT(A718,""|"")"),701.0)</f>
        <v>701</v>
      </c>
      <c r="C718" s="10" t="str">
        <f>IFERROR(__xludf.DUMMYFUNCTION("""COMPUTED_VALUE""")," নাম: মোছাঃ মমতাজ খাতুন ")</f>
        <v> নাম: মোছাঃ মমতাজ খাতুন </v>
      </c>
      <c r="D718" s="10">
        <f>IFERROR(__xludf.DUMMYFUNCTION("""COMPUTED_VALUE"""),5.70056000291E11)</f>
        <v>570056000291</v>
      </c>
      <c r="E718" s="10" t="str">
        <f>IFERROR(__xludf.DUMMYFUNCTION("""COMPUTED_VALUE""")," পিতা: মোঃ মুনজাত আলী ")</f>
        <v> পিতা: মোঃ মুনজাত আলী </v>
      </c>
      <c r="F718" s="10" t="str">
        <f>IFERROR(__xludf.DUMMYFUNCTION("""COMPUTED_VALUE""")," মাতা: মোছাঃ ইশারন খাতুন ")</f>
        <v> মাতা: মোছাঃ ইশারন খাতুন </v>
      </c>
      <c r="G718" s="10" t="str">
        <f>IFERROR(__xludf.DUMMYFUNCTION("""COMPUTED_VALUE""")," ০৫/০১/১৯৯৭ ")</f>
        <v> ০৫/০১/১৯৯৭ </v>
      </c>
      <c r="H718" s="10" t="str">
        <f>IFERROR(__xludf.DUMMYFUNCTION("""COMPUTED_VALUE""")," ছাত্র/ছাত্রী ")</f>
        <v> ছাত্র/ছাত্রী </v>
      </c>
      <c r="I718" s="10" t="str">
        <f>IFERROR(__xludf.DUMMYFUNCTION("""COMPUTED_VALUE""")," জালশুকা, গাংনী, মেহেরপুর ")</f>
        <v> জালশুকা, গাংনী, মেহেরপুর </v>
      </c>
    </row>
    <row r="719">
      <c r="A719" s="9" t="s">
        <v>3415</v>
      </c>
      <c r="B719" s="10">
        <f>IFERROR(__xludf.DUMMYFUNCTION("SPLIT(A719,""|"")"),702.0)</f>
        <v>702</v>
      </c>
      <c r="C719" s="10" t="str">
        <f>IFERROR(__xludf.DUMMYFUNCTION("""COMPUTED_VALUE""")," নাম: মোছাঃ সিমা ")</f>
        <v> নাম: মোছাঃ সিমা </v>
      </c>
      <c r="D719" s="10">
        <f>IFERROR(__xludf.DUMMYFUNCTION("""COMPUTED_VALUE"""),5.70056000292E11)</f>
        <v>570056000292</v>
      </c>
      <c r="E719" s="10" t="str">
        <f>IFERROR(__xludf.DUMMYFUNCTION("""COMPUTED_VALUE""")," পিতা: হানিফ ")</f>
        <v> পিতা: হানিফ </v>
      </c>
      <c r="F719" s="10" t="str">
        <f>IFERROR(__xludf.DUMMYFUNCTION("""COMPUTED_VALUE""")," মাতা: আয়মানা ")</f>
        <v> মাতা: আয়মানা </v>
      </c>
      <c r="G719" s="10" t="str">
        <f>IFERROR(__xludf.DUMMYFUNCTION("""COMPUTED_VALUE""")," ০১/০৯/১৯৯৬ ")</f>
        <v> ০১/০৯/১৯৯৬ </v>
      </c>
      <c r="H719" s="10" t="str">
        <f>IFERROR(__xludf.DUMMYFUNCTION("""COMPUTED_VALUE""")," ছাত্র/ছাত্রী ")</f>
        <v> ছাত্র/ছাত্রী </v>
      </c>
      <c r="I719" s="10" t="str">
        <f>IFERROR(__xludf.DUMMYFUNCTION("""COMPUTED_VALUE""")," জালশুকা মাঝের পাড়া, জালশুকা, গাংনী, মেহেরপুর ")</f>
        <v> জালশুকা মাঝের পাড়া, জালশুকা, গাংনী, মেহেরপুর </v>
      </c>
    </row>
    <row r="720">
      <c r="A720" s="9" t="s">
        <v>3416</v>
      </c>
      <c r="B720" s="10">
        <f>IFERROR(__xludf.DUMMYFUNCTION("SPLIT(A720,""|"")"),703.0)</f>
        <v>703</v>
      </c>
      <c r="C720" s="10" t="str">
        <f>IFERROR(__xludf.DUMMYFUNCTION("""COMPUTED_VALUE""")," নাম: মোছাঃ ছুরাতন খাতুন ")</f>
        <v> নাম: মোছাঃ ছুরাতন খাতুন </v>
      </c>
      <c r="D720" s="10">
        <f>IFERROR(__xludf.DUMMYFUNCTION("""COMPUTED_VALUE"""),5.70056000296E11)</f>
        <v>570056000296</v>
      </c>
      <c r="E720" s="10" t="str">
        <f>IFERROR(__xludf.DUMMYFUNCTION("""COMPUTED_VALUE""")," পিতা: আকবর আলী ")</f>
        <v> পিতা: আকবর আলী </v>
      </c>
      <c r="F720" s="10" t="str">
        <f>IFERROR(__xludf.DUMMYFUNCTION("""COMPUTED_VALUE""")," মাতা: মোছাঃ মনোয়ারা খাতুন ")</f>
        <v> মাতা: মোছাঃ মনোয়ারা খাতুন </v>
      </c>
      <c r="G720" s="10" t="str">
        <f>IFERROR(__xludf.DUMMYFUNCTION("""COMPUTED_VALUE""")," ১০/০৫/১৯৮৩ ")</f>
        <v> ১০/০৫/১৯৮৩ </v>
      </c>
      <c r="H720" s="10" t="str">
        <f>IFERROR(__xludf.DUMMYFUNCTION("""COMPUTED_VALUE""")," গৃহিনী ")</f>
        <v> গৃহিনী </v>
      </c>
      <c r="I720" s="10" t="str">
        <f>IFERROR(__xludf.DUMMYFUNCTION("""COMPUTED_VALUE""")," জালশুকা, গাংনী, মেহেরপুর ")</f>
        <v> জালশুকা, গাংনী, মেহেরপুর </v>
      </c>
    </row>
    <row r="721">
      <c r="A721" s="9" t="s">
        <v>3417</v>
      </c>
      <c r="B721" s="10">
        <f>IFERROR(__xludf.DUMMYFUNCTION("SPLIT(A721,""|"")"),704.0)</f>
        <v>704</v>
      </c>
      <c r="C721" s="10" t="str">
        <f>IFERROR(__xludf.DUMMYFUNCTION("""COMPUTED_VALUE""")," নাম: ঝর্না খাতুন ")</f>
        <v> নাম: ঝর্না খাতুন </v>
      </c>
      <c r="D721" s="10">
        <f>IFERROR(__xludf.DUMMYFUNCTION("""COMPUTED_VALUE"""),5.70056000297E11)</f>
        <v>570056000297</v>
      </c>
      <c r="E721" s="10" t="str">
        <f>IFERROR(__xludf.DUMMYFUNCTION("""COMPUTED_VALUE""")," পিতা: সিরাজ আলী ")</f>
        <v> পিতা: সিরাজ আলী </v>
      </c>
      <c r="F721" s="10" t="str">
        <f>IFERROR(__xludf.DUMMYFUNCTION("""COMPUTED_VALUE""")," মাতা: সুফিয়া খাতুন ")</f>
        <v> মাতা: সুফিয়া খাতুন </v>
      </c>
      <c r="G721" s="10" t="str">
        <f>IFERROR(__xludf.DUMMYFUNCTION("""COMPUTED_VALUE""")," ০১/০২/১৯৯৫ ")</f>
        <v> ০১/০২/১৯৯৫ </v>
      </c>
      <c r="H721" s="10" t="str">
        <f>IFERROR(__xludf.DUMMYFUNCTION("""COMPUTED_VALUE""")," গৃহিনী ")</f>
        <v> গৃহিনী </v>
      </c>
      <c r="I721" s="10" t="str">
        <f>IFERROR(__xludf.DUMMYFUNCTION("""COMPUTED_VALUE""")," জালশুকা, গাংনী, মেহেরপুর ")</f>
        <v> জালশুকা, গাংনী, মেহেরপুর </v>
      </c>
    </row>
    <row r="722">
      <c r="A722" s="9" t="s">
        <v>3418</v>
      </c>
      <c r="B722" s="10">
        <f>IFERROR(__xludf.DUMMYFUNCTION("SPLIT(A722,""|"")"),705.0)</f>
        <v>705</v>
      </c>
      <c r="C722" s="10" t="str">
        <f>IFERROR(__xludf.DUMMYFUNCTION("""COMPUTED_VALUE""")," নাম: মোছাঃ মমতাজ খাতুন ")</f>
        <v> নাম: মোছাঃ মমতাজ খাতুন </v>
      </c>
      <c r="D722" s="10">
        <f>IFERROR(__xludf.DUMMYFUNCTION("""COMPUTED_VALUE"""),5.700560000303E12)</f>
        <v>5700560000303</v>
      </c>
      <c r="E722" s="10" t="str">
        <f>IFERROR(__xludf.DUMMYFUNCTION("""COMPUTED_VALUE""")," পিতা: মোঃ বিল্লাল ")</f>
        <v> পিতা: মোঃ বিল্লাল </v>
      </c>
      <c r="F722" s="10" t="str">
        <f>IFERROR(__xludf.DUMMYFUNCTION("""COMPUTED_VALUE""")," মাতা: মোছাঃ তহমিনা ")</f>
        <v> মাতা: মোছাঃ তহমিনা </v>
      </c>
      <c r="G722" s="10" t="str">
        <f>IFERROR(__xludf.DUMMYFUNCTION("""COMPUTED_VALUE""")," ০১/০৫/১৯৯৫ ")</f>
        <v> ০১/০৫/১৯৯৫ </v>
      </c>
      <c r="H722" s="10" t="str">
        <f>IFERROR(__xludf.DUMMYFUNCTION("""COMPUTED_VALUE""")," গৃহিনী ")</f>
        <v> গৃহিনী </v>
      </c>
      <c r="I722" s="10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23">
      <c r="A723" s="9" t="s">
        <v>3419</v>
      </c>
      <c r="B723" s="10">
        <f>IFERROR(__xludf.DUMMYFUNCTION("SPLIT(A723,""|"")"),706.0)</f>
        <v>706</v>
      </c>
      <c r="C723" s="10" t="str">
        <f>IFERROR(__xludf.DUMMYFUNCTION("""COMPUTED_VALUE""")," নাম: মোছাঃ ফাওজিয়া আকতার ")</f>
        <v> নাম: মোছাঃ ফাওজিয়া আকতার </v>
      </c>
      <c r="D723" s="10">
        <f>IFERROR(__xludf.DUMMYFUNCTION("""COMPUTED_VALUE"""),5.700560000305E12)</f>
        <v>5700560000305</v>
      </c>
      <c r="E723" s="10" t="str">
        <f>IFERROR(__xludf.DUMMYFUNCTION("""COMPUTED_VALUE""")," পিতা: মোঃ ফজলুল হক ")</f>
        <v> পিতা: মোঃ ফজলুল হক </v>
      </c>
      <c r="F723" s="10" t="str">
        <f>IFERROR(__xludf.DUMMYFUNCTION("""COMPUTED_VALUE""")," মাতা: আমেনা খাতুন ")</f>
        <v> মাতা: আমেনা খাতুন </v>
      </c>
      <c r="G723" s="10" t="str">
        <f>IFERROR(__xludf.DUMMYFUNCTION("""COMPUTED_VALUE""")," ০২/০৬/১৯৯১ ")</f>
        <v> ০২/০৬/১৯৯১ </v>
      </c>
      <c r="H723" s="10" t="str">
        <f>IFERROR(__xludf.DUMMYFUNCTION("""COMPUTED_VALUE""")," গৃহিনী ")</f>
        <v> গৃহিনী </v>
      </c>
      <c r="I723" s="10" t="str">
        <f>IFERROR(__xludf.DUMMYFUNCTION("""COMPUTED_VALUE""")," জালশুকা, গাংনী, মেহেরপুর ")</f>
        <v> জালশুকা, গাংনী, মেহেরপুর </v>
      </c>
    </row>
    <row r="724">
      <c r="A724" s="9" t="s">
        <v>3420</v>
      </c>
      <c r="B724" s="10">
        <f>IFERROR(__xludf.DUMMYFUNCTION("SPLIT(A724,""|"")"),707.0)</f>
        <v>707</v>
      </c>
      <c r="C724" s="10" t="str">
        <f>IFERROR(__xludf.DUMMYFUNCTION("""COMPUTED_VALUE""")," নাম: ফেনসী খাতুন ")</f>
        <v> নাম: ফেনসী খাতুন </v>
      </c>
      <c r="D724" s="10">
        <f>IFERROR(__xludf.DUMMYFUNCTION("""COMPUTED_VALUE"""),5.70056000007E11)</f>
        <v>570056000007</v>
      </c>
      <c r="E724" s="10" t="str">
        <f>IFERROR(__xludf.DUMMYFUNCTION("""COMPUTED_VALUE""")," পিতা: আজগর আলী ")</f>
        <v> পিতা: আজগর আলী </v>
      </c>
      <c r="F724" s="10" t="str">
        <f>IFERROR(__xludf.DUMMYFUNCTION("""COMPUTED_VALUE""")," মাতা: ছালেহা খাতুন ")</f>
        <v> মাতা: ছালেহা খাতুন </v>
      </c>
      <c r="G724" s="10" t="str">
        <f>IFERROR(__xludf.DUMMYFUNCTION("""COMPUTED_VALUE""")," ২৫/১০/১৯৮৭ ")</f>
        <v> ২৫/১০/১৯৮৭ </v>
      </c>
      <c r="H724" s="10" t="str">
        <f>IFERROR(__xludf.DUMMYFUNCTION("""COMPUTED_VALUE""")," গৃহিনী ")</f>
        <v> গৃহিনী </v>
      </c>
      <c r="I724" s="10" t="str">
        <f>IFERROR(__xludf.DUMMYFUNCTION("""COMPUTED_VALUE""")," জালশুকা ঈদগাহ পাড়া, জালশুকা, গাংনী, মেহেরপুর ")</f>
        <v> জালশুকা ঈদগাহ পাড়া, জালশুকা, গাংনী, মেহেরপুর </v>
      </c>
    </row>
    <row r="725">
      <c r="A725" s="9" t="s">
        <v>3421</v>
      </c>
      <c r="B725" s="10">
        <f>IFERROR(__xludf.DUMMYFUNCTION("SPLIT(A725,""|"")"),708.0)</f>
        <v>708</v>
      </c>
      <c r="C725" s="10" t="str">
        <f>IFERROR(__xludf.DUMMYFUNCTION("""COMPUTED_VALUE""")," নাম: কানিজ ফাতেমা ")</f>
        <v> নাম: কানিজ ফাতেমা </v>
      </c>
      <c r="D725" s="10">
        <f>IFERROR(__xludf.DUMMYFUNCTION("""COMPUTED_VALUE"""),5.70056000009E11)</f>
        <v>570056000009</v>
      </c>
      <c r="E725" s="10" t="str">
        <f>IFERROR(__xludf.DUMMYFUNCTION("""COMPUTED_VALUE""")," পিতা: সিরাজুল ইসলাম ")</f>
        <v> পিতা: সিরাজুল ইসলাম </v>
      </c>
      <c r="F725" s="10" t="str">
        <f>IFERROR(__xludf.DUMMYFUNCTION("""COMPUTED_VALUE""")," মাতা: হারেজান নেছা ")</f>
        <v> মাতা: হারেজান নেছা </v>
      </c>
      <c r="G725" s="10" t="str">
        <f>IFERROR(__xludf.DUMMYFUNCTION("""COMPUTED_VALUE""")," ০৫/০৭/১৯৯৬ ")</f>
        <v> ০৫/০৭/১৯৯৬ </v>
      </c>
      <c r="H725" s="10" t="str">
        <f>IFERROR(__xludf.DUMMYFUNCTION("""COMPUTED_VALUE""")," গৃহিনী ")</f>
        <v> গৃহিনী </v>
      </c>
      <c r="I725" s="10" t="str">
        <f>IFERROR(__xludf.DUMMYFUNCTION("""COMPUTED_VALUE""")," জালশুকা, গাংনী, মেহেরপুর ")</f>
        <v> জালশুকা, গাংনী, মেহেরপুর </v>
      </c>
    </row>
    <row r="726">
      <c r="A726" s="9" t="s">
        <v>3422</v>
      </c>
      <c r="B726" s="10">
        <f>IFERROR(__xludf.DUMMYFUNCTION("SPLIT(A726,""|"")"),709.0)</f>
        <v>709</v>
      </c>
      <c r="C726" s="10" t="str">
        <f>IFERROR(__xludf.DUMMYFUNCTION("""COMPUTED_VALUE""")," নাম: মোছাঃ রজনী খাতুন ")</f>
        <v> নাম: মোছাঃ রজনী খাতুন </v>
      </c>
      <c r="D726" s="10">
        <f>IFERROR(__xludf.DUMMYFUNCTION("""COMPUTED_VALUE"""),5.70056000031E12)</f>
        <v>5700560000310</v>
      </c>
      <c r="E726" s="10" t="str">
        <f>IFERROR(__xludf.DUMMYFUNCTION("""COMPUTED_VALUE""")," পিতা: মোঃ দাউদ হোসেন ")</f>
        <v> পিতা: মোঃ দাউদ হোসেন </v>
      </c>
      <c r="F726" s="10" t="str">
        <f>IFERROR(__xludf.DUMMYFUNCTION("""COMPUTED_VALUE""")," মাতা: মোছাঃ আফরোজা খাতুন ")</f>
        <v> মাতা: মোছাঃ আফরোজা খাতুন </v>
      </c>
      <c r="G726" s="10" t="str">
        <f>IFERROR(__xludf.DUMMYFUNCTION("""COMPUTED_VALUE""")," ১৩/১২/১৯৯৫ ")</f>
        <v> ১৩/১২/১৯৯৫ </v>
      </c>
      <c r="H726" s="10" t="str">
        <f>IFERROR(__xludf.DUMMYFUNCTION("""COMPUTED_VALUE""")," কৃষক ")</f>
        <v> কৃষক </v>
      </c>
      <c r="I726" s="10" t="str">
        <f>IFERROR(__xludf.DUMMYFUNCTION("""COMPUTED_VALUE""")," জালশুকা, গাংনী, মেহেরপুর ")</f>
        <v> জালশুকা, গাংনী, মেহেরপুর </v>
      </c>
    </row>
    <row r="727">
      <c r="A727" s="9" t="s">
        <v>3423</v>
      </c>
      <c r="B727" s="10">
        <f>IFERROR(__xludf.DUMMYFUNCTION("SPLIT(A727,""|"")"),710.0)</f>
        <v>710</v>
      </c>
      <c r="C727" s="10" t="str">
        <f>IFERROR(__xludf.DUMMYFUNCTION("""COMPUTED_VALUE""")," নাম: মোছাঃ সাথী আরা ")</f>
        <v> নাম: মোছাঃ সাথী আরা </v>
      </c>
      <c r="D727" s="10">
        <f>IFERROR(__xludf.DUMMYFUNCTION("""COMPUTED_VALUE"""),5.700560000315E12)</f>
        <v>5700560000315</v>
      </c>
      <c r="E727" s="10" t="str">
        <f>IFERROR(__xludf.DUMMYFUNCTION("""COMPUTED_VALUE""")," পিতা: মোঃ আলী হোসেন ")</f>
        <v> পিতা: মোঃ আলী হোসেন </v>
      </c>
      <c r="F727" s="10" t="str">
        <f>IFERROR(__xludf.DUMMYFUNCTION("""COMPUTED_VALUE""")," মাতা: মোছাঃ নুরুন্নাহার ")</f>
        <v> মাতা: মোছাঃ নুরুন্নাহার </v>
      </c>
      <c r="G727" s="10" t="str">
        <f>IFERROR(__xludf.DUMMYFUNCTION("""COMPUTED_VALUE""")," ২৭/০৩/১৯৯৪ ")</f>
        <v> ২৭/০৩/১৯৯৪ </v>
      </c>
      <c r="H727" s="10" t="str">
        <f>IFERROR(__xludf.DUMMYFUNCTION("""COMPUTED_VALUE""")," ছাত্র/ছাত্রী ")</f>
        <v> ছাত্র/ছাত্রী </v>
      </c>
      <c r="I727" s="10" t="str">
        <f>IFERROR(__xludf.DUMMYFUNCTION("""COMPUTED_VALUE""")," জালশুকা, গাংনী, মেহেরপুর ")</f>
        <v> জালশুকা, গাংনী, মেহেরপুর </v>
      </c>
    </row>
    <row r="728">
      <c r="A728" s="9" t="s">
        <v>3424</v>
      </c>
      <c r="B728" s="10">
        <f>IFERROR(__xludf.DUMMYFUNCTION("SPLIT(A728,""|"")"),711.0)</f>
        <v>711</v>
      </c>
      <c r="C728" s="10" t="str">
        <f>IFERROR(__xludf.DUMMYFUNCTION("""COMPUTED_VALUE""")," নাম: তাজমিনা খাতুন ")</f>
        <v> নাম: তাজমিনা খাতুন </v>
      </c>
      <c r="D728" s="10">
        <f>IFERROR(__xludf.DUMMYFUNCTION("""COMPUTED_VALUE"""),5.700560000318E12)</f>
        <v>5700560000318</v>
      </c>
      <c r="E728" s="10" t="str">
        <f>IFERROR(__xludf.DUMMYFUNCTION("""COMPUTED_VALUE""")," পিতা: আমিরুল ইসলাম ")</f>
        <v> পিতা: আমিরুল ইসলাম </v>
      </c>
      <c r="F728" s="10" t="str">
        <f>IFERROR(__xludf.DUMMYFUNCTION("""COMPUTED_VALUE""")," মাতা: সোনাভানু ")</f>
        <v> মাতা: সোনাভানু </v>
      </c>
      <c r="G728" s="10" t="str">
        <f>IFERROR(__xludf.DUMMYFUNCTION("""COMPUTED_VALUE""")," ২০/০৫/১৯৯৮ ")</f>
        <v> ২০/০৫/১৯৯৮ </v>
      </c>
      <c r="H728" s="10" t="str">
        <f>IFERROR(__xludf.DUMMYFUNCTION("""COMPUTED_VALUE""")," ছাত্র/ছাত্রী ")</f>
        <v> ছাত্র/ছাত্রী </v>
      </c>
      <c r="I728" s="10" t="str">
        <f>IFERROR(__xludf.DUMMYFUNCTION("""COMPUTED_VALUE""")," জালশুকা, গাংনী, মেহেরপুর ")</f>
        <v> জালশুকা, গাংনী, মেহেরপুর </v>
      </c>
    </row>
    <row r="729">
      <c r="A729" s="9" t="s">
        <v>3425</v>
      </c>
      <c r="B729" s="10">
        <f>IFERROR(__xludf.DUMMYFUNCTION("SPLIT(A729,""|"")"),712.0)</f>
        <v>712</v>
      </c>
      <c r="C729" s="10" t="str">
        <f>IFERROR(__xludf.DUMMYFUNCTION("""COMPUTED_VALUE""")," নাম: মিতালী খাতুন ")</f>
        <v> নাম: মিতালী খাতুন </v>
      </c>
      <c r="D729" s="10">
        <f>IFERROR(__xludf.DUMMYFUNCTION("""COMPUTED_VALUE"""),5.700560000319E12)</f>
        <v>5700560000319</v>
      </c>
      <c r="E729" s="10" t="str">
        <f>IFERROR(__xludf.DUMMYFUNCTION("""COMPUTED_VALUE""")," পিতা: মোঃ ঠান্ডু ")</f>
        <v> পিতা: মোঃ ঠান্ডু </v>
      </c>
      <c r="F729" s="10" t="str">
        <f>IFERROR(__xludf.DUMMYFUNCTION("""COMPUTED_VALUE""")," মাতা: নুরজাহান ")</f>
        <v> মাতা: নুরজাহান </v>
      </c>
      <c r="G729" s="10" t="str">
        <f>IFERROR(__xludf.DUMMYFUNCTION("""COMPUTED_VALUE""")," ১৫/০৮/১৯৯৮ ")</f>
        <v> ১৫/০৮/১৯৯৮ </v>
      </c>
      <c r="H729" s="10" t="str">
        <f>IFERROR(__xludf.DUMMYFUNCTION("""COMPUTED_VALUE""")," ছাত্র/ছাত্রী ")</f>
        <v> ছাত্র/ছাত্রী </v>
      </c>
      <c r="I729" s="10" t="str">
        <f>IFERROR(__xludf.DUMMYFUNCTION("""COMPUTED_VALUE""")," জালশুকা, গাংনী, মেহেরপুর ")</f>
        <v> জালশুকা, গাংনী, মেহেরপুর </v>
      </c>
    </row>
    <row r="730">
      <c r="A730" s="9" t="s">
        <v>3426</v>
      </c>
      <c r="B730" s="10">
        <f>IFERROR(__xludf.DUMMYFUNCTION("SPLIT(A730,""|"")"),713.0)</f>
        <v>713</v>
      </c>
      <c r="C730" s="10" t="str">
        <f>IFERROR(__xludf.DUMMYFUNCTION("""COMPUTED_VALUE""")," নাম: মোছাঃ সোনিয়া খাতুন ")</f>
        <v> নাম: মোছাঃ সোনিয়া খাতুন </v>
      </c>
      <c r="D730" s="10">
        <f>IFERROR(__xludf.DUMMYFUNCTION("""COMPUTED_VALUE"""),5.70056000032E12)</f>
        <v>5700560000320</v>
      </c>
      <c r="E730" s="10" t="str">
        <f>IFERROR(__xludf.DUMMYFUNCTION("""COMPUTED_VALUE""")," পিতা: মোঃ আবু তালেব ")</f>
        <v> পিতা: মোঃ আবু তালেব </v>
      </c>
      <c r="F730" s="10" t="str">
        <f>IFERROR(__xludf.DUMMYFUNCTION("""COMPUTED_VALUE""")," মাতা: মোছাঃ সাজেদা খাতুন ")</f>
        <v> মাতা: মোছাঃ সাজেদা খাতুন </v>
      </c>
      <c r="G730" s="10" t="str">
        <f>IFERROR(__xludf.DUMMYFUNCTION("""COMPUTED_VALUE""")," ১৫/০৫/১৯৯৭ ")</f>
        <v> ১৫/০৫/১৯৯৭ </v>
      </c>
      <c r="H730" s="10" t="str">
        <f>IFERROR(__xludf.DUMMYFUNCTION("""COMPUTED_VALUE""")," গৃহিনী ")</f>
        <v> গৃহিনী </v>
      </c>
      <c r="I730" s="10" t="str">
        <f>IFERROR(__xludf.DUMMYFUNCTION("""COMPUTED_VALUE""")," জালশুকা, গাংনী, মেহেরপুর ")</f>
        <v> জালশুকা, গাংনী, মেহেরপুর </v>
      </c>
    </row>
    <row r="731">
      <c r="A731" s="9" t="s">
        <v>3427</v>
      </c>
      <c r="B731" s="10">
        <f>IFERROR(__xludf.DUMMYFUNCTION("SPLIT(A731,""|"")"),714.0)</f>
        <v>714</v>
      </c>
      <c r="C731" s="10" t="str">
        <f>IFERROR(__xludf.DUMMYFUNCTION("""COMPUTED_VALUE""")," নাম: মোছাঃ হুসনেয়ারা খাতুন ")</f>
        <v> নাম: মোছাঃ হুসনেয়ারা খাতুন </v>
      </c>
      <c r="D731" s="10">
        <f>IFERROR(__xludf.DUMMYFUNCTION("""COMPUTED_VALUE"""),5.700560000322E12)</f>
        <v>5700560000322</v>
      </c>
      <c r="E731" s="10" t="str">
        <f>IFERROR(__xludf.DUMMYFUNCTION("""COMPUTED_VALUE""")," পিতা: মোছাঃ বাবর আলী ")</f>
        <v> পিতা: মোছাঃ বাবর আলী </v>
      </c>
      <c r="F731" s="10" t="str">
        <f>IFERROR(__xludf.DUMMYFUNCTION("""COMPUTED_VALUE""")," মাতা: মোছাঃ ছহিমা খাতুন ")</f>
        <v> মাতা: মোছাঃ ছহিমা খাতুন </v>
      </c>
      <c r="G731" s="10" t="str">
        <f>IFERROR(__xludf.DUMMYFUNCTION("""COMPUTED_VALUE""")," ১৫/০১/১৯৯৮ ")</f>
        <v> ১৫/০১/১৯৯৮ </v>
      </c>
      <c r="H731" s="10" t="str">
        <f>IFERROR(__xludf.DUMMYFUNCTION("""COMPUTED_VALUE""")," ছাত্র/ছাত্রী ")</f>
        <v> ছাত্র/ছাত্রী </v>
      </c>
      <c r="I731" s="10" t="str">
        <f>IFERROR(__xludf.DUMMYFUNCTION("""COMPUTED_VALUE""")," জালশুকা, গাংনী, মেহেরপুর ")</f>
        <v> জালশুকা, গাংনী, মেহেরপুর </v>
      </c>
    </row>
    <row r="732">
      <c r="A732" s="9" t="s">
        <v>3428</v>
      </c>
      <c r="B732" s="10">
        <f>IFERROR(__xludf.DUMMYFUNCTION("SPLIT(A732,""|"")"),715.0)</f>
        <v>715</v>
      </c>
      <c r="C732" s="10" t="str">
        <f>IFERROR(__xludf.DUMMYFUNCTION("""COMPUTED_VALUE""")," নাম: মোছাঃ নাজমুন্নাহার ")</f>
        <v> নাম: মোছাঃ নাজমুন্নাহার </v>
      </c>
      <c r="D732" s="10">
        <f>IFERROR(__xludf.DUMMYFUNCTION("""COMPUTED_VALUE"""),5.700560000327E12)</f>
        <v>5700560000327</v>
      </c>
      <c r="E732" s="10" t="str">
        <f>IFERROR(__xludf.DUMMYFUNCTION("""COMPUTED_VALUE""")," পিতা: মোঃ জামাল উদ্দীন ")</f>
        <v> পিতা: মোঃ জামাল উদ্দীন </v>
      </c>
      <c r="F732" s="10" t="str">
        <f>IFERROR(__xludf.DUMMYFUNCTION("""COMPUTED_VALUE""")," মাতা: মোছাঃ মালেকা খাতুন ")</f>
        <v> মাতা: মোছাঃ মালেকা খাতুন </v>
      </c>
      <c r="G732" s="10" t="str">
        <f>IFERROR(__xludf.DUMMYFUNCTION("""COMPUTED_VALUE""")," ২২/০৫/১৯৯৭ ")</f>
        <v> ২২/০৫/১৯৯৭ </v>
      </c>
      <c r="H732" s="10" t="str">
        <f>IFERROR(__xludf.DUMMYFUNCTION("""COMPUTED_VALUE""")," ছাত্র/ছাত্রী ")</f>
        <v> ছাত্র/ছাত্রী </v>
      </c>
      <c r="I732" s="10" t="str">
        <f>IFERROR(__xludf.DUMMYFUNCTION("""COMPUTED_VALUE""")," জালশুকা, গাংনী, মেহেরপুর ")</f>
        <v> জালশুকা, গাংনী, মেহেরপুর </v>
      </c>
    </row>
    <row r="733">
      <c r="A733" s="9" t="s">
        <v>3429</v>
      </c>
      <c r="B733" s="10">
        <f>IFERROR(__xludf.DUMMYFUNCTION("SPLIT(A733,""|"")"),716.0)</f>
        <v>716</v>
      </c>
      <c r="C733" s="10" t="str">
        <f>IFERROR(__xludf.DUMMYFUNCTION("""COMPUTED_VALUE""")," নাম: মোছাঃ শেফালী খাতুন ")</f>
        <v> নাম: মোছাঃ শেফালী খাতুন </v>
      </c>
      <c r="D733" s="10">
        <f>IFERROR(__xludf.DUMMYFUNCTION("""COMPUTED_VALUE"""),5.700560000333E12)</f>
        <v>5700560000333</v>
      </c>
      <c r="E733" s="10" t="str">
        <f>IFERROR(__xludf.DUMMYFUNCTION("""COMPUTED_VALUE""")," পিতা: মোঃ সেলিম উদ্দীন ")</f>
        <v> পিতা: মোঃ সেলিম উদ্দীন </v>
      </c>
      <c r="F733" s="10" t="str">
        <f>IFERROR(__xludf.DUMMYFUNCTION("""COMPUTED_VALUE""")," মাতা: মোছাঃ সুন্দরী খাতুন ")</f>
        <v> মাতা: মোছাঃ সুন্দরী খাতুন </v>
      </c>
      <c r="G733" s="10" t="str">
        <f>IFERROR(__xludf.DUMMYFUNCTION("""COMPUTED_VALUE""")," ০৫/০৯/১৯৯২ ")</f>
        <v> ০৫/০৯/১৯৯২ </v>
      </c>
      <c r="H733" s="10" t="str">
        <f>IFERROR(__xludf.DUMMYFUNCTION("""COMPUTED_VALUE""")," গৃহিনী ")</f>
        <v> গৃহিনী </v>
      </c>
      <c r="I733" s="10" t="str">
        <f>IFERROR(__xludf.DUMMYFUNCTION("""COMPUTED_VALUE""")," উত্তরপাড়া, জালশুকা, গাংনী, মেহেরপুর ")</f>
        <v> উত্তরপাড়া, জালশুকা, গাংনী, মেহেরপুর </v>
      </c>
    </row>
    <row r="734">
      <c r="A734" s="9" t="s">
        <v>3430</v>
      </c>
      <c r="B734" s="10">
        <f>IFERROR(__xludf.DUMMYFUNCTION("SPLIT(A734,""|"")"),717.0)</f>
        <v>717</v>
      </c>
      <c r="C734" s="10" t="str">
        <f>IFERROR(__xludf.DUMMYFUNCTION("""COMPUTED_VALUE""")," নাম: শ্যামলী খাতুন ")</f>
        <v> নাম: শ্যামলী খাতুন </v>
      </c>
      <c r="D734" s="10">
        <f>IFERROR(__xludf.DUMMYFUNCTION("""COMPUTED_VALUE"""),5.700560000334E12)</f>
        <v>5700560000334</v>
      </c>
      <c r="E734" s="10" t="str">
        <f>IFERROR(__xludf.DUMMYFUNCTION("""COMPUTED_VALUE""")," পিতা: মোঃ হাবিবুর রহমান ")</f>
        <v> পিতা: মোঃ হাবিবুর রহমান </v>
      </c>
      <c r="F734" s="10" t="str">
        <f>IFERROR(__xludf.DUMMYFUNCTION("""COMPUTED_VALUE""")," মাতা: মোছাঃ তসলিমা খাতুন ")</f>
        <v> মাতা: মোছাঃ তসলিমা খাতুন </v>
      </c>
      <c r="G734" s="10" t="str">
        <f>IFERROR(__xludf.DUMMYFUNCTION("""COMPUTED_VALUE""")," ০৩/০১/১৯৯৮ ")</f>
        <v> ০৩/০১/১৯৯৮ </v>
      </c>
      <c r="H734" s="10" t="str">
        <f>IFERROR(__xludf.DUMMYFUNCTION("""COMPUTED_VALUE""")," ছাত্র/ছাত্রী ")</f>
        <v> ছাত্র/ছাত্রী </v>
      </c>
      <c r="I734" s="10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735">
      <c r="A735" s="9" t="s">
        <v>3431</v>
      </c>
      <c r="B735" s="10">
        <f>IFERROR(__xludf.DUMMYFUNCTION("SPLIT(A735,""|"")"),718.0)</f>
        <v>718</v>
      </c>
      <c r="C735" s="10" t="str">
        <f>IFERROR(__xludf.DUMMYFUNCTION("""COMPUTED_VALUE""")," মোছা: সালেহা খাতুন ")</f>
        <v> মোছা: সালেহা খাতুন </v>
      </c>
      <c r="D735" s="10">
        <f>IFERROR(__xludf.DUMMYFUNCTION("""COMPUTED_VALUE"""),5.703560000336E12)</f>
        <v>5703560000336</v>
      </c>
      <c r="E735" s="10" t="str">
        <f>IFERROR(__xludf.DUMMYFUNCTION("""COMPUTED_VALUE""")," আসকার আলী ")</f>
        <v> আসকার আলী </v>
      </c>
      <c r="F735" s="10" t="str">
        <f>IFERROR(__xludf.DUMMYFUNCTION("""COMPUTED_VALUE""")," গনি আরা ")</f>
        <v> গনি আরা </v>
      </c>
      <c r="G735" s="10" t="str">
        <f>IFERROR(__xludf.DUMMYFUNCTION("""COMPUTED_VALUE""")," ১০/১০/১৯৯৮ ")</f>
        <v> ১০/১০/১৯৯৮ </v>
      </c>
      <c r="H735" s="10" t="str">
        <f>IFERROR(__xludf.DUMMYFUNCTION("""COMPUTED_VALUE""")," ছাত্র/ছাত্রী ")</f>
        <v> ছাত্র/ছাত্রী </v>
      </c>
      <c r="I735" s="10" t="str">
        <f>IFERROR(__xludf.DUMMYFUNCTION("""COMPUTED_VALUE""")," দক্ষিণপাড়া, জালশুকা, গাংনী, মেহেরপুর ")</f>
        <v> দক্ষিণপাড়া, জালশুকা, গাংনী, মেহেরপুর </v>
      </c>
    </row>
    <row r="736">
      <c r="A736" s="9" t="s">
        <v>3432</v>
      </c>
      <c r="B736" s="10">
        <f>IFERROR(__xludf.DUMMYFUNCTION("SPLIT(A736,""|"")"),719.0)</f>
        <v>719</v>
      </c>
      <c r="C736" s="10" t="str">
        <f>IFERROR(__xludf.DUMMYFUNCTION("""COMPUTED_VALUE""")," মোছা: রুবেল খাতুন ")</f>
        <v> মোছা: রুবেল খাতুন </v>
      </c>
      <c r="D736" s="10">
        <f>IFERROR(__xludf.DUMMYFUNCTION("""COMPUTED_VALUE"""),5.703560000358E12)</f>
        <v>5703560000358</v>
      </c>
      <c r="E736" s="10" t="str">
        <f>IFERROR(__xludf.DUMMYFUNCTION("""COMPUTED_VALUE""")," মো: হাসেম হোসেন ")</f>
        <v> মো: হাসেম হোসেন </v>
      </c>
      <c r="F736" s="10" t="str">
        <f>IFERROR(__xludf.DUMMYFUNCTION("""COMPUTED_VALUE""")," মোছা: হাকেন খাতুন ")</f>
        <v> মোছা: হাকেন খাতুন </v>
      </c>
      <c r="G736" s="10" t="str">
        <f>IFERROR(__xludf.DUMMYFUNCTION("""COMPUTED_VALUE""")," ১৪/০৯/১৯৯৫ ")</f>
        <v> ১৪/০৯/১৯৯৫ </v>
      </c>
      <c r="H736" s="10" t="str">
        <f>IFERROR(__xludf.DUMMYFUNCTION("""COMPUTED_VALUE""")," গৃহিণী ")</f>
        <v> গৃহিণী </v>
      </c>
      <c r="I736" s="10" t="str">
        <f>IFERROR(__xludf.DUMMYFUNCTION("""COMPUTED_VALUE""")," স্কুল পাড়া, জালশুকা, গাংনী, মেহেরপুর ")</f>
        <v> স্কুল পাড়া, জালশুকা, গাংনী, মেহেরপুর </v>
      </c>
    </row>
    <row r="737">
      <c r="A737" s="9" t="s">
        <v>3433</v>
      </c>
      <c r="B737" s="10">
        <f>IFERROR(__xludf.DUMMYFUNCTION("SPLIT(A737,""|"")"),720.0)</f>
        <v>720</v>
      </c>
      <c r="C737" s="10" t="str">
        <f>IFERROR(__xludf.DUMMYFUNCTION("""COMPUTED_VALUE""")," মোছা: আছমা খাতুন ")</f>
        <v> মোছা: আছমা খাতুন </v>
      </c>
      <c r="D737" s="10">
        <f>IFERROR(__xludf.DUMMYFUNCTION("""COMPUTED_VALUE"""),5.703560000399E12)</f>
        <v>5703560000399</v>
      </c>
      <c r="E737" s="10" t="str">
        <f>IFERROR(__xludf.DUMMYFUNCTION("""COMPUTED_VALUE""")," মো: টকন আলী ")</f>
        <v> মো: টকন আলী </v>
      </c>
      <c r="F737" s="10" t="str">
        <f>IFERROR(__xludf.DUMMYFUNCTION("""COMPUTED_VALUE""")," মোছা: আকলিমা খাতুন ")</f>
        <v> মোছা: আকলিমা খাতুন </v>
      </c>
      <c r="G737" s="10" t="str">
        <f>IFERROR(__xludf.DUMMYFUNCTION("""COMPUTED_VALUE""")," ১০/১০/১৯৯০ ")</f>
        <v> ১০/১০/১৯৯০ </v>
      </c>
      <c r="H737" s="10" t="str">
        <f>IFERROR(__xludf.DUMMYFUNCTION("""COMPUTED_VALUE""")," গৃহিণী ")</f>
        <v> গৃহিণী </v>
      </c>
      <c r="I737" s="10" t="str">
        <f>IFERROR(__xludf.DUMMYFUNCTION("""COMPUTED_VALUE""")," স্কুল পাড়া, জালশুকা, গাংনী, মেহেরপুর ")</f>
        <v> স্কুল পাড়া, জালশুকা, গাংনী, মেহেরপুর </v>
      </c>
    </row>
    <row r="738">
      <c r="A738" s="9" t="s">
        <v>3434</v>
      </c>
      <c r="B738" s="10">
        <f>IFERROR(__xludf.DUMMYFUNCTION("SPLIT(A738,""|"")"),721.0)</f>
        <v>721</v>
      </c>
      <c r="C738" s="10" t="str">
        <f>IFERROR(__xludf.DUMMYFUNCTION("""COMPUTED_VALUE""")," মোছা: সাবিনা খাতুন ")</f>
        <v> মোছা: সাবিনা খাতুন </v>
      </c>
      <c r="D738" s="10">
        <f>IFERROR(__xludf.DUMMYFUNCTION("""COMPUTED_VALUE"""),5.703560000344E12)</f>
        <v>5703560000344</v>
      </c>
      <c r="E738" s="10" t="str">
        <f>IFERROR(__xludf.DUMMYFUNCTION("""COMPUTED_VALUE""")," মো: হামিদুল ইসলাম ")</f>
        <v> মো: হামিদুল ইসলাম </v>
      </c>
      <c r="F738" s="10" t="str">
        <f>IFERROR(__xludf.DUMMYFUNCTION("""COMPUTED_VALUE""")," মোছা: সারজিনা খাতুন ")</f>
        <v> মোছা: সারজিনা খাতুন </v>
      </c>
      <c r="G738" s="10" t="str">
        <f>IFERROR(__xludf.DUMMYFUNCTION("""COMPUTED_VALUE""")," ১৬/০২/১৯৯৬ ")</f>
        <v> ১৬/০২/১৯৯৬ </v>
      </c>
      <c r="H738" s="10" t="str">
        <f>IFERROR(__xludf.DUMMYFUNCTION("""COMPUTED_VALUE""")," গৃহিণী ")</f>
        <v> গৃহিণী </v>
      </c>
      <c r="I738" s="10" t="str">
        <f>IFERROR(__xludf.DUMMYFUNCTION("""COMPUTED_VALUE""")," ভিটাপাড়া, ভিটাপাড়া, জালশুকা, গাংনী, মেহেরপুর ")</f>
        <v> ভিটাপাড়া, ভিটাপাড়া, জালশুকা, গাংনী, মেহেরপুর </v>
      </c>
    </row>
    <row r="739">
      <c r="A739" s="9" t="s">
        <v>3435</v>
      </c>
      <c r="B739" s="10">
        <f>IFERROR(__xludf.DUMMYFUNCTION("SPLIT(A739,""|"")"),722.0)</f>
        <v>722</v>
      </c>
      <c r="C739" s="10" t="str">
        <f>IFERROR(__xludf.DUMMYFUNCTION("""COMPUTED_VALUE""")," মোছা: শাবনুর খাতুন ")</f>
        <v> মোছা: শাবনুর খাতুন </v>
      </c>
      <c r="D739" s="10">
        <f>IFERROR(__xludf.DUMMYFUNCTION("""COMPUTED_VALUE"""),5.703560000426E12)</f>
        <v>5703560000426</v>
      </c>
      <c r="E739" s="10" t="str">
        <f>IFERROR(__xludf.DUMMYFUNCTION("""COMPUTED_VALUE""")," মো: আশরাফ আলী ")</f>
        <v> মো: আশরাফ আলী </v>
      </c>
      <c r="F739" s="10" t="str">
        <f>IFERROR(__xludf.DUMMYFUNCTION("""COMPUTED_VALUE""")," মোছা: ছালেহার খাতুন ")</f>
        <v> মোছা: ছালেহার খাতুন </v>
      </c>
      <c r="G739" s="10" t="str">
        <f>IFERROR(__xludf.DUMMYFUNCTION("""COMPUTED_VALUE""")," ০৪/০৫/১৯৯৮ ")</f>
        <v> ০৪/০৫/১৯৯৮ </v>
      </c>
      <c r="H739" s="10" t="str">
        <f>IFERROR(__xludf.DUMMYFUNCTION("""COMPUTED_VALUE""")," গৃহিণী ")</f>
        <v> গৃহিণী </v>
      </c>
      <c r="I739" s="10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740">
      <c r="A740" s="9" t="s">
        <v>3436</v>
      </c>
      <c r="B740" s="10">
        <f>IFERROR(__xludf.DUMMYFUNCTION("SPLIT(A740,""|"")"),723.0)</f>
        <v>723</v>
      </c>
      <c r="C740" s="10" t="str">
        <f>IFERROR(__xludf.DUMMYFUNCTION("""COMPUTED_VALUE""")," শিরিনা ")</f>
        <v> শিরিনা </v>
      </c>
      <c r="D740" s="10">
        <f>IFERROR(__xludf.DUMMYFUNCTION("""COMPUTED_VALUE"""),5.703560000447E12)</f>
        <v>5703560000447</v>
      </c>
      <c r="E740" s="10" t="str">
        <f>IFERROR(__xludf.DUMMYFUNCTION("""COMPUTED_VALUE""")," সেলিম ")</f>
        <v> সেলিম </v>
      </c>
      <c r="F740" s="10" t="str">
        <f>IFERROR(__xludf.DUMMYFUNCTION("""COMPUTED_VALUE""")," রাশিদা ")</f>
        <v> রাশিদা </v>
      </c>
      <c r="G740" s="10" t="str">
        <f>IFERROR(__xludf.DUMMYFUNCTION("""COMPUTED_VALUE""")," ২২/১০/১৯৯৮ ")</f>
        <v> ২২/১০/১৯৯৮ </v>
      </c>
      <c r="H740" s="10" t="str">
        <f>IFERROR(__xludf.DUMMYFUNCTION("""COMPUTED_VALUE""")," গৃহিণী ")</f>
        <v> গৃহিণী </v>
      </c>
      <c r="I740" s="10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1">
      <c r="A741" s="9" t="s">
        <v>3437</v>
      </c>
      <c r="B741" s="10">
        <f>IFERROR(__xludf.DUMMYFUNCTION("SPLIT(A741,""|"")"),724.0)</f>
        <v>724</v>
      </c>
      <c r="C741" s="10" t="str">
        <f>IFERROR(__xludf.DUMMYFUNCTION("""COMPUTED_VALUE""")," মোছা: সোনিয়া খাতুন ")</f>
        <v> মোছা: সোনিয়া খাতুন </v>
      </c>
      <c r="D741" s="10">
        <f>IFERROR(__xludf.DUMMYFUNCTION("""COMPUTED_VALUE"""),5.703560000348E12)</f>
        <v>5703560000348</v>
      </c>
      <c r="E741" s="10" t="str">
        <f>IFERROR(__xludf.DUMMYFUNCTION("""COMPUTED_VALUE""")," নিজাম উদ্দীন ")</f>
        <v> নিজাম উদ্দীন </v>
      </c>
      <c r="F741" s="10" t="str">
        <f>IFERROR(__xludf.DUMMYFUNCTION("""COMPUTED_VALUE""")," নাসিমা খাতুন ")</f>
        <v> নাসিমা খাতুন </v>
      </c>
      <c r="G741" s="10" t="str">
        <f>IFERROR(__xludf.DUMMYFUNCTION("""COMPUTED_VALUE""")," ১৭/০১/১৯৯৫ ")</f>
        <v> ১৭/০১/১৯৯৫ </v>
      </c>
      <c r="H741" s="10" t="str">
        <f>IFERROR(__xludf.DUMMYFUNCTION("""COMPUTED_VALUE""")," গৃহিণী ")</f>
        <v> গৃহিণী </v>
      </c>
      <c r="I741" s="10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2">
      <c r="A742" s="9" t="s">
        <v>3438</v>
      </c>
      <c r="B742" s="10">
        <f>IFERROR(__xludf.DUMMYFUNCTION("SPLIT(A742,""|"")"),725.0)</f>
        <v>725</v>
      </c>
      <c r="C742" s="10" t="str">
        <f>IFERROR(__xludf.DUMMYFUNCTION("""COMPUTED_VALUE""")," আকলিমা খাতুন ")</f>
        <v> আকলিমা খাতুন </v>
      </c>
      <c r="D742" s="10">
        <f>IFERROR(__xludf.DUMMYFUNCTION("""COMPUTED_VALUE"""),5.703560000341E12)</f>
        <v>5703560000341</v>
      </c>
      <c r="E742" s="10" t="str">
        <f>IFERROR(__xludf.DUMMYFUNCTION("""COMPUTED_VALUE""")," নজরুল ইসলাম ")</f>
        <v> নজরুল ইসলাম </v>
      </c>
      <c r="F742" s="10" t="str">
        <f>IFERROR(__xludf.DUMMYFUNCTION("""COMPUTED_VALUE""")," নাছিমা খাতুন ")</f>
        <v> নাছিমা খাতুন </v>
      </c>
      <c r="G742" s="10" t="str">
        <f>IFERROR(__xludf.DUMMYFUNCTION("""COMPUTED_VALUE""")," ০৫/০৭/১৯৯৭ ")</f>
        <v> ০৫/০৭/১৯৯৭ </v>
      </c>
      <c r="H742" s="10" t="str">
        <f>IFERROR(__xludf.DUMMYFUNCTION("""COMPUTED_VALUE""")," ছাত্র/ছাত্রী ")</f>
        <v> ছাত্র/ছাত্রী </v>
      </c>
      <c r="I742" s="10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743">
      <c r="A743" s="9" t="s">
        <v>3439</v>
      </c>
      <c r="B743" s="10">
        <f>IFERROR(__xludf.DUMMYFUNCTION("SPLIT(A743,""|"")"),726.0)</f>
        <v>726</v>
      </c>
      <c r="C743" s="10" t="str">
        <f>IFERROR(__xludf.DUMMYFUNCTION("""COMPUTED_VALUE""")," সাজেদা খাতুন ")</f>
        <v> সাজেদা খাতুন </v>
      </c>
      <c r="D743" s="10">
        <f>IFERROR(__xludf.DUMMYFUNCTION("""COMPUTED_VALUE"""),5.703560000351E12)</f>
        <v>5703560000351</v>
      </c>
      <c r="E743" s="10" t="str">
        <f>IFERROR(__xludf.DUMMYFUNCTION("""COMPUTED_VALUE""")," নুর ইসলাম ")</f>
        <v> নুর ইসলাম </v>
      </c>
      <c r="F743" s="10" t="str">
        <f>IFERROR(__xludf.DUMMYFUNCTION("""COMPUTED_VALUE""")," রওশনারা ")</f>
        <v> রওশনারা </v>
      </c>
      <c r="G743" s="10" t="str">
        <f>IFERROR(__xludf.DUMMYFUNCTION("""COMPUTED_VALUE""")," ১৫/০৭/১৯৯৪ ")</f>
        <v> ১৫/০৭/১৯৯৪ </v>
      </c>
      <c r="H743" s="10" t="str">
        <f>IFERROR(__xludf.DUMMYFUNCTION("""COMPUTED_VALUE""")," ছাত্র/ছাত্রী ")</f>
        <v> ছাত্র/ছাত্রী </v>
      </c>
      <c r="I743" s="10" t="str">
        <f>IFERROR(__xludf.DUMMYFUNCTION("""COMPUTED_VALUE""")," ঈদগা পাড়া, জালশুকা, কসবা, গাংনী, মেহেরপুর ")</f>
        <v> ঈদগা পাড়া, জালশুকা, কসবা, গাংনী, মেহেরপুর </v>
      </c>
    </row>
    <row r="744">
      <c r="A744" s="9" t="s">
        <v>3440</v>
      </c>
      <c r="B744" s="10">
        <f>IFERROR(__xludf.DUMMYFUNCTION("SPLIT(A744,""|"")"),727.0)</f>
        <v>727</v>
      </c>
      <c r="C744" s="10" t="str">
        <f>IFERROR(__xludf.DUMMYFUNCTION("""COMPUTED_VALUE""")," মোছা: শিউলিয়া খাতুন ")</f>
        <v> মোছা: শিউলিয়া খাতুন </v>
      </c>
      <c r="D744" s="10">
        <f>IFERROR(__xludf.DUMMYFUNCTION("""COMPUTED_VALUE"""),5.703560000354E12)</f>
        <v>5703560000354</v>
      </c>
      <c r="E744" s="10" t="str">
        <f>IFERROR(__xludf.DUMMYFUNCTION("""COMPUTED_VALUE""")," মৃত নবীর উদ্দীন ")</f>
        <v> মৃত নবীর উদ্দীন </v>
      </c>
      <c r="F744" s="10" t="str">
        <f>IFERROR(__xludf.DUMMYFUNCTION("""COMPUTED_VALUE""")," মোছা: ফাইমা খাতুন ")</f>
        <v> মোছা: ফাইমা খাতুন </v>
      </c>
      <c r="G744" s="10" t="str">
        <f>IFERROR(__xludf.DUMMYFUNCTION("""COMPUTED_VALUE""")," ০২/০৩/১৯৯৫ ")</f>
        <v> ০২/০৩/১৯৯৫ </v>
      </c>
      <c r="H744" s="10" t="str">
        <f>IFERROR(__xludf.DUMMYFUNCTION("""COMPUTED_VALUE""")," গৃহিণী ")</f>
        <v> গৃহিণী </v>
      </c>
      <c r="I744" s="10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5">
      <c r="A745" s="9" t="s">
        <v>3441</v>
      </c>
      <c r="B745" s="10">
        <f>IFERROR(__xludf.DUMMYFUNCTION("SPLIT(A745,""|"")"),728.0)</f>
        <v>728</v>
      </c>
      <c r="C745" s="10" t="str">
        <f>IFERROR(__xludf.DUMMYFUNCTION("""COMPUTED_VALUE""")," মোছা: রিজিয়া খাতুন ")</f>
        <v> মোছা: রিজিয়া খাতুন </v>
      </c>
      <c r="D745" s="10">
        <f>IFERROR(__xludf.DUMMYFUNCTION("""COMPUTED_VALUE"""),5.703560000355E12)</f>
        <v>5703560000355</v>
      </c>
      <c r="E745" s="10" t="str">
        <f>IFERROR(__xludf.DUMMYFUNCTION("""COMPUTED_VALUE""")," আমিনুল হক ")</f>
        <v> আমিনুল হক </v>
      </c>
      <c r="F745" s="10" t="str">
        <f>IFERROR(__xludf.DUMMYFUNCTION("""COMPUTED_VALUE""")," মোছা: ছালেহা ")</f>
        <v> মোছা: ছালেহা </v>
      </c>
      <c r="G745" s="10" t="str">
        <f>IFERROR(__xludf.DUMMYFUNCTION("""COMPUTED_VALUE""")," ০৭/১০/১৯৯৮ ")</f>
        <v> ০৭/১০/১৯৯৮ </v>
      </c>
      <c r="H745" s="10" t="str">
        <f>IFERROR(__xludf.DUMMYFUNCTION("""COMPUTED_VALUE""")," গৃহিণী ")</f>
        <v> গৃহিণী </v>
      </c>
      <c r="I745" s="10" t="str">
        <f>IFERROR(__xludf.DUMMYFUNCTION("""COMPUTED_VALUE""")," জালশুকা, গাংনী, মেহেরপুর ")</f>
        <v> জালশুকা, গাংনী, মেহেরপুর </v>
      </c>
    </row>
    <row r="746">
      <c r="A746" s="9" t="s">
        <v>3442</v>
      </c>
      <c r="B746" s="10">
        <f>IFERROR(__xludf.DUMMYFUNCTION("SPLIT(A746,""|"")"),729.0)</f>
        <v>729</v>
      </c>
      <c r="C746" s="10" t="str">
        <f>IFERROR(__xludf.DUMMYFUNCTION("""COMPUTED_VALUE""")," মোছা: সাথী আরা ")</f>
        <v> মোছা: সাথী আরা </v>
      </c>
      <c r="D746" s="10">
        <f>IFERROR(__xludf.DUMMYFUNCTION("""COMPUTED_VALUE"""),5.703560000356E12)</f>
        <v>5703560000356</v>
      </c>
      <c r="E746" s="10" t="str">
        <f>IFERROR(__xludf.DUMMYFUNCTION("""COMPUTED_VALUE""")," মো: তক্কেল আলী ")</f>
        <v> মো: তক্কেল আলী </v>
      </c>
      <c r="F746" s="10" t="str">
        <f>IFERROR(__xludf.DUMMYFUNCTION("""COMPUTED_VALUE""")," মোছা: কহিনুর বেগম ")</f>
        <v> মোছা: কহিনুর বেগম </v>
      </c>
      <c r="G746" s="10" t="str">
        <f>IFERROR(__xludf.DUMMYFUNCTION("""COMPUTED_VALUE""")," ০৫/০৩/১৯৯৮ ")</f>
        <v> ০৫/০৩/১৯৯৮ </v>
      </c>
      <c r="H746" s="10" t="str">
        <f>IFERROR(__xludf.DUMMYFUNCTION("""COMPUTED_VALUE""")," ছাত্র/ছাত্রী ")</f>
        <v> ছাত্র/ছাত্রী </v>
      </c>
      <c r="I746" s="10" t="str">
        <f>IFERROR(__xludf.DUMMYFUNCTION("""COMPUTED_VALUE""")," মাসজিদপাড়া, জালশুকা, গাংনী, মেহেরপুর ")</f>
        <v> মাসজিদপাড়া, জালশুকা, গাংনী, মেহেরপুর </v>
      </c>
    </row>
    <row r="747">
      <c r="A747" s="9" t="s">
        <v>3443</v>
      </c>
      <c r="B747" s="10">
        <f>IFERROR(__xludf.DUMMYFUNCTION("SPLIT(A747,""|"")"),730.0)</f>
        <v>730</v>
      </c>
      <c r="C747" s="10" t="str">
        <f>IFERROR(__xludf.DUMMYFUNCTION("""COMPUTED_VALUE""")," মোছা: রুবিনা আক্তার রুবি ")</f>
        <v> মোছা: রুবিনা আক্তার রুবি </v>
      </c>
      <c r="D747" s="10">
        <f>IFERROR(__xludf.DUMMYFUNCTION("""COMPUTED_VALUE"""),5.703560000358E12)</f>
        <v>5703560000358</v>
      </c>
      <c r="E747" s="10" t="str">
        <f>IFERROR(__xludf.DUMMYFUNCTION("""COMPUTED_VALUE""")," মো: শাকের আলী ")</f>
        <v> মো: শাকের আলী </v>
      </c>
      <c r="F747" s="10" t="str">
        <f>IFERROR(__xludf.DUMMYFUNCTION("""COMPUTED_VALUE""")," মোছা: মাহিরন নেছা ")</f>
        <v> মোছা: মাহিরন নেছা </v>
      </c>
      <c r="G747" s="10" t="str">
        <f>IFERROR(__xludf.DUMMYFUNCTION("""COMPUTED_VALUE""")," ০৬/০২/১৯৯৭ ")</f>
        <v> ০৬/০২/১৯৯৭ </v>
      </c>
      <c r="H747" s="10" t="str">
        <f>IFERROR(__xludf.DUMMYFUNCTION("""COMPUTED_VALUE""")," গৃহিণী ")</f>
        <v> গৃহিণী </v>
      </c>
      <c r="I747" s="10" t="str">
        <f>IFERROR(__xludf.DUMMYFUNCTION("""COMPUTED_VALUE""")," দাড়িপাড়া, জালশুকা, গাংনী, মেহেরপুর ")</f>
        <v> দাড়িপাড়া, জালশুকা, গাংনী, মেহেরপুর </v>
      </c>
    </row>
    <row r="748">
      <c r="A748" s="9" t="s">
        <v>3444</v>
      </c>
      <c r="B748" s="10">
        <f>IFERROR(__xludf.DUMMYFUNCTION("SPLIT(A748,""|"")"),731.0)</f>
        <v>731</v>
      </c>
      <c r="C748" s="10" t="str">
        <f>IFERROR(__xludf.DUMMYFUNCTION("""COMPUTED_VALUE""")," মোছা: সুমাইয়া খাতুন ")</f>
        <v> মোছা: সুমাইয়া খাতুন </v>
      </c>
      <c r="D748" s="10">
        <f>IFERROR(__xludf.DUMMYFUNCTION("""COMPUTED_VALUE"""),5.703560000359E12)</f>
        <v>5703560000359</v>
      </c>
      <c r="E748" s="10" t="str">
        <f>IFERROR(__xludf.DUMMYFUNCTION("""COMPUTED_VALUE""")," মো: ফজলুল হক ")</f>
        <v> মো: ফজলুল হক </v>
      </c>
      <c r="F748" s="10" t="str">
        <f>IFERROR(__xludf.DUMMYFUNCTION("""COMPUTED_VALUE""")," মোছা: মমতাজ খাতুন ")</f>
        <v> মোছা: মমতাজ খাতুন </v>
      </c>
      <c r="G748" s="10" t="str">
        <f>IFERROR(__xludf.DUMMYFUNCTION("""COMPUTED_VALUE""")," ১১/০৯/১৯৯৮ ")</f>
        <v> ১১/০৯/১৯৯৮ </v>
      </c>
      <c r="H748" s="10" t="str">
        <f>IFERROR(__xludf.DUMMYFUNCTION("""COMPUTED_VALUE""")," ছাত্র/ছাত্রী ")</f>
        <v> ছাত্র/ছাত্রী </v>
      </c>
      <c r="I748" s="10" t="str">
        <f>IFERROR(__xludf.DUMMYFUNCTION("""COMPUTED_VALUE""")," দাড়িপাড়া, জালশুকা, গাংনী, মেহেরপুর ")</f>
        <v> দাড়িপাড়া, জালশুকা, গাংনী, মেহেরপুর </v>
      </c>
    </row>
    <row r="749">
      <c r="A749" s="9" t="s">
        <v>3445</v>
      </c>
      <c r="B749" s="10">
        <f>IFERROR(__xludf.DUMMYFUNCTION("SPLIT(A749,""|"")"),732.0)</f>
        <v>732</v>
      </c>
      <c r="C749" s="10" t="str">
        <f>IFERROR(__xludf.DUMMYFUNCTION("""COMPUTED_VALUE""")," কল্পনা খাতুন ")</f>
        <v> কল্পনা খাতুন </v>
      </c>
      <c r="D749" s="10">
        <f>IFERROR(__xludf.DUMMYFUNCTION("""COMPUTED_VALUE"""),5.703560000362E12)</f>
        <v>5703560000362</v>
      </c>
      <c r="E749" s="10" t="str">
        <f>IFERROR(__xludf.DUMMYFUNCTION("""COMPUTED_VALUE""")," ইদ্রিস আলী ")</f>
        <v> ইদ্রিস আলী </v>
      </c>
      <c r="F749" s="10" t="str">
        <f>IFERROR(__xludf.DUMMYFUNCTION("""COMPUTED_VALUE""")," তহমিনা খাতুন ")</f>
        <v> তহমিনা খাতুন </v>
      </c>
      <c r="G749" s="10" t="str">
        <f>IFERROR(__xludf.DUMMYFUNCTION("""COMPUTED_VALUE""")," ০৫/১০/১৯৯৯ ")</f>
        <v> ০৫/১০/১৯৯৯ </v>
      </c>
      <c r="H749" s="10" t="str">
        <f>IFERROR(__xludf.DUMMYFUNCTION("""COMPUTED_VALUE""")," গৃহিণী ")</f>
        <v> গৃহিণী </v>
      </c>
      <c r="I749" s="10" t="str">
        <f>IFERROR(__xludf.DUMMYFUNCTION("""COMPUTED_VALUE""")," বালিয়া পাড়া, কসবা, গাংনী, মেহেরপুর ")</f>
        <v> বালিয়া পাড়া, কসবা, গাংনী, মেহেরপুর </v>
      </c>
    </row>
    <row r="750">
      <c r="A750" s="9" t="s">
        <v>3446</v>
      </c>
      <c r="B750" s="10">
        <f>IFERROR(__xludf.DUMMYFUNCTION("SPLIT(A750,""|"")"),733.0)</f>
        <v>733</v>
      </c>
      <c r="C750" s="10" t="str">
        <f>IFERROR(__xludf.DUMMYFUNCTION("""COMPUTED_VALUE""")," লিজা খাতুন ")</f>
        <v> লিজা খাতুন </v>
      </c>
      <c r="D750" s="10">
        <f>IFERROR(__xludf.DUMMYFUNCTION("""COMPUTED_VALUE"""),5.703560000363E12)</f>
        <v>5703560000363</v>
      </c>
      <c r="E750" s="10" t="str">
        <f>IFERROR(__xludf.DUMMYFUNCTION("""COMPUTED_VALUE""")," মো: আবু জাফর ")</f>
        <v> মো: আবু জাফর </v>
      </c>
      <c r="F750" s="10" t="str">
        <f>IFERROR(__xludf.DUMMYFUNCTION("""COMPUTED_VALUE""")," রেহেনা খাতুন ")</f>
        <v> রেহেনা খাতুন </v>
      </c>
      <c r="G750" s="10" t="str">
        <f>IFERROR(__xludf.DUMMYFUNCTION("""COMPUTED_VALUE""")," ১৩/০৩/১৯৯৯ ")</f>
        <v> ১৩/০৩/১৯৯৯ </v>
      </c>
      <c r="H750" s="10" t="str">
        <f>IFERROR(__xludf.DUMMYFUNCTION("""COMPUTED_VALUE""")," ছাত্র/ছাত্রী ")</f>
        <v> ছাত্র/ছাত্রী </v>
      </c>
      <c r="I750" s="10" t="str">
        <f>IFERROR(__xludf.DUMMYFUNCTION("""COMPUTED_VALUE""")," মধ্যপাড়া, জালশুকা, গাংনী, মেহেরপুর ")</f>
        <v> মধ্যপাড়া, জালশুকা, গাংনী, মেহেরপুর </v>
      </c>
    </row>
    <row r="751">
      <c r="A751" s="9" t="s">
        <v>3447</v>
      </c>
      <c r="B751" s="10">
        <f>IFERROR(__xludf.DUMMYFUNCTION("SPLIT(A751,""|"")"),734.0)</f>
        <v>734</v>
      </c>
      <c r="C751" s="10" t="str">
        <f>IFERROR(__xludf.DUMMYFUNCTION("""COMPUTED_VALUE""")," মোছা: রিমা খাতুন ")</f>
        <v> মোছা: রিমা খাতুন </v>
      </c>
      <c r="D751" s="10">
        <f>IFERROR(__xludf.DUMMYFUNCTION("""COMPUTED_VALUE"""),5.703560000365E12)</f>
        <v>5703560000365</v>
      </c>
      <c r="E751" s="10" t="str">
        <f>IFERROR(__xludf.DUMMYFUNCTION("""COMPUTED_VALUE""")," মো: সেলিম হোসেন ")</f>
        <v> মো: সেলিম হোসেন </v>
      </c>
      <c r="F751" s="10" t="str">
        <f>IFERROR(__xludf.DUMMYFUNCTION("""COMPUTED_VALUE""")," মোছা: ময়মুনা খাতুন ")</f>
        <v> মোছা: ময়মুনা খাতুন </v>
      </c>
      <c r="G751" s="10" t="str">
        <f>IFERROR(__xludf.DUMMYFUNCTION("""COMPUTED_VALUE""")," ০৮/০১/১৯৯৯ ")</f>
        <v> ০৮/০১/১৯৯৯ </v>
      </c>
      <c r="H751" s="10" t="str">
        <f>IFERROR(__xludf.DUMMYFUNCTION("""COMPUTED_VALUE""")," গৃহিণী ")</f>
        <v> গৃহিণী </v>
      </c>
      <c r="I751" s="10" t="str">
        <f>IFERROR(__xludf.DUMMYFUNCTION("""COMPUTED_VALUE""")," উত্তরপাড়া, জালশুকা, গাংনী, মেহেরপুর ")</f>
        <v> উত্তরপাড়া, জালশুকা, গাংনী, মেহেরপুর </v>
      </c>
    </row>
    <row r="752">
      <c r="A752" s="9" t="s">
        <v>3448</v>
      </c>
      <c r="B752" s="10">
        <f>IFERROR(__xludf.DUMMYFUNCTION("SPLIT(A752,""|"")"),735.0)</f>
        <v>735</v>
      </c>
      <c r="C752" s="10" t="str">
        <f>IFERROR(__xludf.DUMMYFUNCTION("""COMPUTED_VALUE""")," মোছা: মুক্তা খাতুন ")</f>
        <v> মোছা: মুক্তা খাতুন </v>
      </c>
      <c r="D752" s="10">
        <f>IFERROR(__xludf.DUMMYFUNCTION("""COMPUTED_VALUE"""),5.70356000037E12)</f>
        <v>5703560000370</v>
      </c>
      <c r="E752" s="10" t="str">
        <f>IFERROR(__xludf.DUMMYFUNCTION("""COMPUTED_VALUE""")," মো: মতিয়ার রহমান ")</f>
        <v> মো: মতিয়ার রহমান </v>
      </c>
      <c r="F752" s="10" t="str">
        <f>IFERROR(__xludf.DUMMYFUNCTION("""COMPUTED_VALUE""")," মোছা: বানুয়ারা খাতুন ")</f>
        <v> মোছা: বানুয়ারা খাতুন </v>
      </c>
      <c r="G752" s="10" t="str">
        <f>IFERROR(__xludf.DUMMYFUNCTION("""COMPUTED_VALUE""")," ১২/১০/১৯৯৮ ")</f>
        <v> ১২/১০/১৯৯৮ </v>
      </c>
      <c r="H752" s="10" t="str">
        <f>IFERROR(__xludf.DUMMYFUNCTION("""COMPUTED_VALUE""")," গৃহিণী ")</f>
        <v> গৃহিণী </v>
      </c>
      <c r="I752" s="10" t="str">
        <f>IFERROR(__xludf.DUMMYFUNCTION("""COMPUTED_VALUE""")," জালশুকা, গাংনী, মেহেরপুর ")</f>
        <v> জালশুকা, গাংনী, মেহেরপুর </v>
      </c>
    </row>
    <row r="753">
      <c r="A753" s="9" t="s">
        <v>3449</v>
      </c>
      <c r="B753" s="10">
        <f>IFERROR(__xludf.DUMMYFUNCTION("SPLIT(A753,""|"")"),736.0)</f>
        <v>736</v>
      </c>
      <c r="C753" s="10" t="str">
        <f>IFERROR(__xludf.DUMMYFUNCTION("""COMPUTED_VALUE""")," মাইগ্রেট হয়েছে ")</f>
        <v> মাইগ্রেট হয়েছে </v>
      </c>
      <c r="D753" s="10" t="str">
        <f>IFERROR(__xludf.DUMMYFUNCTION("""COMPUTED_VALUE"""),"  ")</f>
        <v>  </v>
      </c>
      <c r="E753" s="10" t="str">
        <f>IFERROR(__xludf.DUMMYFUNCTION("""COMPUTED_VALUE"""),"  ")</f>
        <v>  </v>
      </c>
      <c r="F753" s="10" t="str">
        <f>IFERROR(__xludf.DUMMYFUNCTION("""COMPUTED_VALUE"""),"  ")</f>
        <v>  </v>
      </c>
      <c r="G753" s="10" t="str">
        <f>IFERROR(__xludf.DUMMYFUNCTION("""COMPUTED_VALUE"""),"  ")</f>
        <v>  </v>
      </c>
      <c r="H753" s="10" t="str">
        <f>IFERROR(__xludf.DUMMYFUNCTION("""COMPUTED_VALUE"""),"  ")</f>
        <v>  </v>
      </c>
      <c r="I753" s="10" t="str">
        <f>IFERROR(__xludf.DUMMYFUNCTION("""COMPUTED_VALUE"""),"  ")</f>
        <v>  </v>
      </c>
    </row>
    <row r="754">
      <c r="A754" s="9" t="s">
        <v>3450</v>
      </c>
      <c r="B754" s="10">
        <f>IFERROR(__xludf.DUMMYFUNCTION("SPLIT(A754,""|"")"),737.0)</f>
        <v>737</v>
      </c>
      <c r="C754" s="10" t="str">
        <f>IFERROR(__xludf.DUMMYFUNCTION("""COMPUTED_VALUE""")," মোছা: কুলছুম আরা মুন্নী ")</f>
        <v> মোছা: কুলছুম আরা মুন্নী </v>
      </c>
      <c r="D754" s="10">
        <f>IFERROR(__xludf.DUMMYFUNCTION("""COMPUTED_VALUE"""),5.703560000379E12)</f>
        <v>5703560000379</v>
      </c>
      <c r="E754" s="10" t="str">
        <f>IFERROR(__xludf.DUMMYFUNCTION("""COMPUTED_VALUE""")," মো: আ: কুদ্দুস ")</f>
        <v> মো: আ: কুদ্দুস </v>
      </c>
      <c r="F754" s="10" t="str">
        <f>IFERROR(__xludf.DUMMYFUNCTION("""COMPUTED_VALUE""")," মোছা: চায়না খাতুন ")</f>
        <v> মোছা: চায়না খাতুন </v>
      </c>
      <c r="G754" s="10" t="str">
        <f>IFERROR(__xludf.DUMMYFUNCTION("""COMPUTED_VALUE""")," ১২/০৭/২০০১ ")</f>
        <v> ১২/০৭/২০০১ </v>
      </c>
      <c r="H754" s="10" t="str">
        <f>IFERROR(__xludf.DUMMYFUNCTION("""COMPUTED_VALUE""")," গৃহিণী ")</f>
        <v> গৃহিণী </v>
      </c>
      <c r="I754" s="10" t="str">
        <f>IFERROR(__xludf.DUMMYFUNCTION("""COMPUTED_VALUE""")," জালশুকা, গাংনী, মেহেরপুর ")</f>
        <v> জালশুকা, গাংনী, মেহেরপুর </v>
      </c>
    </row>
    <row r="755">
      <c r="A755" s="9" t="s">
        <v>3451</v>
      </c>
      <c r="B755" s="10">
        <f>IFERROR(__xludf.DUMMYFUNCTION("SPLIT(A755,""|"")"),738.0)</f>
        <v>738</v>
      </c>
      <c r="C755" s="10" t="str">
        <f>IFERROR(__xludf.DUMMYFUNCTION("""COMPUTED_VALUE""")," মোছা: শারমিন নাহার খাতুন ")</f>
        <v> মোছা: শারমিন নাহার খাতুন </v>
      </c>
      <c r="D755" s="10">
        <f>IFERROR(__xludf.DUMMYFUNCTION("""COMPUTED_VALUE"""),5.70356000038E12)</f>
        <v>5703560000380</v>
      </c>
      <c r="E755" s="10" t="str">
        <f>IFERROR(__xludf.DUMMYFUNCTION("""COMPUTED_VALUE""")," মো: মিরাজুল ইসলাম ")</f>
        <v> মো: মিরাজুল ইসলাম </v>
      </c>
      <c r="F755" s="10" t="str">
        <f>IFERROR(__xludf.DUMMYFUNCTION("""COMPUTED_VALUE""")," মোছা: শিল্পী খাতুন ")</f>
        <v> মোছা: শিল্পী খাতুন </v>
      </c>
      <c r="G755" s="10" t="str">
        <f>IFERROR(__xludf.DUMMYFUNCTION("""COMPUTED_VALUE""")," ১৯/০১/২০০০ ")</f>
        <v> ১৯/০১/২০০০ </v>
      </c>
      <c r="H755" s="10" t="str">
        <f>IFERROR(__xludf.DUMMYFUNCTION("""COMPUTED_VALUE""")," ছাত্র/ছাত্রী ")</f>
        <v> ছাত্র/ছাত্রী </v>
      </c>
      <c r="I755" s="10" t="str">
        <f>IFERROR(__xludf.DUMMYFUNCTION("""COMPUTED_VALUE""")," জালশুকা, গাংনী, মেহেরপুর ")</f>
        <v> জালশুকা, গাংনী, মেহেরপুর </v>
      </c>
    </row>
    <row r="756">
      <c r="A756" s="9" t="s">
        <v>3452</v>
      </c>
      <c r="B756" s="10">
        <f>IFERROR(__xludf.DUMMYFUNCTION("SPLIT(A756,""|"")"),739.0)</f>
        <v>739</v>
      </c>
      <c r="C756" s="10" t="str">
        <f>IFERROR(__xludf.DUMMYFUNCTION("""COMPUTED_VALUE""")," মোছা: রুবিনা খাতুন ")</f>
        <v> মোছা: রুবিনা খাতুন </v>
      </c>
      <c r="D756" s="10">
        <f>IFERROR(__xludf.DUMMYFUNCTION("""COMPUTED_VALUE"""),5.703560000383E12)</f>
        <v>5703560000383</v>
      </c>
      <c r="E756" s="10" t="str">
        <f>IFERROR(__xludf.DUMMYFUNCTION("""COMPUTED_VALUE""")," মো: ইয়ামিন আলী ")</f>
        <v> মো: ইয়ামিন আলী </v>
      </c>
      <c r="F756" s="10" t="str">
        <f>IFERROR(__xludf.DUMMYFUNCTION("""COMPUTED_VALUE""")," মোছা: রুশিয়া খাতুন ")</f>
        <v> মোছা: রুশিয়া খাতুন </v>
      </c>
      <c r="G756" s="10" t="str">
        <f>IFERROR(__xludf.DUMMYFUNCTION("""COMPUTED_VALUE""")," ১৫/১০/২০০২ ")</f>
        <v> ১৫/১০/২০০২ </v>
      </c>
      <c r="H756" s="10" t="str">
        <f>IFERROR(__xludf.DUMMYFUNCTION("""COMPUTED_VALUE""")," গৃহিণী ")</f>
        <v> গৃহিণী </v>
      </c>
      <c r="I756" s="10" t="str">
        <f>IFERROR(__xludf.DUMMYFUNCTION("""COMPUTED_VALUE""")," জালশুকা, গাংনী, মেহেরপুর ")</f>
        <v> জালশুকা, গাংনী, মেহেরপুর </v>
      </c>
    </row>
    <row r="757">
      <c r="A757" s="9" t="s">
        <v>3453</v>
      </c>
      <c r="B757" s="10">
        <f>IFERROR(__xludf.DUMMYFUNCTION("SPLIT(A757,""|"")"),740.0)</f>
        <v>740</v>
      </c>
      <c r="C757" s="10" t="str">
        <f>IFERROR(__xludf.DUMMYFUNCTION("""COMPUTED_VALUE""")," মোছা: শ্যামলী খাতুন ")</f>
        <v> মোছা: শ্যামলী খাতুন </v>
      </c>
      <c r="D757" s="10">
        <f>IFERROR(__xludf.DUMMYFUNCTION("""COMPUTED_VALUE"""),5.70356000039E12)</f>
        <v>5703560000390</v>
      </c>
      <c r="E757" s="10" t="str">
        <f>IFERROR(__xludf.DUMMYFUNCTION("""COMPUTED_VALUE""")," মো: ঠান্ডু মিয়া ")</f>
        <v> মো: ঠান্ডু মিয়া </v>
      </c>
      <c r="F757" s="10" t="str">
        <f>IFERROR(__xludf.DUMMYFUNCTION("""COMPUTED_VALUE""")," মোছা: আকলিমা খাতুন ")</f>
        <v> মোছা: আকলিমা খাতুন </v>
      </c>
      <c r="G757" s="10" t="str">
        <f>IFERROR(__xludf.DUMMYFUNCTION("""COMPUTED_VALUE""")," ০৫/০৩/১৯৯৯ ")</f>
        <v> ০৫/০৩/১৯৯৯ </v>
      </c>
      <c r="H757" s="10" t="str">
        <f>IFERROR(__xludf.DUMMYFUNCTION("""COMPUTED_VALUE""")," গৃহিণী ")</f>
        <v> গৃহিণী </v>
      </c>
      <c r="I757" s="10" t="str">
        <f>IFERROR(__xludf.DUMMYFUNCTION("""COMPUTED_VALUE""")," জালশুকা, গাংনী, মেহেরপুর ")</f>
        <v> জালশুকা, গাংনী, মেহেরপুর </v>
      </c>
    </row>
    <row r="758">
      <c r="A758" s="9" t="s">
        <v>3454</v>
      </c>
      <c r="B758" s="10">
        <f>IFERROR(__xludf.DUMMYFUNCTION("SPLIT(A758,""|"")"),741.0)</f>
        <v>741</v>
      </c>
      <c r="C758" s="10" t="str">
        <f>IFERROR(__xludf.DUMMYFUNCTION("""COMPUTED_VALUE""")," মোছা: রত্না খাতুন ")</f>
        <v> মোছা: রত্না খাতুন </v>
      </c>
      <c r="D758" s="10">
        <f>IFERROR(__xludf.DUMMYFUNCTION("""COMPUTED_VALUE"""),5.703560000391E12)</f>
        <v>5703560000391</v>
      </c>
      <c r="E758" s="10" t="str">
        <f>IFERROR(__xludf.DUMMYFUNCTION("""COMPUTED_VALUE""")," মো: মোজাম্মেল হক ")</f>
        <v> মো: মোজাম্মেল হক </v>
      </c>
      <c r="F758" s="10" t="str">
        <f>IFERROR(__xludf.DUMMYFUNCTION("""COMPUTED_VALUE""")," মোছা: মুক্তি খাতুন ")</f>
        <v> মোছা: মুক্তি খাতুন </v>
      </c>
      <c r="G758" s="10" t="str">
        <f>IFERROR(__xludf.DUMMYFUNCTION("""COMPUTED_VALUE""")," ০৫/০৬/২০০০ ")</f>
        <v> ০৫/০৬/২০০০ </v>
      </c>
      <c r="H758" s="10" t="str">
        <f>IFERROR(__xludf.DUMMYFUNCTION("""COMPUTED_VALUE""")," ছাত্র/ছাত্রী ")</f>
        <v> ছাত্র/ছাত্রী </v>
      </c>
      <c r="I758" s="10" t="str">
        <f>IFERROR(__xludf.DUMMYFUNCTION("""COMPUTED_VALUE""")," জালশুকা, গাংনী, মেহেরপুর ")</f>
        <v> জালশুকা, গাংনী, মেহেরপুর </v>
      </c>
    </row>
    <row r="759">
      <c r="A759" s="9" t="s">
        <v>3455</v>
      </c>
      <c r="B759" s="10">
        <f>IFERROR(__xludf.DUMMYFUNCTION("SPLIT(A759,""|"")"),742.0)</f>
        <v>742</v>
      </c>
      <c r="C759" s="10" t="str">
        <f>IFERROR(__xludf.DUMMYFUNCTION("""COMPUTED_VALUE""")," মোছা: মুন্নী খাতুন ")</f>
        <v> মোছা: মুন্নী খাতুন </v>
      </c>
      <c r="D759" s="10">
        <f>IFERROR(__xludf.DUMMYFUNCTION("""COMPUTED_VALUE"""),5.703560000394E12)</f>
        <v>5703560000394</v>
      </c>
      <c r="E759" s="10" t="str">
        <f>IFERROR(__xludf.DUMMYFUNCTION("""COMPUTED_VALUE""")," মো: রশিদ ")</f>
        <v> মো: রশিদ </v>
      </c>
      <c r="F759" s="10" t="str">
        <f>IFERROR(__xludf.DUMMYFUNCTION("""COMPUTED_VALUE""")," মোছা: পারুলা খাতুন ")</f>
        <v> মোছা: পারুলা খাতুন </v>
      </c>
      <c r="G759" s="10" t="str">
        <f>IFERROR(__xludf.DUMMYFUNCTION("""COMPUTED_VALUE""")," ০১/০১/১৯৯৯ ")</f>
        <v> ০১/০১/১৯৯৯ </v>
      </c>
      <c r="H759" s="10" t="str">
        <f>IFERROR(__xludf.DUMMYFUNCTION("""COMPUTED_VALUE""")," গৃহিণী ")</f>
        <v> গৃহিণী </v>
      </c>
      <c r="I759" s="10" t="str">
        <f>IFERROR(__xludf.DUMMYFUNCTION("""COMPUTED_VALUE""")," জালশুকা, গাংনী, মেহেরপুর ")</f>
        <v> জালশুকা, গাংনী, মেহেরপুর </v>
      </c>
    </row>
    <row r="760">
      <c r="A760" s="9" t="s">
        <v>3456</v>
      </c>
      <c r="B760" s="10">
        <f>IFERROR(__xludf.DUMMYFUNCTION("SPLIT(A760,""|"")"),743.0)</f>
        <v>743</v>
      </c>
      <c r="C760" s="10" t="str">
        <f>IFERROR(__xludf.DUMMYFUNCTION("""COMPUTED_VALUE""")," মোছা: রুমানা খাতুন ")</f>
        <v> মোছা: রুমানা খাতুন </v>
      </c>
      <c r="D760" s="10">
        <f>IFERROR(__xludf.DUMMYFUNCTION("""COMPUTED_VALUE"""),5.703560000395E12)</f>
        <v>5703560000395</v>
      </c>
      <c r="E760" s="10" t="str">
        <f>IFERROR(__xludf.DUMMYFUNCTION("""COMPUTED_VALUE""")," মো: আ: খলিল ")</f>
        <v> মো: আ: খলিল </v>
      </c>
      <c r="F760" s="10" t="str">
        <f>IFERROR(__xludf.DUMMYFUNCTION("""COMPUTED_VALUE""")," মোছা: অলিয়া খাতুন ")</f>
        <v> মোছা: অলিয়া খাতুন </v>
      </c>
      <c r="G760" s="10" t="str">
        <f>IFERROR(__xludf.DUMMYFUNCTION("""COMPUTED_VALUE""")," ২১/০৯/২০০১ ")</f>
        <v> ২১/০৯/২০০১ </v>
      </c>
      <c r="H760" s="10" t="str">
        <f>IFERROR(__xludf.DUMMYFUNCTION("""COMPUTED_VALUE""")," গৃহিণী ")</f>
        <v> গৃহিণী </v>
      </c>
      <c r="I760" s="10" t="str">
        <f>IFERROR(__xludf.DUMMYFUNCTION("""COMPUTED_VALUE""")," জালশুকা, গাংনী, মেহেরপুর ")</f>
        <v> জালশুকা, গাংনী, মেহেরপুর </v>
      </c>
    </row>
    <row r="761">
      <c r="A761" s="9" t="s">
        <v>3457</v>
      </c>
      <c r="B761" s="10">
        <f>IFERROR(__xludf.DUMMYFUNCTION("SPLIT(A761,""|"")"),744.0)</f>
        <v>744</v>
      </c>
      <c r="C761" s="10" t="str">
        <f>IFERROR(__xludf.DUMMYFUNCTION("""COMPUTED_VALUE""")," মোছা: শিউলি খাতুন ")</f>
        <v> মোছা: শিউলি খাতুন </v>
      </c>
      <c r="D761" s="10">
        <f>IFERROR(__xludf.DUMMYFUNCTION("""COMPUTED_VALUE"""),5.703560000399E12)</f>
        <v>5703560000399</v>
      </c>
      <c r="E761" s="10" t="str">
        <f>IFERROR(__xludf.DUMMYFUNCTION("""COMPUTED_VALUE""")," মো: আজগর আলী ")</f>
        <v> মো: আজগর আলী </v>
      </c>
      <c r="F761" s="10" t="str">
        <f>IFERROR(__xludf.DUMMYFUNCTION("""COMPUTED_VALUE""")," মোছা: লিলি খাতুন ")</f>
        <v> মোছা: লিলি খাতুন </v>
      </c>
      <c r="G761" s="10" t="str">
        <f>IFERROR(__xludf.DUMMYFUNCTION("""COMPUTED_VALUE""")," ০৫/০৩/১৯৮৩ ")</f>
        <v> ০৫/০৩/১৯৮৩ </v>
      </c>
      <c r="H761" s="10" t="str">
        <f>IFERROR(__xludf.DUMMYFUNCTION("""COMPUTED_VALUE""")," গৃহিণী ")</f>
        <v> গৃহিণী </v>
      </c>
      <c r="I761" s="10" t="str">
        <f>IFERROR(__xludf.DUMMYFUNCTION("""COMPUTED_VALUE""")," জালশুকা, গাংনী, মেহেরপুর ")</f>
        <v> জালশুকা, গাংনী, মেহেরপুর </v>
      </c>
    </row>
    <row r="762">
      <c r="A762" s="9" t="s">
        <v>3458</v>
      </c>
      <c r="B762" s="10">
        <f>IFERROR(__xludf.DUMMYFUNCTION("SPLIT(A762,""|"")"),745.0)</f>
        <v>745</v>
      </c>
      <c r="C762" s="10" t="str">
        <f>IFERROR(__xludf.DUMMYFUNCTION("""COMPUTED_VALUE""")," মোছা: শারমিন খাতুন ")</f>
        <v> মোছা: শারমিন খাতুন </v>
      </c>
      <c r="D762" s="10">
        <f>IFERROR(__xludf.DUMMYFUNCTION("""COMPUTED_VALUE"""),5.7035600004E12)</f>
        <v>5703560000400</v>
      </c>
      <c r="E762" s="10" t="str">
        <f>IFERROR(__xludf.DUMMYFUNCTION("""COMPUTED_VALUE""")," মো: শাহাজুল ইসলাম ")</f>
        <v> মো: শাহাজুল ইসলাম </v>
      </c>
      <c r="F762" s="10" t="str">
        <f>IFERROR(__xludf.DUMMYFUNCTION("""COMPUTED_VALUE""")," মোছা: হুসনেয়ারা খাতুন ")</f>
        <v> মোছা: হুসনেয়ারা খাতুন </v>
      </c>
      <c r="G762" s="10" t="str">
        <f>IFERROR(__xludf.DUMMYFUNCTION("""COMPUTED_VALUE""")," ০৮/০২/২০০০ ")</f>
        <v> ০৮/০২/২০০০ </v>
      </c>
      <c r="H762" s="10" t="str">
        <f>IFERROR(__xludf.DUMMYFUNCTION("""COMPUTED_VALUE""")," গৃহিণী ")</f>
        <v> গৃহিণী </v>
      </c>
      <c r="I762" s="10" t="str">
        <f>IFERROR(__xludf.DUMMYFUNCTION("""COMPUTED_VALUE""")," জালশুকা, গাংনী, মেহেরপুর ")</f>
        <v> জালশুকা, গাংনী, মেহেরপুর </v>
      </c>
    </row>
    <row r="763">
      <c r="A763" s="9" t="s">
        <v>3459</v>
      </c>
      <c r="B763" s="10">
        <f>IFERROR(__xludf.DUMMYFUNCTION("SPLIT(A763,""|"")"),746.0)</f>
        <v>746</v>
      </c>
      <c r="C763" s="10" t="str">
        <f>IFERROR(__xludf.DUMMYFUNCTION("""COMPUTED_VALUE""")," মোছা: রুনা খাতুন ")</f>
        <v> মোছা: রুনা খাতুন </v>
      </c>
      <c r="D763" s="10">
        <f>IFERROR(__xludf.DUMMYFUNCTION("""COMPUTED_VALUE"""),5.703560000401E12)</f>
        <v>5703560000401</v>
      </c>
      <c r="E763" s="10" t="str">
        <f>IFERROR(__xludf.DUMMYFUNCTION("""COMPUTED_VALUE""")," মো: নাসির উদ্দীন ")</f>
        <v> মো: নাসির উদ্দীন </v>
      </c>
      <c r="F763" s="10" t="str">
        <f>IFERROR(__xludf.DUMMYFUNCTION("""COMPUTED_VALUE""")," মোছা: মরিয়ম নেছা ")</f>
        <v> মোছা: মরিয়ম নেছা </v>
      </c>
      <c r="G763" s="10" t="str">
        <f>IFERROR(__xludf.DUMMYFUNCTION("""COMPUTED_VALUE""")," ১২/০৩/১৯৯৭ ")</f>
        <v> ১২/০৩/১৯৯৭ </v>
      </c>
      <c r="H763" s="10" t="str">
        <f>IFERROR(__xludf.DUMMYFUNCTION("""COMPUTED_VALUE""")," গৃহিণী ")</f>
        <v> গৃহিণী </v>
      </c>
      <c r="I763" s="10" t="str">
        <f>IFERROR(__xludf.DUMMYFUNCTION("""COMPUTED_VALUE""")," জালশুকা, গাংনী, মেহেরপুর ")</f>
        <v> জালশুকা, গাংনী, মেহেরপুর </v>
      </c>
    </row>
    <row r="764">
      <c r="A764" s="9" t="s">
        <v>3460</v>
      </c>
      <c r="B764" s="10">
        <f>IFERROR(__xludf.DUMMYFUNCTION("SPLIT(A764,""|"")"),747.0)</f>
        <v>747</v>
      </c>
      <c r="C764" s="10" t="str">
        <f>IFERROR(__xludf.DUMMYFUNCTION("""COMPUTED_VALUE""")," মোছা: হালিমাতুস সাদিয়া ")</f>
        <v> মোছা: হালিমাতুস সাদিয়া </v>
      </c>
      <c r="D764" s="10">
        <f>IFERROR(__xludf.DUMMYFUNCTION("""COMPUTED_VALUE"""),5.703560000402E12)</f>
        <v>5703560000402</v>
      </c>
      <c r="E764" s="10" t="str">
        <f>IFERROR(__xludf.DUMMYFUNCTION("""COMPUTED_VALUE""")," মো: আব্দুল ওহাব ")</f>
        <v> মো: আব্দুল ওহাব </v>
      </c>
      <c r="F764" s="10" t="str">
        <f>IFERROR(__xludf.DUMMYFUNCTION("""COMPUTED_VALUE""")," মোছা: আজিনা বেগম ")</f>
        <v> মোছা: আজিনা বেগম </v>
      </c>
      <c r="G764" s="10" t="str">
        <f>IFERROR(__xludf.DUMMYFUNCTION("""COMPUTED_VALUE""")," ৩০/১২/১৯৯৭ ")</f>
        <v> ৩০/১২/১৯৯৭ </v>
      </c>
      <c r="H764" s="10" t="str">
        <f>IFERROR(__xludf.DUMMYFUNCTION("""COMPUTED_VALUE""")," ছাত্র/ছাত্রী ")</f>
        <v> ছাত্র/ছাত্রী </v>
      </c>
      <c r="I764" s="10" t="str">
        <f>IFERROR(__xludf.DUMMYFUNCTION("""COMPUTED_VALUE""")," জালশুকা, গাংনী, মেহেরপুর ")</f>
        <v> জালশুকা, গাংনী, মেহেরপুর </v>
      </c>
    </row>
    <row r="765">
      <c r="A765" s="9" t="s">
        <v>3461</v>
      </c>
      <c r="B765" s="10">
        <f>IFERROR(__xludf.DUMMYFUNCTION("SPLIT(A765,""|"")"),748.0)</f>
        <v>748</v>
      </c>
      <c r="C765" s="10" t="str">
        <f>IFERROR(__xludf.DUMMYFUNCTION("""COMPUTED_VALUE""")," মোছা: রিম্পা খাতুন ")</f>
        <v> মোছা: রিম্পা খাতুন </v>
      </c>
      <c r="D765" s="10">
        <f>IFERROR(__xludf.DUMMYFUNCTION("""COMPUTED_VALUE"""),5.703560000409E12)</f>
        <v>5703560000409</v>
      </c>
      <c r="E765" s="10" t="str">
        <f>IFERROR(__xludf.DUMMYFUNCTION("""COMPUTED_VALUE""")," মো: তরিকুল ইসলাম ")</f>
        <v> মো: তরিকুল ইসলাম </v>
      </c>
      <c r="F765" s="10" t="str">
        <f>IFERROR(__xludf.DUMMYFUNCTION("""COMPUTED_VALUE""")," মোছা: হোসনেয়ারা ")</f>
        <v> মোছা: হোসনেয়ারা </v>
      </c>
      <c r="G765" s="10" t="str">
        <f>IFERROR(__xludf.DUMMYFUNCTION("""COMPUTED_VALUE""")," ১৮/১০/২০০১ ")</f>
        <v> ১৮/১০/২০০১ </v>
      </c>
      <c r="H765" s="10" t="str">
        <f>IFERROR(__xludf.DUMMYFUNCTION("""COMPUTED_VALUE""")," ছাত্র/ছাত্রী ")</f>
        <v> ছাত্র/ছাত্রী </v>
      </c>
      <c r="I765" s="10" t="str">
        <f>IFERROR(__xludf.DUMMYFUNCTION("""COMPUTED_VALUE""")," জালশুকা, গাংনী, মেহেরপুর ")</f>
        <v> জালশুকা, গাংনী, মেহেরপুর </v>
      </c>
    </row>
    <row r="766">
      <c r="A766" s="9" t="s">
        <v>3462</v>
      </c>
      <c r="B766" s="10">
        <f>IFERROR(__xludf.DUMMYFUNCTION("SPLIT(A766,""|"")"),749.0)</f>
        <v>749</v>
      </c>
      <c r="C766" s="10" t="str">
        <f>IFERROR(__xludf.DUMMYFUNCTION("""COMPUTED_VALUE""")," রুনা ")</f>
        <v> রুনা </v>
      </c>
      <c r="D766" s="10">
        <f>IFERROR(__xludf.DUMMYFUNCTION("""COMPUTED_VALUE"""),5.703560000411E12)</f>
        <v>5703560000411</v>
      </c>
      <c r="E766" s="10" t="str">
        <f>IFERROR(__xludf.DUMMYFUNCTION("""COMPUTED_VALUE""")," আলমগীর মল্লিক ")</f>
        <v> আলমগীর মল্লিক </v>
      </c>
      <c r="F766" s="10" t="str">
        <f>IFERROR(__xludf.DUMMYFUNCTION("""COMPUTED_VALUE""")," নাজমা বেগম ")</f>
        <v> নাজমা বেগম </v>
      </c>
      <c r="G766" s="10" t="str">
        <f>IFERROR(__xludf.DUMMYFUNCTION("""COMPUTED_VALUE""")," ০১/০৯/১৯৯৪ ")</f>
        <v> ০১/০৯/১৯৯৪ </v>
      </c>
      <c r="H766" s="10" t="str">
        <f>IFERROR(__xludf.DUMMYFUNCTION("""COMPUTED_VALUE""")," গৃহিণী ")</f>
        <v> গৃহিণী </v>
      </c>
      <c r="I766" s="10" t="str">
        <f>IFERROR(__xludf.DUMMYFUNCTION("""COMPUTED_VALUE""")," জালশুকা, গাংনী, মেহেরপুর ")</f>
        <v> জালশুকা, গাংনী, মেহেরপুর </v>
      </c>
    </row>
    <row r="767">
      <c r="A767" s="9" t="s">
        <v>3463</v>
      </c>
      <c r="B767" s="10">
        <f>IFERROR(__xludf.DUMMYFUNCTION("SPLIT(A767,""|"")"),750.0)</f>
        <v>750</v>
      </c>
      <c r="C767" s="10" t="str">
        <f>IFERROR(__xludf.DUMMYFUNCTION("""COMPUTED_VALUE""")," মোছা: মাকছুরা খাতুন ")</f>
        <v> মোছা: মাকছুরা খাতুন </v>
      </c>
      <c r="D767" s="10">
        <f>IFERROR(__xludf.DUMMYFUNCTION("""COMPUTED_VALUE"""),5.703560000412E12)</f>
        <v>5703560000412</v>
      </c>
      <c r="E767" s="10" t="str">
        <f>IFERROR(__xludf.DUMMYFUNCTION("""COMPUTED_VALUE""")," দাউদ মোল্লা ")</f>
        <v> দাউদ মোল্লা </v>
      </c>
      <c r="F767" s="10" t="str">
        <f>IFERROR(__xludf.DUMMYFUNCTION("""COMPUTED_VALUE""")," মোছা: রাহিলা ")</f>
        <v> মোছা: রাহিলা </v>
      </c>
      <c r="G767" s="10" t="str">
        <f>IFERROR(__xludf.DUMMYFUNCTION("""COMPUTED_VALUE""")," ০৭/০২/১৯৯৯ ")</f>
        <v> ০৭/০২/১৯৯৯ </v>
      </c>
      <c r="H767" s="10" t="str">
        <f>IFERROR(__xludf.DUMMYFUNCTION("""COMPUTED_VALUE""")," গৃহিণী ")</f>
        <v> গৃহিণী </v>
      </c>
      <c r="I767" s="10" t="str">
        <f>IFERROR(__xludf.DUMMYFUNCTION("""COMPUTED_VALUE""")," জালশুকা, গাংনী, মেহেরপুর ")</f>
        <v> জালশুকা, গাংনী, মেহেরপুর </v>
      </c>
    </row>
    <row r="768">
      <c r="A768" s="9" t="s">
        <v>3464</v>
      </c>
      <c r="B768" s="10">
        <f>IFERROR(__xludf.DUMMYFUNCTION("SPLIT(A768,""|"")"),751.0)</f>
        <v>751</v>
      </c>
      <c r="C768" s="10" t="str">
        <f>IFERROR(__xludf.DUMMYFUNCTION("""COMPUTED_VALUE""")," মোছা: মুক্তি খাতুন ")</f>
        <v> মোছা: মুক্তি খাতুন </v>
      </c>
      <c r="D768" s="10">
        <f>IFERROR(__xludf.DUMMYFUNCTION("""COMPUTED_VALUE"""),5.703560000415E12)</f>
        <v>5703560000415</v>
      </c>
      <c r="E768" s="10" t="str">
        <f>IFERROR(__xludf.DUMMYFUNCTION("""COMPUTED_VALUE""")," মো: এনামুল হক ")</f>
        <v> মো: এনামুল হক </v>
      </c>
      <c r="F768" s="10" t="str">
        <f>IFERROR(__xludf.DUMMYFUNCTION("""COMPUTED_VALUE""")," মোছা: রেজিনা খাতুন ")</f>
        <v> মোছা: রেজিনা খাতুন </v>
      </c>
      <c r="G768" s="10" t="str">
        <f>IFERROR(__xludf.DUMMYFUNCTION("""COMPUTED_VALUE""")," ০৪/০৮/২০০১ ")</f>
        <v> ০৪/০৮/২০০১ </v>
      </c>
      <c r="H768" s="10" t="str">
        <f>IFERROR(__xludf.DUMMYFUNCTION("""COMPUTED_VALUE""")," ছাত্র/ছাত্রী ")</f>
        <v> ছাত্র/ছাত্রী </v>
      </c>
      <c r="I768" s="10" t="str">
        <f>IFERROR(__xludf.DUMMYFUNCTION("""COMPUTED_VALUE""")," জালশুকা, গাংনী, মেহেরপুর ")</f>
        <v> জালশুকা, গাংনী, মেহেরপুর </v>
      </c>
    </row>
    <row r="769">
      <c r="A769" s="9" t="s">
        <v>3465</v>
      </c>
      <c r="B769" s="10">
        <f>IFERROR(__xludf.DUMMYFUNCTION("SPLIT(A769,""|"")"),752.0)</f>
        <v>752</v>
      </c>
      <c r="C769" s="10" t="str">
        <f>IFERROR(__xludf.DUMMYFUNCTION("""COMPUTED_VALUE""")," মোছা: সোহাগী খাতুন ")</f>
        <v> মোছা: সোহাগী খাতুন </v>
      </c>
      <c r="D769" s="10">
        <f>IFERROR(__xludf.DUMMYFUNCTION("""COMPUTED_VALUE"""),5.703560000416E12)</f>
        <v>5703560000416</v>
      </c>
      <c r="E769" s="10" t="str">
        <f>IFERROR(__xludf.DUMMYFUNCTION("""COMPUTED_VALUE""")," মো: কামরুল হোসেন ")</f>
        <v> মো: কামরুল হোসেন </v>
      </c>
      <c r="F769" s="10" t="str">
        <f>IFERROR(__xludf.DUMMYFUNCTION("""COMPUTED_VALUE""")," মোছা: ছামেনা খাতুন ")</f>
        <v> মোছা: ছামেনা খাতুন </v>
      </c>
      <c r="G769" s="10" t="str">
        <f>IFERROR(__xludf.DUMMYFUNCTION("""COMPUTED_VALUE""")," ২৫/১১/২০০২ ")</f>
        <v> ২৫/১১/২০০২ </v>
      </c>
      <c r="H769" s="10" t="str">
        <f>IFERROR(__xludf.DUMMYFUNCTION("""COMPUTED_VALUE""")," গৃহিণী ")</f>
        <v> গৃহিণী </v>
      </c>
      <c r="I769" s="10" t="str">
        <f>IFERROR(__xludf.DUMMYFUNCTION("""COMPUTED_VALUE""")," জালশুকা, গাংনী, মেহেরপুর ")</f>
        <v> জালশুকা, গাংনী, মেহেরপুর </v>
      </c>
    </row>
    <row r="770">
      <c r="A770" s="9" t="s">
        <v>3466</v>
      </c>
      <c r="B770" s="10">
        <f>IFERROR(__xludf.DUMMYFUNCTION("SPLIT(A770,""|"")"),753.0)</f>
        <v>753</v>
      </c>
      <c r="C770" s="10" t="str">
        <f>IFERROR(__xludf.DUMMYFUNCTION("""COMPUTED_VALUE""")," মোছা: সাথীয়া খাতুন ")</f>
        <v> মোছা: সাথীয়া খাতুন </v>
      </c>
      <c r="D770" s="10">
        <f>IFERROR(__xludf.DUMMYFUNCTION("""COMPUTED_VALUE"""),5.703560000417E12)</f>
        <v>5703560000417</v>
      </c>
      <c r="E770" s="10" t="str">
        <f>IFERROR(__xludf.DUMMYFUNCTION("""COMPUTED_VALUE""")," মো: আজিবার রহমান ")</f>
        <v> মো: আজিবার রহমান </v>
      </c>
      <c r="F770" s="10" t="str">
        <f>IFERROR(__xludf.DUMMYFUNCTION("""COMPUTED_VALUE""")," মোছা: রহিমা খাতুন ")</f>
        <v> মোছা: রহিমা খাতুন </v>
      </c>
      <c r="G770" s="10" t="str">
        <f>IFERROR(__xludf.DUMMYFUNCTION("""COMPUTED_VALUE""")," ০৫/০৭/১৯৯৮ ")</f>
        <v> ০৫/০৭/১৯৯৮ </v>
      </c>
      <c r="H770" s="10" t="str">
        <f>IFERROR(__xludf.DUMMYFUNCTION("""COMPUTED_VALUE""")," গৃহিণী ")</f>
        <v> গৃহিণী </v>
      </c>
      <c r="I770" s="10" t="str">
        <f>IFERROR(__xludf.DUMMYFUNCTION("""COMPUTED_VALUE""")," জালশুকা, গাংনী, মেহেরপুর ")</f>
        <v> জালশুকা, গাংনী, মেহেরপুর </v>
      </c>
    </row>
    <row r="771">
      <c r="A771" s="9" t="s">
        <v>3467</v>
      </c>
      <c r="B771" s="10">
        <f>IFERROR(__xludf.DUMMYFUNCTION("SPLIT(A771,""|"")"),772.0)</f>
        <v>772</v>
      </c>
      <c r="C771" s="10" t="str">
        <f>IFERROR(__xludf.DUMMYFUNCTION("""COMPUTED_VALUE""")," মোছা: বিনা খাতুন ")</f>
        <v> মোছা: বিনা খাতুন </v>
      </c>
      <c r="D771" s="10">
        <f>IFERROR(__xludf.DUMMYFUNCTION("""COMPUTED_VALUE"""),5.703560000457E12)</f>
        <v>5703560000457</v>
      </c>
      <c r="E771" s="10" t="str">
        <f>IFERROR(__xludf.DUMMYFUNCTION("""COMPUTED_VALUE""")," মৃত সনারুল ইসলাম ")</f>
        <v> মৃত সনারুল ইসলাম </v>
      </c>
      <c r="F771" s="10" t="str">
        <f>IFERROR(__xludf.DUMMYFUNCTION("""COMPUTED_VALUE""")," মোছা: রুমিয়া খাতুন ")</f>
        <v> মোছা: রুমিয়া খাতুন </v>
      </c>
      <c r="G771" s="10" t="str">
        <f>IFERROR(__xludf.DUMMYFUNCTION("""COMPUTED_VALUE""")," ০২/০১/১৯৯৩ ")</f>
        <v> ০২/০১/১৯৯৩ </v>
      </c>
      <c r="H771" s="10" t="str">
        <f>IFERROR(__xludf.DUMMYFUNCTION("""COMPUTED_VALUE""")," গৃহিণী ")</f>
        <v> গৃহিণী </v>
      </c>
      <c r="I771" s="10" t="str">
        <f>IFERROR(__xludf.DUMMYFUNCTION("""COMPUTED_VALUE""")," জালশুকা, গাংনী, মেহেরপুর ")</f>
        <v> জালশুকা, গাংনী, মেহেরপুর </v>
      </c>
    </row>
    <row r="772">
      <c r="A772" s="9" t="s">
        <v>3468</v>
      </c>
      <c r="B772" s="10">
        <f>IFERROR(__xludf.DUMMYFUNCTION("SPLIT(A772,""|"")"),773.0)</f>
        <v>773</v>
      </c>
      <c r="C772" s="10" t="str">
        <f>IFERROR(__xludf.DUMMYFUNCTION("""COMPUTED_VALUE""")," মোছা: ঝর্না খাতুন ")</f>
        <v> মোছা: ঝর্না খাতুন </v>
      </c>
      <c r="D772" s="10">
        <f>IFERROR(__xludf.DUMMYFUNCTION("""COMPUTED_VALUE"""),5.703560000459E12)</f>
        <v>5703560000459</v>
      </c>
      <c r="E772" s="10" t="str">
        <f>IFERROR(__xludf.DUMMYFUNCTION("""COMPUTED_VALUE""")," মো: জহিরুল ইসলাম ")</f>
        <v> মো: জহিরুল ইসলাম </v>
      </c>
      <c r="F772" s="10" t="str">
        <f>IFERROR(__xludf.DUMMYFUNCTION("""COMPUTED_VALUE""")," মোছা: সুর্য বিবি ")</f>
        <v> মোছা: সুর্য বিবি </v>
      </c>
      <c r="G772" s="10" t="str">
        <f>IFERROR(__xludf.DUMMYFUNCTION("""COMPUTED_VALUE""")," ০৬/১১/১৯৯২ ")</f>
        <v> ০৬/১১/১৯৯২ </v>
      </c>
      <c r="H772" s="10" t="str">
        <f>IFERROR(__xludf.DUMMYFUNCTION("""COMPUTED_VALUE""")," গৃহিণী ")</f>
        <v> গৃহিণী </v>
      </c>
      <c r="I772" s="10" t="str">
        <f>IFERROR(__xludf.DUMMYFUNCTION("""COMPUTED_VALUE""")," জালশুকা, গাংনী, মেহেরপুর ")</f>
        <v> জালশুকা, গাংনী, মেহেরপুর </v>
      </c>
    </row>
    <row r="773">
      <c r="A773" s="9" t="s">
        <v>3469</v>
      </c>
      <c r="B773" s="10">
        <f>IFERROR(__xludf.DUMMYFUNCTION("SPLIT(A773,""|"")"),774.0)</f>
        <v>774</v>
      </c>
      <c r="C773" s="10" t="str">
        <f>IFERROR(__xludf.DUMMYFUNCTION("""COMPUTED_VALUE""")," মোছা: সুবর্না খাতুন ")</f>
        <v> মোছা: সুবর্না খাতুন </v>
      </c>
      <c r="D773" s="10">
        <f>IFERROR(__xludf.DUMMYFUNCTION("""COMPUTED_VALUE"""),5.70356000046E12)</f>
        <v>5703560000460</v>
      </c>
      <c r="E773" s="10" t="str">
        <f>IFERROR(__xludf.DUMMYFUNCTION("""COMPUTED_VALUE""")," হারুন অর রশিদ ")</f>
        <v> হারুন অর রশিদ </v>
      </c>
      <c r="F773" s="10" t="str">
        <f>IFERROR(__xludf.DUMMYFUNCTION("""COMPUTED_VALUE""")," মোছা: ছফেদা খাতুন ")</f>
        <v> মোছা: ছফেদা খাতুন </v>
      </c>
      <c r="G773" s="10" t="str">
        <f>IFERROR(__xludf.DUMMYFUNCTION("""COMPUTED_VALUE""")," ১৩/০৮/২০০০ ")</f>
        <v> ১৩/০৮/২০০০ </v>
      </c>
      <c r="H773" s="10" t="str">
        <f>IFERROR(__xludf.DUMMYFUNCTION("""COMPUTED_VALUE""")," কৃষক ")</f>
        <v> কৃষক </v>
      </c>
      <c r="I773" s="10" t="str">
        <f>IFERROR(__xludf.DUMMYFUNCTION("""COMPUTED_VALUE""")," জালশুকা, গাংনী, মেহেরপুর ")</f>
        <v> জালশুকা, গাংনী, মেহেরপুর </v>
      </c>
    </row>
    <row r="774">
      <c r="A774" s="9" t="s">
        <v>3470</v>
      </c>
      <c r="B774" s="10">
        <f>IFERROR(__xludf.DUMMYFUNCTION("SPLIT(A774,""|"")"),775.0)</f>
        <v>775</v>
      </c>
      <c r="C774" s="10" t="str">
        <f>IFERROR(__xludf.DUMMYFUNCTION("""COMPUTED_VALUE""")," চম্পা খাতুন ")</f>
        <v> চম্পা খাতুন </v>
      </c>
      <c r="D774" s="10">
        <f>IFERROR(__xludf.DUMMYFUNCTION("""COMPUTED_VALUE"""),5.703560000461E12)</f>
        <v>5703560000461</v>
      </c>
      <c r="E774" s="10" t="str">
        <f>IFERROR(__xludf.DUMMYFUNCTION("""COMPUTED_VALUE""")," চান্দালী ")</f>
        <v> চান্দালী </v>
      </c>
      <c r="F774" s="10" t="str">
        <f>IFERROR(__xludf.DUMMYFUNCTION("""COMPUTED_VALUE""")," মোছা: রুশিয়া খাতুন ")</f>
        <v> মোছা: রুশিয়া খাতুন </v>
      </c>
      <c r="G774" s="10" t="str">
        <f>IFERROR(__xludf.DUMMYFUNCTION("""COMPUTED_VALUE""")," ১৭/০৪/২০০০ ")</f>
        <v> ১৭/০৪/২০০০ </v>
      </c>
      <c r="H774" s="10" t="str">
        <f>IFERROR(__xludf.DUMMYFUNCTION("""COMPUTED_VALUE""")," ছাত্র/ছাত্রী ")</f>
        <v> ছাত্র/ছাত্রী </v>
      </c>
      <c r="I774" s="10" t="str">
        <f>IFERROR(__xludf.DUMMYFUNCTION("""COMPUTED_VALUE""")," জালশুকা, গাংনী, মেহেরপুর ")</f>
        <v> জালশুকা, গাংনী, মেহেরপুর </v>
      </c>
    </row>
    <row r="775">
      <c r="A775" s="9" t="s">
        <v>3471</v>
      </c>
      <c r="B775" s="10">
        <f>IFERROR(__xludf.DUMMYFUNCTION("SPLIT(A775,""|"")"),776.0)</f>
        <v>776</v>
      </c>
      <c r="C775" s="10" t="str">
        <f>IFERROR(__xludf.DUMMYFUNCTION("""COMPUTED_VALUE""")," মোছা: শাবরিনা খাতুন ")</f>
        <v> মোছা: শাবরিনা খাতুন </v>
      </c>
      <c r="D775" s="10">
        <f>IFERROR(__xludf.DUMMYFUNCTION("""COMPUTED_VALUE"""),5.703560000464E12)</f>
        <v>5703560000464</v>
      </c>
      <c r="E775" s="10" t="str">
        <f>IFERROR(__xludf.DUMMYFUNCTION("""COMPUTED_VALUE""")," মো: শাহাবুদ্দীন ")</f>
        <v> মো: শাহাবুদ্দীন </v>
      </c>
      <c r="F775" s="10" t="str">
        <f>IFERROR(__xludf.DUMMYFUNCTION("""COMPUTED_VALUE""")," মোছা: সাথী খাতুন ")</f>
        <v> মোছা: সাথী খাতুন </v>
      </c>
      <c r="G775" s="10" t="str">
        <f>IFERROR(__xludf.DUMMYFUNCTION("""COMPUTED_VALUE""")," ০১/০১/২০০৪ ")</f>
        <v> ০১/০১/২০০৪ </v>
      </c>
      <c r="H775" s="10" t="str">
        <f>IFERROR(__xludf.DUMMYFUNCTION("""COMPUTED_VALUE""")," গৃহিণী ")</f>
        <v> গৃহিণী </v>
      </c>
      <c r="I775" s="10" t="str">
        <f>IFERROR(__xludf.DUMMYFUNCTION("""COMPUTED_VALUE""")," জালশুকা, গাংনী, মেহেরপুর ")</f>
        <v> জালশুকা, গাংনী, মেহেরপুর </v>
      </c>
    </row>
    <row r="776">
      <c r="A776" s="9" t="s">
        <v>3472</v>
      </c>
      <c r="B776" s="10">
        <f>IFERROR(__xludf.DUMMYFUNCTION("SPLIT(A776,""|"")"),777.0)</f>
        <v>777</v>
      </c>
      <c r="C776" s="10" t="str">
        <f>IFERROR(__xludf.DUMMYFUNCTION("""COMPUTED_VALUE""")," মোছা: বেনাপতি খাতুন ")</f>
        <v> মোছা: বেনাপতি খাতুন </v>
      </c>
      <c r="D776" s="10">
        <f>IFERROR(__xludf.DUMMYFUNCTION("""COMPUTED_VALUE"""),5.703560000465E12)</f>
        <v>5703560000465</v>
      </c>
      <c r="E776" s="10" t="str">
        <f>IFERROR(__xludf.DUMMYFUNCTION("""COMPUTED_VALUE""")," মান্নান ")</f>
        <v> মান্নান </v>
      </c>
      <c r="F776" s="10" t="str">
        <f>IFERROR(__xludf.DUMMYFUNCTION("""COMPUTED_VALUE""")," রিজিয়া ")</f>
        <v> রিজিয়া </v>
      </c>
      <c r="G776" s="10" t="str">
        <f>IFERROR(__xludf.DUMMYFUNCTION("""COMPUTED_VALUE""")," ১৫/১০/২০০০ ")</f>
        <v> ১৫/১০/২০০০ </v>
      </c>
      <c r="H776" s="10" t="str">
        <f>IFERROR(__xludf.DUMMYFUNCTION("""COMPUTED_VALUE""")," গৃহিণী ")</f>
        <v> গৃহিণী </v>
      </c>
      <c r="I776" s="10" t="str">
        <f>IFERROR(__xludf.DUMMYFUNCTION("""COMPUTED_VALUE""")," জালশুকা, গাংনী, মেহেরপুর ")</f>
        <v> জালশুকা, গাংনী, মেহেরপুর </v>
      </c>
    </row>
    <row r="777">
      <c r="A777" s="9" t="s">
        <v>3473</v>
      </c>
      <c r="B777" s="10">
        <f>IFERROR(__xludf.DUMMYFUNCTION("SPLIT(A777,""|"")"),778.0)</f>
        <v>778</v>
      </c>
      <c r="C777" s="10" t="str">
        <f>IFERROR(__xludf.DUMMYFUNCTION("""COMPUTED_VALUE""")," মোছা: হাফিজা খাতুন ")</f>
        <v> মোছা: হাফিজা খাতুন </v>
      </c>
      <c r="D777" s="10">
        <f>IFERROR(__xludf.DUMMYFUNCTION("""COMPUTED_VALUE"""),5.703560000466E12)</f>
        <v>5703560000466</v>
      </c>
      <c r="E777" s="10" t="str">
        <f>IFERROR(__xludf.DUMMYFUNCTION("""COMPUTED_VALUE""")," মো: হামিদুল ইসলাম ")</f>
        <v> মো: হামিদুল ইসলাম </v>
      </c>
      <c r="F777" s="10" t="str">
        <f>IFERROR(__xludf.DUMMYFUNCTION("""COMPUTED_VALUE""")," মোছা: জেসমিনা খাতুন ")</f>
        <v> মোছা: জেসমিনা খাতুন </v>
      </c>
      <c r="G777" s="10" t="str">
        <f>IFERROR(__xludf.DUMMYFUNCTION("""COMPUTED_VALUE""")," ০১/০৩/২০০১ ")</f>
        <v> ০১/০৩/২০০১ </v>
      </c>
      <c r="H777" s="10" t="str">
        <f>IFERROR(__xludf.DUMMYFUNCTION("""COMPUTED_VALUE""")," ছাত্র/ছাত্রী ")</f>
        <v> ছাত্র/ছাত্রী </v>
      </c>
      <c r="I777" s="10" t="str">
        <f>IFERROR(__xludf.DUMMYFUNCTION("""COMPUTED_VALUE""")," জালশুকা, গাংনী, মেহেরপুর ")</f>
        <v> জালশুকা, গাংনী, মেহেরপুর </v>
      </c>
    </row>
    <row r="778">
      <c r="A778" s="9" t="s">
        <v>3474</v>
      </c>
      <c r="B778" s="10">
        <f>IFERROR(__xludf.DUMMYFUNCTION("SPLIT(A778,""|"")"),779.0)</f>
        <v>779</v>
      </c>
      <c r="C778" s="10" t="str">
        <f>IFERROR(__xludf.DUMMYFUNCTION("""COMPUTED_VALUE""")," মোছা: বৃষ্টি খাতুন ")</f>
        <v> মোছা: বৃষ্টি খাতুন </v>
      </c>
      <c r="D778" s="10">
        <f>IFERROR(__xludf.DUMMYFUNCTION("""COMPUTED_VALUE"""),5.703560000468E12)</f>
        <v>5703560000468</v>
      </c>
      <c r="E778" s="10" t="str">
        <f>IFERROR(__xludf.DUMMYFUNCTION("""COMPUTED_VALUE""")," মো: রাশিদুল ইসলাম ")</f>
        <v> মো: রাশিদুল ইসলাম </v>
      </c>
      <c r="F778" s="10" t="str">
        <f>IFERROR(__xludf.DUMMYFUNCTION("""COMPUTED_VALUE""")," মোছা: শিখা খাতুন ")</f>
        <v> মোছা: শিখা খাতুন </v>
      </c>
      <c r="G778" s="10" t="str">
        <f>IFERROR(__xludf.DUMMYFUNCTION("""COMPUTED_VALUE""")," ১০/০২/২০০০ ")</f>
        <v> ১০/০২/২০০০ </v>
      </c>
      <c r="H778" s="10" t="str">
        <f>IFERROR(__xludf.DUMMYFUNCTION("""COMPUTED_VALUE""")," গৃহিণী ")</f>
        <v> গৃহিণী </v>
      </c>
      <c r="I778" s="10" t="str">
        <f>IFERROR(__xludf.DUMMYFUNCTION("""COMPUTED_VALUE""")," জালশুকা, গাংনী, মেহেরপুর ")</f>
        <v> জালশুকা, গাংনী, মেহেরপুর </v>
      </c>
    </row>
    <row r="779">
      <c r="A779" s="9" t="s">
        <v>3475</v>
      </c>
      <c r="B779" s="10">
        <f>IFERROR(__xludf.DUMMYFUNCTION("SPLIT(A779,""|"")"),780.0)</f>
        <v>780</v>
      </c>
      <c r="C779" s="10" t="str">
        <f>IFERROR(__xludf.DUMMYFUNCTION("""COMPUTED_VALUE""")," মোছাঃ হাফিজা খাতুন ")</f>
        <v> মোছাঃ হাফিজা খাতুন </v>
      </c>
      <c r="D779" s="10">
        <f>IFERROR(__xludf.DUMMYFUNCTION("""COMPUTED_VALUE"""),5.70356000047E12)</f>
        <v>5703560000470</v>
      </c>
      <c r="E779" s="10" t="str">
        <f>IFERROR(__xludf.DUMMYFUNCTION("""COMPUTED_VALUE""")," মো: সহিদুল ইসলাম ")</f>
        <v> মো: সহিদুল ইসলাম </v>
      </c>
      <c r="F779" s="10" t="str">
        <f>IFERROR(__xludf.DUMMYFUNCTION("""COMPUTED_VALUE""")," মোছা: শিরিনা খাতুন ")</f>
        <v> মোছা: শিরিনা খাতুন </v>
      </c>
      <c r="G779" s="10" t="str">
        <f>IFERROR(__xludf.DUMMYFUNCTION("""COMPUTED_VALUE""")," ০৮/০২/২০০৩ ")</f>
        <v> ০৮/০২/২০০৩ </v>
      </c>
      <c r="H779" s="10" t="str">
        <f>IFERROR(__xludf.DUMMYFUNCTION("""COMPUTED_VALUE""")," ছাত্র/ছাত্রী ")</f>
        <v> ছাত্র/ছাত্রী </v>
      </c>
      <c r="I779" s="10" t="str">
        <f>IFERROR(__xludf.DUMMYFUNCTION("""COMPUTED_VALUE""")," জালশুকা, গাংনী, মেহেরপুর ")</f>
        <v> জালশুকা, গাংনী, মেহেরপুর </v>
      </c>
    </row>
    <row r="780">
      <c r="A780" s="9" t="s">
        <v>3476</v>
      </c>
      <c r="B780" s="10">
        <f>IFERROR(__xludf.DUMMYFUNCTION("SPLIT(A780,""|"")"),781.0)</f>
        <v>781</v>
      </c>
      <c r="C780" s="10" t="str">
        <f>IFERROR(__xludf.DUMMYFUNCTION("""COMPUTED_VALUE""")," মোছা: আরিফা খাতুন ")</f>
        <v> মোছা: আরিফা খাতুন </v>
      </c>
      <c r="D780" s="10">
        <f>IFERROR(__xludf.DUMMYFUNCTION("""COMPUTED_VALUE"""),5.703560000471E12)</f>
        <v>5703560000471</v>
      </c>
      <c r="E780" s="10" t="str">
        <f>IFERROR(__xludf.DUMMYFUNCTION("""COMPUTED_VALUE""")," মো: সলেমান ")</f>
        <v> মো: সলেমান </v>
      </c>
      <c r="F780" s="10" t="str">
        <f>IFERROR(__xludf.DUMMYFUNCTION("""COMPUTED_VALUE""")," মোছা: আসুরা খাতুন ")</f>
        <v> মোছা: আসুরা খাতুন </v>
      </c>
      <c r="G780" s="10" t="str">
        <f>IFERROR(__xludf.DUMMYFUNCTION("""COMPUTED_VALUE""")," ২৪/০১/১৯৯৭ ")</f>
        <v> ২৪/০১/১৯৯৭ </v>
      </c>
      <c r="H780" s="10" t="str">
        <f>IFERROR(__xludf.DUMMYFUNCTION("""COMPUTED_VALUE""")," গৃহিণী ")</f>
        <v> গৃহিণী </v>
      </c>
      <c r="I780" s="10" t="str">
        <f>IFERROR(__xludf.DUMMYFUNCTION("""COMPUTED_VALUE""")," জালশুকা, গাংনী, মেহেরপুর ")</f>
        <v> জালশুকা, গাংনী, মেহেরপুর </v>
      </c>
    </row>
    <row r="781">
      <c r="A781" s="9" t="s">
        <v>3477</v>
      </c>
      <c r="B781" s="10">
        <f>IFERROR(__xludf.DUMMYFUNCTION("SPLIT(A781,""|"")"),782.0)</f>
        <v>782</v>
      </c>
      <c r="C781" s="10" t="str">
        <f>IFERROR(__xludf.DUMMYFUNCTION("""COMPUTED_VALUE""")," মোছা: সাদিয়া আফরোজ সুবর্না ")</f>
        <v> মোছা: সাদিয়া আফরোজ সুবর্না </v>
      </c>
      <c r="D781" s="10">
        <f>IFERROR(__xludf.DUMMYFUNCTION("""COMPUTED_VALUE"""),5.703560000474E12)</f>
        <v>5703560000474</v>
      </c>
      <c r="E781" s="10" t="str">
        <f>IFERROR(__xludf.DUMMYFUNCTION("""COMPUTED_VALUE""")," মো: শামীম রেজা ")</f>
        <v> মো: শামীম রেজা </v>
      </c>
      <c r="F781" s="10" t="str">
        <f>IFERROR(__xludf.DUMMYFUNCTION("""COMPUTED_VALUE""")," মো: শেফালী খাতুন ")</f>
        <v> মো: শেফালী খাতুন </v>
      </c>
      <c r="G781" s="10" t="str">
        <f>IFERROR(__xludf.DUMMYFUNCTION("""COMPUTED_VALUE""")," ০২/১২/২০০২ ")</f>
        <v> ০২/১২/২০০২ </v>
      </c>
      <c r="H781" s="10" t="str">
        <f>IFERROR(__xludf.DUMMYFUNCTION("""COMPUTED_VALUE""")," ছাত্র/ছাত্রী ")</f>
        <v> ছাত্র/ছাত্রী </v>
      </c>
      <c r="I781" s="10" t="str">
        <f>IFERROR(__xludf.DUMMYFUNCTION("""COMPUTED_VALUE""")," জালশুকা, গাংনী, মেহেরপুর ")</f>
        <v> জালশুকা, গাংনী, মেহেরপুর </v>
      </c>
    </row>
    <row r="782">
      <c r="A782" s="9" t="s">
        <v>3478</v>
      </c>
      <c r="B782" s="10">
        <f>IFERROR(__xludf.DUMMYFUNCTION("SPLIT(A782,""|"")"),783.0)</f>
        <v>783</v>
      </c>
      <c r="C782" s="10" t="str">
        <f>IFERROR(__xludf.DUMMYFUNCTION("""COMPUTED_VALUE""")," মাইগ্রেট হয়েছে ")</f>
        <v> মাইগ্রেট হয়েছে </v>
      </c>
      <c r="D782" s="10" t="str">
        <f>IFERROR(__xludf.DUMMYFUNCTION("""COMPUTED_VALUE"""),"  ")</f>
        <v>  </v>
      </c>
      <c r="E782" s="10" t="str">
        <f>IFERROR(__xludf.DUMMYFUNCTION("""COMPUTED_VALUE"""),"  ")</f>
        <v>  </v>
      </c>
      <c r="F782" s="10" t="str">
        <f>IFERROR(__xludf.DUMMYFUNCTION("""COMPUTED_VALUE"""),"  ")</f>
        <v>  </v>
      </c>
      <c r="G782" s="10" t="str">
        <f>IFERROR(__xludf.DUMMYFUNCTION("""COMPUTED_VALUE"""),"  ")</f>
        <v>  </v>
      </c>
      <c r="H782" s="10" t="str">
        <f>IFERROR(__xludf.DUMMYFUNCTION("""COMPUTED_VALUE"""),"  ")</f>
        <v>  </v>
      </c>
      <c r="I782" s="10" t="str">
        <f>IFERROR(__xludf.DUMMYFUNCTION("""COMPUTED_VALUE"""),"  ")</f>
        <v>  </v>
      </c>
    </row>
    <row r="783">
      <c r="A783" s="9" t="s">
        <v>3479</v>
      </c>
      <c r="B783" s="10">
        <f>IFERROR(__xludf.DUMMYFUNCTION("SPLIT(A783,""|"")"),784.0)</f>
        <v>784</v>
      </c>
      <c r="C783" s="10" t="str">
        <f>IFERROR(__xludf.DUMMYFUNCTION("""COMPUTED_VALUE""")," নাম: শিমলা খাতুন ")</f>
        <v> নাম: শিমলা খাতুন </v>
      </c>
      <c r="D783" s="10">
        <f>IFERROR(__xludf.DUMMYFUNCTION("""COMPUTED_VALUE"""),5.703560000477E12)</f>
        <v>5703560000477</v>
      </c>
      <c r="E783" s="10" t="str">
        <f>IFERROR(__xludf.DUMMYFUNCTION("""COMPUTED_VALUE""")," পিতা: সাইফুল ইসলাম ")</f>
        <v> পিতা: সাইফুল ইসলাম </v>
      </c>
      <c r="F783" s="10" t="str">
        <f>IFERROR(__xludf.DUMMYFUNCTION("""COMPUTED_VALUE""")," মাতা: মাসুরা পারভীন ")</f>
        <v> মাতা: মাসুরা পারভীন </v>
      </c>
      <c r="G783" s="10" t="str">
        <f>IFERROR(__xludf.DUMMYFUNCTION("""COMPUTED_VALUE""")," ১৯/০৮/২০০১ ")</f>
        <v> ১৯/০৮/২০০১ </v>
      </c>
      <c r="H783" s="10" t="str">
        <f>IFERROR(__xludf.DUMMYFUNCTION("""COMPUTED_VALUE""")," ছাত্র/ছাত্রী ")</f>
        <v> ছাত্র/ছাত্রী </v>
      </c>
      <c r="I783" s="10" t="str">
        <f>IFERROR(__xludf.DUMMYFUNCTION("""COMPUTED_VALUE""")," জালশুকা, গাংনী, মেহেরপুর ")</f>
        <v> জালশুকা, গাংনী, মেহেরপুর </v>
      </c>
    </row>
    <row r="784">
      <c r="A784" s="9" t="s">
        <v>3480</v>
      </c>
      <c r="B784" s="10">
        <f>IFERROR(__xludf.DUMMYFUNCTION("SPLIT(A784,""|"")"),785.0)</f>
        <v>785</v>
      </c>
      <c r="C784" s="10" t="str">
        <f>IFERROR(__xludf.DUMMYFUNCTION("""COMPUTED_VALUE""")," নাম: মোছা: ফাতিমাতুজ রত্না ")</f>
        <v> নাম: মোছা: ফাতিমাতুজ রত্না </v>
      </c>
      <c r="D784" s="10">
        <f>IFERROR(__xludf.DUMMYFUNCTION("""COMPUTED_VALUE"""),5.703560000478E12)</f>
        <v>5703560000478</v>
      </c>
      <c r="E784" s="10" t="str">
        <f>IFERROR(__xludf.DUMMYFUNCTION("""COMPUTED_VALUE""")," পিতা: মো: শরীফ উদ্দিন ")</f>
        <v> পিতা: মো: শরীফ উদ্দিন </v>
      </c>
      <c r="F784" s="10" t="str">
        <f>IFERROR(__xludf.DUMMYFUNCTION("""COMPUTED_VALUE""")," মাতা: মোছা: পারভীনা খাতুন ")</f>
        <v> মাতা: মোছা: পারভীনা খাতুন </v>
      </c>
      <c r="G784" s="10" t="str">
        <f>IFERROR(__xludf.DUMMYFUNCTION("""COMPUTED_VALUE""")," ১৭/১১/২০০১ ")</f>
        <v> ১৭/১১/২০০১ </v>
      </c>
      <c r="H784" s="10" t="str">
        <f>IFERROR(__xludf.DUMMYFUNCTION("""COMPUTED_VALUE""")," ছাত্র/ছাত্রী ")</f>
        <v> ছাত্র/ছাত্রী </v>
      </c>
      <c r="I784" s="10" t="str">
        <f>IFERROR(__xludf.DUMMYFUNCTION("""COMPUTED_VALUE""")," জালশুকা, গাংনী, মেহেরপুর ")</f>
        <v> জালশুকা, গাংনী, মেহেরপুর </v>
      </c>
    </row>
    <row r="785">
      <c r="A785" s="9" t="s">
        <v>3481</v>
      </c>
      <c r="B785" s="10">
        <f>IFERROR(__xludf.DUMMYFUNCTION("SPLIT(A785,""|"")"),786.0)</f>
        <v>786</v>
      </c>
      <c r="C785" s="10" t="str">
        <f>IFERROR(__xludf.DUMMYFUNCTION("""COMPUTED_VALUE""")," নাম: মোছা: স্বপ্না খাতুন ")</f>
        <v> নাম: মোছা: স্বপ্না খাতুন </v>
      </c>
      <c r="D785" s="10">
        <f>IFERROR(__xludf.DUMMYFUNCTION("""COMPUTED_VALUE"""),5.703560000479E12)</f>
        <v>5703560000479</v>
      </c>
      <c r="E785" s="10" t="str">
        <f>IFERROR(__xludf.DUMMYFUNCTION("""COMPUTED_VALUE""")," পিতা: মো: মুক্তার আলী ")</f>
        <v> পিতা: মো: মুক্তার আলী </v>
      </c>
      <c r="F785" s="10" t="str">
        <f>IFERROR(__xludf.DUMMYFUNCTION("""COMPUTED_VALUE""")," মাতা: মোছা: পারভীনা খাতুন ")</f>
        <v> মাতা: মোছা: পারভীনা খাতুন </v>
      </c>
      <c r="G785" s="10" t="str">
        <f>IFERROR(__xludf.DUMMYFUNCTION("""COMPUTED_VALUE""")," ১৮/০৮/১৯৯৯ ")</f>
        <v> ১৮/০৮/১৯৯৯ </v>
      </c>
      <c r="H785" s="10" t="str">
        <f>IFERROR(__xludf.DUMMYFUNCTION("""COMPUTED_VALUE""")," গৃহিণী ")</f>
        <v> গৃহিণী </v>
      </c>
      <c r="I785" s="10" t="str">
        <f>IFERROR(__xludf.DUMMYFUNCTION("""COMPUTED_VALUE""")," জালশুকা, গাংনী, মেহেরপুর ")</f>
        <v> জালশুকা, গাংনী, মেহেরপুর </v>
      </c>
    </row>
    <row r="786">
      <c r="A786" s="9" t="s">
        <v>3482</v>
      </c>
      <c r="B786" s="10">
        <f>IFERROR(__xludf.DUMMYFUNCTION("SPLIT(A786,""|"")"),787.0)</f>
        <v>787</v>
      </c>
      <c r="C786" s="10" t="str">
        <f>IFERROR(__xludf.DUMMYFUNCTION("""COMPUTED_VALUE""")," নাম: মোছা: রুকছানা খাতুন ")</f>
        <v> নাম: মোছা: রুকছানা খাতুন </v>
      </c>
      <c r="D786" s="10">
        <f>IFERROR(__xludf.DUMMYFUNCTION("""COMPUTED_VALUE"""),5.70356000048E12)</f>
        <v>5703560000480</v>
      </c>
      <c r="E786" s="10" t="str">
        <f>IFERROR(__xludf.DUMMYFUNCTION("""COMPUTED_VALUE""")," পিতা: উসমান আলী ")</f>
        <v> পিতা: উসমান আলী </v>
      </c>
      <c r="F786" s="10" t="str">
        <f>IFERROR(__xludf.DUMMYFUNCTION("""COMPUTED_VALUE""")," মাতা: মোছা: বিলকিস আরা ")</f>
        <v> মাতা: মোছা: বিলকিস আরা </v>
      </c>
      <c r="G786" s="10" t="str">
        <f>IFERROR(__xludf.DUMMYFUNCTION("""COMPUTED_VALUE""")," ১৬/০২/২০০২ ")</f>
        <v> ১৬/০২/২০০২ </v>
      </c>
      <c r="H786" s="10" t="str">
        <f>IFERROR(__xludf.DUMMYFUNCTION("""COMPUTED_VALUE""")," গৃহিণী ")</f>
        <v> গৃহিণী </v>
      </c>
      <c r="I786" s="10" t="str">
        <f>IFERROR(__xludf.DUMMYFUNCTION("""COMPUTED_VALUE""")," জালশুকা, গাংনী, মেহেরপুর ")</f>
        <v> জালশুকা, গাংনী, মেহেরপুর </v>
      </c>
    </row>
    <row r="787">
      <c r="A787" s="9" t="s">
        <v>3483</v>
      </c>
      <c r="B787" s="10">
        <f>IFERROR(__xludf.DUMMYFUNCTION("SPLIT(A787,""|"")"),788.0)</f>
        <v>788</v>
      </c>
      <c r="C787" s="10" t="str">
        <f>IFERROR(__xludf.DUMMYFUNCTION("""COMPUTED_VALUE""")," নাম: আয়েশা খাতুন ")</f>
        <v> নাম: আয়েশা খাতুন </v>
      </c>
      <c r="D787" s="10">
        <f>IFERROR(__xludf.DUMMYFUNCTION("""COMPUTED_VALUE"""),5.703560000482E12)</f>
        <v>5703560000482</v>
      </c>
      <c r="E787" s="10" t="str">
        <f>IFERROR(__xludf.DUMMYFUNCTION("""COMPUTED_VALUE""")," পিতা: এনামুল হক ")</f>
        <v> পিতা: এনামুল হক </v>
      </c>
      <c r="F787" s="10" t="str">
        <f>IFERROR(__xludf.DUMMYFUNCTION("""COMPUTED_VALUE""")," মাতা: টুনটুনি খাতুন ")</f>
        <v> মাতা: টুনটুনি খাতুন </v>
      </c>
      <c r="G787" s="10" t="str">
        <f>IFERROR(__xludf.DUMMYFUNCTION("""COMPUTED_VALUE""")," ০২/০১/২০০৩ ")</f>
        <v> ০২/০১/২০০৩ </v>
      </c>
      <c r="H787" s="10" t="str">
        <f>IFERROR(__xludf.DUMMYFUNCTION("""COMPUTED_VALUE""")," ছাত্র/ছাত্রী ")</f>
        <v> ছাত্র/ছাত্রী </v>
      </c>
      <c r="I787" s="10" t="str">
        <f>IFERROR(__xludf.DUMMYFUNCTION("""COMPUTED_VALUE""")," জালশুকা, গাংনী, মেহেরপুর ")</f>
        <v> জালশুকা, গাংনী, মেহেরপুর </v>
      </c>
    </row>
    <row r="788">
      <c r="A788" s="9" t="s">
        <v>3484</v>
      </c>
      <c r="B788" s="10">
        <f>IFERROR(__xludf.DUMMYFUNCTION("SPLIT(A788,""|"")"),789.0)</f>
        <v>789</v>
      </c>
      <c r="C788" s="10" t="str">
        <f>IFERROR(__xludf.DUMMYFUNCTION("""COMPUTED_VALUE""")," নাম: মোছা: মুক্তারা খাতুন ")</f>
        <v> নাম: মোছা: মুক্তারা খাতুন </v>
      </c>
      <c r="D788" s="10">
        <f>IFERROR(__xludf.DUMMYFUNCTION("""COMPUTED_VALUE"""),5.703560000484E12)</f>
        <v>5703560000484</v>
      </c>
      <c r="E788" s="10" t="str">
        <f>IFERROR(__xludf.DUMMYFUNCTION("""COMPUTED_VALUE""")," পিতা: মো: ছানোয়ার ")</f>
        <v> পিতা: মো: ছানোয়ার </v>
      </c>
      <c r="F788" s="10" t="str">
        <f>IFERROR(__xludf.DUMMYFUNCTION("""COMPUTED_VALUE""")," মাতা: মোছা: আলতা খাতুন ")</f>
        <v> মাতা: মোছা: আলতা খাতুন </v>
      </c>
      <c r="G788" s="10" t="str">
        <f>IFERROR(__xludf.DUMMYFUNCTION("""COMPUTED_VALUE""")," ০৫/০২/১৯৯২ ")</f>
        <v> ০৫/০২/১৯৯২ </v>
      </c>
      <c r="H788" s="10" t="str">
        <f>IFERROR(__xludf.DUMMYFUNCTION("""COMPUTED_VALUE""")," গৃহিণী ")</f>
        <v> গৃহিণী </v>
      </c>
      <c r="I788" s="10" t="str">
        <f>IFERROR(__xludf.DUMMYFUNCTION("""COMPUTED_VALUE""")," জালশুকা, গাংনী, মেহেরপুর ")</f>
        <v> জালশুকা, গাংনী, মেহেরপুর </v>
      </c>
    </row>
    <row r="789">
      <c r="A789" s="9" t="s">
        <v>3485</v>
      </c>
      <c r="B789" s="10">
        <f>IFERROR(__xludf.DUMMYFUNCTION("SPLIT(A789,""|"")"),790.0)</f>
        <v>790</v>
      </c>
      <c r="C789" s="10" t="str">
        <f>IFERROR(__xludf.DUMMYFUNCTION("""COMPUTED_VALUE""")," মোছাঃ খাদিজা খাতুন ")</f>
        <v> মোছাঃ খাদিজা খাতুন </v>
      </c>
      <c r="D789" s="10">
        <f>IFERROR(__xludf.DUMMYFUNCTION("""COMPUTED_VALUE"""),5.70056000487E11)</f>
        <v>570056000487</v>
      </c>
      <c r="E789" s="10" t="str">
        <f>IFERROR(__xludf.DUMMYFUNCTION("""COMPUTED_VALUE""")," মৃত ইনতাজ আলী ")</f>
        <v> মৃত ইনতাজ আলী </v>
      </c>
      <c r="F789" s="10" t="str">
        <f>IFERROR(__xludf.DUMMYFUNCTION("""COMPUTED_VALUE""")," মোছাঃ কোহিনুর খাতুন ")</f>
        <v> মোছাঃ কোহিনুর খাতুন </v>
      </c>
      <c r="G789" s="10" t="str">
        <f>IFERROR(__xludf.DUMMYFUNCTION("""COMPUTED_VALUE""")," ০১/০১/২০০৩ ")</f>
        <v> ০১/০১/২০০৩ </v>
      </c>
      <c r="H789" s="10" t="str">
        <f>IFERROR(__xludf.DUMMYFUNCTION("""COMPUTED_VALUE""")," ছাত্র/ছাত্রী ")</f>
        <v> ছাত্র/ছাত্রী </v>
      </c>
      <c r="I789" s="10" t="str">
        <f>IFERROR(__xludf.DUMMYFUNCTION("""COMPUTED_VALUE""")," জালতকা, গাংনী, মেহেরপুর ")</f>
        <v> জালতকা, গাংনী, মেহেরপুর </v>
      </c>
    </row>
    <row r="790">
      <c r="A790" s="9" t="s">
        <v>3486</v>
      </c>
      <c r="B790" s="10">
        <f>IFERROR(__xludf.DUMMYFUNCTION("SPLIT(A790,""|"")"),791.0)</f>
        <v>791</v>
      </c>
      <c r="C790" s="10" t="str">
        <f>IFERROR(__xludf.DUMMYFUNCTION("""COMPUTED_VALUE""")," মোছাঃ স্বপ্না খাতুন ")</f>
        <v> মোছাঃ স্বপ্না খাতুন </v>
      </c>
      <c r="D790" s="10">
        <f>IFERROR(__xludf.DUMMYFUNCTION("""COMPUTED_VALUE"""),5.70056000488E11)</f>
        <v>570056000488</v>
      </c>
      <c r="E790" s="10" t="str">
        <f>IFERROR(__xludf.DUMMYFUNCTION("""COMPUTED_VALUE""")," মোজাম্মেল হক ")</f>
        <v> মোজাম্মেল হক </v>
      </c>
      <c r="F790" s="10" t="str">
        <f>IFERROR(__xludf.DUMMYFUNCTION("""COMPUTED_VALUE""")," মোছাঃ মুক্তি খাতুন ")</f>
        <v> মোছাঃ মুক্তি খাতুন </v>
      </c>
      <c r="G790" s="10" t="str">
        <f>IFERROR(__xludf.DUMMYFUNCTION("""COMPUTED_VALUE""")," ০৫/০৮/২০০০ ")</f>
        <v> ০৫/০৮/২০০০ </v>
      </c>
      <c r="H790" s="10" t="str">
        <f>IFERROR(__xludf.DUMMYFUNCTION("""COMPUTED_VALUE""")," ছাত্র/ছাত্রী ")</f>
        <v> ছাত্র/ছাত্রী </v>
      </c>
      <c r="I790" s="10" t="str">
        <f>IFERROR(__xludf.DUMMYFUNCTION("""COMPUTED_VALUE""")," জালতকা, গাংনী, মেহেরপুর ")</f>
        <v> জালতকা, গাংনী, মেহেরপুর </v>
      </c>
    </row>
    <row r="791">
      <c r="A791" s="9" t="s">
        <v>3487</v>
      </c>
      <c r="B791" s="10">
        <f>IFERROR(__xludf.DUMMYFUNCTION("SPLIT(A791,""|"")"),792.0)</f>
        <v>792</v>
      </c>
      <c r="C791" s="10" t="str">
        <f>IFERROR(__xludf.DUMMYFUNCTION("""COMPUTED_VALUE""")," মোছাঃ সুমাইয়া খাতুন ")</f>
        <v> মোছাঃ সুমাইয়া খাতুন </v>
      </c>
      <c r="D791" s="10">
        <f>IFERROR(__xludf.DUMMYFUNCTION("""COMPUTED_VALUE"""),5.70056000494E11)</f>
        <v>570056000494</v>
      </c>
      <c r="E791" s="10" t="str">
        <f>IFERROR(__xludf.DUMMYFUNCTION("""COMPUTED_VALUE""")," মো: আব্দুল মালেক ")</f>
        <v> মো: আব্দুল মালেক </v>
      </c>
      <c r="F791" s="10" t="str">
        <f>IFERROR(__xludf.DUMMYFUNCTION("""COMPUTED_VALUE""")," মোছা: নাসিমা খাতুন ")</f>
        <v> মোছা: নাসিমা খাতুন </v>
      </c>
      <c r="G791" s="10" t="str">
        <f>IFERROR(__xludf.DUMMYFUNCTION("""COMPUTED_VALUE""")," ১৫/০২/২০০০ ")</f>
        <v> ১৫/০২/২০০০ </v>
      </c>
      <c r="H791" s="10" t="str">
        <f>IFERROR(__xludf.DUMMYFUNCTION("""COMPUTED_VALUE""")," গৃহিনী ")</f>
        <v> গৃহিনী </v>
      </c>
      <c r="I791" s="10" t="str">
        <f>IFERROR(__xludf.DUMMYFUNCTION("""COMPUTED_VALUE""")," জালতকা, গাংনী, মেহেরপুর ")</f>
        <v> জালতকা, গাংনী, মেহেরপুর </v>
      </c>
    </row>
    <row r="792">
      <c r="A792" s="9" t="s">
        <v>3488</v>
      </c>
      <c r="B792" s="10">
        <f>IFERROR(__xludf.DUMMYFUNCTION("SPLIT(A792,""|"")"),793.0)</f>
        <v>793</v>
      </c>
      <c r="C792" s="10" t="str">
        <f>IFERROR(__xludf.DUMMYFUNCTION("""COMPUTED_VALUE""")," মোছাঃ পারভীনা খাতুন ")</f>
        <v> মোছাঃ পারভীনা খাতুন </v>
      </c>
      <c r="D792" s="10">
        <f>IFERROR(__xludf.DUMMYFUNCTION("""COMPUTED_VALUE"""),5.70056000496E11)</f>
        <v>570056000496</v>
      </c>
      <c r="E792" s="10" t="str">
        <f>IFERROR(__xludf.DUMMYFUNCTION("""COMPUTED_VALUE""")," মো: রেজাউল হক ")</f>
        <v> মো: রেজাউল হক </v>
      </c>
      <c r="F792" s="10" t="str">
        <f>IFERROR(__xludf.DUMMYFUNCTION("""COMPUTED_VALUE""")," মোছা: ফেরদৌসী খাতুন ")</f>
        <v> মোছা: ফেরদৌসী খাতুন </v>
      </c>
      <c r="G792" s="10" t="str">
        <f>IFERROR(__xludf.DUMMYFUNCTION("""COMPUTED_VALUE""")," ১৬/০৮/১৯৯৭ ")</f>
        <v> ১৬/০৮/১৯৯৭ </v>
      </c>
      <c r="H792" s="10" t="str">
        <f>IFERROR(__xludf.DUMMYFUNCTION("""COMPUTED_VALUE""")," গৃহিনী ")</f>
        <v> গৃহিনী </v>
      </c>
      <c r="I792" s="10" t="str">
        <f>IFERROR(__xludf.DUMMYFUNCTION("""COMPUTED_VALUE""")," জালতকা, গাংনী, মেহেরপুর ")</f>
        <v> জালতকা, গাংনী, মেহেরপুর </v>
      </c>
    </row>
    <row r="793">
      <c r="A793" s="9" t="s">
        <v>3489</v>
      </c>
      <c r="B793" s="10">
        <f>IFERROR(__xludf.DUMMYFUNCTION("SPLIT(A793,""|"")"),794.0)</f>
        <v>794</v>
      </c>
      <c r="C793" s="10" t="str">
        <f>IFERROR(__xludf.DUMMYFUNCTION("""COMPUTED_VALUE""")," মোছাঃ হালিমা খাতুন ")</f>
        <v> মোছাঃ হালিমা খাতুন </v>
      </c>
      <c r="D793" s="10">
        <f>IFERROR(__xludf.DUMMYFUNCTION("""COMPUTED_VALUE"""),5.70056000501E11)</f>
        <v>570056000501</v>
      </c>
      <c r="E793" s="10" t="str">
        <f>IFERROR(__xludf.DUMMYFUNCTION("""COMPUTED_VALUE""")," মো: স্জ্জাদ হোসেন ")</f>
        <v> মো: স্জ্জাদ হোসেন </v>
      </c>
      <c r="F793" s="10" t="str">
        <f>IFERROR(__xludf.DUMMYFUNCTION("""COMPUTED_VALUE""")," মোছা: ফজিলা খাতুন ")</f>
        <v> মোছা: ফজিলা খাতুন </v>
      </c>
      <c r="G793" s="10" t="str">
        <f>IFERROR(__xludf.DUMMYFUNCTION("""COMPUTED_VALUE""")," ০১/০১/২০০৪ ")</f>
        <v> ০১/০১/২০০৪ </v>
      </c>
      <c r="H793" s="10" t="str">
        <f>IFERROR(__xludf.DUMMYFUNCTION("""COMPUTED_VALUE""")," ছাত্র/ছাত্রী ")</f>
        <v> ছাত্র/ছাত্রী </v>
      </c>
      <c r="I793" s="10" t="str">
        <f>IFERROR(__xludf.DUMMYFUNCTION("""COMPUTED_VALUE""")," জালতকা, গাংনী, মেহেরপুর ")</f>
        <v> জালতকা, গাংনী, মেহেরপুর </v>
      </c>
    </row>
    <row r="794">
      <c r="A794" s="9" t="s">
        <v>3490</v>
      </c>
      <c r="B794" s="10">
        <f>IFERROR(__xludf.DUMMYFUNCTION("SPLIT(A794,""|"")"),795.0)</f>
        <v>795</v>
      </c>
      <c r="C794" s="10" t="str">
        <f>IFERROR(__xludf.DUMMYFUNCTION("""COMPUTED_VALUE""")," মোছাঃ রুমা খাতুন ")</f>
        <v> মোছাঃ রুমা খাতুন </v>
      </c>
      <c r="D794" s="10">
        <f>IFERROR(__xludf.DUMMYFUNCTION("""COMPUTED_VALUE"""),5.70056000502E11)</f>
        <v>570056000502</v>
      </c>
      <c r="E794" s="10" t="str">
        <f>IFERROR(__xludf.DUMMYFUNCTION("""COMPUTED_VALUE""")," মো: ইদ্রিস আলী ")</f>
        <v> মো: ইদ্রিস আলী </v>
      </c>
      <c r="F794" s="10" t="str">
        <f>IFERROR(__xludf.DUMMYFUNCTION("""COMPUTED_VALUE""")," মোছা: রুবিয়া খাতুন ")</f>
        <v> মোছা: রুবিয়া খাতুন </v>
      </c>
      <c r="G794" s="10" t="str">
        <f>IFERROR(__xludf.DUMMYFUNCTION("""COMPUTED_VALUE""")," ০৩/০৬/১৯৯৭ ")</f>
        <v> ০৩/০৬/১৯৯৭ </v>
      </c>
      <c r="H794" s="10" t="str">
        <f>IFERROR(__xludf.DUMMYFUNCTION("""COMPUTED_VALUE""")," ছাত্র/ছাত্রী ")</f>
        <v> ছাত্র/ছাত্রী </v>
      </c>
      <c r="I794" s="10" t="str">
        <f>IFERROR(__xludf.DUMMYFUNCTION("""COMPUTED_VALUE""")," জালতকা, গাংনী, মেহেরপুর ")</f>
        <v> জালতকা, গাংনী, মেহেরপুর </v>
      </c>
    </row>
    <row r="795">
      <c r="A795" s="9" t="s">
        <v>3491</v>
      </c>
      <c r="B795" s="10">
        <f>IFERROR(__xludf.DUMMYFUNCTION("SPLIT(A795,""|"")"),796.0)</f>
        <v>796</v>
      </c>
      <c r="C795" s="10" t="str">
        <f>IFERROR(__xludf.DUMMYFUNCTION("""COMPUTED_VALUE""")," মোছাঃ জেসমিনা ")</f>
        <v> মোছাঃ জেসমিনা </v>
      </c>
      <c r="D795" s="10">
        <f>IFERROR(__xludf.DUMMYFUNCTION("""COMPUTED_VALUE"""),5.70056000504E11)</f>
        <v>570056000504</v>
      </c>
      <c r="E795" s="10" t="str">
        <f>IFERROR(__xludf.DUMMYFUNCTION("""COMPUTED_VALUE""")," হকিবার ")</f>
        <v> হকিবার </v>
      </c>
      <c r="F795" s="10" t="str">
        <f>IFERROR(__xludf.DUMMYFUNCTION("""COMPUTED_VALUE""")," মোছা: শাহান বানু ")</f>
        <v> মোছা: শাহান বানু </v>
      </c>
      <c r="G795" s="10" t="str">
        <f>IFERROR(__xludf.DUMMYFUNCTION("""COMPUTED_VALUE""")," ২০/০২/১৯৮৯ ")</f>
        <v> ২০/০২/১৯৮৯ </v>
      </c>
      <c r="H795" s="10" t="str">
        <f>IFERROR(__xludf.DUMMYFUNCTION("""COMPUTED_VALUE""")," গৃহিনী ")</f>
        <v> গৃহিনী </v>
      </c>
      <c r="I795" s="10" t="str">
        <f>IFERROR(__xludf.DUMMYFUNCTION("""COMPUTED_VALUE""")," জালতকা, গাংনী, মেহেরপুর ")</f>
        <v> জালতকা, গাংনী, মেহেরপুর </v>
      </c>
    </row>
    <row r="796">
      <c r="A796" s="9" t="s">
        <v>3492</v>
      </c>
      <c r="B796" s="10">
        <f>IFERROR(__xludf.DUMMYFUNCTION("SPLIT(A796,""|"")"),797.0)</f>
        <v>797</v>
      </c>
      <c r="C796" s="10" t="str">
        <f>IFERROR(__xludf.DUMMYFUNCTION("""COMPUTED_VALUE""")," মোছাঃ জনি খাতুন ")</f>
        <v> মোছাঃ জনি খাতুন </v>
      </c>
      <c r="D796" s="10">
        <f>IFERROR(__xludf.DUMMYFUNCTION("""COMPUTED_VALUE"""),5.70056000505E11)</f>
        <v>570056000505</v>
      </c>
      <c r="E796" s="10" t="str">
        <f>IFERROR(__xludf.DUMMYFUNCTION("""COMPUTED_VALUE""")," মো: রবিউল হক ")</f>
        <v> মো: রবিউল হক </v>
      </c>
      <c r="F796" s="10" t="str">
        <f>IFERROR(__xludf.DUMMYFUNCTION("""COMPUTED_VALUE""")," মোছা: মাজেদা খাতুন ")</f>
        <v> মোছা: মাজেদা খাতুন </v>
      </c>
      <c r="G796" s="10" t="str">
        <f>IFERROR(__xludf.DUMMYFUNCTION("""COMPUTED_VALUE""")," ১১/০৫/১৯৯৪ ")</f>
        <v> ১১/০৫/১৯৯৪ </v>
      </c>
      <c r="H796" s="10" t="str">
        <f>IFERROR(__xludf.DUMMYFUNCTION("""COMPUTED_VALUE""")," গৃহিনী ")</f>
        <v> গৃহিনী </v>
      </c>
      <c r="I796" s="10" t="str">
        <f>IFERROR(__xludf.DUMMYFUNCTION("""COMPUTED_VALUE""")," জালতকা, গাংনী, মেহেরপুর ")</f>
        <v> জালতকা, গাংনী, মেহেরপুর </v>
      </c>
    </row>
    <row r="797">
      <c r="A797" s="9" t="s">
        <v>3493</v>
      </c>
      <c r="B797" s="10">
        <f>IFERROR(__xludf.DUMMYFUNCTION("SPLIT(A797,""|"")"),798.0)</f>
        <v>798</v>
      </c>
      <c r="C797" s="10" t="str">
        <f>IFERROR(__xludf.DUMMYFUNCTION("""COMPUTED_VALUE""")," নাম: রুকিয়া খাতুন ")</f>
        <v> নাম: রুকিয়া খাতুন </v>
      </c>
      <c r="D797" s="10">
        <f>IFERROR(__xludf.DUMMYFUNCTION("""COMPUTED_VALUE"""),5.70056000398E11)</f>
        <v>570056000398</v>
      </c>
      <c r="E797" s="10" t="str">
        <f>IFERROR(__xludf.DUMMYFUNCTION("""COMPUTED_VALUE""")," জবেদ আলী ")</f>
        <v> জবেদ আলী </v>
      </c>
      <c r="F797" s="10" t="str">
        <f>IFERROR(__xludf.DUMMYFUNCTION("""COMPUTED_VALUE""")," মালে খাতুন ")</f>
        <v> মালে খাতুন </v>
      </c>
      <c r="G797" s="10" t="str">
        <f>IFERROR(__xludf.DUMMYFUNCTION("""COMPUTED_VALUE""")," ১২/০৮/১৯৭২ ")</f>
        <v> ১২/০৮/১৯৭২ </v>
      </c>
      <c r="H797" s="10" t="str">
        <f>IFERROR(__xludf.DUMMYFUNCTION("""COMPUTED_VALUE""")," গৃহিনী ")</f>
        <v> গৃহিনী </v>
      </c>
      <c r="I797" s="10" t="str">
        <f>IFERROR(__xludf.DUMMYFUNCTION("""COMPUTED_VALUE""")," জালতকা, গাংনী, মেহেরপুর ")</f>
        <v> জালতকা, গাংনী, মেহেরপুর </v>
      </c>
    </row>
    <row r="798">
      <c r="A798" s="9" t="s">
        <v>3494</v>
      </c>
      <c r="B798" s="10">
        <f>IFERROR(__xludf.DUMMYFUNCTION("SPLIT(A798,""|"")"),799.0)</f>
        <v>799</v>
      </c>
      <c r="C798" s="10" t="str">
        <f>IFERROR(__xludf.DUMMYFUNCTION("""COMPUTED_VALUE""")," নাম: রুমানা খাতুন ")</f>
        <v> নাম: রুমানা খাতুন </v>
      </c>
      <c r="D798" s="10">
        <f>IFERROR(__xludf.DUMMYFUNCTION("""COMPUTED_VALUE"""),5.70056584632E11)</f>
        <v>570056584632</v>
      </c>
      <c r="E798" s="10" t="str">
        <f>IFERROR(__xludf.DUMMYFUNCTION("""COMPUTED_VALUE""")," মহাবুল হক ")</f>
        <v> মহাবুল হক </v>
      </c>
      <c r="F798" s="10" t="str">
        <f>IFERROR(__xludf.DUMMYFUNCTION("""COMPUTED_VALUE""")," আংগুরা খাতুন ")</f>
        <v> আংগুরা খাতুন </v>
      </c>
      <c r="G798" s="10" t="str">
        <f>IFERROR(__xludf.DUMMYFUNCTION("""COMPUTED_VALUE""")," ১৬/০৯/১৯৯৪ ")</f>
        <v> ১৬/০৯/১৯৯৪ </v>
      </c>
      <c r="H798" s="10" t="str">
        <f>IFERROR(__xludf.DUMMYFUNCTION("""COMPUTED_VALUE""")," ছাত্র/ছাত্রী ")</f>
        <v> ছাত্র/ছাত্রী </v>
      </c>
      <c r="I798" s="10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799">
      <c r="A799" s="9" t="s">
        <v>3495</v>
      </c>
      <c r="B799" s="10">
        <f>IFERROR(__xludf.DUMMYFUNCTION("SPLIT(A799,""|"")"),800.0)</f>
        <v>800</v>
      </c>
      <c r="C799" s="10" t="str">
        <f>IFERROR(__xludf.DUMMYFUNCTION("""COMPUTED_VALUE""")," নাম: মোছাঃ নার্গিস আরা ")</f>
        <v> নাম: মোছাঃ নার্গিস আরা </v>
      </c>
      <c r="D799" s="10">
        <f>IFERROR(__xludf.DUMMYFUNCTION("""COMPUTED_VALUE"""),5.70056584635E11)</f>
        <v>570056584635</v>
      </c>
      <c r="E799" s="10" t="str">
        <f>IFERROR(__xludf.DUMMYFUNCTION("""COMPUTED_VALUE""")," মো: নাজিমুদ্দীন ")</f>
        <v> মো: নাজিমুদ্দীন </v>
      </c>
      <c r="F799" s="10" t="str">
        <f>IFERROR(__xludf.DUMMYFUNCTION("""COMPUTED_VALUE""")," মোছা: আফরোজা খাতুন ")</f>
        <v> মোছা: আফরোজা খাতুন </v>
      </c>
      <c r="G799" s="10" t="str">
        <f>IFERROR(__xludf.DUMMYFUNCTION("""COMPUTED_VALUE""")," ২৮/০৫/১৯৮৮ ")</f>
        <v> ২৮/০৫/১৯৮৮ </v>
      </c>
      <c r="H799" s="10" t="str">
        <f>IFERROR(__xludf.DUMMYFUNCTION("""COMPUTED_VALUE""")," গৃহিনী ")</f>
        <v> গৃহিনী </v>
      </c>
      <c r="I799" s="10" t="str">
        <f>IFERROR(__xludf.DUMMYFUNCTION("""COMPUTED_VALUE""")," ১০৬৮, জালতকা, গাংনী, মেহেরপুর ")</f>
        <v> ১০৬৮, জালতকা, গাংনী, মেহেরপুর </v>
      </c>
    </row>
    <row r="800">
      <c r="A800" s="9" t="s">
        <v>3496</v>
      </c>
      <c r="B800" s="10">
        <f>IFERROR(__xludf.DUMMYFUNCTION("SPLIT(A800,""|"")"),801.0)</f>
        <v>801</v>
      </c>
      <c r="C800" s="10" t="str">
        <f>IFERROR(__xludf.DUMMYFUNCTION("""COMPUTED_VALUE""")," নাম: মোছাঃ রূনা খাতুন ")</f>
        <v> নাম: মোছাঃ রূনা খাতুন </v>
      </c>
      <c r="D800" s="10">
        <f>IFERROR(__xludf.DUMMYFUNCTION("""COMPUTED_VALUE"""),5.70056584637E11)</f>
        <v>570056584637</v>
      </c>
      <c r="E800" s="10" t="str">
        <f>IFERROR(__xludf.DUMMYFUNCTION("""COMPUTED_VALUE""")," মো: জিল্লুর রহমান ")</f>
        <v> মো: জিল্লুর রহমান </v>
      </c>
      <c r="F800" s="10" t="str">
        <f>IFERROR(__xludf.DUMMYFUNCTION("""COMPUTED_VALUE""")," মোছা: মনোয়ারা খাতুন ")</f>
        <v> মোছা: মনোয়ারা খাতুন </v>
      </c>
      <c r="G800" s="10" t="str">
        <f>IFERROR(__xludf.DUMMYFUNCTION("""COMPUTED_VALUE""")," ০৮/০২/২০০০ ")</f>
        <v> ০৮/০২/২০০০ </v>
      </c>
      <c r="H800" s="10" t="str">
        <f>IFERROR(__xludf.DUMMYFUNCTION("""COMPUTED_VALUE""")," গৃহিনী ")</f>
        <v> গৃহিনী </v>
      </c>
      <c r="I800" s="10" t="str">
        <f>IFERROR(__xludf.DUMMYFUNCTION("""COMPUTED_VALUE""")," ., জালতকা, গাংনী, মেহেরপুর ")</f>
        <v> ., জালতকা, গাংনী, মেহেরপুর </v>
      </c>
    </row>
    <row r="801">
      <c r="A801" s="9" t="s">
        <v>3497</v>
      </c>
      <c r="B801" s="10">
        <f>IFERROR(__xludf.DUMMYFUNCTION("SPLIT(A801,""|"")"),802.0)</f>
        <v>802</v>
      </c>
      <c r="C801" s="10" t="str">
        <f>IFERROR(__xludf.DUMMYFUNCTION("""COMPUTED_VALUE""")," নাম: মোছাঃ শিউলি খাতুন ")</f>
        <v> নাম: মোছাঃ শিউলি খাতুন </v>
      </c>
      <c r="D801" s="10">
        <f>IFERROR(__xludf.DUMMYFUNCTION("""COMPUTED_VALUE"""),5.70056584639E11)</f>
        <v>570056584639</v>
      </c>
      <c r="E801" s="10" t="str">
        <f>IFERROR(__xludf.DUMMYFUNCTION("""COMPUTED_VALUE""")," মো: তারাজাল হোসেন ")</f>
        <v> মো: তারাজাল হোসেন </v>
      </c>
      <c r="F801" s="10" t="str">
        <f>IFERROR(__xludf.DUMMYFUNCTION("""COMPUTED_VALUE""")," মোছা: পলিয়ার খাতুন ")</f>
        <v> মোছা: পলিয়ার খাতুন </v>
      </c>
      <c r="G801" s="10" t="str">
        <f>IFERROR(__xludf.DUMMYFUNCTION("""COMPUTED_VALUE""")," ০২/০৭/২০০০ ")</f>
        <v> ০২/০৭/২০০০ </v>
      </c>
      <c r="H801" s="10" t="str">
        <f>IFERROR(__xludf.DUMMYFUNCTION("""COMPUTED_VALUE""")," গৃহিনী ")</f>
        <v> গৃহিনী </v>
      </c>
      <c r="I801" s="10" t="str">
        <f>IFERROR(__xludf.DUMMYFUNCTION("""COMPUTED_VALUE""")," জালতকা, জালতকা, গাংনী, মেহেরপুর ")</f>
        <v> জালতকা, জালতকা, গাংনী, মেহেরপুর </v>
      </c>
    </row>
    <row r="802">
      <c r="A802" s="9" t="s">
        <v>3498</v>
      </c>
      <c r="B802" s="10">
        <f>IFERROR(__xludf.DUMMYFUNCTION("SPLIT(A802,""|"")"),803.0)</f>
        <v>803</v>
      </c>
      <c r="C802" s="10" t="str">
        <f>IFERROR(__xludf.DUMMYFUNCTION("""COMPUTED_VALUE""")," নাম: মোছাঃ ফুলবানু খাতুন ")</f>
        <v> নাম: মোছাঃ ফুলবানু খাতুন </v>
      </c>
      <c r="D802" s="10">
        <f>IFERROR(__xludf.DUMMYFUNCTION("""COMPUTED_VALUE"""),5.70056584643E11)</f>
        <v>570056584643</v>
      </c>
      <c r="E802" s="10" t="str">
        <f>IFERROR(__xludf.DUMMYFUNCTION("""COMPUTED_VALUE""")," মো: আব্দুর রশিদ ")</f>
        <v> মো: আব্দুর রশিদ </v>
      </c>
      <c r="F802" s="10" t="str">
        <f>IFERROR(__xludf.DUMMYFUNCTION("""COMPUTED_VALUE""")," মোছা: সাজেদা বেগম ")</f>
        <v> মোছা: সাজেদা বেগম </v>
      </c>
      <c r="G802" s="10" t="str">
        <f>IFERROR(__xludf.DUMMYFUNCTION("""COMPUTED_VALUE""")," ০৬/০১/১৯৯৯ ")</f>
        <v> ০৬/০১/১৯৯৯ </v>
      </c>
      <c r="H802" s="10" t="str">
        <f>IFERROR(__xludf.DUMMYFUNCTION("""COMPUTED_VALUE""")," গৃহিনী ")</f>
        <v> গৃহিনী </v>
      </c>
      <c r="I802" s="10" t="str">
        <f>IFERROR(__xludf.DUMMYFUNCTION("""COMPUTED_VALUE""")," জালতকা, জালতকা, গাংনী, মেহেরপুর ")</f>
        <v> জালতকা, জালতকা, গাংনী, মেহেরপুর </v>
      </c>
    </row>
    <row r="803">
      <c r="A803" s="9" t="s">
        <v>3499</v>
      </c>
      <c r="B803" s="10">
        <f>IFERROR(__xludf.DUMMYFUNCTION("SPLIT(A803,""|"")"),804.0)</f>
        <v>804</v>
      </c>
      <c r="C803" s="10" t="str">
        <f>IFERROR(__xludf.DUMMYFUNCTION("""COMPUTED_VALUE""")," নাম: মোছাঃ হাফিজা খাতুন ")</f>
        <v> নাম: মোছাঃ হাফিজা খাতুন </v>
      </c>
      <c r="D803" s="10">
        <f>IFERROR(__xludf.DUMMYFUNCTION("""COMPUTED_VALUE"""),5.70056000511E11)</f>
        <v>570056000511</v>
      </c>
      <c r="E803" s="10" t="str">
        <f>IFERROR(__xludf.DUMMYFUNCTION("""COMPUTED_VALUE""")," পিতা: মো: জামিরুল ইসলাম ")</f>
        <v> পিতা: মো: জামিরুল ইসলাম </v>
      </c>
      <c r="F803" s="10" t="str">
        <f>IFERROR(__xludf.DUMMYFUNCTION("""COMPUTED_VALUE""")," মোছা: তাসলিমা খাতুন ")</f>
        <v> মোছা: তাসলিমা খাতুন </v>
      </c>
      <c r="G803" s="10" t="str">
        <f>IFERROR(__xludf.DUMMYFUNCTION("""COMPUTED_VALUE""")," ০২/০৩/২০০৪ ")</f>
        <v> ০২/০৩/২০০৪ </v>
      </c>
      <c r="H803" s="10" t="str">
        <f>IFERROR(__xludf.DUMMYFUNCTION("""COMPUTED_VALUE""")," ছাত্র/ছাত্রী ")</f>
        <v> ছাত্র/ছাত্রী </v>
      </c>
      <c r="I803" s="10" t="str">
        <f>IFERROR(__xludf.DUMMYFUNCTION("""COMPUTED_VALUE""")," ১১৯১, জালতকা, গাংনী, মেহেরপুর ")</f>
        <v> ১১৯১, জালতকা, গাংনী, মেহেরপুর </v>
      </c>
    </row>
    <row r="804">
      <c r="A804" s="9" t="s">
        <v>3500</v>
      </c>
      <c r="B804" s="10">
        <f>IFERROR(__xludf.DUMMYFUNCTION("SPLIT(A804,""|"")"),805.0)</f>
        <v>805</v>
      </c>
      <c r="C804" s="10" t="str">
        <f>IFERROR(__xludf.DUMMYFUNCTION("""COMPUTED_VALUE""")," নাম: মোছাঃ ইরানী খাতুন ")</f>
        <v> নাম: মোছাঃ ইরানী খাতুন </v>
      </c>
      <c r="D804" s="10">
        <f>IFERROR(__xludf.DUMMYFUNCTION("""COMPUTED_VALUE"""),5.70056000515E11)</f>
        <v>570056000515</v>
      </c>
      <c r="E804" s="10" t="str">
        <f>IFERROR(__xludf.DUMMYFUNCTION("""COMPUTED_VALUE""")," মো: আব্দুল মজিদ ")</f>
        <v> মো: আব্দুল মজিদ </v>
      </c>
      <c r="F804" s="10" t="str">
        <f>IFERROR(__xludf.DUMMYFUNCTION("""COMPUTED_VALUE""")," মোছা: ফেরজা খাতুন ")</f>
        <v> মোছা: ফেরজা খাতুন </v>
      </c>
      <c r="G804" s="10" t="str">
        <f>IFERROR(__xludf.DUMMYFUNCTION("""COMPUTED_VALUE""")," ২০/০২/২০০৪ ")</f>
        <v> ২০/০২/২০০৪ </v>
      </c>
      <c r="H804" s="10" t="str">
        <f>IFERROR(__xludf.DUMMYFUNCTION("""COMPUTED_VALUE""")," গৃহিনী ")</f>
        <v> গৃহিনী </v>
      </c>
      <c r="I804" s="10" t="str">
        <f>IFERROR(__xludf.DUMMYFUNCTION("""COMPUTED_VALUE""")," জালতকা, গাংনী, মেহেরপুর ")</f>
        <v> জালতকা, গাংনী, মেহেরপুর </v>
      </c>
    </row>
    <row r="805">
      <c r="A805" s="9" t="s">
        <v>3501</v>
      </c>
      <c r="B805" s="10">
        <f>IFERROR(__xludf.DUMMYFUNCTION("SPLIT(A805,""|"")"),806.0)</f>
        <v>806</v>
      </c>
      <c r="C805" s="10" t="str">
        <f>IFERROR(__xludf.DUMMYFUNCTION("""COMPUTED_VALUE""")," নাম: মোছাঃ মরিয়ম খাতুন ")</f>
        <v> নাম: মোছাঃ মরিয়ম খাতুন </v>
      </c>
      <c r="D805" s="10">
        <f>IFERROR(__xludf.DUMMYFUNCTION("""COMPUTED_VALUE"""),5.70056000517E11)</f>
        <v>570056000517</v>
      </c>
      <c r="E805" s="10" t="str">
        <f>IFERROR(__xludf.DUMMYFUNCTION("""COMPUTED_VALUE""")," মো: আক্কাচ আলী ")</f>
        <v> মো: আক্কাচ আলী </v>
      </c>
      <c r="F805" s="10" t="str">
        <f>IFERROR(__xludf.DUMMYFUNCTION("""COMPUTED_VALUE""")," মোছা: আনোয়ারা ")</f>
        <v> মোছা: আনোয়ারা </v>
      </c>
      <c r="G805" s="10" t="str">
        <f>IFERROR(__xludf.DUMMYFUNCTION("""COMPUTED_VALUE""")," ২০/০৮/২০০৪ ")</f>
        <v> ২০/০৮/২০০৪ </v>
      </c>
      <c r="H805" s="10" t="str">
        <f>IFERROR(__xludf.DUMMYFUNCTION("""COMPUTED_VALUE""")," ছাত্র/ছাত্রী ")</f>
        <v> ছাত্র/ছাত্রী </v>
      </c>
      <c r="I805" s="10" t="str">
        <f>IFERROR(__xludf.DUMMYFUNCTION("""COMPUTED_VALUE""")," জালতকা, গাংনী, মেহেরপুর ")</f>
        <v> জালতকা, গাংনী, মেহেরপুর </v>
      </c>
    </row>
    <row r="806">
      <c r="A806" s="9" t="s">
        <v>3502</v>
      </c>
      <c r="B806" s="10">
        <f>IFERROR(__xludf.DUMMYFUNCTION("SPLIT(A806,""|"")"),807.0)</f>
        <v>807</v>
      </c>
      <c r="C806" s="10" t="str">
        <f>IFERROR(__xludf.DUMMYFUNCTION("""COMPUTED_VALUE""")," নাম: মোছাঃ পমি খাতুন ")</f>
        <v> নাম: মোছাঃ পমি খাতুন </v>
      </c>
      <c r="D806" s="10">
        <f>IFERROR(__xludf.DUMMYFUNCTION("""COMPUTED_VALUE"""),5.70056000519E11)</f>
        <v>570056000519</v>
      </c>
      <c r="E806" s="10" t="str">
        <f>IFERROR(__xludf.DUMMYFUNCTION("""COMPUTED_VALUE""")," মো: আমিনুল ইসলাম ")</f>
        <v> মো: আমিনুল ইসলাম </v>
      </c>
      <c r="F806" s="10" t="str">
        <f>IFERROR(__xludf.DUMMYFUNCTION("""COMPUTED_VALUE""")," মোছা: তহুরা খাতুন ")</f>
        <v> মোছা: তহুরা খাতুন </v>
      </c>
      <c r="G806" s="10" t="str">
        <f>IFERROR(__xludf.DUMMYFUNCTION("""COMPUTED_VALUE""")," ১৩/০৩/২০০৪ ")</f>
        <v> ১৩/০৩/২০০৪ </v>
      </c>
      <c r="H806" s="10" t="str">
        <f>IFERROR(__xludf.DUMMYFUNCTION("""COMPUTED_VALUE""")," গৃহিনী ")</f>
        <v> গৃহিনী </v>
      </c>
      <c r="I806" s="10" t="str">
        <f>IFERROR(__xludf.DUMMYFUNCTION("""COMPUTED_VALUE""")," জালতকা, গাংনী, মেহেরপুর ")</f>
        <v> জালতকা, গাংনী, মেহেরপুর </v>
      </c>
    </row>
    <row r="807">
      <c r="A807" s="9" t="s">
        <v>3503</v>
      </c>
      <c r="B807" s="10">
        <f>IFERROR(__xludf.DUMMYFUNCTION("SPLIT(A807,""|"")"),808.0)</f>
        <v>808</v>
      </c>
      <c r="C807" s="10" t="str">
        <f>IFERROR(__xludf.DUMMYFUNCTION("""COMPUTED_VALUE""")," মোছাঃ চান মোহনা খাতুন ")</f>
        <v> মোছাঃ চান মোহনা খাতুন </v>
      </c>
      <c r="D807" s="10">
        <f>IFERROR(__xludf.DUMMYFUNCTION("""COMPUTED_VALUE"""),5.7005600052E11)</f>
        <v>570056000520</v>
      </c>
      <c r="E807" s="10" t="str">
        <f>IFERROR(__xludf.DUMMYFUNCTION("""COMPUTED_VALUE""")," মো: কবরুল হোসেন ")</f>
        <v> মো: কবরুল হোসেন </v>
      </c>
      <c r="F807" s="10" t="str">
        <f>IFERROR(__xludf.DUMMYFUNCTION("""COMPUTED_VALUE""")," মোছা: রেখা খাতুন ")</f>
        <v> মোছা: রেখা খাতুন </v>
      </c>
      <c r="G807" s="10" t="str">
        <f>IFERROR(__xludf.DUMMYFUNCTION("""COMPUTED_VALUE""")," ০১/০১/২০০৫ ")</f>
        <v> ০১/০১/২০০৫ </v>
      </c>
      <c r="H807" s="10" t="str">
        <f>IFERROR(__xludf.DUMMYFUNCTION("""COMPUTED_VALUE""")," ছাত্র/ছাত্রী ")</f>
        <v> ছাত্র/ছাত্রী </v>
      </c>
      <c r="I807" s="10" t="str">
        <f>IFERROR(__xludf.DUMMYFUNCTION("""COMPUTED_VALUE""")," ১২৯০, জালতকা, গাংনী, মেহেরপুর ")</f>
        <v> ১২৯০, জালতকা, গাংনী, মেহেরপুর </v>
      </c>
    </row>
    <row r="808">
      <c r="A808" s="9" t="s">
        <v>3504</v>
      </c>
      <c r="B808" s="10">
        <f>IFERROR(__xludf.DUMMYFUNCTION("SPLIT(A808,""|"")"),809.0)</f>
        <v>809</v>
      </c>
      <c r="C808" s="10" t="str">
        <f>IFERROR(__xludf.DUMMYFUNCTION("""COMPUTED_VALUE""")," মোছাঃ সামিয়া খাতুন ")</f>
        <v> মোছাঃ সামিয়া খাতুন </v>
      </c>
      <c r="D808" s="10">
        <f>IFERROR(__xludf.DUMMYFUNCTION("""COMPUTED_VALUE"""),5.70056000522E11)</f>
        <v>570056000522</v>
      </c>
      <c r="E808" s="10" t="str">
        <f>IFERROR(__xludf.DUMMYFUNCTION("""COMPUTED_VALUE""")," মো: ফজলুল হক ")</f>
        <v> মো: ফজলুল হক </v>
      </c>
      <c r="F808" s="10" t="str">
        <f>IFERROR(__xludf.DUMMYFUNCTION("""COMPUTED_VALUE""")," মোছা: মমতাজ ")</f>
        <v> মোছা: মমতাজ </v>
      </c>
      <c r="G808" s="10" t="str">
        <f>IFERROR(__xludf.DUMMYFUNCTION("""COMPUTED_VALUE""")," ১৬/১২/২০০৪ ")</f>
        <v> ১৬/১২/২০০৪ </v>
      </c>
      <c r="H808" s="10" t="str">
        <f>IFERROR(__xludf.DUMMYFUNCTION("""COMPUTED_VALUE""")," ছাত্র/ছাত্রী ")</f>
        <v> ছাত্র/ছাত্রী </v>
      </c>
      <c r="I808" s="10" t="str">
        <f>IFERROR(__xludf.DUMMYFUNCTION("""COMPUTED_VALUE""")," ১২৬৬, জালতকা, গাংনী, মেহেরপুর ")</f>
        <v> ১২৬৬, জালতকা, গাংনী, মেহেরপুর </v>
      </c>
    </row>
    <row r="809">
      <c r="A809" s="9" t="s">
        <v>3505</v>
      </c>
      <c r="B809" s="10">
        <f>IFERROR(__xludf.DUMMYFUNCTION("SPLIT(A809,""|"")"),810.0)</f>
        <v>810</v>
      </c>
      <c r="C809" s="10" t="str">
        <f>IFERROR(__xludf.DUMMYFUNCTION("""COMPUTED_VALUE""")," মোছাঃ ফাউজিয়া তাবাচ্ছুম ")</f>
        <v> মোছাঃ ফাউজিয়া তাবাচ্ছুম </v>
      </c>
      <c r="D809" s="10">
        <f>IFERROR(__xludf.DUMMYFUNCTION("""COMPUTED_VALUE"""),5.70056000524E11)</f>
        <v>570056000524</v>
      </c>
      <c r="E809" s="10" t="str">
        <f>IFERROR(__xludf.DUMMYFUNCTION("""COMPUTED_VALUE""")," মো: মকলেছুর রহমান ")</f>
        <v> মো: মকলেছুর রহমান </v>
      </c>
      <c r="F809" s="10" t="str">
        <f>IFERROR(__xludf.DUMMYFUNCTION("""COMPUTED_VALUE""")," মোছা: শামীমা নাছরিন ")</f>
        <v> মোছা: শামীমা নাছরিন </v>
      </c>
      <c r="G809" s="10" t="str">
        <f>IFERROR(__xludf.DUMMYFUNCTION("""COMPUTED_VALUE""")," ১৭/০৪/২০০৪ ")</f>
        <v> ১৭/০৪/২০০৪ </v>
      </c>
      <c r="H809" s="10" t="str">
        <f>IFERROR(__xludf.DUMMYFUNCTION("""COMPUTED_VALUE""")," গৃহিনী ")</f>
        <v> গৃহিনী </v>
      </c>
      <c r="I809" s="10" t="str">
        <f>IFERROR(__xludf.DUMMYFUNCTION("""COMPUTED_VALUE""")," জালতকা, গাংনী, মেহেরপুর ")</f>
        <v> জালতকা, গাংনী, মেহেরপুর </v>
      </c>
    </row>
    <row r="810">
      <c r="A810" s="9" t="s">
        <v>3506</v>
      </c>
      <c r="B810" s="10">
        <f>IFERROR(__xludf.DUMMYFUNCTION("SPLIT(A810,""|"")"),811.0)</f>
        <v>811</v>
      </c>
      <c r="C810" s="10" t="str">
        <f>IFERROR(__xludf.DUMMYFUNCTION("""COMPUTED_VALUE""")," মোছাঃ সুবর্না খাতুন ")</f>
        <v> মোছাঃ সুবর্না খাতুন </v>
      </c>
      <c r="D810" s="10">
        <f>IFERROR(__xludf.DUMMYFUNCTION("""COMPUTED_VALUE"""),5.70056000525E11)</f>
        <v>570056000525</v>
      </c>
      <c r="E810" s="10" t="str">
        <f>IFERROR(__xludf.DUMMYFUNCTION("""COMPUTED_VALUE""")," মো: আক্বাছ আলী ")</f>
        <v> মো: আক্বাছ আলী </v>
      </c>
      <c r="F810" s="10" t="str">
        <f>IFERROR(__xludf.DUMMYFUNCTION("""COMPUTED_VALUE""")," মোছা: ময়না খাতুন ")</f>
        <v> মোছা: ময়না খাতুন </v>
      </c>
      <c r="G810" s="10" t="str">
        <f>IFERROR(__xludf.DUMMYFUNCTION("""COMPUTED_VALUE""")," ০১/০১/২০০৫ ")</f>
        <v> ০১/০১/২০০৫ </v>
      </c>
      <c r="H810" s="10" t="str">
        <f>IFERROR(__xludf.DUMMYFUNCTION("""COMPUTED_VALUE""")," গৃহিনী ")</f>
        <v> গৃহিনী </v>
      </c>
      <c r="I810" s="10" t="str">
        <f>IFERROR(__xludf.DUMMYFUNCTION("""COMPUTED_VALUE""")," জালতকা, গাংনী, মেহেরপুর ")</f>
        <v> জালতকা, গাংনী, মেহেরপুর </v>
      </c>
    </row>
    <row r="811">
      <c r="A811" s="9" t="s">
        <v>3507</v>
      </c>
      <c r="B811" s="10">
        <f>IFERROR(__xludf.DUMMYFUNCTION("SPLIT(A811,""|"")"),812.0)</f>
        <v>812</v>
      </c>
      <c r="C811" s="10" t="str">
        <f>IFERROR(__xludf.DUMMYFUNCTION("""COMPUTED_VALUE""")," মোছাঃ রত্না খাতুন ")</f>
        <v> মোছাঃ রত্না খাতুন </v>
      </c>
      <c r="D811" s="10">
        <f>IFERROR(__xludf.DUMMYFUNCTION("""COMPUTED_VALUE"""),5.70056000526E11)</f>
        <v>570056000526</v>
      </c>
      <c r="E811" s="10" t="str">
        <f>IFERROR(__xludf.DUMMYFUNCTION("""COMPUTED_VALUE""")," মো: রহিদুল ইসলাম ")</f>
        <v> মো: রহিদুল ইসলাম </v>
      </c>
      <c r="F811" s="10" t="str">
        <f>IFERROR(__xludf.DUMMYFUNCTION("""COMPUTED_VALUE""")," মোছা: মেমেজান খাতুন ")</f>
        <v> মোছা: মেমেজান খাতুন </v>
      </c>
      <c r="G811" s="10" t="str">
        <f>IFERROR(__xludf.DUMMYFUNCTION("""COMPUTED_VALUE""")," ০১/০১/২০০৫ ")</f>
        <v> ০১/০১/২০০৫ </v>
      </c>
      <c r="H811" s="10" t="str">
        <f>IFERROR(__xludf.DUMMYFUNCTION("""COMPUTED_VALUE""")," গৃহিনী ")</f>
        <v> গৃহিনী </v>
      </c>
      <c r="I811" s="10" t="str">
        <f>IFERROR(__xludf.DUMMYFUNCTION("""COMPUTED_VALUE""")," জালতকা, গাংনী, মেহেরপুর ")</f>
        <v> জালতকা, গাংনী, মেহেরপুর </v>
      </c>
    </row>
    <row r="812">
      <c r="A812" s="9" t="s">
        <v>3508</v>
      </c>
      <c r="B812" s="10">
        <f>IFERROR(__xludf.DUMMYFUNCTION("SPLIT(A812,""|"")"),813.0)</f>
        <v>813</v>
      </c>
      <c r="C812" s="10" t="str">
        <f>IFERROR(__xludf.DUMMYFUNCTION("""COMPUTED_VALUE""")," মোছাঃ সোনিয়া খাতুন ")</f>
        <v> মোছাঃ সোনিয়া খাতুন </v>
      </c>
      <c r="D812" s="10">
        <f>IFERROR(__xludf.DUMMYFUNCTION("""COMPUTED_VALUE"""),5.70056584644E11)</f>
        <v>570056584644</v>
      </c>
      <c r="E812" s="10" t="str">
        <f>IFERROR(__xludf.DUMMYFUNCTION("""COMPUTED_VALUE""")," মো: মিয়াজান ")</f>
        <v> মো: মিয়াজান </v>
      </c>
      <c r="F812" s="10" t="str">
        <f>IFERROR(__xludf.DUMMYFUNCTION("""COMPUTED_VALUE""")," মোছা: নাজমা খাতুন ")</f>
        <v> মোছা: নাজমা খাতুন </v>
      </c>
      <c r="G812" s="10" t="str">
        <f>IFERROR(__xludf.DUMMYFUNCTION("""COMPUTED_VALUE""")," ২০/০৩/১৯৯৮ ")</f>
        <v> ২০/০৩/১৯৯৮ </v>
      </c>
      <c r="H812" s="10" t="str">
        <f>IFERROR(__xludf.DUMMYFUNCTION("""COMPUTED_VALUE""")," গৃহিনী ")</f>
        <v> গৃহিনী </v>
      </c>
      <c r="I812" s="10" t="str">
        <f>IFERROR(__xludf.DUMMYFUNCTION("""COMPUTED_VALUE""")," জালতকা, গাংনী, মেহেরপুর ")</f>
        <v> জালতকা, গাংনী, মেহেরপুর </v>
      </c>
    </row>
    <row r="813">
      <c r="A813" s="9" t="s">
        <v>3509</v>
      </c>
      <c r="B813" s="10">
        <f>IFERROR(__xludf.DUMMYFUNCTION("SPLIT(A813,""|"")"),814.0)</f>
        <v>814</v>
      </c>
      <c r="C813" s="10" t="str">
        <f>IFERROR(__xludf.DUMMYFUNCTION("""COMPUTED_VALUE""")," মোছাঃ মিতা খাতুন ")</f>
        <v> মোছাঃ মিতা খাতুন </v>
      </c>
      <c r="D813" s="10">
        <f>IFERROR(__xludf.DUMMYFUNCTION("""COMPUTED_VALUE"""),5.70056584646E11)</f>
        <v>570056584646</v>
      </c>
      <c r="E813" s="10" t="str">
        <f>IFERROR(__xludf.DUMMYFUNCTION("""COMPUTED_VALUE""")," মৃত মিনাজুল ")</f>
        <v> মৃত মিনাজুল </v>
      </c>
      <c r="F813" s="10" t="str">
        <f>IFERROR(__xludf.DUMMYFUNCTION("""COMPUTED_VALUE""")," মোছাঃ মাছুরা খাতুন ")</f>
        <v> মোছাঃ মাছুরা খাতুন </v>
      </c>
      <c r="G813" s="10" t="str">
        <f>IFERROR(__xludf.DUMMYFUNCTION("""COMPUTED_VALUE""")," ০৩/০৩/২০০৩ ")</f>
        <v> ০৩/০৩/২০০৩ </v>
      </c>
      <c r="H813" s="10" t="str">
        <f>IFERROR(__xludf.DUMMYFUNCTION("""COMPUTED_VALUE""")," গৃহিনী ")</f>
        <v> গৃহিনী </v>
      </c>
      <c r="I813" s="10" t="str">
        <f>IFERROR(__xludf.DUMMYFUNCTION("""COMPUTED_VALUE""")," জালতকা, গাংনী, মেহেরপুর ")</f>
        <v> জালতকা, গাংনী, মেহেরপুর </v>
      </c>
    </row>
    <row r="814">
      <c r="A814" s="9" t="s">
        <v>3510</v>
      </c>
      <c r="B814" s="10">
        <f>IFERROR(__xludf.DUMMYFUNCTION("SPLIT(A814,""|"")"),815.0)</f>
        <v>815</v>
      </c>
      <c r="C814" s="10" t="str">
        <f>IFERROR(__xludf.DUMMYFUNCTION("""COMPUTED_VALUE""")," মোছাঃ পাপিয়া খাতুন ")</f>
        <v> মোছাঃ পাপিয়া খাতুন </v>
      </c>
      <c r="D814" s="10">
        <f>IFERROR(__xludf.DUMMYFUNCTION("""COMPUTED_VALUE"""),5.70056584666E11)</f>
        <v>570056584666</v>
      </c>
      <c r="E814" s="10" t="str">
        <f>IFERROR(__xludf.DUMMYFUNCTION("""COMPUTED_VALUE""")," মো: রকিব হাসান ")</f>
        <v> মো: রকিব হাসান </v>
      </c>
      <c r="F814" s="10" t="str">
        <f>IFERROR(__xludf.DUMMYFUNCTION("""COMPUTED_VALUE""")," মোছা: লিপি বেগম ")</f>
        <v> মোছা: লিপি বেগম </v>
      </c>
      <c r="G814" s="10" t="str">
        <f>IFERROR(__xludf.DUMMYFUNCTION("""COMPUTED_VALUE""")," ১৫/১০/২০০৩ ")</f>
        <v> ১৫/১০/২০০৩ </v>
      </c>
      <c r="H814" s="10" t="str">
        <f>IFERROR(__xludf.DUMMYFUNCTION("""COMPUTED_VALUE""")," গৃহিনী ")</f>
        <v> গৃহিনী </v>
      </c>
      <c r="I814" s="10" t="str">
        <f>IFERROR(__xludf.DUMMYFUNCTION("""COMPUTED_VALUE""")," জালতকা, গাংনী, মেহেরপুর ")</f>
        <v> জালতকা, গাংনী, মেহেরপুর </v>
      </c>
    </row>
    <row r="815">
      <c r="A815" s="9" t="s">
        <v>3511</v>
      </c>
      <c r="B815" s="10">
        <f>IFERROR(__xludf.DUMMYFUNCTION("SPLIT(A815,""|"")"),816.0)</f>
        <v>816</v>
      </c>
      <c r="C815" s="10" t="str">
        <f>IFERROR(__xludf.DUMMYFUNCTION("""COMPUTED_VALUE""")," মোছাঃ রাজিয়া খাতুন ")</f>
        <v> মোছাঃ রাজিয়া খাতুন </v>
      </c>
      <c r="D815" s="10">
        <f>IFERROR(__xludf.DUMMYFUNCTION("""COMPUTED_VALUE"""),5.70056584666E11)</f>
        <v>570056584666</v>
      </c>
      <c r="E815" s="10" t="str">
        <f>IFERROR(__xludf.DUMMYFUNCTION("""COMPUTED_VALUE""")," মো: আব্দুল্লাহ ")</f>
        <v> মো: আব্দুল্লাহ </v>
      </c>
      <c r="F815" s="10" t="str">
        <f>IFERROR(__xludf.DUMMYFUNCTION("""COMPUTED_VALUE""")," মোছা: হালিমা খাতুন ")</f>
        <v> মোছা: হালিমা খাতুন </v>
      </c>
      <c r="G815" s="10" t="str">
        <f>IFERROR(__xludf.DUMMYFUNCTION("""COMPUTED_VALUE""")," ১৮/০২/১৯৯৮ ")</f>
        <v> ১৮/০২/১৯৯৮ </v>
      </c>
      <c r="H815" s="10" t="str">
        <f>IFERROR(__xludf.DUMMYFUNCTION("""COMPUTED_VALUE""")," গৃহিনী ")</f>
        <v> গৃহিনী </v>
      </c>
      <c r="I815" s="10" t="str">
        <f>IFERROR(__xludf.DUMMYFUNCTION("""COMPUTED_VALUE""")," জালতকা, গাংনী, মেহেরপুর ")</f>
        <v> জালতকা, গাংনী, মেহেরপুর </v>
      </c>
    </row>
    <row r="816">
      <c r="A816" s="9" t="s">
        <v>3512</v>
      </c>
      <c r="B816" s="10">
        <f>IFERROR(__xludf.DUMMYFUNCTION("SPLIT(A816,""|"")"),817.0)</f>
        <v>817</v>
      </c>
      <c r="C816" s="10" t="str">
        <f>IFERROR(__xludf.DUMMYFUNCTION("""COMPUTED_VALUE""")," মোছাঃ ইভা খাতুন ")</f>
        <v> মোছাঃ ইভা খাতুন </v>
      </c>
      <c r="D816" s="10">
        <f>IFERROR(__xludf.DUMMYFUNCTION("""COMPUTED_VALUE"""),5.70056584668E11)</f>
        <v>570056584668</v>
      </c>
      <c r="E816" s="10" t="str">
        <f>IFERROR(__xludf.DUMMYFUNCTION("""COMPUTED_VALUE""")," মো: ইবাদত আলী ")</f>
        <v> মো: ইবাদত আলী </v>
      </c>
      <c r="F816" s="10" t="str">
        <f>IFERROR(__xludf.DUMMYFUNCTION("""COMPUTED_VALUE""")," মোছাঃ কুলসুম খাতুন ")</f>
        <v> মোছাঃ কুলসুম খাতুন </v>
      </c>
      <c r="G816" s="10" t="str">
        <f>IFERROR(__xludf.DUMMYFUNCTION("""COMPUTED_VALUE""")," ২০/০৯/২০০০ ")</f>
        <v> ২০/০৯/২০০০ </v>
      </c>
      <c r="H816" s="10" t="str">
        <f>IFERROR(__xludf.DUMMYFUNCTION("""COMPUTED_VALUE""")," গৃহিনী ")</f>
        <v> গৃহিনী </v>
      </c>
      <c r="I816" s="10" t="str">
        <f>IFERROR(__xludf.DUMMYFUNCTION("""COMPUTED_VALUE""")," জালতকা, গাংনী, মেহেরপুর ")</f>
        <v> জালতকা, গাংনী, মেহেরপুর </v>
      </c>
    </row>
    <row r="817">
      <c r="A817" s="9" t="s">
        <v>3513</v>
      </c>
      <c r="B817" s="10">
        <f>IFERROR(__xludf.DUMMYFUNCTION("SPLIT(A817,""|"")"),818.0)</f>
        <v>818</v>
      </c>
      <c r="C817" s="10" t="str">
        <f>IFERROR(__xludf.DUMMYFUNCTION("""COMPUTED_VALUE""")," মোছাঃ রুবিনা খাতুন ")</f>
        <v> মোছাঃ রুবিনা খাতুন </v>
      </c>
      <c r="D817" s="10">
        <f>IFERROR(__xludf.DUMMYFUNCTION("""COMPUTED_VALUE"""),5.70056584669E11)</f>
        <v>570056584669</v>
      </c>
      <c r="E817" s="10" t="str">
        <f>IFERROR(__xludf.DUMMYFUNCTION("""COMPUTED_VALUE""")," মোছাঃ মুছাঃক ")</f>
        <v> মোছাঃ মুছাঃক </v>
      </c>
      <c r="F817" s="10" t="str">
        <f>IFERROR(__xludf.DUMMYFUNCTION("""COMPUTED_VALUE""")," মোছা: লাভলি ")</f>
        <v> মোছা: লাভলি </v>
      </c>
      <c r="G817" s="10" t="str">
        <f>IFERROR(__xludf.DUMMYFUNCTION("""COMPUTED_VALUE""")," ০১/০১/২০০৪ ")</f>
        <v> ০১/০১/২০০৪ </v>
      </c>
      <c r="H817" s="10" t="str">
        <f>IFERROR(__xludf.DUMMYFUNCTION("""COMPUTED_VALUE""")," ছাত্র/ছাত্রী ")</f>
        <v> ছাত্র/ছাত্রী </v>
      </c>
      <c r="I817" s="10" t="str">
        <f>IFERROR(__xludf.DUMMYFUNCTION("""COMPUTED_VALUE""")," ১১৯১, জালতকা, গাংনী, মেহেরপুর ")</f>
        <v> ১১৯১, জালতকা, গাংনী, মেহেরপুর </v>
      </c>
    </row>
    <row r="818">
      <c r="A818" s="9" t="s">
        <v>3514</v>
      </c>
      <c r="B818" s="10">
        <f>IFERROR(__xludf.DUMMYFUNCTION("SPLIT(A818,""|"")"),819.0)</f>
        <v>819</v>
      </c>
      <c r="C818" s="10" t="str">
        <f>IFERROR(__xludf.DUMMYFUNCTION("""COMPUTED_VALUE""")," মোছাঃ মনিকা খাতুন ")</f>
        <v> মোছাঃ মনিকা খাতুন </v>
      </c>
      <c r="D818" s="10">
        <f>IFERROR(__xludf.DUMMYFUNCTION("""COMPUTED_VALUE"""),5.70056584671E11)</f>
        <v>570056584671</v>
      </c>
      <c r="E818" s="10" t="str">
        <f>IFERROR(__xludf.DUMMYFUNCTION("""COMPUTED_VALUE""")," মো: আবুল বাসার মনা ")</f>
        <v> মো: আবুল বাসার মনা </v>
      </c>
      <c r="F818" s="10" t="str">
        <f>IFERROR(__xludf.DUMMYFUNCTION("""COMPUTED_VALUE""")," মোছাঃ ছাবিনা খাতুন ")</f>
        <v> মোছাঃ ছাবিনা খাতুন </v>
      </c>
      <c r="G818" s="10" t="str">
        <f>IFERROR(__xludf.DUMMYFUNCTION("""COMPUTED_VALUE""")," ১৭/০৩/২০০১ ")</f>
        <v> ১৭/০৩/২০০১ </v>
      </c>
      <c r="H818" s="10" t="str">
        <f>IFERROR(__xludf.DUMMYFUNCTION("""COMPUTED_VALUE""")," গৃহিনী ")</f>
        <v> গৃহিনী </v>
      </c>
      <c r="I818" s="10" t="str">
        <f>IFERROR(__xludf.DUMMYFUNCTION("""COMPUTED_VALUE""")," +, জালতকা, গাংনী, মেহেরপুর ")</f>
        <v> +, জালতকা, গাংনী, মেহেরপুর </v>
      </c>
    </row>
    <row r="819">
      <c r="A819" s="9" t="s">
        <v>3515</v>
      </c>
      <c r="B819" s="10">
        <f>IFERROR(__xludf.DUMMYFUNCTION("SPLIT(A819,""|"")"),820.0)</f>
        <v>820</v>
      </c>
      <c r="C819" s="10" t="str">
        <f>IFERROR(__xludf.DUMMYFUNCTION("""COMPUTED_VALUE""")," মোছাঃ অনিতা খাতুন ")</f>
        <v> মোছাঃ অনিতা খাতুন </v>
      </c>
      <c r="D819" s="10">
        <f>IFERROR(__xludf.DUMMYFUNCTION("""COMPUTED_VALUE"""),5.70056584672E11)</f>
        <v>570056584672</v>
      </c>
      <c r="E819" s="10" t="str">
        <f>IFERROR(__xludf.DUMMYFUNCTION("""COMPUTED_VALUE""")," মো: আঃ মোমিন ")</f>
        <v> মো: আঃ মোমিন </v>
      </c>
      <c r="F819" s="10" t="str">
        <f>IFERROR(__xludf.DUMMYFUNCTION("""COMPUTED_VALUE""")," মোছা: বিলকিছ খাতুন ")</f>
        <v> মোছা: বিলকিছ খাতুন </v>
      </c>
      <c r="G819" s="10" t="str">
        <f>IFERROR(__xludf.DUMMYFUNCTION("""COMPUTED_VALUE""")," ০১/০৮/২০০২ ")</f>
        <v> ০১/০৮/২০০২ </v>
      </c>
      <c r="H819" s="10" t="str">
        <f>IFERROR(__xludf.DUMMYFUNCTION("""COMPUTED_VALUE""")," গৃহিনী ")</f>
        <v> গৃহিনী </v>
      </c>
      <c r="I819" s="10" t="str">
        <f>IFERROR(__xludf.DUMMYFUNCTION("""COMPUTED_VALUE""")," জালতকা, গাংনী, মেহেরপুর ")</f>
        <v> জালতকা, গাংনী, মেহেরপুর </v>
      </c>
    </row>
    <row r="820">
      <c r="A820" s="9" t="s">
        <v>3516</v>
      </c>
      <c r="B820" s="10">
        <f>IFERROR(__xludf.DUMMYFUNCTION("SPLIT(A820,""|"")"),821.0)</f>
        <v>821</v>
      </c>
      <c r="C820" s="10" t="str">
        <f>IFERROR(__xludf.DUMMYFUNCTION("""COMPUTED_VALUE""")," মোছাঃ ইরানী খাতুন ")</f>
        <v> মোছাঃ ইরানী খাতুন </v>
      </c>
      <c r="D820" s="10">
        <f>IFERROR(__xludf.DUMMYFUNCTION("""COMPUTED_VALUE"""),5.70056584673E11)</f>
        <v>570056584673</v>
      </c>
      <c r="E820" s="10" t="str">
        <f>IFERROR(__xludf.DUMMYFUNCTION("""COMPUTED_VALUE""")," মো: শাহাবুল ইসলাম ")</f>
        <v> মো: শাহাবুল ইসলাম </v>
      </c>
      <c r="F820" s="10" t="str">
        <f>IFERROR(__xludf.DUMMYFUNCTION("""COMPUTED_VALUE""")," মোছা: আয়শা খাতুন ")</f>
        <v> মোছা: আয়শা খাতুন </v>
      </c>
      <c r="G820" s="10" t="str">
        <f>IFERROR(__xludf.DUMMYFUNCTION("""COMPUTED_VALUE""")," ০১/০১/২০০৩ ")</f>
        <v> ০১/০১/২০০৩ </v>
      </c>
      <c r="H820" s="10" t="str">
        <f>IFERROR(__xludf.DUMMYFUNCTION("""COMPUTED_VALUE""")," ছাত্র/ছাত্রী ")</f>
        <v> ছাত্র/ছাত্রী </v>
      </c>
      <c r="I820" s="10" t="str">
        <f>IFERROR(__xludf.DUMMYFUNCTION("""COMPUTED_VALUE""")," জালতকা, গাংনী, মেহেরপুর ")</f>
        <v> জালতকা, গাংনী, মেহেরপুর </v>
      </c>
    </row>
    <row r="821">
      <c r="A821" s="9" t="s">
        <v>3517</v>
      </c>
      <c r="B821" s="10">
        <f>IFERROR(__xludf.DUMMYFUNCTION("SPLIT(A821,""|"")"),822.0)</f>
        <v>822</v>
      </c>
      <c r="C821" s="10" t="str">
        <f>IFERROR(__xludf.DUMMYFUNCTION("""COMPUTED_VALUE""")," নাম: মোছাঃ বিউটি খাতুন ")</f>
        <v> নাম: মোছাঃ বিউটি খাতুন </v>
      </c>
      <c r="D821" s="10">
        <f>IFERROR(__xludf.DUMMYFUNCTION("""COMPUTED_VALUE"""),5.70056584675E11)</f>
        <v>570056584675</v>
      </c>
      <c r="E821" s="10" t="str">
        <f>IFERROR(__xludf.DUMMYFUNCTION("""COMPUTED_VALUE""")," মো: বোল্টু মিয়া ")</f>
        <v> মো: বোল্টু মিয়া </v>
      </c>
      <c r="F821" s="10" t="str">
        <f>IFERROR(__xludf.DUMMYFUNCTION("""COMPUTED_VALUE""")," মোছা: সাবিনা খাতুন ")</f>
        <v> মোছা: সাবিনা খাতুন </v>
      </c>
      <c r="G821" s="10" t="str">
        <f>IFERROR(__xludf.DUMMYFUNCTION("""COMPUTED_VALUE""")," ০১/০১/২০০৩ ")</f>
        <v> ০১/০১/২০০৩ </v>
      </c>
      <c r="H821" s="10" t="str">
        <f>IFERROR(__xludf.DUMMYFUNCTION("""COMPUTED_VALUE""")," ছাত্র/ছাত্রী ")</f>
        <v> ছাত্র/ছাত্রী </v>
      </c>
      <c r="I821" s="10" t="str">
        <f>IFERROR(__xludf.DUMMYFUNCTION("""COMPUTED_VALUE""")," জালতকা, গাংনী, মেহেরপুর ")</f>
        <v> জালতকা, গাংনী, মেহেরপুর </v>
      </c>
    </row>
    <row r="822">
      <c r="A822" s="9" t="s">
        <v>3518</v>
      </c>
      <c r="B822" s="10">
        <f>IFERROR(__xludf.DUMMYFUNCTION("SPLIT(A822,""|"")"),823.0)</f>
        <v>823</v>
      </c>
      <c r="C822" s="10" t="str">
        <f>IFERROR(__xludf.DUMMYFUNCTION("""COMPUTED_VALUE""")," নাম: মোছাঃ মিঠু খাতুন ")</f>
        <v> নাম: মোছাঃ মিঠু খাতুন </v>
      </c>
      <c r="D822" s="10">
        <f>IFERROR(__xludf.DUMMYFUNCTION("""COMPUTED_VALUE"""),5.70056584678E11)</f>
        <v>570056584678</v>
      </c>
      <c r="E822" s="10" t="str">
        <f>IFERROR(__xludf.DUMMYFUNCTION("""COMPUTED_VALUE""")," মো: কবরুল হোসেন ")</f>
        <v> মো: কবরুল হোসেন </v>
      </c>
      <c r="F822" s="10" t="str">
        <f>IFERROR(__xludf.DUMMYFUNCTION("""COMPUTED_VALUE""")," মোছা: রেখা খাতুন ")</f>
        <v> মোছা: রেখা খাতুন </v>
      </c>
      <c r="G822" s="10" t="str">
        <f>IFERROR(__xludf.DUMMYFUNCTION("""COMPUTED_VALUE""")," ২৩/০৩/২০০১ ")</f>
        <v> ২৩/০৩/২০০১ </v>
      </c>
      <c r="H822" s="10" t="str">
        <f>IFERROR(__xludf.DUMMYFUNCTION("""COMPUTED_VALUE""")," ছাত্র/ছাত্রী ")</f>
        <v> ছাত্র/ছাত্রী </v>
      </c>
      <c r="I822" s="10" t="str">
        <f>IFERROR(__xludf.DUMMYFUNCTION("""COMPUTED_VALUE""")," জালতকা, গাংনী, মেহেরপুর ")</f>
        <v> জালতকা, গাংনী, মেহেরপুর </v>
      </c>
    </row>
    <row r="823">
      <c r="A823" s="9" t="s">
        <v>3519</v>
      </c>
      <c r="B823" s="10">
        <f>IFERROR(__xludf.DUMMYFUNCTION("SPLIT(A823,""|"")"),824.0)</f>
        <v>824</v>
      </c>
      <c r="C823" s="10" t="str">
        <f>IFERROR(__xludf.DUMMYFUNCTION("""COMPUTED_VALUE""")," নাম: চন্দনা আক্তার মুক্তা ")</f>
        <v> নাম: চন্দনা আক্তার মুক্তা </v>
      </c>
      <c r="D823" s="10">
        <f>IFERROR(__xludf.DUMMYFUNCTION("""COMPUTED_VALUE"""),5.7005658468E11)</f>
        <v>570056584680</v>
      </c>
      <c r="E823" s="10" t="str">
        <f>IFERROR(__xludf.DUMMYFUNCTION("""COMPUTED_VALUE""")," আব্দুল মালেক ")</f>
        <v> আব্দুল মালেক </v>
      </c>
      <c r="F823" s="10" t="str">
        <f>IFERROR(__xludf.DUMMYFUNCTION("""COMPUTED_VALUE""")," মোস্তারা ")</f>
        <v> মোস্তারা </v>
      </c>
      <c r="G823" s="10" t="str">
        <f>IFERROR(__xludf.DUMMYFUNCTION("""COMPUTED_VALUE""")," ০৬/০৭/২০০০ ")</f>
        <v> ০৬/০৭/২০০০ </v>
      </c>
      <c r="H823" s="10" t="str">
        <f>IFERROR(__xludf.DUMMYFUNCTION("""COMPUTED_VALUE""")," গৃহিনী ")</f>
        <v> গৃহিনী </v>
      </c>
      <c r="I823" s="10" t="str">
        <f>IFERROR(__xludf.DUMMYFUNCTION("""COMPUTED_VALUE""")," জালতকা, গাংনী, মেহেরপুর ")</f>
        <v> জালতকা, গাংনী, মেহেরপুর </v>
      </c>
    </row>
    <row r="824">
      <c r="A824" s="9" t="s">
        <v>3520</v>
      </c>
      <c r="B824" s="10">
        <f>IFERROR(__xludf.DUMMYFUNCTION("SPLIT(A824,""|"")"),825.0)</f>
        <v>825</v>
      </c>
      <c r="C824" s="10" t="str">
        <f>IFERROR(__xludf.DUMMYFUNCTION("""COMPUTED_VALUE""")," নাম: মোছাঃ কবিতা খাতুন ")</f>
        <v> নাম: মোছাঃ কবিতা খাতুন </v>
      </c>
      <c r="D824" s="10">
        <f>IFERROR(__xludf.DUMMYFUNCTION("""COMPUTED_VALUE"""),5.70056584681E11)</f>
        <v>570056584681</v>
      </c>
      <c r="E824" s="10" t="str">
        <f>IFERROR(__xludf.DUMMYFUNCTION("""COMPUTED_VALUE""")," মো: রবিউল ইসলাম ")</f>
        <v> মো: রবিউল ইসলাম </v>
      </c>
      <c r="F824" s="10" t="str">
        <f>IFERROR(__xludf.DUMMYFUNCTION("""COMPUTED_VALUE""")," মোছা: ফাহিমা খাতুন ")</f>
        <v> মোছা: ফাহিমা খাতুন </v>
      </c>
      <c r="G824" s="10" t="str">
        <f>IFERROR(__xludf.DUMMYFUNCTION("""COMPUTED_VALUE""")," ১২/১২/২০০২ ")</f>
        <v> ১২/১২/২০০২ </v>
      </c>
      <c r="H824" s="10" t="str">
        <f>IFERROR(__xludf.DUMMYFUNCTION("""COMPUTED_VALUE""")," গৃহিনী ")</f>
        <v> গৃহিনী </v>
      </c>
      <c r="I824" s="10" t="str">
        <f>IFERROR(__xludf.DUMMYFUNCTION("""COMPUTED_VALUE""")," জালতকা, গাংনী, মেহেরপুর ")</f>
        <v> জালতকা, গাংনী, মেহেরপুর </v>
      </c>
    </row>
    <row r="825">
      <c r="A825" s="9" t="s">
        <v>3521</v>
      </c>
      <c r="B825" s="10">
        <f>IFERROR(__xludf.DUMMYFUNCTION("SPLIT(A825,""|"")"),826.0)</f>
        <v>826</v>
      </c>
      <c r="C825" s="10" t="str">
        <f>IFERROR(__xludf.DUMMYFUNCTION("""COMPUTED_VALUE""")," মোছাঃ সুমাইয়া খাতুন ")</f>
        <v> মোছাঃ সুমাইয়া খাতুন </v>
      </c>
      <c r="D825" s="10">
        <f>IFERROR(__xludf.DUMMYFUNCTION("""COMPUTED_VALUE"""),5.70056584682E11)</f>
        <v>570056584682</v>
      </c>
      <c r="E825" s="10" t="str">
        <f>IFERROR(__xludf.DUMMYFUNCTION("""COMPUTED_VALUE""")," মো: মিকাইল ")</f>
        <v> মো: মিকাইল </v>
      </c>
      <c r="F825" s="10" t="str">
        <f>IFERROR(__xludf.DUMMYFUNCTION("""COMPUTED_VALUE""")," মোছা: আমেনা খাতুন ")</f>
        <v> মোছা: আমেনা খাতুন </v>
      </c>
      <c r="G825" s="10" t="str">
        <f>IFERROR(__xludf.DUMMYFUNCTION("""COMPUTED_VALUE""")," ০৪/০১/২০০০ ")</f>
        <v> ০৪/০১/২০০০ </v>
      </c>
      <c r="H825" s="10" t="str">
        <f>IFERROR(__xludf.DUMMYFUNCTION("""COMPUTED_VALUE""")," গৃহিনী ")</f>
        <v> গৃহিনী </v>
      </c>
      <c r="I825" s="10" t="str">
        <f>IFERROR(__xludf.DUMMYFUNCTION("""COMPUTED_VALUE""")," জালতকা, গাংনী, মেহেরপুর ")</f>
        <v> জালতকা, গাংনী, মেহেরপুর </v>
      </c>
    </row>
    <row r="826">
      <c r="A826" s="9" t="s">
        <v>3522</v>
      </c>
      <c r="B826" s="10">
        <f>IFERROR(__xludf.DUMMYFUNCTION("SPLIT(A826,""|"")"),827.0)</f>
        <v>827</v>
      </c>
      <c r="C826" s="10" t="str">
        <f>IFERROR(__xludf.DUMMYFUNCTION("""COMPUTED_VALUE""")," মোছাঃ রেহেনা খাতুন ")</f>
        <v> মোছাঃ রেহেনা খাতুন </v>
      </c>
      <c r="D826" s="10">
        <f>IFERROR(__xludf.DUMMYFUNCTION("""COMPUTED_VALUE"""),5.70056584683E11)</f>
        <v>570056584683</v>
      </c>
      <c r="E826" s="10" t="str">
        <f>IFERROR(__xludf.DUMMYFUNCTION("""COMPUTED_VALUE""")," মো: মনিরুল ইসলাম ")</f>
        <v> মো: মনিরুল ইসলাম </v>
      </c>
      <c r="F826" s="10" t="str">
        <f>IFERROR(__xludf.DUMMYFUNCTION("""COMPUTED_VALUE""")," মোছা: রাশিদা খাতুন ")</f>
        <v> মোছা: রাশিদা খাতুন </v>
      </c>
      <c r="G826" s="10" t="str">
        <f>IFERROR(__xludf.DUMMYFUNCTION("""COMPUTED_VALUE""")," ১৩/০৮/১৯৯৯ ")</f>
        <v> ১৩/০৮/১৯৯৯ </v>
      </c>
      <c r="H826" s="10" t="str">
        <f>IFERROR(__xludf.DUMMYFUNCTION("""COMPUTED_VALUE""")," গৃহিনী ")</f>
        <v> গৃহিনী </v>
      </c>
      <c r="I826" s="10" t="str">
        <f>IFERROR(__xludf.DUMMYFUNCTION("""COMPUTED_VALUE""")," জালতকা, গাংনী, মেহেরপুর ")</f>
        <v> জালতকা, গাংনী, মেহেরপুর </v>
      </c>
    </row>
    <row r="827">
      <c r="A827" s="9" t="s">
        <v>3523</v>
      </c>
      <c r="B827" s="10">
        <f>IFERROR(__xludf.DUMMYFUNCTION("SPLIT(A827,""|"")"),828.0)</f>
        <v>828</v>
      </c>
      <c r="C827" s="10" t="str">
        <f>IFERROR(__xludf.DUMMYFUNCTION("""COMPUTED_VALUE""")," মোছাঃ ইরিনা আক্তার বিবি ")</f>
        <v> মোছাঃ ইরিনা আক্তার বিবি </v>
      </c>
      <c r="D827" s="10">
        <f>IFERROR(__xludf.DUMMYFUNCTION("""COMPUTED_VALUE"""),5.70056584689E11)</f>
        <v>570056584689</v>
      </c>
      <c r="E827" s="10" t="str">
        <f>IFERROR(__xludf.DUMMYFUNCTION("""COMPUTED_VALUE""")," জামাল হোসেন ")</f>
        <v> জামাল হোসেন </v>
      </c>
      <c r="F827" s="10" t="str">
        <f>IFERROR(__xludf.DUMMYFUNCTION("""COMPUTED_VALUE""")," মোছা: সখিনা খাতুন ")</f>
        <v> মোছা: সখিনা খাতুন </v>
      </c>
      <c r="G827" s="10" t="str">
        <f>IFERROR(__xludf.DUMMYFUNCTION("""COMPUTED_VALUE""")," ৩১/০৮/২০০২ ")</f>
        <v> ৩১/০৮/২০০২ </v>
      </c>
      <c r="H827" s="10" t="str">
        <f>IFERROR(__xludf.DUMMYFUNCTION("""COMPUTED_VALUE""")," গৃহিনী ")</f>
        <v> গৃহিনী </v>
      </c>
      <c r="I827" s="10" t="str">
        <f>IFERROR(__xludf.DUMMYFUNCTION("""COMPUTED_VALUE""")," জালতকা, গাংনী, মেহেরপুর ")</f>
        <v> জালতকা, গাংনী, মেহেরপুর </v>
      </c>
    </row>
    <row r="828">
      <c r="A828" s="9" t="s">
        <v>3524</v>
      </c>
      <c r="B828" s="10">
        <f>IFERROR(__xludf.DUMMYFUNCTION("SPLIT(A828,""|"")"),829.0)</f>
        <v>829</v>
      </c>
      <c r="C828" s="10" t="str">
        <f>IFERROR(__xludf.DUMMYFUNCTION("""COMPUTED_VALUE""")," মোছাঃ হানুফা খাতুন ")</f>
        <v> মোছাঃ হানুফা খাতুন </v>
      </c>
      <c r="D828" s="10">
        <f>IFERROR(__xludf.DUMMYFUNCTION("""COMPUTED_VALUE"""),5.70056584692E11)</f>
        <v>570056584692</v>
      </c>
      <c r="E828" s="10" t="str">
        <f>IFERROR(__xludf.DUMMYFUNCTION("""COMPUTED_VALUE""")," মো: বিশারত আলী ")</f>
        <v> মো: বিশারত আলী </v>
      </c>
      <c r="F828" s="10" t="str">
        <f>IFERROR(__xludf.DUMMYFUNCTION("""COMPUTED_VALUE""")," মোছা: ডলি খাতুন ")</f>
        <v> মোছা: ডলি খাতুন </v>
      </c>
      <c r="G828" s="10" t="str">
        <f>IFERROR(__xludf.DUMMYFUNCTION("""COMPUTED_VALUE""")," ০৩/১০/২০০২ ")</f>
        <v> ০৩/১০/২০০২ </v>
      </c>
      <c r="H828" s="10" t="str">
        <f>IFERROR(__xludf.DUMMYFUNCTION("""COMPUTED_VALUE""")," গৃহিনী ")</f>
        <v> গৃহিনী </v>
      </c>
      <c r="I828" s="10" t="str">
        <f>IFERROR(__xludf.DUMMYFUNCTION("""COMPUTED_VALUE""")," জালতকা, গাংনী, মেহেরপুর ")</f>
        <v> জালতকা, গাংনী, মেহেরপুর </v>
      </c>
    </row>
    <row r="829">
      <c r="A829" s="9" t="s">
        <v>3525</v>
      </c>
      <c r="B829" s="10">
        <f>IFERROR(__xludf.DUMMYFUNCTION("SPLIT(A829,""|"")"),830.0)</f>
        <v>830</v>
      </c>
      <c r="C829" s="10" t="str">
        <f>IFERROR(__xludf.DUMMYFUNCTION("""COMPUTED_VALUE""")," রাবিয়া খাতুন ")</f>
        <v> রাবিয়া খাতুন </v>
      </c>
      <c r="D829" s="10">
        <f>IFERROR(__xludf.DUMMYFUNCTION("""COMPUTED_VALUE"""),5.70056584693E11)</f>
        <v>570056584693</v>
      </c>
      <c r="E829" s="10" t="str">
        <f>IFERROR(__xludf.DUMMYFUNCTION("""COMPUTED_VALUE""")," আলাউদ্দীন ")</f>
        <v> আলাউদ্দীন </v>
      </c>
      <c r="F829" s="10" t="str">
        <f>IFERROR(__xludf.DUMMYFUNCTION("""COMPUTED_VALUE""")," নাজমা খাতুন ")</f>
        <v> নাজমা খাতুন </v>
      </c>
      <c r="G829" s="10" t="str">
        <f>IFERROR(__xludf.DUMMYFUNCTION("""COMPUTED_VALUE""")," ০১/০১/২০০২ ")</f>
        <v> ০১/০১/২০০২ </v>
      </c>
      <c r="H829" s="10" t="str">
        <f>IFERROR(__xludf.DUMMYFUNCTION("""COMPUTED_VALUE""")," ছাত্র/ছাত্রী ")</f>
        <v> ছাত্র/ছাত্রী </v>
      </c>
      <c r="I829" s="10" t="str">
        <f>IFERROR(__xludf.DUMMYFUNCTION("""COMPUTED_VALUE""")," ১২৫, জালতকা, গাংনী, মেহেরপুর ")</f>
        <v> ১২৫, জালতকা, গাংনী, মেহেরপুর </v>
      </c>
    </row>
    <row r="830">
      <c r="A830" s="9" t="s">
        <v>3526</v>
      </c>
      <c r="B830" s="10">
        <f>IFERROR(__xludf.DUMMYFUNCTION("SPLIT(A830,""|"")"),831.0)</f>
        <v>831</v>
      </c>
      <c r="C830" s="10" t="str">
        <f>IFERROR(__xludf.DUMMYFUNCTION("""COMPUTED_VALUE""")," মোছাঃ পায়রা খাতুন ")</f>
        <v> মোছাঃ পায়রা খাতুন </v>
      </c>
      <c r="D830" s="10">
        <f>IFERROR(__xludf.DUMMYFUNCTION("""COMPUTED_VALUE"""),5.70056584694E11)</f>
        <v>570056584694</v>
      </c>
      <c r="E830" s="10" t="str">
        <f>IFERROR(__xludf.DUMMYFUNCTION("""COMPUTED_VALUE""")," মো: ইয়াকুব মন্ডল ")</f>
        <v> মো: ইয়াকুব মন্ডল </v>
      </c>
      <c r="F830" s="10" t="str">
        <f>IFERROR(__xludf.DUMMYFUNCTION("""COMPUTED_VALUE""")," মোছা: সাহানাজ পারভিন ")</f>
        <v> মোছা: সাহানাজ পারভিন </v>
      </c>
      <c r="G830" s="10" t="str">
        <f>IFERROR(__xludf.DUMMYFUNCTION("""COMPUTED_VALUE""")," ০১/০১/১৯৯৮ ")</f>
        <v> ০১/০১/১৯৯৮ </v>
      </c>
      <c r="H830" s="10" t="str">
        <f>IFERROR(__xludf.DUMMYFUNCTION("""COMPUTED_VALUE""")," গৃহিনী ")</f>
        <v> গৃহিনী </v>
      </c>
      <c r="I830" s="10" t="str">
        <f>IFERROR(__xludf.DUMMYFUNCTION("""COMPUTED_VALUE""")," ৯৪, জালতকা, গাংনী, মেহেরপুর ")</f>
        <v> ৯৪, জালতকা, গাংনী, মেহেরপুর </v>
      </c>
    </row>
    <row r="831">
      <c r="A831" s="9" t="s">
        <v>3527</v>
      </c>
      <c r="B831" s="10">
        <f>IFERROR(__xludf.DUMMYFUNCTION("SPLIT(A831,""|"")"),832.0)</f>
        <v>832</v>
      </c>
      <c r="C831" s="10" t="str">
        <f>IFERROR(__xludf.DUMMYFUNCTION("""COMPUTED_VALUE""")," মোছাঃ পাপিয়া খাতুন ")</f>
        <v> মোছাঃ পাপিয়া খাতুন </v>
      </c>
      <c r="D831" s="10">
        <f>IFERROR(__xludf.DUMMYFUNCTION("""COMPUTED_VALUE"""),5.70056584695E11)</f>
        <v>570056584695</v>
      </c>
      <c r="E831" s="10" t="str">
        <f>IFERROR(__xludf.DUMMYFUNCTION("""COMPUTED_VALUE""")," মো: আলফাজ উদ্দীন ")</f>
        <v> মো: আলফাজ উদ্দীন </v>
      </c>
      <c r="F831" s="10" t="str">
        <f>IFERROR(__xludf.DUMMYFUNCTION("""COMPUTED_VALUE""")," মোছা: পারভিনা খাতুন ")</f>
        <v> মোছা: পারভিনা খাতুন </v>
      </c>
      <c r="G831" s="10" t="str">
        <f>IFERROR(__xludf.DUMMYFUNCTION("""COMPUTED_VALUE""")," ২৫/১১/২০০১ ")</f>
        <v> ২৫/১১/২০০১ </v>
      </c>
      <c r="H831" s="10" t="str">
        <f>IFERROR(__xludf.DUMMYFUNCTION("""COMPUTED_VALUE""")," গৃহিনী ")</f>
        <v> গৃহিনী </v>
      </c>
      <c r="I831" s="10" t="str">
        <f>IFERROR(__xludf.DUMMYFUNCTION("""COMPUTED_VALUE""")," জালতকা, গাংনী, মেহেরপুর ")</f>
        <v> জালতকা, গাংনী, মেহেরপুর </v>
      </c>
    </row>
    <row r="832">
      <c r="A832" s="9" t="s">
        <v>3528</v>
      </c>
      <c r="B832" s="10">
        <f>IFERROR(__xludf.DUMMYFUNCTION("SPLIT(A832,""|"")"),833.0)</f>
        <v>833</v>
      </c>
      <c r="C832" s="10" t="str">
        <f>IFERROR(__xludf.DUMMYFUNCTION("""COMPUTED_VALUE""")," মোছাঃ মনিকা খাতুন ")</f>
        <v> মোছাঃ মনিকা খাতুন </v>
      </c>
      <c r="D832" s="10">
        <f>IFERROR(__xludf.DUMMYFUNCTION("""COMPUTED_VALUE"""),5.70056584696E11)</f>
        <v>570056584696</v>
      </c>
      <c r="E832" s="10" t="str">
        <f>IFERROR(__xludf.DUMMYFUNCTION("""COMPUTED_VALUE""")," রহিদ ")</f>
        <v> রহিদ </v>
      </c>
      <c r="F832" s="10" t="str">
        <f>IFERROR(__xludf.DUMMYFUNCTION("""COMPUTED_VALUE""")," রেবেকা ")</f>
        <v> রেবেকা </v>
      </c>
      <c r="G832" s="10" t="str">
        <f>IFERROR(__xludf.DUMMYFUNCTION("""COMPUTED_VALUE""")," ০৯/০১/১৯৯৫ ")</f>
        <v> ০৯/০১/১৯৯৫ </v>
      </c>
      <c r="H832" s="10" t="str">
        <f>IFERROR(__xludf.DUMMYFUNCTION("""COMPUTED_VALUE""")," গৃহিনী ")</f>
        <v> গৃহিনী </v>
      </c>
      <c r="I832" s="10" t="str">
        <f>IFERROR(__xludf.DUMMYFUNCTION("""COMPUTED_VALUE""")," জালতকা, গাংনী, মেহেরপুর ")</f>
        <v> জালতকা, গাংনী, মেহেরপুর </v>
      </c>
    </row>
    <row r="833">
      <c r="A833" s="9" t="s">
        <v>3529</v>
      </c>
      <c r="B833" s="10">
        <f>IFERROR(__xludf.DUMMYFUNCTION("SPLIT(A833,""|"")"),834.0)</f>
        <v>834</v>
      </c>
      <c r="C833" s="10" t="str">
        <f>IFERROR(__xludf.DUMMYFUNCTION("""COMPUTED_VALUE""")," নাম: মোছাঃ সুরাইয়া খাতুন ")</f>
        <v> নাম: মোছাঃ সুরাইয়া খাতুন </v>
      </c>
      <c r="D833" s="10">
        <f>IFERROR(__xludf.DUMMYFUNCTION("""COMPUTED_VALUE"""),5.7005658471E11)</f>
        <v>570056584710</v>
      </c>
      <c r="E833" s="10" t="str">
        <f>IFERROR(__xludf.DUMMYFUNCTION("""COMPUTED_VALUE""")," মো: মিয়াজান ")</f>
        <v> মো: মিয়াজান </v>
      </c>
      <c r="F833" s="10" t="str">
        <f>IFERROR(__xludf.DUMMYFUNCTION("""COMPUTED_VALUE""")," মোছা: নাজমা খাতুন ")</f>
        <v> মোছা: নাজমা খাতুন </v>
      </c>
      <c r="G833" s="10" t="str">
        <f>IFERROR(__xludf.DUMMYFUNCTION("""COMPUTED_VALUE""")," ০১/০৬/২০০৩ ")</f>
        <v> ০১/০৬/২০০৩ </v>
      </c>
      <c r="H833" s="10" t="str">
        <f>IFERROR(__xludf.DUMMYFUNCTION("""COMPUTED_VALUE""")," ছাত্র/ছাত্রী ")</f>
        <v> ছাত্র/ছাত্রী </v>
      </c>
      <c r="I833" s="10" t="str">
        <f>IFERROR(__xludf.DUMMYFUNCTION("""COMPUTED_VALUE""")," জালতকা, গাংনী, মেহেরপুর ")</f>
        <v> জালতকা, গাংনী, মেহেরপুর </v>
      </c>
    </row>
    <row r="834">
      <c r="A834" s="9" t="s">
        <v>3530</v>
      </c>
      <c r="B834" s="10">
        <f>IFERROR(__xludf.DUMMYFUNCTION("SPLIT(A834,""|"")"),835.0)</f>
        <v>835</v>
      </c>
      <c r="C834" s="10" t="str">
        <f>IFERROR(__xludf.DUMMYFUNCTION("""COMPUTED_VALUE""")," নাম: মোছাঃ রুবিনা খাতুন ")</f>
        <v> নাম: মোছাঃ রুবিনা খাতুন </v>
      </c>
      <c r="D834" s="10">
        <f>IFERROR(__xludf.DUMMYFUNCTION("""COMPUTED_VALUE"""),5.70056000508E11)</f>
        <v>570056000508</v>
      </c>
      <c r="E834" s="10" t="str">
        <f>IFERROR(__xludf.DUMMYFUNCTION("""COMPUTED_VALUE""")," মো: রবিউল ইসলাম ")</f>
        <v> মো: রবিউল ইসলাম </v>
      </c>
      <c r="F834" s="10" t="str">
        <f>IFERROR(__xludf.DUMMYFUNCTION("""COMPUTED_VALUE""")," মোছা: বিউটি খাতুন ")</f>
        <v> মোছা: বিউটি খাতুন </v>
      </c>
      <c r="G834" s="10" t="str">
        <f>IFERROR(__xludf.DUMMYFUNCTION("""COMPUTED_VALUE""")," ১৩/০৪/২০০৪ ")</f>
        <v> ১৩/০৪/২০০৪ </v>
      </c>
      <c r="H834" s="10" t="str">
        <f>IFERROR(__xludf.DUMMYFUNCTION("""COMPUTED_VALUE""")," গৃহিনী ")</f>
        <v> গৃহিনী </v>
      </c>
      <c r="I834" s="10" t="str">
        <f>IFERROR(__xludf.DUMMYFUNCTION("""COMPUTED_VALUE""")," জালতকা, গাংনী, মেহেরপুর ")</f>
        <v> জালতকা, গাংনী, মেহেরপুর </v>
      </c>
    </row>
    <row r="835">
      <c r="A835" s="9" t="s">
        <v>3531</v>
      </c>
      <c r="B835" s="10">
        <f>IFERROR(__xludf.DUMMYFUNCTION("SPLIT(A835,""|"")"),836.0)</f>
        <v>836</v>
      </c>
      <c r="C835" s="10" t="str">
        <f>IFERROR(__xludf.DUMMYFUNCTION("""COMPUTED_VALUE""")," নাম: মোছাঃ ছনিয়া খাতুন ")</f>
        <v> নাম: মোছাঃ ছনিয়া খাতুন </v>
      </c>
      <c r="D835" s="10">
        <f>IFERROR(__xludf.DUMMYFUNCTION("""COMPUTED_VALUE"""),5.70056584701E11)</f>
        <v>570056584701</v>
      </c>
      <c r="E835" s="10" t="str">
        <f>IFERROR(__xludf.DUMMYFUNCTION("""COMPUTED_VALUE""")," মো: মোহন আলী ")</f>
        <v> মো: মোহন আলী </v>
      </c>
      <c r="F835" s="10" t="str">
        <f>IFERROR(__xludf.DUMMYFUNCTION("""COMPUTED_VALUE""")," মোছা: রহিমা খাতুন ")</f>
        <v> মোছা: রহিমা খাতুন </v>
      </c>
      <c r="G835" s="10" t="str">
        <f>IFERROR(__xludf.DUMMYFUNCTION("""COMPUTED_VALUE""")," ১০/১২/১৯৯৯ ")</f>
        <v> ১০/১২/১৯৯৯ </v>
      </c>
      <c r="H835" s="10" t="str">
        <f>IFERROR(__xludf.DUMMYFUNCTION("""COMPUTED_VALUE""")," গৃহিনী ")</f>
        <v> গৃহিনী </v>
      </c>
      <c r="I835" s="10" t="str">
        <f>IFERROR(__xludf.DUMMYFUNCTION("""COMPUTED_VALUE""")," জালতকা, গাংনী, মেহেরপুর ")</f>
        <v> জালতকা, গাংনী, মেহেরপুর </v>
      </c>
    </row>
    <row r="836">
      <c r="A836" s="9" t="s">
        <v>3532</v>
      </c>
      <c r="B836" s="10">
        <f>IFERROR(__xludf.DUMMYFUNCTION("SPLIT(A836,""|"")"),837.0)</f>
        <v>837</v>
      </c>
      <c r="C836" s="10" t="str">
        <f>IFERROR(__xludf.DUMMYFUNCTION("""COMPUTED_VALUE""")," নাম: মোছাঃ সালমা খাতুন ")</f>
        <v> নাম: মোছাঃ সালমা খাতুন </v>
      </c>
      <c r="D836" s="10">
        <f>IFERROR(__xludf.DUMMYFUNCTION("""COMPUTED_VALUE"""),5.70056584702E11)</f>
        <v>570056584702</v>
      </c>
      <c r="E836" s="10" t="str">
        <f>IFERROR(__xludf.DUMMYFUNCTION("""COMPUTED_VALUE""")," আ: সালাম ")</f>
        <v> আ: সালাম </v>
      </c>
      <c r="F836" s="10" t="str">
        <f>IFERROR(__xludf.DUMMYFUNCTION("""COMPUTED_VALUE""")," জালিমা খাতুন ")</f>
        <v> জালিমা খাতুন </v>
      </c>
      <c r="G836" s="10" t="str">
        <f>IFERROR(__xludf.DUMMYFUNCTION("""COMPUTED_VALUE""")," ০৫/০৫/১৯৯৮ ")</f>
        <v> ০৫/০৫/১৯৯৮ </v>
      </c>
      <c r="H836" s="10" t="str">
        <f>IFERROR(__xludf.DUMMYFUNCTION("""COMPUTED_VALUE""")," গৃহিনী ")</f>
        <v> গৃহিনী </v>
      </c>
      <c r="I836" s="10" t="str">
        <f>IFERROR(__xludf.DUMMYFUNCTION("""COMPUTED_VALUE""")," জালতকা, গাংনী, মেহেরপুর ")</f>
        <v> জালতকা, গাংনী, মেহেরপুর </v>
      </c>
    </row>
    <row r="837">
      <c r="A837" s="9" t="s">
        <v>3533</v>
      </c>
      <c r="B837" s="10">
        <f>IFERROR(__xludf.DUMMYFUNCTION("SPLIT(A837,""|"")"),838.0)</f>
        <v>838</v>
      </c>
      <c r="C837" s="10" t="str">
        <f>IFERROR(__xludf.DUMMYFUNCTION("""COMPUTED_VALUE""")," নাম: মোছাঃ জহুরা খাতুন ")</f>
        <v> নাম: মোছাঃ জহুরা খাতুন </v>
      </c>
      <c r="D837" s="10">
        <f>IFERROR(__xludf.DUMMYFUNCTION("""COMPUTED_VALUE"""),5.70056584704E11)</f>
        <v>570056584704</v>
      </c>
      <c r="E837" s="10" t="str">
        <f>IFERROR(__xludf.DUMMYFUNCTION("""COMPUTED_VALUE""")," মো: এনামুল হক ")</f>
        <v> মো: এনামুল হক </v>
      </c>
      <c r="F837" s="10" t="str">
        <f>IFERROR(__xludf.DUMMYFUNCTION("""COMPUTED_VALUE""")," মোছা: নুরুন্নাহার খাতুন ")</f>
        <v> মোছা: নুরুন্নাহার খাতুন </v>
      </c>
      <c r="G837" s="10" t="str">
        <f>IFERROR(__xludf.DUMMYFUNCTION("""COMPUTED_VALUE""")," ২৫/১২/১৯৯৭ ")</f>
        <v> ২৫/১২/১৯৯৭ </v>
      </c>
      <c r="H837" s="10" t="str">
        <f>IFERROR(__xludf.DUMMYFUNCTION("""COMPUTED_VALUE""")," ছাত্র/ছাত্রী ")</f>
        <v> ছাত্র/ছাত্রী </v>
      </c>
      <c r="I837" s="10" t="str">
        <f>IFERROR(__xludf.DUMMYFUNCTION("""COMPUTED_VALUE""")," ৯১১, জালতকা, গাংনী, মেহেরপুর ")</f>
        <v> ৯১১, জালতকা, গাংনী, মেহেরপুর </v>
      </c>
    </row>
    <row r="838">
      <c r="A838" s="9" t="s">
        <v>3534</v>
      </c>
      <c r="B838" s="10">
        <f>IFERROR(__xludf.DUMMYFUNCTION("SPLIT(A838,""|"")"),839.0)</f>
        <v>839</v>
      </c>
      <c r="C838" s="10" t="str">
        <f>IFERROR(__xludf.DUMMYFUNCTION("""COMPUTED_VALUE""")," নাম: মোছাঃ বিথী ")</f>
        <v> নাম: মোছাঃ বিথী </v>
      </c>
      <c r="D838" s="10">
        <f>IFERROR(__xludf.DUMMYFUNCTION("""COMPUTED_VALUE"""),5.70056584705E11)</f>
        <v>570056584705</v>
      </c>
      <c r="E838" s="10" t="str">
        <f>IFERROR(__xludf.DUMMYFUNCTION("""COMPUTED_VALUE""")," মো: আনিসুর রহমান ")</f>
        <v> মো: আনিসুর রহমান </v>
      </c>
      <c r="F838" s="10" t="str">
        <f>IFERROR(__xludf.DUMMYFUNCTION("""COMPUTED_VALUE""")," মোছা: সালেহা ")</f>
        <v> মোছা: সালেহা </v>
      </c>
      <c r="G838" s="10" t="str">
        <f>IFERROR(__xludf.DUMMYFUNCTION("""COMPUTED_VALUE""")," ০৮/০৪/১৯৯৭ ")</f>
        <v> ০৮/০৪/১৯৯৭ </v>
      </c>
      <c r="H838" s="10" t="str">
        <f>IFERROR(__xludf.DUMMYFUNCTION("""COMPUTED_VALUE""")," গৃহিনী ")</f>
        <v> গৃহিনী </v>
      </c>
      <c r="I838" s="10" t="str">
        <f>IFERROR(__xludf.DUMMYFUNCTION("""COMPUTED_VALUE""")," জালতকা, গাংনী, মেহেরপুর ")</f>
        <v> জালতকা, গাংনী, মেহেরপুর </v>
      </c>
    </row>
    <row r="839">
      <c r="A839" s="9" t="s">
        <v>3535</v>
      </c>
      <c r="B839" s="10">
        <f>IFERROR(__xludf.DUMMYFUNCTION("SPLIT(A839,""|"")"),840.0)</f>
        <v>840</v>
      </c>
      <c r="C839" s="10" t="str">
        <f>IFERROR(__xludf.DUMMYFUNCTION("""COMPUTED_VALUE""")," নাম: অমেলা ")</f>
        <v> নাম: অমেলা </v>
      </c>
      <c r="D839" s="10">
        <f>IFERROR(__xludf.DUMMYFUNCTION("""COMPUTED_VALUE"""),5.70056584709E11)</f>
        <v>570056584709</v>
      </c>
      <c r="E839" s="10" t="str">
        <f>IFERROR(__xludf.DUMMYFUNCTION("""COMPUTED_VALUE""")," মো: ইদ্রিস আলী ")</f>
        <v> মো: ইদ্রিস আলী </v>
      </c>
      <c r="F839" s="10" t="str">
        <f>IFERROR(__xludf.DUMMYFUNCTION("""COMPUTED_VALUE""")," হাজেরা ")</f>
        <v> হাজেরা </v>
      </c>
      <c r="G839" s="10" t="str">
        <f>IFERROR(__xludf.DUMMYFUNCTION("""COMPUTED_VALUE""")," ১৭/০৭/২০০০ ")</f>
        <v> ১৭/০৭/২০০০ </v>
      </c>
      <c r="H839" s="10" t="str">
        <f>IFERROR(__xludf.DUMMYFUNCTION("""COMPUTED_VALUE""")," গৃহিনী ")</f>
        <v> গৃহিনী </v>
      </c>
      <c r="I839" s="10" t="str">
        <f>IFERROR(__xludf.DUMMYFUNCTION("""COMPUTED_VALUE""")," ১১১২, জালতকা, গাংনী, মেহেরপুর ")</f>
        <v> ১১১২, জালতকা, গাংনী, মেহেরপুর </v>
      </c>
    </row>
    <row r="840">
      <c r="A840" s="9" t="s">
        <v>3536</v>
      </c>
      <c r="B840" s="10">
        <f>IFERROR(__xludf.DUMMYFUNCTION("SPLIT(A840,""|"")"),841.0)</f>
        <v>841</v>
      </c>
      <c r="C840" s="10" t="str">
        <f>IFERROR(__xludf.DUMMYFUNCTION("""COMPUTED_VALUE""")," নাম: হালিমা ")</f>
        <v> নাম: হালিমা </v>
      </c>
      <c r="D840" s="10">
        <f>IFERROR(__xludf.DUMMYFUNCTION("""COMPUTED_VALUE"""),5.7005658465E11)</f>
        <v>570056584650</v>
      </c>
      <c r="E840" s="10" t="str">
        <f>IFERROR(__xludf.DUMMYFUNCTION("""COMPUTED_VALUE""")," আবু তাহের ")</f>
        <v> আবু তাহের </v>
      </c>
      <c r="F840" s="10" t="str">
        <f>IFERROR(__xludf.DUMMYFUNCTION("""COMPUTED_VALUE""")," শার বানু ")</f>
        <v> শার বানু </v>
      </c>
      <c r="G840" s="10" t="str">
        <f>IFERROR(__xludf.DUMMYFUNCTION("""COMPUTED_VALUE""")," ০১/০২/১৯৮৪ ")</f>
        <v> ০১/০২/১৯৮৪ </v>
      </c>
      <c r="H840" s="10" t="str">
        <f>IFERROR(__xludf.DUMMYFUNCTION("""COMPUTED_VALUE""")," শ্রমিক ")</f>
        <v> শ্রমিক </v>
      </c>
      <c r="I840" s="10" t="str">
        <f>IFERROR(__xludf.DUMMYFUNCTION("""COMPUTED_VALUE""")," জালতকা, গাংনী, মেহেরপুর ")</f>
        <v> জালতকা, গাংনী, মেহেরপুর </v>
      </c>
    </row>
    <row r="841">
      <c r="A841" s="9" t="s">
        <v>3537</v>
      </c>
      <c r="B841" s="10">
        <f>IFERROR(__xludf.DUMMYFUNCTION("SPLIT(A841,""|"")"),842.0)</f>
        <v>842</v>
      </c>
      <c r="C841" s="10" t="str">
        <f>IFERROR(__xludf.DUMMYFUNCTION("""COMPUTED_VALUE""")," নাম: রুমানা ")</f>
        <v> নাম: রুমানা </v>
      </c>
      <c r="D841" s="10">
        <f>IFERROR(__xludf.DUMMYFUNCTION("""COMPUTED_VALUE"""),5.70056584706E11)</f>
        <v>570056584706</v>
      </c>
      <c r="E841" s="10" t="str">
        <f>IFERROR(__xludf.DUMMYFUNCTION("""COMPUTED_VALUE""")," নফর আলী ")</f>
        <v> নফর আলী </v>
      </c>
      <c r="F841" s="10" t="str">
        <f>IFERROR(__xludf.DUMMYFUNCTION("""COMPUTED_VALUE""")," কাজল রেখা ")</f>
        <v> কাজল রেখা </v>
      </c>
      <c r="G841" s="10" t="str">
        <f>IFERROR(__xludf.DUMMYFUNCTION("""COMPUTED_VALUE""")," ১২/০৫/১৯৯৪ ")</f>
        <v> ১২/০৫/১৯৯৪ </v>
      </c>
      <c r="H841" s="10" t="str">
        <f>IFERROR(__xludf.DUMMYFUNCTION("""COMPUTED_VALUE""")," গৃহিনী ")</f>
        <v> গৃহিনী </v>
      </c>
      <c r="I841" s="10" t="str">
        <f>IFERROR(__xludf.DUMMYFUNCTION("""COMPUTED_VALUE""")," জালতকা, গাংনী, মেহেরপুর ")</f>
        <v> জালতকা, গাংনী, মেহেরপুর </v>
      </c>
    </row>
    <row r="842">
      <c r="A842" s="9" t="s">
        <v>3538</v>
      </c>
      <c r="B842" s="10">
        <f>IFERROR(__xludf.DUMMYFUNCTION("SPLIT(A842,""|"")"),843.0)</f>
        <v>843</v>
      </c>
      <c r="C842" s="10" t="str">
        <f>IFERROR(__xludf.DUMMYFUNCTION("""COMPUTED_VALUE""")," নাম: মোছাঃ মাছুরা খাতুন ")</f>
        <v> নাম: মোছাঃ মাছুরা খাতুন </v>
      </c>
      <c r="D842" s="10">
        <f>IFERROR(__xludf.DUMMYFUNCTION("""COMPUTED_VALUE"""),5.70056584707E11)</f>
        <v>570056584707</v>
      </c>
      <c r="E842" s="10" t="str">
        <f>IFERROR(__xludf.DUMMYFUNCTION("""COMPUTED_VALUE""")," মো: নজরুল ইসলাম ")</f>
        <v> মো: নজরুল ইসলাম </v>
      </c>
      <c r="F842" s="10" t="str">
        <f>IFERROR(__xludf.DUMMYFUNCTION("""COMPUTED_VALUE""")," মোছা: মহিমা খাতুন ")</f>
        <v> মোছা: মহিমা খাতুন </v>
      </c>
      <c r="G842" s="10" t="str">
        <f>IFERROR(__xludf.DUMMYFUNCTION("""COMPUTED_VALUE""")," ০৪/০১/১৯৮৯ ")</f>
        <v> ০৪/০১/১৯৮৯ </v>
      </c>
      <c r="H842" s="10" t="str">
        <f>IFERROR(__xludf.DUMMYFUNCTION("""COMPUTED_VALUE""")," গৃহিনী ")</f>
        <v> গৃহিনী </v>
      </c>
      <c r="I842" s="10" t="str">
        <f>IFERROR(__xludf.DUMMYFUNCTION("""COMPUTED_VALUE""")," জালতকা, গাংনী, মেহেরপুর ")</f>
        <v> জালতকা, গাংনী, মেহেরপুর </v>
      </c>
    </row>
    <row r="843">
      <c r="A843" s="9" t="s">
        <v>3539</v>
      </c>
      <c r="B843" s="10">
        <f>IFERROR(__xludf.DUMMYFUNCTION("SPLIT(A843,""|"")"),844.0)</f>
        <v>844</v>
      </c>
      <c r="C843" s="10" t="str">
        <f>IFERROR(__xludf.DUMMYFUNCTION("""COMPUTED_VALUE""")," মোছাঃ তহমিনা ")</f>
        <v> মোছাঃ তহমিনা </v>
      </c>
      <c r="D843" s="10">
        <f>IFERROR(__xludf.DUMMYFUNCTION("""COMPUTED_VALUE"""),5.70056000527E11)</f>
        <v>570056000527</v>
      </c>
      <c r="E843" s="10" t="str">
        <f>IFERROR(__xludf.DUMMYFUNCTION("""COMPUTED_VALUE""")," আবু বক্কর ")</f>
        <v> আবু বক্কর </v>
      </c>
      <c r="F843" s="10" t="str">
        <f>IFERROR(__xludf.DUMMYFUNCTION("""COMPUTED_VALUE""")," রাহেলা ")</f>
        <v> রাহেলা </v>
      </c>
      <c r="G843" s="10" t="str">
        <f>IFERROR(__xludf.DUMMYFUNCTION("""COMPUTED_VALUE""")," ২১/০৫/১৯৫৮ ")</f>
        <v> ২১/০৫/১৯৫৮ </v>
      </c>
      <c r="H843" s="10" t="str">
        <f>IFERROR(__xludf.DUMMYFUNCTION("""COMPUTED_VALUE""")," গৃহিনী ")</f>
        <v> গৃহিনী </v>
      </c>
      <c r="I843" s="10" t="str">
        <f>IFERROR(__xludf.DUMMYFUNCTION("""COMPUTED_VALUE""")," জালতকা, গাংনী, মেহেরপুর ")</f>
        <v> জালতকা, গাংনী, মেহেরপুর </v>
      </c>
    </row>
    <row r="844">
      <c r="A844" s="9" t="s">
        <v>3540</v>
      </c>
      <c r="B844" s="10">
        <f>IFERROR(__xludf.DUMMYFUNCTION("SPLIT(A844,""|"")"),845.0)</f>
        <v>845</v>
      </c>
      <c r="C844" s="10" t="str">
        <f>IFERROR(__xludf.DUMMYFUNCTION("""COMPUTED_VALUE""")," মোছাঃ খাদিজা খাতুন ")</f>
        <v> মোছাঃ খাদিজা খাতুন </v>
      </c>
      <c r="D844" s="10">
        <f>IFERROR(__xludf.DUMMYFUNCTION("""COMPUTED_VALUE"""),5.70056000528E11)</f>
        <v>570056000528</v>
      </c>
      <c r="E844" s="10" t="str">
        <f>IFERROR(__xludf.DUMMYFUNCTION("""COMPUTED_VALUE""")," মো: খাইরুল ইসলাম ")</f>
        <v> মো: খাইরুল ইসলাম </v>
      </c>
      <c r="F844" s="10" t="str">
        <f>IFERROR(__xludf.DUMMYFUNCTION("""COMPUTED_VALUE""")," মোছা: গুলশান আরা ")</f>
        <v> মোছা: গুলশান আরা </v>
      </c>
      <c r="G844" s="10" t="str">
        <f>IFERROR(__xludf.DUMMYFUNCTION("""COMPUTED_VALUE""")," ০৩/০৩/২০০৪ ")</f>
        <v> ০৩/০৩/২০০৪ </v>
      </c>
      <c r="H844" s="10" t="str">
        <f>IFERROR(__xludf.DUMMYFUNCTION("""COMPUTED_VALUE""")," গৃহিনী ")</f>
        <v> গৃহিনী </v>
      </c>
      <c r="I844" s="10" t="str">
        <f>IFERROR(__xludf.DUMMYFUNCTION("""COMPUTED_VALUE""")," জালতকা, গাংনী, মেহেরপুর ")</f>
        <v> জালতকা, গাংনী, মেহেরপুর </v>
      </c>
    </row>
    <row r="845">
      <c r="A845" s="9" t="s">
        <v>3541</v>
      </c>
      <c r="B845" s="10">
        <f>IFERROR(__xludf.DUMMYFUNCTION("SPLIT(A845,""|"")"),846.0)</f>
        <v>846</v>
      </c>
      <c r="C845" s="10" t="str">
        <f>IFERROR(__xludf.DUMMYFUNCTION("""COMPUTED_VALUE""")," নাম: মনিকা খাতুন ")</f>
        <v> নাম: মনিকা খাতুন </v>
      </c>
      <c r="D845" s="10">
        <f>IFERROR(__xludf.DUMMYFUNCTION("""COMPUTED_VALUE"""),5.70056000534E11)</f>
        <v>570056000534</v>
      </c>
      <c r="E845" s="10" t="str">
        <f>IFERROR(__xludf.DUMMYFUNCTION("""COMPUTED_VALUE""")," মো: মনিরুল ")</f>
        <v> মো: মনিরুল </v>
      </c>
      <c r="F845" s="10" t="str">
        <f>IFERROR(__xludf.DUMMYFUNCTION("""COMPUTED_VALUE""")," মোছা: মেরিনা খাতুন ")</f>
        <v> মোছা: মেরিনা খাতুন </v>
      </c>
      <c r="G845" s="10" t="str">
        <f>IFERROR(__xludf.DUMMYFUNCTION("""COMPUTED_VALUE""")," ১৩/০৮/২০০১ ")</f>
        <v> ১৩/০৮/২০০১ </v>
      </c>
      <c r="H845" s="10" t="str">
        <f>IFERROR(__xludf.DUMMYFUNCTION("""COMPUTED_VALUE""")," গৃহিনী ")</f>
        <v> গৃহিনী </v>
      </c>
      <c r="I845" s="10" t="str">
        <f>IFERROR(__xludf.DUMMYFUNCTION("""COMPUTED_VALUE""")," ৯৩৭, জালতকা, গাংনী, মেহেরপুর ")</f>
        <v> ৯৩৭, জালতকা, গাংনী, মেহেরপুর </v>
      </c>
    </row>
    <row r="846">
      <c r="A846" s="9" t="s">
        <v>3542</v>
      </c>
      <c r="B846" s="10">
        <f>IFERROR(__xludf.DUMMYFUNCTION("SPLIT(A846,""|"")"),847.0)</f>
        <v>847</v>
      </c>
      <c r="C846" s="10" t="str">
        <f>IFERROR(__xludf.DUMMYFUNCTION("""COMPUTED_VALUE""")," নাম: সুমি আক্তার কেয়া ")</f>
        <v> নাম: সুমি আক্তার কেয়া </v>
      </c>
      <c r="D846" s="10">
        <f>IFERROR(__xludf.DUMMYFUNCTION("""COMPUTED_VALUE"""),5.70056000538E11)</f>
        <v>570056000538</v>
      </c>
      <c r="E846" s="10" t="str">
        <f>IFERROR(__xludf.DUMMYFUNCTION("""COMPUTED_VALUE""")," মো: বাবুল হোসেন ")</f>
        <v> মো: বাবুল হোসেন </v>
      </c>
      <c r="F846" s="10" t="str">
        <f>IFERROR(__xludf.DUMMYFUNCTION("""COMPUTED_VALUE""")," রানু বেগম ")</f>
        <v> রানু বেগম </v>
      </c>
      <c r="G846" s="10" t="str">
        <f>IFERROR(__xludf.DUMMYFUNCTION("""COMPUTED_VALUE""")," ১০/০২/২০০৪ ")</f>
        <v> ১০/০২/২০০৪ </v>
      </c>
      <c r="H846" s="10" t="str">
        <f>IFERROR(__xludf.DUMMYFUNCTION("""COMPUTED_VALUE""")," গৃহিনী ")</f>
        <v> গৃহিনী </v>
      </c>
      <c r="I846" s="10" t="str">
        <f>IFERROR(__xludf.DUMMYFUNCTION("""COMPUTED_VALUE""")," জালতকা, গাংনী, মেহেরপুর ")</f>
        <v> জালতকা, গাংনী, মেহেরপুর </v>
      </c>
    </row>
    <row r="847">
      <c r="A847" s="9" t="s">
        <v>3543</v>
      </c>
      <c r="B847" s="10">
        <f>IFERROR(__xludf.DUMMYFUNCTION("SPLIT(A847,""|"")"),848.0)</f>
        <v>848</v>
      </c>
      <c r="C847" s="10" t="str">
        <f>IFERROR(__xludf.DUMMYFUNCTION("""COMPUTED_VALUE""")," নাম: মোছাঃ ইতি খাতুন ")</f>
        <v> নাম: মোছাঃ ইতি খাতুন </v>
      </c>
      <c r="D847" s="10">
        <f>IFERROR(__xludf.DUMMYFUNCTION("""COMPUTED_VALUE"""),5.70056584714E11)</f>
        <v>570056584714</v>
      </c>
      <c r="E847" s="10" t="str">
        <f>IFERROR(__xludf.DUMMYFUNCTION("""COMPUTED_VALUE""")," মো: মানিক আলী ")</f>
        <v> মো: মানিক আলী </v>
      </c>
      <c r="F847" s="10" t="str">
        <f>IFERROR(__xludf.DUMMYFUNCTION("""COMPUTED_VALUE""")," মোছা: আনজিরা খাতুন ")</f>
        <v> মোছা: আনজিরা খাতুন </v>
      </c>
      <c r="G847" s="10" t="str">
        <f>IFERROR(__xludf.DUMMYFUNCTION("""COMPUTED_VALUE""")," ২১/০১/২০০৪ ")</f>
        <v> ২১/০১/২০০৪ </v>
      </c>
      <c r="H847" s="10" t="str">
        <f>IFERROR(__xludf.DUMMYFUNCTION("""COMPUTED_VALUE""")," গৃহিনী ")</f>
        <v> গৃহিনী </v>
      </c>
      <c r="I847" s="10" t="str">
        <f>IFERROR(__xludf.DUMMYFUNCTION("""COMPUTED_VALUE""")," জালতকা, গাংনী, মেহেরপুর ")</f>
        <v> জালতকা, গাংনী, মেহেরপুর </v>
      </c>
    </row>
    <row r="848">
      <c r="A848" s="9" t="s">
        <v>3544</v>
      </c>
      <c r="B848" s="10">
        <f>IFERROR(__xludf.DUMMYFUNCTION("SPLIT(A848,""|"")"),849.0)</f>
        <v>849</v>
      </c>
      <c r="C848" s="10" t="str">
        <f>IFERROR(__xludf.DUMMYFUNCTION("""COMPUTED_VALUE""")," নাম: মোছাঃ আছমা ")</f>
        <v> নাম: মোছাঃ আছমা </v>
      </c>
      <c r="D848" s="10">
        <f>IFERROR(__xludf.DUMMYFUNCTION("""COMPUTED_VALUE"""),5.70056000533E11)</f>
        <v>570056000533</v>
      </c>
      <c r="E848" s="10" t="str">
        <f>IFERROR(__xludf.DUMMYFUNCTION("""COMPUTED_VALUE""")," মো: আজিবর আলী ")</f>
        <v> মো: আজিবর আলী </v>
      </c>
      <c r="F848" s="10" t="str">
        <f>IFERROR(__xludf.DUMMYFUNCTION("""COMPUTED_VALUE""")," মোছা: রেখা খাতুন ")</f>
        <v> মোছা: রেখা খাতুন </v>
      </c>
      <c r="G848" s="10" t="str">
        <f>IFERROR(__xludf.DUMMYFUNCTION("""COMPUTED_VALUE""")," ০৬/০১/২০০১ ")</f>
        <v> ০৬/০১/২০০১ </v>
      </c>
      <c r="H848" s="10" t="str">
        <f>IFERROR(__xludf.DUMMYFUNCTION("""COMPUTED_VALUE""")," গৃহিনী ")</f>
        <v> গৃহিনী </v>
      </c>
      <c r="I848" s="10" t="str">
        <f>IFERROR(__xludf.DUMMYFUNCTION("""COMPUTED_VALUE""")," ১১৭৮, জালতকা, গাংনী, মেহেরপুর ")</f>
        <v> ১১৭৮, জালতকা, গাংনী, মেহেরপুর </v>
      </c>
    </row>
    <row r="849">
      <c r="A849" s="9" t="s">
        <v>3545</v>
      </c>
      <c r="B849" s="10">
        <f>IFERROR(__xludf.DUMMYFUNCTION("SPLIT(A849,""|"")"),850.0)</f>
        <v>850</v>
      </c>
      <c r="C849" s="10" t="str">
        <f>IFERROR(__xludf.DUMMYFUNCTION("""COMPUTED_VALUE""")," নাম: মোছাঃ হীরা খাতুন ")</f>
        <v> নাম: মোছাঃ হীরা খাতুন </v>
      </c>
      <c r="D849" s="10">
        <f>IFERROR(__xludf.DUMMYFUNCTION("""COMPUTED_VALUE"""),5.70056584716E11)</f>
        <v>570056584716</v>
      </c>
      <c r="E849" s="10" t="str">
        <f>IFERROR(__xludf.DUMMYFUNCTION("""COMPUTED_VALUE""")," মো: জুমাত আলী ")</f>
        <v> মো: জুমাত আলী </v>
      </c>
      <c r="F849" s="10" t="str">
        <f>IFERROR(__xludf.DUMMYFUNCTION("""COMPUTED_VALUE""")," মোছা: লতিফা খাতুন ")</f>
        <v> মোছা: লতিফা খাতুন </v>
      </c>
      <c r="G849" s="10" t="str">
        <f>IFERROR(__xludf.DUMMYFUNCTION("""COMPUTED_VALUE""")," ০৪/০৭/১৯৯২ ")</f>
        <v> ০৪/০৭/১৯৯২ </v>
      </c>
      <c r="H849" s="10" t="str">
        <f>IFERROR(__xludf.DUMMYFUNCTION("""COMPUTED_VALUE""")," ছাত্র/ছাত্রী ")</f>
        <v> ছাত্র/ছাত্রী </v>
      </c>
      <c r="I849" s="10" t="str">
        <f>IFERROR(__xludf.DUMMYFUNCTION("""COMPUTED_VALUE""")," ৮৪৪, জালতকা, গাংনী, মেহেরপুর ")</f>
        <v> ৮৪৪, জালতকা, গাংনী, মেহেরপুর </v>
      </c>
    </row>
    <row r="850">
      <c r="A850" s="9" t="s">
        <v>3546</v>
      </c>
      <c r="B850" s="10">
        <f>IFERROR(__xludf.DUMMYFUNCTION("SPLIT(A850,""|"")"),851.0)</f>
        <v>851</v>
      </c>
      <c r="C850" s="10" t="str">
        <f>IFERROR(__xludf.DUMMYFUNCTION("""COMPUTED_VALUE""")," নাম: মোছাঃ সাহেরা খাতুন ")</f>
        <v> নাম: মোছাঃ সাহেরা খাতুন </v>
      </c>
      <c r="D850" s="10">
        <f>IFERROR(__xludf.DUMMYFUNCTION("""COMPUTED_VALUE"""),5.70056584722E11)</f>
        <v>570056584722</v>
      </c>
      <c r="E850" s="10" t="str">
        <f>IFERROR(__xludf.DUMMYFUNCTION("""COMPUTED_VALUE""")," মো: মপেজ উদ্দীন ")</f>
        <v> মো: মপেজ উদ্দীন </v>
      </c>
      <c r="F850" s="10" t="str">
        <f>IFERROR(__xludf.DUMMYFUNCTION("""COMPUTED_VALUE""")," মোছা: ওমেলা খাতুন ")</f>
        <v> মোছা: ওমেলা খাতুন </v>
      </c>
      <c r="G850" s="10" t="str">
        <f>IFERROR(__xludf.DUMMYFUNCTION("""COMPUTED_VALUE""")," ১৭/০৭/১৯৭৪ ")</f>
        <v> ১৭/০৭/১৯৭৪ </v>
      </c>
      <c r="H850" s="10" t="str">
        <f>IFERROR(__xludf.DUMMYFUNCTION("""COMPUTED_VALUE""")," গৃহিনী ")</f>
        <v> গৃহিনী </v>
      </c>
      <c r="I850" s="10" t="str">
        <f>IFERROR(__xludf.DUMMYFUNCTION("""COMPUTED_VALUE""")," ৭৭৯, জালতকা, গাংনী, মেহেরপুর ")</f>
        <v> ৭৭৯, জালতকা, গাংনী, মেহেরপুর </v>
      </c>
    </row>
    <row r="851">
      <c r="A851" s="9" t="s">
        <v>3547</v>
      </c>
      <c r="B851" s="10">
        <f>IFERROR(__xludf.DUMMYFUNCTION("SPLIT(A851,""|"")"),852.0)</f>
        <v>852</v>
      </c>
      <c r="C851" s="10" t="str">
        <f>IFERROR(__xludf.DUMMYFUNCTION("""COMPUTED_VALUE""")," নাম: মোছাঃ পারভীনা খাতুন ")</f>
        <v> নাম: মোছাঃ পারভীনা খাতুন </v>
      </c>
      <c r="D851" s="10">
        <f>IFERROR(__xludf.DUMMYFUNCTION("""COMPUTED_VALUE"""),5.70056584723E11)</f>
        <v>570056584723</v>
      </c>
      <c r="E851" s="10" t="str">
        <f>IFERROR(__xludf.DUMMYFUNCTION("""COMPUTED_VALUE""")," মো: আতিয়ার রহমান ")</f>
        <v> মো: আতিয়ার রহমান </v>
      </c>
      <c r="F851" s="10" t="str">
        <f>IFERROR(__xludf.DUMMYFUNCTION("""COMPUTED_VALUE""")," মোছা: সাহেরা খাতুন ")</f>
        <v> মোছা: সাহেরা খাতুন </v>
      </c>
      <c r="G851" s="10" t="str">
        <f>IFERROR(__xludf.DUMMYFUNCTION("""COMPUTED_VALUE""")," ২০/০১/১৯৯০ ")</f>
        <v> ২০/০১/১৯৯০ </v>
      </c>
      <c r="H851" s="10" t="str">
        <f>IFERROR(__xludf.DUMMYFUNCTION("""COMPUTED_VALUE""")," গৃহিনী ")</f>
        <v> গৃহিনী </v>
      </c>
      <c r="I851" s="10" t="str">
        <f>IFERROR(__xludf.DUMMYFUNCTION("""COMPUTED_VALUE""")," জালতকা, গাংনী, মেহেরপুর ")</f>
        <v> জালতকা, গাংনী, মেহেরপুর </v>
      </c>
    </row>
    <row r="852">
      <c r="A852" s="9" t="s">
        <v>3548</v>
      </c>
      <c r="B852" s="10">
        <f>IFERROR(__xludf.DUMMYFUNCTION("SPLIT(A852,""|"")"),853.0)</f>
        <v>853</v>
      </c>
      <c r="C852" s="10" t="str">
        <f>IFERROR(__xludf.DUMMYFUNCTION("""COMPUTED_VALUE""")," নাম: তাসলিমা খাতুন ")</f>
        <v> নাম: তাসলিমা খাতুন </v>
      </c>
      <c r="D852" s="10">
        <f>IFERROR(__xludf.DUMMYFUNCTION("""COMPUTED_VALUE"""),5.70056584724E11)</f>
        <v>570056584724</v>
      </c>
      <c r="E852" s="10" t="str">
        <f>IFERROR(__xludf.DUMMYFUNCTION("""COMPUTED_VALUE""")," ফজলুর রহমান ")</f>
        <v> ফজলুর রহমান </v>
      </c>
      <c r="F852" s="10" t="str">
        <f>IFERROR(__xludf.DUMMYFUNCTION("""COMPUTED_VALUE""")," তাহারন খাতুন ")</f>
        <v> তাহারন খাতুন </v>
      </c>
      <c r="G852" s="10" t="str">
        <f>IFERROR(__xludf.DUMMYFUNCTION("""COMPUTED_VALUE""")," ০১/০১/১৯৮৩ ")</f>
        <v> ০১/০১/১৯৮৩ </v>
      </c>
      <c r="H852" s="10" t="str">
        <f>IFERROR(__xludf.DUMMYFUNCTION("""COMPUTED_VALUE""")," গৃহিনী ")</f>
        <v> গৃহিনী </v>
      </c>
      <c r="I852" s="10" t="str">
        <f>IFERROR(__xludf.DUMMYFUNCTION("""COMPUTED_VALUE""")," জালতকা, গাংনী, মেহেরপুর ")</f>
        <v> জালতকা, গাংনী, মেহেরপুর </v>
      </c>
    </row>
    <row r="853">
      <c r="A853" s="9" t="s">
        <v>3549</v>
      </c>
      <c r="B853" s="10">
        <f>IFERROR(__xludf.DUMMYFUNCTION("SPLIT(A853,""|"")"),854.0)</f>
        <v>854</v>
      </c>
      <c r="C853" s="10" t="str">
        <f>IFERROR(__xludf.DUMMYFUNCTION("""COMPUTED_VALUE""")," নাম: মোছাঃ তমা খাতুন ")</f>
        <v> নাম: মোছাঃ তমা খাতুন </v>
      </c>
      <c r="D853" s="10">
        <f>IFERROR(__xludf.DUMMYFUNCTION("""COMPUTED_VALUE"""),5.70056000547E11)</f>
        <v>570056000547</v>
      </c>
      <c r="E853" s="10" t="str">
        <f>IFERROR(__xludf.DUMMYFUNCTION("""COMPUTED_VALUE""")," মো: আশকর আলী ")</f>
        <v> মো: আশকর আলী </v>
      </c>
      <c r="F853" s="10" t="str">
        <f>IFERROR(__xludf.DUMMYFUNCTION("""COMPUTED_VALUE""")," মোছা: সুছাট বেগম ")</f>
        <v> মোছা: সুছাট বেগম </v>
      </c>
      <c r="G853" s="10" t="str">
        <f>IFERROR(__xludf.DUMMYFUNCTION("""COMPUTED_VALUE""")," ০১/০৫/২০০৬ ")</f>
        <v> ০১/০৫/২০০৬ </v>
      </c>
      <c r="H853" s="10" t="str">
        <f>IFERROR(__xludf.DUMMYFUNCTION("""COMPUTED_VALUE""")," গৃহিনী ")</f>
        <v> গৃহিনী </v>
      </c>
      <c r="I853" s="10" t="str">
        <f>IFERROR(__xludf.DUMMYFUNCTION("""COMPUTED_VALUE""")," জালতকা, গাংনী, মেহেরপুর ")</f>
        <v> জালতকা, গাংনী, মেহেরপুর </v>
      </c>
    </row>
    <row r="854">
      <c r="A854" s="9" t="s">
        <v>3550</v>
      </c>
      <c r="B854" s="10">
        <f>IFERROR(__xludf.DUMMYFUNCTION("SPLIT(A854,""|"")"),855.0)</f>
        <v>855</v>
      </c>
      <c r="C854" s="10" t="str">
        <f>IFERROR(__xludf.DUMMYFUNCTION("""COMPUTED_VALUE""")," নাম: মোছাঃ সীমা খাতুন ")</f>
        <v> নাম: মোছাঃ সীমা খাতুন </v>
      </c>
      <c r="D854" s="10">
        <f>IFERROR(__xludf.DUMMYFUNCTION("""COMPUTED_VALUE"""),5.70056584731E11)</f>
        <v>570056584731</v>
      </c>
      <c r="E854" s="10" t="str">
        <f>IFERROR(__xludf.DUMMYFUNCTION("""COMPUTED_VALUE""")," মো: ওয়াজ্জেল হোসেন ")</f>
        <v> মো: ওয়াজ্জেল হোসেন </v>
      </c>
      <c r="F854" s="10" t="str">
        <f>IFERROR(__xludf.DUMMYFUNCTION("""COMPUTED_VALUE""")," মোছা: খাদেজা খাতুন ")</f>
        <v> মোছা: খাদেজা খাতুন </v>
      </c>
      <c r="G854" s="10" t="str">
        <f>IFERROR(__xludf.DUMMYFUNCTION("""COMPUTED_VALUE""")," ০৫/০৭/২০০০ ")</f>
        <v> ০৫/০৭/২০০০ </v>
      </c>
      <c r="H854" s="10" t="str">
        <f>IFERROR(__xludf.DUMMYFUNCTION("""COMPUTED_VALUE""")," গৃহকর্ম ")</f>
        <v> গৃহকর্ম </v>
      </c>
      <c r="I854" s="10" t="str">
        <f>IFERROR(__xludf.DUMMYFUNCTION("""COMPUTED_VALUE""")," ৮৮২, জালতকা, গাংনী, মেহেরপুর ")</f>
        <v> ৮৮২, জালতকা, গাংনী, মেহেরপুর </v>
      </c>
    </row>
    <row r="855">
      <c r="A855" s="9" t="s">
        <v>3551</v>
      </c>
      <c r="B855" s="10">
        <f>IFERROR(__xludf.DUMMYFUNCTION("SPLIT(A855,""|"")"),856.0)</f>
        <v>856</v>
      </c>
      <c r="C855" s="10" t="str">
        <f>IFERROR(__xludf.DUMMYFUNCTION("""COMPUTED_VALUE""")," নাম: মোছাঃ আসমা উল হুসনা ")</f>
        <v> নাম: মোছাঃ আসমা উল হুসনা </v>
      </c>
      <c r="D855" s="10">
        <f>IFERROR(__xludf.DUMMYFUNCTION("""COMPUTED_VALUE"""),5.70056584732E11)</f>
        <v>570056584732</v>
      </c>
      <c r="E855" s="10" t="str">
        <f>IFERROR(__xludf.DUMMYFUNCTION("""COMPUTED_VALUE""")," মো: রমজান আলী ")</f>
        <v> মো: রমজান আলী </v>
      </c>
      <c r="F855" s="10" t="str">
        <f>IFERROR(__xludf.DUMMYFUNCTION("""COMPUTED_VALUE""")," মোছা: সাহার বানু ")</f>
        <v> মোছা: সাহার বানু </v>
      </c>
      <c r="G855" s="10" t="str">
        <f>IFERROR(__xludf.DUMMYFUNCTION("""COMPUTED_VALUE""")," ১২/১২/২০০৪ ")</f>
        <v> ১২/১২/২০০৪ </v>
      </c>
      <c r="H855" s="10" t="str">
        <f>IFERROR(__xludf.DUMMYFUNCTION("""COMPUTED_VALUE""")," গৃহিনী ")</f>
        <v> গৃহিনী </v>
      </c>
      <c r="I855" s="10" t="str">
        <f>IFERROR(__xludf.DUMMYFUNCTION("""COMPUTED_VALUE""")," জালতকা, গাংনী, মেহেরপুর ")</f>
        <v> জালতকা, গাংনী, মেহেরপুর </v>
      </c>
    </row>
    <row r="856">
      <c r="A856" s="9" t="s">
        <v>3552</v>
      </c>
      <c r="B856" s="10">
        <f>IFERROR(__xludf.DUMMYFUNCTION("SPLIT(A856,""|"")"),857.0)</f>
        <v>857</v>
      </c>
      <c r="C856" s="10" t="str">
        <f>IFERROR(__xludf.DUMMYFUNCTION("""COMPUTED_VALUE""")," নাম: মোছাঃ তানিয়া খাতুন ")</f>
        <v> নাম: মোছাঃ তানিয়া খাতুন </v>
      </c>
      <c r="D856" s="10">
        <f>IFERROR(__xludf.DUMMYFUNCTION("""COMPUTED_VALUE"""),5.70056584735E11)</f>
        <v>570056584735</v>
      </c>
      <c r="E856" s="10" t="str">
        <f>IFERROR(__xludf.DUMMYFUNCTION("""COMPUTED_VALUE""")," লাবলু ")</f>
        <v> লাবলু </v>
      </c>
      <c r="F856" s="10" t="str">
        <f>IFERROR(__xludf.DUMMYFUNCTION("""COMPUTED_VALUE""")," আরজিনা ")</f>
        <v> আরজিনা </v>
      </c>
      <c r="G856" s="10" t="str">
        <f>IFERROR(__xludf.DUMMYFUNCTION("""COMPUTED_VALUE""")," ১০/০৩/২০০৩ ")</f>
        <v> ১০/০৩/২০০৩ </v>
      </c>
      <c r="H856" s="10" t="str">
        <f>IFERROR(__xludf.DUMMYFUNCTION("""COMPUTED_VALUE""")," গৃহিনী ")</f>
        <v> গৃহিনী </v>
      </c>
      <c r="I856" s="10" t="str">
        <f>IFERROR(__xludf.DUMMYFUNCTION("""COMPUTED_VALUE""")," ১০৬৭, জালতকা, গাংনী, মেহেরপুর ")</f>
        <v> ১০৬৭, জালতকা, গাংনী, মেহেরপুর </v>
      </c>
    </row>
    <row r="857">
      <c r="A857" s="9" t="s">
        <v>3553</v>
      </c>
      <c r="B857" s="10">
        <f>IFERROR(__xludf.DUMMYFUNCTION("SPLIT(A857,""|"")"),858.0)</f>
        <v>858</v>
      </c>
      <c r="C857" s="10" t="str">
        <f>IFERROR(__xludf.DUMMYFUNCTION("""COMPUTED_VALUE""")," নাম: সুমাইয়া মিম ")</f>
        <v> নাম: সুমাইয়া মিম </v>
      </c>
      <c r="D857" s="10">
        <f>IFERROR(__xludf.DUMMYFUNCTION("""COMPUTED_VALUE"""),5.70056584737E11)</f>
        <v>570056584737</v>
      </c>
      <c r="E857" s="10" t="str">
        <f>IFERROR(__xludf.DUMMYFUNCTION("""COMPUTED_VALUE""")," হযরত আলী ")</f>
        <v> হযরত আলী </v>
      </c>
      <c r="F857" s="10" t="str">
        <f>IFERROR(__xludf.DUMMYFUNCTION("""COMPUTED_VALUE""")," নাজমা খাতুন ")</f>
        <v> নাজমা খাতুন </v>
      </c>
      <c r="G857" s="10" t="str">
        <f>IFERROR(__xludf.DUMMYFUNCTION("""COMPUTED_VALUE""")," ১৩/১১/২০০২ ")</f>
        <v> ১৩/১১/২০০২ </v>
      </c>
      <c r="H857" s="10" t="str">
        <f>IFERROR(__xludf.DUMMYFUNCTION("""COMPUTED_VALUE""")," ছাত্র/ছাত্রী ")</f>
        <v> ছাত্র/ছাত্রী </v>
      </c>
      <c r="I857" s="10" t="str">
        <f>IFERROR(__xludf.DUMMYFUNCTION("""COMPUTED_VALUE""")," জালতকা, গাংনী, মেহেরপুর ")</f>
        <v> জালতকা, গাংনী, মেহেরপুর </v>
      </c>
    </row>
    <row r="858">
      <c r="A858" s="9" t="s">
        <v>3554</v>
      </c>
      <c r="B858" s="10">
        <f>IFERROR(__xludf.DUMMYFUNCTION("SPLIT(A858,""|"")"),859.0)</f>
        <v>859</v>
      </c>
      <c r="C858" s="10" t="str">
        <f>IFERROR(__xludf.DUMMYFUNCTION("""COMPUTED_VALUE""")," নাম: মোছাঃ সাইফুল খাতুন ")</f>
        <v> নাম: মোছাঃ সাইফুল খাতুন </v>
      </c>
      <c r="D858" s="10">
        <f>IFERROR(__xludf.DUMMYFUNCTION("""COMPUTED_VALUE"""),5.70056584738E11)</f>
        <v>570056584738</v>
      </c>
      <c r="E858" s="10" t="str">
        <f>IFERROR(__xludf.DUMMYFUNCTION("""COMPUTED_VALUE""")," পিতা: মোহাঃ শরিফদ্দিন ")</f>
        <v> পিতা: মোহাঃ শরিফদ্দিন </v>
      </c>
      <c r="F858" s="10" t="str">
        <f>IFERROR(__xludf.DUMMYFUNCTION("""COMPUTED_VALUE""")," মোছা: মরিয়ম খাতুন ")</f>
        <v> মোছা: মরিয়ম খাতুন </v>
      </c>
      <c r="G858" s="10" t="str">
        <f>IFERROR(__xludf.DUMMYFUNCTION("""COMPUTED_VALUE""")," ০৮/১০/১৯৯৯ ")</f>
        <v> ০৮/১০/১৯৯৯ </v>
      </c>
      <c r="H858" s="10" t="str">
        <f>IFERROR(__xludf.DUMMYFUNCTION("""COMPUTED_VALUE""")," গৃহিনী ")</f>
        <v> গৃহিনী </v>
      </c>
      <c r="I858" s="10" t="str">
        <f>IFERROR(__xludf.DUMMYFUNCTION("""COMPUTED_VALUE""")," বালিয়া পাড়া, জালতকা, গাংনী, মেহেরপুর ")</f>
        <v> বালিয়া পাড়া, জালতকা, গাংনী, মেহেরপুর </v>
      </c>
    </row>
    <row r="859">
      <c r="A859" s="9" t="s">
        <v>3555</v>
      </c>
      <c r="B859" s="10">
        <f>IFERROR(__xludf.DUMMYFUNCTION("SPLIT(A859,""|"")"),860.0)</f>
        <v>860</v>
      </c>
      <c r="C859" s="10" t="str">
        <f>IFERROR(__xludf.DUMMYFUNCTION("""COMPUTED_VALUE""")," নাম: মোছাঃ রইনা খাতুন ")</f>
        <v> নাম: মোছাঃ রইনা খাতুন </v>
      </c>
      <c r="D859" s="10">
        <f>IFERROR(__xludf.DUMMYFUNCTION("""COMPUTED_VALUE"""),5.70056584739E11)</f>
        <v>570056584739</v>
      </c>
      <c r="E859" s="10" t="str">
        <f>IFERROR(__xludf.DUMMYFUNCTION("""COMPUTED_VALUE""")," মো: জফের আলী ")</f>
        <v> মো: জফের আলী </v>
      </c>
      <c r="F859" s="10" t="str">
        <f>IFERROR(__xludf.DUMMYFUNCTION("""COMPUTED_VALUE""")," ফেলা খাতুন ")</f>
        <v> ফেলা খাতুন </v>
      </c>
      <c r="G859" s="10" t="str">
        <f>IFERROR(__xludf.DUMMYFUNCTION("""COMPUTED_VALUE""")," ০৫/০৭/১৯৬৫ ")</f>
        <v> ০৫/০৭/১৯৬৫ </v>
      </c>
      <c r="H859" s="10" t="str">
        <f>IFERROR(__xludf.DUMMYFUNCTION("""COMPUTED_VALUE""")," গৃহিনী ")</f>
        <v> গৃহিনী </v>
      </c>
      <c r="I859" s="10" t="str">
        <f>IFERROR(__xludf.DUMMYFUNCTION("""COMPUTED_VALUE""")," জালতকা, গাংনী, মেহেরপুর ")</f>
        <v> জালতকা, গাংনী, মেহেরপুর </v>
      </c>
    </row>
    <row r="860">
      <c r="A860" s="9" t="s">
        <v>3556</v>
      </c>
      <c r="B860" s="10">
        <f>IFERROR(__xludf.DUMMYFUNCTION("SPLIT(A860,""|"")"),861.0)</f>
        <v>861</v>
      </c>
      <c r="C860" s="10" t="str">
        <f>IFERROR(__xludf.DUMMYFUNCTION("""COMPUTED_VALUE""")," নাম: সারজিনা ")</f>
        <v> নাম: সারজিনা </v>
      </c>
      <c r="D860" s="10">
        <f>IFERROR(__xludf.DUMMYFUNCTION("""COMPUTED_VALUE"""),5.70056584742E11)</f>
        <v>570056584742</v>
      </c>
      <c r="E860" s="10" t="str">
        <f>IFERROR(__xludf.DUMMYFUNCTION("""COMPUTED_VALUE""")," মো: আবুজেল ")</f>
        <v> মো: আবুজেল </v>
      </c>
      <c r="F860" s="10" t="str">
        <f>IFERROR(__xludf.DUMMYFUNCTION("""COMPUTED_VALUE""")," রোকেয়া খাতুন ")</f>
        <v> রোকেয়া খাতুন </v>
      </c>
      <c r="G860" s="10" t="str">
        <f>IFERROR(__xludf.DUMMYFUNCTION("""COMPUTED_VALUE""")," ১৯/০৭/১৯৮৪ ")</f>
        <v> ১৯/০৭/১৯৮৪ </v>
      </c>
      <c r="H860" s="10" t="str">
        <f>IFERROR(__xludf.DUMMYFUNCTION("""COMPUTED_VALUE""")," গৃহিনী ")</f>
        <v> গৃহিনী </v>
      </c>
      <c r="I860" s="10" t="str">
        <f>IFERROR(__xludf.DUMMYFUNCTION("""COMPUTED_VALUE""")," জালতকা, গাংনী, মেহেরপুর ")</f>
        <v> জালতকা, গাংনী, মেহেরপুর </v>
      </c>
    </row>
    <row r="861">
      <c r="A861" s="9" t="s">
        <v>2712</v>
      </c>
      <c r="B861" s="10" t="str">
        <f>IFERROR(__xludf.DUMMYFUNCTION("SPLIT(A861,""|"")")," ক্রমিক নং ")</f>
        <v> ক্রমিক নং </v>
      </c>
      <c r="C861" s="10" t="str">
        <f>IFERROR(__xludf.DUMMYFUNCTION("""COMPUTED_VALUE""")," নাম ")</f>
        <v> নাম </v>
      </c>
      <c r="D861" s="10" t="str">
        <f>IFERROR(__xludf.DUMMYFUNCTION("""COMPUTED_VALUE""")," ভোটার নং ")</f>
        <v> ভোটার নং </v>
      </c>
      <c r="E861" s="10" t="str">
        <f>IFERROR(__xludf.DUMMYFUNCTION("""COMPUTED_VALUE""")," পিতা ")</f>
        <v> পিতা </v>
      </c>
      <c r="F861" s="10" t="str">
        <f>IFERROR(__xludf.DUMMYFUNCTION("""COMPUTED_VALUE""")," মাতা ")</f>
        <v> মাতা </v>
      </c>
      <c r="G861" s="10" t="str">
        <f>IFERROR(__xludf.DUMMYFUNCTION("""COMPUTED_VALUE""")," জন্ম তারিখ ")</f>
        <v> জন্ম তারিখ </v>
      </c>
      <c r="H861" s="10" t="str">
        <f>IFERROR(__xludf.DUMMYFUNCTION("""COMPUTED_VALUE""")," পেশা ")</f>
        <v> পেশা </v>
      </c>
      <c r="I861" s="10" t="str">
        <f>IFERROR(__xludf.DUMMYFUNCTION("""COMPUTED_VALUE""")," ঠিকানা ")</f>
        <v> ঠিকানা </v>
      </c>
    </row>
    <row r="862">
      <c r="A862" s="9" t="s">
        <v>2713</v>
      </c>
      <c r="B862" s="10" t="str">
        <f>IFERROR(__xludf.DUMMYFUNCTION("SPLIT(A862,""|"")"),"---")</f>
        <v>---</v>
      </c>
      <c r="C862" s="10" t="str">
        <f>IFERROR(__xludf.DUMMYFUNCTION("""COMPUTED_VALUE"""),"---")</f>
        <v>---</v>
      </c>
      <c r="D862" s="10" t="str">
        <f>IFERROR(__xludf.DUMMYFUNCTION("""COMPUTED_VALUE"""),"---")</f>
        <v>---</v>
      </c>
      <c r="E862" s="10" t="str">
        <f>IFERROR(__xludf.DUMMYFUNCTION("""COMPUTED_VALUE"""),"---")</f>
        <v>---</v>
      </c>
      <c r="F862" s="10" t="str">
        <f>IFERROR(__xludf.DUMMYFUNCTION("""COMPUTED_VALUE"""),"---")</f>
        <v>---</v>
      </c>
      <c r="G862" s="10" t="str">
        <f>IFERROR(__xludf.DUMMYFUNCTION("""COMPUTED_VALUE"""),"---")</f>
        <v>---</v>
      </c>
      <c r="H862" s="10" t="str">
        <f>IFERROR(__xludf.DUMMYFUNCTION("""COMPUTED_VALUE"""),"---")</f>
        <v>---</v>
      </c>
      <c r="I862" s="10" t="str">
        <f>IFERROR(__xludf.DUMMYFUNCTION("""COMPUTED_VALUE"""),"---")</f>
        <v>---</v>
      </c>
    </row>
    <row r="863">
      <c r="A863" s="9" t="s">
        <v>3557</v>
      </c>
      <c r="B863" s="10">
        <f>IFERROR(__xludf.DUMMYFUNCTION("SPLIT(A863,""|"")"),862.0)</f>
        <v>862</v>
      </c>
      <c r="C863" s="10" t="str">
        <f>IFERROR(__xludf.DUMMYFUNCTION("""COMPUTED_VALUE""")," মোছাঃ বিথী খাতুন ")</f>
        <v> মোছাঃ বিথী খাতুন </v>
      </c>
      <c r="D863" s="10">
        <f>IFERROR(__xludf.DUMMYFUNCTION("""COMPUTED_VALUE"""),5.7005654475E11)</f>
        <v>570056544750</v>
      </c>
      <c r="E863" s="10" t="str">
        <f>IFERROR(__xludf.DUMMYFUNCTION("""COMPUTED_VALUE""")," মো: পলান আলী ")</f>
        <v> মো: পলান আলী </v>
      </c>
      <c r="F863" s="10" t="str">
        <f>IFERROR(__xludf.DUMMYFUNCTION("""COMPUTED_VALUE""")," মোছা: সামেনা খাতুন ")</f>
        <v> মোছা: সামেনা খাতুন </v>
      </c>
      <c r="G863" s="10" t="str">
        <f>IFERROR(__xludf.DUMMYFUNCTION("""COMPUTED_VALUE""")," ১৫/০২/২০০৪ ")</f>
        <v> ১৫/০২/২০০৪ </v>
      </c>
      <c r="H863" s="10" t="str">
        <f>IFERROR(__xludf.DUMMYFUNCTION("""COMPUTED_VALUE""")," গৃহিণী ")</f>
        <v> গৃহিণী </v>
      </c>
      <c r="I863" s="10" t="str">
        <f>IFERROR(__xludf.DUMMYFUNCTION("""COMPUTED_VALUE""")," জালশুকা, গাংনী, মেহেরপুর ")</f>
        <v> জালশুকা, গাংনী, মেহেরপুর </v>
      </c>
    </row>
    <row r="864">
      <c r="A864" s="9" t="s">
        <v>3558</v>
      </c>
      <c r="B864" s="10">
        <f>IFERROR(__xludf.DUMMYFUNCTION("SPLIT(A864,""|"")"),863.0)</f>
        <v>863</v>
      </c>
      <c r="C864" s="10" t="str">
        <f>IFERROR(__xludf.DUMMYFUNCTION("""COMPUTED_VALUE""")," মোছা: শারমিন খাতুন ")</f>
        <v> মোছা: শারমিন খাতুন </v>
      </c>
      <c r="D864" s="10">
        <f>IFERROR(__xludf.DUMMYFUNCTION("""COMPUTED_VALUE"""),5.70056544754E11)</f>
        <v>570056544754</v>
      </c>
      <c r="E864" s="10" t="str">
        <f>IFERROR(__xludf.DUMMYFUNCTION("""COMPUTED_VALUE""")," মোহামদ সহরুল আলী ")</f>
        <v> মোহামদ সহরুল আলী </v>
      </c>
      <c r="F864" s="10" t="str">
        <f>IFERROR(__xludf.DUMMYFUNCTION("""COMPUTED_VALUE""")," মোছা: এনই খাতুন ")</f>
        <v> মোছা: এনই খাতুন </v>
      </c>
      <c r="G864" s="10" t="str">
        <f>IFERROR(__xludf.DUMMYFUNCTION("""COMPUTED_VALUE""")," ০১/০৫/২০০৫ ")</f>
        <v> ০১/০৫/২০০৫ </v>
      </c>
      <c r="H864" s="10" t="str">
        <f>IFERROR(__xludf.DUMMYFUNCTION("""COMPUTED_VALUE""")," গৃহিণী ")</f>
        <v> গৃহিণী </v>
      </c>
      <c r="I864" s="10" t="str">
        <f>IFERROR(__xludf.DUMMYFUNCTION("""COMPUTED_VALUE""")," জালশুকা, গাংনী, মেহেরপুর ")</f>
        <v> জালশুকা, গাংনী, মেহেরপুর </v>
      </c>
    </row>
    <row r="865">
      <c r="A865" s="9" t="s">
        <v>3559</v>
      </c>
      <c r="B865" s="10">
        <f>IFERROR(__xludf.DUMMYFUNCTION("SPLIT(A865,""|"")"),864.0)</f>
        <v>864</v>
      </c>
      <c r="C865" s="10" t="str">
        <f>IFERROR(__xludf.DUMMYFUNCTION("""COMPUTED_VALUE""")," মো: লাবনী খাতুন ")</f>
        <v> মো: লাবনী খাতুন </v>
      </c>
      <c r="D865" s="10">
        <f>IFERROR(__xludf.DUMMYFUNCTION("""COMPUTED_VALUE"""),5.70056544757E11)</f>
        <v>570056544757</v>
      </c>
      <c r="E865" s="10" t="str">
        <f>IFERROR(__xludf.DUMMYFUNCTION("""COMPUTED_VALUE""")," মো: মুকুল হোসেন ")</f>
        <v> মো: মুকুল হোসেন </v>
      </c>
      <c r="F865" s="10" t="str">
        <f>IFERROR(__xludf.DUMMYFUNCTION("""COMPUTED_VALUE""")," মোছা: কবিতা খাতুন ")</f>
        <v> মোছা: কবিতা খাতুন </v>
      </c>
      <c r="G865" s="10" t="str">
        <f>IFERROR(__xludf.DUMMYFUNCTION("""COMPUTED_VALUE""")," ২১/১২/২০০৩ ")</f>
        <v> ২১/১২/২০০৩ </v>
      </c>
      <c r="H865" s="10" t="str">
        <f>IFERROR(__xludf.DUMMYFUNCTION("""COMPUTED_VALUE""")," গৃহিণী ")</f>
        <v> গৃহিণী </v>
      </c>
      <c r="I865" s="10" t="str">
        <f>IFERROR(__xludf.DUMMYFUNCTION("""COMPUTED_VALUE""")," জালশুকা, গাংনী, মেহেরপুর ")</f>
        <v> জালশুকা, গাংনী, মেহেরপুর </v>
      </c>
    </row>
    <row r="866">
      <c r="A866" s="9" t="s">
        <v>3560</v>
      </c>
      <c r="B866" s="10">
        <f>IFERROR(__xludf.DUMMYFUNCTION("SPLIT(A866,""|"")"),865.0)</f>
        <v>865</v>
      </c>
      <c r="C866" s="10" t="str">
        <f>IFERROR(__xludf.DUMMYFUNCTION("""COMPUTED_VALUE""")," মোছা: বিমা খাতুন ")</f>
        <v> মোছা: বিমা খাতুন </v>
      </c>
      <c r="D866" s="10">
        <f>IFERROR(__xludf.DUMMYFUNCTION("""COMPUTED_VALUE"""),5.70056544758E11)</f>
        <v>570056544758</v>
      </c>
      <c r="E866" s="10" t="str">
        <f>IFERROR(__xludf.DUMMYFUNCTION("""COMPUTED_VALUE""")," মো: আনারুল হক ")</f>
        <v> মো: আনারুল হক </v>
      </c>
      <c r="F866" s="10" t="str">
        <f>IFERROR(__xludf.DUMMYFUNCTION("""COMPUTED_VALUE""")," মোছা: সাগরা খাতুন ")</f>
        <v> মোছা: সাগরা খাতুন </v>
      </c>
      <c r="G866" s="10" t="str">
        <f>IFERROR(__xludf.DUMMYFUNCTION("""COMPUTED_VALUE""")," ১৮/১১/২০০২ ")</f>
        <v> ১৮/১১/২০০২ </v>
      </c>
      <c r="H866" s="10" t="str">
        <f>IFERROR(__xludf.DUMMYFUNCTION("""COMPUTED_VALUE""")," গৃহিণী ")</f>
        <v> গৃহিণী </v>
      </c>
      <c r="I866" s="10" t="str">
        <f>IFERROR(__xludf.DUMMYFUNCTION("""COMPUTED_VALUE""")," জালশুকা, গাংনী, মেহেরপুর ")</f>
        <v> জালশুকা, গাংনী, মেহেরপুর </v>
      </c>
    </row>
    <row r="867">
      <c r="A867" s="9" t="s">
        <v>3561</v>
      </c>
      <c r="B867" s="10">
        <f>IFERROR(__xludf.DUMMYFUNCTION("SPLIT(A867,""|"")"),866.0)</f>
        <v>866</v>
      </c>
      <c r="C867" s="10" t="str">
        <f>IFERROR(__xludf.DUMMYFUNCTION("""COMPUTED_VALUE""")," মোছাঃ শিমলা খাতুন ")</f>
        <v> মোছাঃ শিমলা খাতুন </v>
      </c>
      <c r="D867" s="10">
        <f>IFERROR(__xludf.DUMMYFUNCTION("""COMPUTED_VALUE"""),5.70056544759E11)</f>
        <v>570056544759</v>
      </c>
      <c r="E867" s="10" t="str">
        <f>IFERROR(__xludf.DUMMYFUNCTION("""COMPUTED_VALUE""")," মো: গোলাম রসুল ")</f>
        <v> মো: গোলাম রসুল </v>
      </c>
      <c r="F867" s="10" t="str">
        <f>IFERROR(__xludf.DUMMYFUNCTION("""COMPUTED_VALUE""")," মোছা: নার্গিস খাতুন ")</f>
        <v> মোছা: নার্গিস খাতুন </v>
      </c>
      <c r="G867" s="10" t="str">
        <f>IFERROR(__xludf.DUMMYFUNCTION("""COMPUTED_VALUE""")," ০২/০১/২০০৪ ")</f>
        <v> ০২/০১/২০০৪ </v>
      </c>
      <c r="H867" s="10" t="str">
        <f>IFERROR(__xludf.DUMMYFUNCTION("""COMPUTED_VALUE""")," গৃহিণী ")</f>
        <v> গৃহিণী </v>
      </c>
      <c r="I867" s="10" t="str">
        <f>IFERROR(__xludf.DUMMYFUNCTION("""COMPUTED_VALUE""")," জালশুকা, গাংনী, মেহেরপুর ")</f>
        <v> জালশুকা, গাংনী, মেহেরপুর </v>
      </c>
    </row>
    <row r="868">
      <c r="A868" s="9" t="s">
        <v>3562</v>
      </c>
      <c r="B868" s="10">
        <f>IFERROR(__xludf.DUMMYFUNCTION("SPLIT(A868,""|"")"),867.0)</f>
        <v>867</v>
      </c>
      <c r="C868" s="10" t="str">
        <f>IFERROR(__xludf.DUMMYFUNCTION("""COMPUTED_VALUE""")," মোছাঃ লাবিয়া খাতুন ")</f>
        <v> মোছাঃ লাবিয়া খাতুন </v>
      </c>
      <c r="D868" s="10">
        <f>IFERROR(__xludf.DUMMYFUNCTION("""COMPUTED_VALUE"""),5.7005654476E11)</f>
        <v>570056544760</v>
      </c>
      <c r="E868" s="10" t="str">
        <f>IFERROR(__xludf.DUMMYFUNCTION("""COMPUTED_VALUE""")," মো: মহিবুল ইসলাম ")</f>
        <v> মো: মহিবুল ইসলাম </v>
      </c>
      <c r="F868" s="10" t="str">
        <f>IFERROR(__xludf.DUMMYFUNCTION("""COMPUTED_VALUE""")," মোছা: মুসলিমা খাতুন ")</f>
        <v> মোছা: মুসলিমা খাতুন </v>
      </c>
      <c r="G868" s="10" t="str">
        <f>IFERROR(__xludf.DUMMYFUNCTION("""COMPUTED_VALUE""")," ০৩/০২/২০০৫ ")</f>
        <v> ০৩/০২/২০০৫ </v>
      </c>
      <c r="H868" s="10" t="str">
        <f>IFERROR(__xludf.DUMMYFUNCTION("""COMPUTED_VALUE""")," গৃহিণী ")</f>
        <v> গৃহিণী </v>
      </c>
      <c r="I868" s="10" t="str">
        <f>IFERROR(__xludf.DUMMYFUNCTION("""COMPUTED_VALUE""")," জালশুকা, গাংনী, মেহেরপুর ")</f>
        <v> জালশুকা, গাংনী, মেহেরপুর </v>
      </c>
    </row>
    <row r="869">
      <c r="A869" s="9" t="s">
        <v>3563</v>
      </c>
      <c r="B869" s="10">
        <f>IFERROR(__xludf.DUMMYFUNCTION("SPLIT(A869,""|"")"),868.0)</f>
        <v>868</v>
      </c>
      <c r="C869" s="10" t="str">
        <f>IFERROR(__xludf.DUMMYFUNCTION("""COMPUTED_VALUE""")," মোছা: রিয়া খাতুন ")</f>
        <v> মোছা: রিয়া খাতুন </v>
      </c>
      <c r="D869" s="10">
        <f>IFERROR(__xludf.DUMMYFUNCTION("""COMPUTED_VALUE"""),5.70056544761E11)</f>
        <v>570056544761</v>
      </c>
      <c r="E869" s="10" t="str">
        <f>IFERROR(__xludf.DUMMYFUNCTION("""COMPUTED_VALUE""")," মো: হামিদুল ")</f>
        <v> মো: হামিদুল </v>
      </c>
      <c r="F869" s="10" t="str">
        <f>IFERROR(__xludf.DUMMYFUNCTION("""COMPUTED_VALUE""")," মোছা: রোজিনা খাতুন ")</f>
        <v> মোছা: রোজিনা খাতুন </v>
      </c>
      <c r="G869" s="10" t="str">
        <f>IFERROR(__xludf.DUMMYFUNCTION("""COMPUTED_VALUE""")," ২৫/১১/২০০৫ ")</f>
        <v> ২৫/১১/২০০৫ </v>
      </c>
      <c r="H869" s="10" t="str">
        <f>IFERROR(__xludf.DUMMYFUNCTION("""COMPUTED_VALUE""")," গৃহিণী ")</f>
        <v> গৃহিণী </v>
      </c>
      <c r="I869" s="10" t="str">
        <f>IFERROR(__xludf.DUMMYFUNCTION("""COMPUTED_VALUE""")," জালশুকা, গাংনী, মেহেরপুর ")</f>
        <v> জালশুকা, গাংনী, মেহেরপুর </v>
      </c>
    </row>
    <row r="870">
      <c r="A870" s="9" t="s">
        <v>3564</v>
      </c>
      <c r="B870" s="10">
        <f>IFERROR(__xludf.DUMMYFUNCTION("SPLIT(A870,""|"")"),869.0)</f>
        <v>869</v>
      </c>
      <c r="C870" s="10" t="str">
        <f>IFERROR(__xludf.DUMMYFUNCTION("""COMPUTED_VALUE""")," মোছা: মিতা খাতুন ")</f>
        <v> মোছা: মিতা খাতুন </v>
      </c>
      <c r="D870" s="10">
        <f>IFERROR(__xludf.DUMMYFUNCTION("""COMPUTED_VALUE"""),5.70056544763E11)</f>
        <v>570056544763</v>
      </c>
      <c r="E870" s="10" t="str">
        <f>IFERROR(__xludf.DUMMYFUNCTION("""COMPUTED_VALUE""")," মো: ইমান আলী ")</f>
        <v> মো: ইমান আলী </v>
      </c>
      <c r="F870" s="10" t="str">
        <f>IFERROR(__xludf.DUMMYFUNCTION("""COMPUTED_VALUE""")," মোছা: ছামেনা খাতুন ")</f>
        <v> মোছা: ছামেনা খাতুন </v>
      </c>
      <c r="G870" s="10" t="str">
        <f>IFERROR(__xludf.DUMMYFUNCTION("""COMPUTED_VALUE""")," ২৩/০৮/২০০৬ ")</f>
        <v> ২৩/০৮/২০০৬ </v>
      </c>
      <c r="H870" s="10" t="str">
        <f>IFERROR(__xludf.DUMMYFUNCTION("""COMPUTED_VALUE""")," গৃহিণী ")</f>
        <v> গৃহিণী </v>
      </c>
      <c r="I870" s="10" t="str">
        <f>IFERROR(__xludf.DUMMYFUNCTION("""COMPUTED_VALUE""")," জালশুকা, গাংনী, মেহেরপুর ")</f>
        <v> জালশুকা, গাংনী, মেহেরপুর </v>
      </c>
    </row>
    <row r="871">
      <c r="A871" s="9" t="s">
        <v>3565</v>
      </c>
      <c r="B871" s="10">
        <f>IFERROR(__xludf.DUMMYFUNCTION("SPLIT(A871,""|"")"),870.0)</f>
        <v>870</v>
      </c>
      <c r="C871" s="10" t="str">
        <f>IFERROR(__xludf.DUMMYFUNCTION("""COMPUTED_VALUE""")," মোছা: সোনালী খাতুন ")</f>
        <v> মোছা: সোনালী খাতুন </v>
      </c>
      <c r="D871" s="10">
        <f>IFERROR(__xludf.DUMMYFUNCTION("""COMPUTED_VALUE"""),5.70056544764E11)</f>
        <v>570056544764</v>
      </c>
      <c r="E871" s="10" t="str">
        <f>IFERROR(__xludf.DUMMYFUNCTION("""COMPUTED_VALUE""")," মো: আকালু ")</f>
        <v> মো: আকালু </v>
      </c>
      <c r="F871" s="10" t="str">
        <f>IFERROR(__xludf.DUMMYFUNCTION("""COMPUTED_VALUE""")," মোছা: রেহেনা খাতুন ")</f>
        <v> মোছা: রেহেনা খাতুন </v>
      </c>
      <c r="G871" s="10" t="str">
        <f>IFERROR(__xludf.DUMMYFUNCTION("""COMPUTED_VALUE""")," ০৯/০২/২০০৫ ")</f>
        <v> ০৯/০২/২০০৫ </v>
      </c>
      <c r="H871" s="10" t="str">
        <f>IFERROR(__xludf.DUMMYFUNCTION("""COMPUTED_VALUE""")," গৃহিণী ")</f>
        <v> গৃহিণী </v>
      </c>
      <c r="I871" s="10" t="str">
        <f>IFERROR(__xludf.DUMMYFUNCTION("""COMPUTED_VALUE""")," জালশুকা, গাংনী, মেহেরপুর ")</f>
        <v> জালশুকা, গাংনী, মেহেরপুর </v>
      </c>
    </row>
    <row r="872">
      <c r="A872" s="9" t="s">
        <v>3566</v>
      </c>
      <c r="B872" s="10">
        <f>IFERROR(__xludf.DUMMYFUNCTION("SPLIT(A872,""|"")"),871.0)</f>
        <v>871</v>
      </c>
      <c r="C872" s="10" t="str">
        <f>IFERROR(__xludf.DUMMYFUNCTION("""COMPUTED_VALUE""")," মোছা: রিতা খাতুন ")</f>
        <v> মোছা: রিতা খাতুন </v>
      </c>
      <c r="D872" s="10">
        <f>IFERROR(__xludf.DUMMYFUNCTION("""COMPUTED_VALUE"""),5.70056544765E11)</f>
        <v>570056544765</v>
      </c>
      <c r="E872" s="10" t="str">
        <f>IFERROR(__xludf.DUMMYFUNCTION("""COMPUTED_VALUE""")," মো: আব্দুর রহমান ")</f>
        <v> মো: আব্দুর রহমান </v>
      </c>
      <c r="F872" s="10" t="str">
        <f>IFERROR(__xludf.DUMMYFUNCTION("""COMPUTED_VALUE""")," মোছা: মহিরন নেছা ")</f>
        <v> মোছা: মহিরন নেছা </v>
      </c>
      <c r="G872" s="10" t="str">
        <f>IFERROR(__xludf.DUMMYFUNCTION("""COMPUTED_VALUE""")," ১০/১০/২০০৫ ")</f>
        <v> ১০/১০/২০০৫ </v>
      </c>
      <c r="H872" s="10" t="str">
        <f>IFERROR(__xludf.DUMMYFUNCTION("""COMPUTED_VALUE""")," গৃহিণী ")</f>
        <v> গৃহিণী </v>
      </c>
      <c r="I872" s="10" t="str">
        <f>IFERROR(__xludf.DUMMYFUNCTION("""COMPUTED_VALUE""")," জালশুকা, গাংনী, মেহেরপুর ")</f>
        <v> জালশুকা, গাংনী, মেহেরপুর </v>
      </c>
    </row>
    <row r="873">
      <c r="A873" s="9" t="s">
        <v>3567</v>
      </c>
      <c r="B873" s="10">
        <f>IFERROR(__xludf.DUMMYFUNCTION("SPLIT(A873,""|"")"),872.0)</f>
        <v>872</v>
      </c>
      <c r="C873" s="10" t="str">
        <f>IFERROR(__xludf.DUMMYFUNCTION("""COMPUTED_VALUE""")," মোছা: সানজিদা ইসলাম ")</f>
        <v> মোছা: সানজিদা ইসলাম </v>
      </c>
      <c r="D873" s="10">
        <f>IFERROR(__xludf.DUMMYFUNCTION("""COMPUTED_VALUE"""),5.70056544766E11)</f>
        <v>570056544766</v>
      </c>
      <c r="E873" s="10" t="str">
        <f>IFERROR(__xludf.DUMMYFUNCTION("""COMPUTED_VALUE""")," মো: ডাবলু হোসেন ")</f>
        <v> মো: ডাবলু হোসেন </v>
      </c>
      <c r="F873" s="10" t="str">
        <f>IFERROR(__xludf.DUMMYFUNCTION("""COMPUTED_VALUE""")," মোছা: শাহানাজ পারভীন ")</f>
        <v> মোছা: শাহানাজ পারভীন </v>
      </c>
      <c r="G873" s="10" t="str">
        <f>IFERROR(__xludf.DUMMYFUNCTION("""COMPUTED_VALUE""")," ৩১/১২/২০০২ ")</f>
        <v> ৩১/১২/২০০২ </v>
      </c>
      <c r="H873" s="10" t="str">
        <f>IFERROR(__xludf.DUMMYFUNCTION("""COMPUTED_VALUE""")," গৃহিণী ")</f>
        <v> গৃহিণী </v>
      </c>
      <c r="I873" s="10" t="str">
        <f>IFERROR(__xludf.DUMMYFUNCTION("""COMPUTED_VALUE""")," জালশুকা, গাংনী, মেহেরপুর ")</f>
        <v> জালশুকা, গাংনী, মেহেরপুর </v>
      </c>
    </row>
    <row r="874">
      <c r="A874" s="9" t="s">
        <v>3568</v>
      </c>
      <c r="B874" s="10">
        <f>IFERROR(__xludf.DUMMYFUNCTION("SPLIT(A874,""|"")"),873.0)</f>
        <v>873</v>
      </c>
      <c r="C874" s="10" t="str">
        <f>IFERROR(__xludf.DUMMYFUNCTION("""COMPUTED_VALUE""")," মোছা: জান্নাতুল ফেরদৌস ")</f>
        <v> মোছা: জান্নাতুল ফেরদৌস </v>
      </c>
      <c r="D874" s="10">
        <f>IFERROR(__xludf.DUMMYFUNCTION("""COMPUTED_VALUE"""),5.70056544773E11)</f>
        <v>570056544773</v>
      </c>
      <c r="E874" s="10" t="str">
        <f>IFERROR(__xludf.DUMMYFUNCTION("""COMPUTED_VALUE""")," মো: জামাত আলী ")</f>
        <v> মো: জামাত আলী </v>
      </c>
      <c r="F874" s="10" t="str">
        <f>IFERROR(__xludf.DUMMYFUNCTION("""COMPUTED_VALUE""")," মোছা: আমিরন খাতুন ")</f>
        <v> মোছা: আমিরন খাতুন </v>
      </c>
      <c r="G874" s="10" t="str">
        <f>IFERROR(__xludf.DUMMYFUNCTION("""COMPUTED_VALUE""")," ১৫/০৪/২০০৪ ")</f>
        <v> ১৫/০৪/২০০৪ </v>
      </c>
      <c r="H874" s="10" t="str">
        <f>IFERROR(__xludf.DUMMYFUNCTION("""COMPUTED_VALUE""")," গৃহিণী ")</f>
        <v> গৃহিণী </v>
      </c>
      <c r="I874" s="10" t="str">
        <f>IFERROR(__xludf.DUMMYFUNCTION("""COMPUTED_VALUE""")," জালশুকা, গাংনী, মেহেরপুর ")</f>
        <v> জালশুকা, গাংনী, মেহেরপুর </v>
      </c>
    </row>
    <row r="875">
      <c r="A875" s="9" t="s">
        <v>3569</v>
      </c>
      <c r="B875" s="10">
        <f>IFERROR(__xludf.DUMMYFUNCTION("SPLIT(A875,""|"")"),874.0)</f>
        <v>874</v>
      </c>
      <c r="C875" s="10" t="str">
        <f>IFERROR(__xludf.DUMMYFUNCTION("""COMPUTED_VALUE""")," মোছাঃ মুমিয়ারা খাতুন ")</f>
        <v> মোছাঃ মুমিয়ারা খাতুন </v>
      </c>
      <c r="D875" s="10">
        <f>IFERROR(__xludf.DUMMYFUNCTION("""COMPUTED_VALUE"""),5.70056544774E11)</f>
        <v>570056544774</v>
      </c>
      <c r="E875" s="10" t="str">
        <f>IFERROR(__xludf.DUMMYFUNCTION("""COMPUTED_VALUE""")," মো: মরজেল হক ")</f>
        <v> মো: মরজেল হক </v>
      </c>
      <c r="F875" s="10" t="str">
        <f>IFERROR(__xludf.DUMMYFUNCTION("""COMPUTED_VALUE""")," মোছা: লিলা খাতুন ")</f>
        <v> মোছা: লিলা খাতুন </v>
      </c>
      <c r="G875" s="10" t="str">
        <f>IFERROR(__xludf.DUMMYFUNCTION("""COMPUTED_VALUE""")," ০৭/০৮/২০০৪ ")</f>
        <v> ০৭/০৮/২০০৪ </v>
      </c>
      <c r="H875" s="10" t="str">
        <f>IFERROR(__xludf.DUMMYFUNCTION("""COMPUTED_VALUE""")," গৃহিণী ")</f>
        <v> গৃহিণী </v>
      </c>
      <c r="I875" s="10" t="str">
        <f>IFERROR(__xludf.DUMMYFUNCTION("""COMPUTED_VALUE""")," জালশুকা, গাংনী, মেহেরপুর ")</f>
        <v> জালশুকা, গাংনী, মেহেরপুর </v>
      </c>
    </row>
    <row r="876">
      <c r="A876" s="9" t="s">
        <v>3570</v>
      </c>
      <c r="B876" s="10">
        <f>IFERROR(__xludf.DUMMYFUNCTION("SPLIT(A876,""|"")"),875.0)</f>
        <v>875</v>
      </c>
      <c r="C876" s="10" t="str">
        <f>IFERROR(__xludf.DUMMYFUNCTION("""COMPUTED_VALUE""")," মোছা: কাজল রেখা ")</f>
        <v> মোছা: কাজল রেখা </v>
      </c>
      <c r="D876" s="10">
        <f>IFERROR(__xludf.DUMMYFUNCTION("""COMPUTED_VALUE"""),5.70056544776E11)</f>
        <v>570056544776</v>
      </c>
      <c r="E876" s="10" t="str">
        <f>IFERROR(__xludf.DUMMYFUNCTION("""COMPUTED_VALUE""")," মো: আয়নদ্দীন মন্ডল ")</f>
        <v> মো: আয়নদ্দীন মন্ডল </v>
      </c>
      <c r="F876" s="10" t="str">
        <f>IFERROR(__xludf.DUMMYFUNCTION("""COMPUTED_VALUE""")," মোছা: ছকিনা খাতুন ")</f>
        <v> মোছা: ছকিনা খাতুন </v>
      </c>
      <c r="G876" s="10" t="str">
        <f>IFERROR(__xludf.DUMMYFUNCTION("""COMPUTED_VALUE""")," ১৮/০৪/২০০৪ ")</f>
        <v> ১৮/০৪/২০০৪ </v>
      </c>
      <c r="H876" s="10" t="str">
        <f>IFERROR(__xludf.DUMMYFUNCTION("""COMPUTED_VALUE""")," গৃহিণী ")</f>
        <v> গৃহিণী </v>
      </c>
      <c r="I876" s="10" t="str">
        <f>IFERROR(__xludf.DUMMYFUNCTION("""COMPUTED_VALUE""")," জালশুকা, গাংনী, মেহেরপুর ")</f>
        <v> জালশুকা, গাংনী, মেহেরপুর </v>
      </c>
    </row>
    <row r="877">
      <c r="A877" s="9" t="s">
        <v>3571</v>
      </c>
      <c r="B877" s="10">
        <f>IFERROR(__xludf.DUMMYFUNCTION("SPLIT(A877,""|"")"),876.0)</f>
        <v>876</v>
      </c>
      <c r="C877" s="10" t="str">
        <f>IFERROR(__xludf.DUMMYFUNCTION("""COMPUTED_VALUE""")," সোনিয়া আক্তার ")</f>
        <v> সোনিয়া আক্তার </v>
      </c>
      <c r="D877" s="10">
        <f>IFERROR(__xludf.DUMMYFUNCTION("""COMPUTED_VALUE"""),5.70056544777E11)</f>
        <v>570056544777</v>
      </c>
      <c r="E877" s="10" t="str">
        <f>IFERROR(__xludf.DUMMYFUNCTION("""COMPUTED_VALUE""")," কুদ্দুস ফকির ")</f>
        <v> কুদ্দুস ফকির </v>
      </c>
      <c r="F877" s="10" t="str">
        <f>IFERROR(__xludf.DUMMYFUNCTION("""COMPUTED_VALUE""")," মাজেদা খাতুন ")</f>
        <v> মাজেদা খাতুন </v>
      </c>
      <c r="G877" s="10" t="str">
        <f>IFERROR(__xludf.DUMMYFUNCTION("""COMPUTED_VALUE""")," ১০/০৩/২০০৪ ")</f>
        <v> ১০/০৩/২০০৪ </v>
      </c>
      <c r="H877" s="10" t="str">
        <f>IFERROR(__xludf.DUMMYFUNCTION("""COMPUTED_VALUE""")," গৃহিণী ")</f>
        <v> গৃহিণী </v>
      </c>
      <c r="I877" s="10" t="str">
        <f>IFERROR(__xludf.DUMMYFUNCTION("""COMPUTED_VALUE""")," জালশুকা, গাংনী, মেহেরপুর ")</f>
        <v> জালশুকা, গাংনী, মেহেরপুর </v>
      </c>
    </row>
    <row r="878">
      <c r="A878" s="9" t="s">
        <v>3572</v>
      </c>
      <c r="B878" s="10">
        <f>IFERROR(__xludf.DUMMYFUNCTION("SPLIT(A878,""|"")"),877.0)</f>
        <v>877</v>
      </c>
      <c r="C878" s="10" t="str">
        <f>IFERROR(__xludf.DUMMYFUNCTION("""COMPUTED_VALUE""")," মোছা: রতনা খাতুন ")</f>
        <v> মোছা: রতনা খাতুন </v>
      </c>
      <c r="D878" s="10">
        <f>IFERROR(__xludf.DUMMYFUNCTION("""COMPUTED_VALUE"""),5.70056544778E11)</f>
        <v>570056544778</v>
      </c>
      <c r="E878" s="10" t="str">
        <f>IFERROR(__xludf.DUMMYFUNCTION("""COMPUTED_VALUE""")," মো: আব্দুল ")</f>
        <v> মো: আব্দুল </v>
      </c>
      <c r="F878" s="10" t="str">
        <f>IFERROR(__xludf.DUMMYFUNCTION("""COMPUTED_VALUE""")," মোছা: চায়না খাতুন ")</f>
        <v> মোছা: চায়না খাতুন </v>
      </c>
      <c r="G878" s="10" t="str">
        <f>IFERROR(__xludf.DUMMYFUNCTION("""COMPUTED_VALUE""")," ২০/০৫/২০০৬ ")</f>
        <v> ২০/০৫/২০০৬ </v>
      </c>
      <c r="H878" s="10" t="str">
        <f>IFERROR(__xludf.DUMMYFUNCTION("""COMPUTED_VALUE""")," গৃহিণী ")</f>
        <v> গৃহিণী </v>
      </c>
      <c r="I878" s="10" t="str">
        <f>IFERROR(__xludf.DUMMYFUNCTION("""COMPUTED_VALUE""")," জালশুকা, গাংনী, মেহেরপুর ")</f>
        <v> জালশুকা, গাংনী, মেহেরপুর </v>
      </c>
    </row>
    <row r="879">
      <c r="A879" s="9" t="s">
        <v>3573</v>
      </c>
      <c r="B879" s="10">
        <f>IFERROR(__xludf.DUMMYFUNCTION("SPLIT(A879,""|"")"),878.0)</f>
        <v>878</v>
      </c>
      <c r="C879" s="10" t="str">
        <f>IFERROR(__xludf.DUMMYFUNCTION("""COMPUTED_VALUE""")," মোছা: বৃষ্টি মালা ")</f>
        <v> মোছা: বৃষ্টি মালা </v>
      </c>
      <c r="D879" s="10">
        <f>IFERROR(__xludf.DUMMYFUNCTION("""COMPUTED_VALUE"""),5.70056544781E11)</f>
        <v>570056544781</v>
      </c>
      <c r="E879" s="10" t="str">
        <f>IFERROR(__xludf.DUMMYFUNCTION("""COMPUTED_VALUE""")," মো: শামসুল হুদা ")</f>
        <v> মো: শামসুল হুদা </v>
      </c>
      <c r="F879" s="10" t="str">
        <f>IFERROR(__xludf.DUMMYFUNCTION("""COMPUTED_VALUE""")," মোছা: আরমিলা খাতুন ")</f>
        <v> মোছা: আরমিলা খাতুন </v>
      </c>
      <c r="G879" s="10" t="str">
        <f>IFERROR(__xludf.DUMMYFUNCTION("""COMPUTED_VALUE""")," ০৮/১২/২০০৫ ")</f>
        <v> ০৮/১২/২০০৫ </v>
      </c>
      <c r="H879" s="10" t="str">
        <f>IFERROR(__xludf.DUMMYFUNCTION("""COMPUTED_VALUE""")," ছাত্র/ছাত্রী ")</f>
        <v> ছাত্র/ছাত্রী </v>
      </c>
      <c r="I879" s="10" t="str">
        <f>IFERROR(__xludf.DUMMYFUNCTION("""COMPUTED_VALUE""")," জালশুকা, গাংনী, মেহেরপুর ")</f>
        <v> জালশুকা, গাংনী, মেহেরপুর </v>
      </c>
    </row>
    <row r="880">
      <c r="A880" s="9" t="s">
        <v>3574</v>
      </c>
      <c r="B880" s="10">
        <f>IFERROR(__xludf.DUMMYFUNCTION("SPLIT(A880,""|"")"),879.0)</f>
        <v>879</v>
      </c>
      <c r="C880" s="10" t="str">
        <f>IFERROR(__xludf.DUMMYFUNCTION("""COMPUTED_VALUE""")," মোছা: আছিয়া খাতুন ")</f>
        <v> মোছা: আছিয়া খাতুন </v>
      </c>
      <c r="D880" s="10">
        <f>IFERROR(__xludf.DUMMYFUNCTION("""COMPUTED_VALUE"""),5.70056544782E11)</f>
        <v>570056544782</v>
      </c>
      <c r="E880" s="10" t="str">
        <f>IFERROR(__xludf.DUMMYFUNCTION("""COMPUTED_VALUE""")," মো: সামাদ আলী ")</f>
        <v> মো: সামাদ আলী </v>
      </c>
      <c r="F880" s="10" t="str">
        <f>IFERROR(__xludf.DUMMYFUNCTION("""COMPUTED_VALUE""")," মোছা: মদিনা খাতুন ")</f>
        <v> মোছা: মদিনা খাতুন </v>
      </c>
      <c r="G880" s="10" t="str">
        <f>IFERROR(__xludf.DUMMYFUNCTION("""COMPUTED_VALUE""")," ২৬/১১/২০০৪ ")</f>
        <v> ২৬/১১/২০০৪ </v>
      </c>
      <c r="H880" s="10" t="str">
        <f>IFERROR(__xludf.DUMMYFUNCTION("""COMPUTED_VALUE""")," গৃহিণী ")</f>
        <v> গৃহিণী </v>
      </c>
      <c r="I880" s="10" t="str">
        <f>IFERROR(__xludf.DUMMYFUNCTION("""COMPUTED_VALUE""")," -, জালশুকা, গাংনী, মেহেরপুর ")</f>
        <v> -, জালশুকা, গাংনী, মেহেরপুর </v>
      </c>
    </row>
    <row r="881">
      <c r="A881" s="9" t="s">
        <v>3575</v>
      </c>
      <c r="B881" s="10">
        <f>IFERROR(__xludf.DUMMYFUNCTION("SPLIT(A881,""|"")"),880.0)</f>
        <v>880</v>
      </c>
      <c r="C881" s="10" t="str">
        <f>IFERROR(__xludf.DUMMYFUNCTION("""COMPUTED_VALUE""")," মোছা: বৃষ্টি খাতুন ")</f>
        <v> মোছা: বৃষ্টি খাতুন </v>
      </c>
      <c r="D881" s="10">
        <f>IFERROR(__xludf.DUMMYFUNCTION("""COMPUTED_VALUE"""),5.70056544783E11)</f>
        <v>570056544783</v>
      </c>
      <c r="E881" s="10" t="str">
        <f>IFERROR(__xludf.DUMMYFUNCTION("""COMPUTED_VALUE""")," মো: হাফিজুর ")</f>
        <v> মো: হাফিজুর </v>
      </c>
      <c r="F881" s="10" t="str">
        <f>IFERROR(__xludf.DUMMYFUNCTION("""COMPUTED_VALUE""")," মোছা: রাশিদা বেগম ")</f>
        <v> মোছা: রাশিদা বেগম </v>
      </c>
      <c r="G881" s="10" t="str">
        <f>IFERROR(__xludf.DUMMYFUNCTION("""COMPUTED_VALUE""")," ০৫/০৭/২০০৪ ")</f>
        <v> ০৫/০৭/২০০৪ </v>
      </c>
      <c r="H881" s="10" t="str">
        <f>IFERROR(__xludf.DUMMYFUNCTION("""COMPUTED_VALUE""")," গৃহিণী ")</f>
        <v> গৃহিণী </v>
      </c>
      <c r="I881" s="10" t="str">
        <f>IFERROR(__xludf.DUMMYFUNCTION("""COMPUTED_VALUE""")," জালশুকা, গাংনী, মেহেরপুর ")</f>
        <v> জালশুকা, গাংনী, মেহেরপুর </v>
      </c>
    </row>
    <row r="882">
      <c r="A882" s="9" t="s">
        <v>3576</v>
      </c>
      <c r="B882" s="10">
        <f>IFERROR(__xludf.DUMMYFUNCTION("SPLIT(A882,""|"")"),881.0)</f>
        <v>881</v>
      </c>
      <c r="C882" s="10" t="str">
        <f>IFERROR(__xludf.DUMMYFUNCTION("""COMPUTED_VALUE""")," মোছা: নিপা খাতুন ")</f>
        <v> মোছা: নিপা খাতুন </v>
      </c>
      <c r="D882" s="10">
        <f>IFERROR(__xludf.DUMMYFUNCTION("""COMPUTED_VALUE"""),5.70056544784E11)</f>
        <v>570056544784</v>
      </c>
      <c r="E882" s="10" t="str">
        <f>IFERROR(__xludf.DUMMYFUNCTION("""COMPUTED_VALUE""")," মো: মইহক আলী ")</f>
        <v> মো: মইহক আলী </v>
      </c>
      <c r="F882" s="10" t="str">
        <f>IFERROR(__xludf.DUMMYFUNCTION("""COMPUTED_VALUE""")," মৃত রহিন খাতুন ")</f>
        <v> মৃত রহিন খাতুন </v>
      </c>
      <c r="G882" s="10" t="str">
        <f>IFERROR(__xludf.DUMMYFUNCTION("""COMPUTED_VALUE""")," ০১/০১/২০০৭ ")</f>
        <v> ০১/০১/২০০৭ </v>
      </c>
      <c r="H882" s="10" t="str">
        <f>IFERROR(__xludf.DUMMYFUNCTION("""COMPUTED_VALUE""")," গৃহিণী ")</f>
        <v> গৃহিণী </v>
      </c>
      <c r="I882" s="10" t="str">
        <f>IFERROR(__xludf.DUMMYFUNCTION("""COMPUTED_VALUE""")," জালশুকা, গাংনী, মেহেরপুর ")</f>
        <v> জালশুকা, গাংনী, মেহেরপুর </v>
      </c>
    </row>
    <row r="883">
      <c r="A883" s="9" t="s">
        <v>3577</v>
      </c>
      <c r="B883" s="10">
        <f>IFERROR(__xludf.DUMMYFUNCTION("SPLIT(A883,""|"")"),882.0)</f>
        <v>882</v>
      </c>
      <c r="C883" s="10" t="str">
        <f>IFERROR(__xludf.DUMMYFUNCTION("""COMPUTED_VALUE""")," মোছা: শারমিন খাতুন ")</f>
        <v> মোছা: শারমিন খাতুন </v>
      </c>
      <c r="D883" s="10">
        <f>IFERROR(__xludf.DUMMYFUNCTION("""COMPUTED_VALUE"""),5.70056544785E11)</f>
        <v>570056544785</v>
      </c>
      <c r="E883" s="10" t="str">
        <f>IFERROR(__xludf.DUMMYFUNCTION("""COMPUTED_VALUE""")," মো: আবুল কাসেম ")</f>
        <v> মো: আবুল কাসেম </v>
      </c>
      <c r="F883" s="10" t="str">
        <f>IFERROR(__xludf.DUMMYFUNCTION("""COMPUTED_VALUE""")," মোছা: সাবিরন নেছা ")</f>
        <v> মোছা: সাবিরন নেছা </v>
      </c>
      <c r="G883" s="10" t="str">
        <f>IFERROR(__xludf.DUMMYFUNCTION("""COMPUTED_VALUE""")," ১৮/০১/২০০৪ ")</f>
        <v> ১৮/০১/২০০৪ </v>
      </c>
      <c r="H883" s="10" t="str">
        <f>IFERROR(__xludf.DUMMYFUNCTION("""COMPUTED_VALUE""")," গৃহিণী ")</f>
        <v> গৃহিণী </v>
      </c>
      <c r="I883" s="10" t="str">
        <f>IFERROR(__xludf.DUMMYFUNCTION("""COMPUTED_VALUE""")," জালশুকা, গাংনী, মেহেরপুর ")</f>
        <v> জালশুকা, গাংনী, মেহেরপুর </v>
      </c>
    </row>
    <row r="884">
      <c r="A884" s="9" t="s">
        <v>3578</v>
      </c>
      <c r="B884" s="10">
        <f>IFERROR(__xludf.DUMMYFUNCTION("SPLIT(A884,""|"")"),883.0)</f>
        <v>883</v>
      </c>
      <c r="C884" s="10" t="str">
        <f>IFERROR(__xludf.DUMMYFUNCTION("""COMPUTED_VALUE""")," মোছা: লাবনী খাতুন ")</f>
        <v> মোছা: লাবনী খাতুন </v>
      </c>
      <c r="D884" s="10">
        <f>IFERROR(__xludf.DUMMYFUNCTION("""COMPUTED_VALUE"""),5.70056544787E11)</f>
        <v>570056544787</v>
      </c>
      <c r="E884" s="10" t="str">
        <f>IFERROR(__xludf.DUMMYFUNCTION("""COMPUTED_VALUE""")," মো: হাজাদ আলী ")</f>
        <v> মো: হাজাদ আলী </v>
      </c>
      <c r="F884" s="10" t="str">
        <f>IFERROR(__xludf.DUMMYFUNCTION("""COMPUTED_VALUE""")," মোছা: মরজিনা খাতুন ")</f>
        <v> মোছা: মরজিনা খাতুন </v>
      </c>
      <c r="G884" s="10" t="str">
        <f>IFERROR(__xludf.DUMMYFUNCTION("""COMPUTED_VALUE""")," ০২/০১/২০০৫ ")</f>
        <v> ০২/০১/২০০৫ </v>
      </c>
      <c r="H884" s="10" t="str">
        <f>IFERROR(__xludf.DUMMYFUNCTION("""COMPUTED_VALUE""")," গৃহিণী ")</f>
        <v> গৃহিণী </v>
      </c>
      <c r="I884" s="10" t="str">
        <f>IFERROR(__xludf.DUMMYFUNCTION("""COMPUTED_VALUE""")," জালশুকা, গাংনী, মেহেরপুর ")</f>
        <v> জালশুকা, গাংনী, মেহেরপুর </v>
      </c>
    </row>
    <row r="885">
      <c r="A885" s="9" t="s">
        <v>3579</v>
      </c>
      <c r="B885" s="10">
        <f>IFERROR(__xludf.DUMMYFUNCTION("SPLIT(A885,""|"")"),884.0)</f>
        <v>884</v>
      </c>
      <c r="C885" s="10" t="str">
        <f>IFERROR(__xludf.DUMMYFUNCTION("""COMPUTED_VALUE""")," মুসলিমা আক্তার মায়া ")</f>
        <v> মুসলিমা আক্তার মায়া </v>
      </c>
      <c r="D885" s="10">
        <f>IFERROR(__xludf.DUMMYFUNCTION("""COMPUTED_VALUE"""),5.70056544788E11)</f>
        <v>570056544788</v>
      </c>
      <c r="E885" s="10" t="str">
        <f>IFERROR(__xludf.DUMMYFUNCTION("""COMPUTED_VALUE""")," মো: মোশারেফ হোসেন ")</f>
        <v> মো: মোশারেফ হোসেন </v>
      </c>
      <c r="F885" s="10" t="str">
        <f>IFERROR(__xludf.DUMMYFUNCTION("""COMPUTED_VALUE""")," মোছা: অলিয়া বেগম ")</f>
        <v> মোছা: অলিয়া বেগম </v>
      </c>
      <c r="G885" s="10" t="str">
        <f>IFERROR(__xludf.DUMMYFUNCTION("""COMPUTED_VALUE""")," ০১/০২/২০০৪ ")</f>
        <v> ০১/০২/২০০৪ </v>
      </c>
      <c r="H885" s="10" t="str">
        <f>IFERROR(__xludf.DUMMYFUNCTION("""COMPUTED_VALUE""")," গৃহিণী ")</f>
        <v> গৃহিণী </v>
      </c>
      <c r="I885" s="10" t="str">
        <f>IFERROR(__xludf.DUMMYFUNCTION("""COMPUTED_VALUE""")," জালশুকা, গাংনী, মেহেরপুর ")</f>
        <v> জালশুকা, গাংনী, মেহেরপুর </v>
      </c>
    </row>
    <row r="886">
      <c r="A886" s="9" t="s">
        <v>3580</v>
      </c>
      <c r="B886" s="10">
        <f>IFERROR(__xludf.DUMMYFUNCTION("SPLIT(A886,""|"")"),885.0)</f>
        <v>885</v>
      </c>
      <c r="C886" s="10" t="str">
        <f>IFERROR(__xludf.DUMMYFUNCTION("""COMPUTED_VALUE""")," মোছা: তাছনিয়া মেহজামিন ")</f>
        <v> মোছা: তাছনিয়া মেহজামিন </v>
      </c>
      <c r="D886" s="10">
        <f>IFERROR(__xludf.DUMMYFUNCTION("""COMPUTED_VALUE"""),5.70056544789E11)</f>
        <v>570056544789</v>
      </c>
      <c r="E886" s="10" t="str">
        <f>IFERROR(__xludf.DUMMYFUNCTION("""COMPUTED_VALUE""")," মো: আবু তাহের ")</f>
        <v> মো: আবু তাহের </v>
      </c>
      <c r="F886" s="10" t="str">
        <f>IFERROR(__xludf.DUMMYFUNCTION("""COMPUTED_VALUE""")," মোছা: মিতা খাতুন ")</f>
        <v> মোছা: মিতা খাতুন </v>
      </c>
      <c r="G886" s="10" t="str">
        <f>IFERROR(__xludf.DUMMYFUNCTION("""COMPUTED_VALUE""")," ২৯/০৮/২০০৩ ")</f>
        <v> ২৯/০৮/২০০৩ </v>
      </c>
      <c r="H886" s="10" t="str">
        <f>IFERROR(__xludf.DUMMYFUNCTION("""COMPUTED_VALUE""")," কৃষক ")</f>
        <v> কৃষক </v>
      </c>
      <c r="I886" s="10" t="str">
        <f>IFERROR(__xludf.DUMMYFUNCTION("""COMPUTED_VALUE""")," -, জালশুকা, গাংনী, মেহেরপুর ")</f>
        <v> -, জালশুকা, গাংনী, মেহেরপুর </v>
      </c>
    </row>
    <row r="887">
      <c r="A887" s="9" t="s">
        <v>3581</v>
      </c>
      <c r="B887" s="10">
        <f>IFERROR(__xludf.DUMMYFUNCTION("SPLIT(A887,""|"")"),886.0)</f>
        <v>886</v>
      </c>
      <c r="C887" s="10" t="str">
        <f>IFERROR(__xludf.DUMMYFUNCTION("""COMPUTED_VALUE""")," মোছা: ছনিয়া খাতুন ")</f>
        <v> মোছা: ছনিয়া খাতুন </v>
      </c>
      <c r="D887" s="10">
        <f>IFERROR(__xludf.DUMMYFUNCTION("""COMPUTED_VALUE"""),5.7005654479E11)</f>
        <v>570056544790</v>
      </c>
      <c r="E887" s="10" t="str">
        <f>IFERROR(__xludf.DUMMYFUNCTION("""COMPUTED_VALUE""")," মো: উসমান গনি ")</f>
        <v> মো: উসমান গনি </v>
      </c>
      <c r="F887" s="10" t="str">
        <f>IFERROR(__xludf.DUMMYFUNCTION("""COMPUTED_VALUE""")," মোছা: আল্লাদী খাতুন ")</f>
        <v> মোছা: আল্লাদী খাতুন </v>
      </c>
      <c r="G887" s="10" t="str">
        <f>IFERROR(__xludf.DUMMYFUNCTION("""COMPUTED_VALUE""")," ২৬/১০/২০০৪ ")</f>
        <v> ২৬/১০/২০০৪ </v>
      </c>
      <c r="H887" s="10" t="str">
        <f>IFERROR(__xludf.DUMMYFUNCTION("""COMPUTED_VALUE""")," গৃহিণী ")</f>
        <v> গৃহিণী </v>
      </c>
      <c r="I887" s="10" t="str">
        <f>IFERROR(__xludf.DUMMYFUNCTION("""COMPUTED_VALUE""")," জালশুকা, গাংনী, মেহেরপুর ")</f>
        <v> জালশুকা, গাংনী, মেহেরপুর </v>
      </c>
    </row>
    <row r="888">
      <c r="A888" s="9" t="s">
        <v>3582</v>
      </c>
      <c r="B888" s="10">
        <f>IFERROR(__xludf.DUMMYFUNCTION("SPLIT(A888,""|"")"),887.0)</f>
        <v>887</v>
      </c>
      <c r="C888" s="10" t="str">
        <f>IFERROR(__xludf.DUMMYFUNCTION("""COMPUTED_VALUE""")," মোছা: তাছলিমা খাতুন ")</f>
        <v> মোছা: তাছলিমা খাতুন </v>
      </c>
      <c r="D888" s="10">
        <f>IFERROR(__xludf.DUMMYFUNCTION("""COMPUTED_VALUE"""),5.70056544791E11)</f>
        <v>570056544791</v>
      </c>
      <c r="E888" s="10" t="str">
        <f>IFERROR(__xludf.DUMMYFUNCTION("""COMPUTED_VALUE""")," মো: ইউছুপ আলী ")</f>
        <v> মো: ইউছুপ আলী </v>
      </c>
      <c r="F888" s="10" t="str">
        <f>IFERROR(__xludf.DUMMYFUNCTION("""COMPUTED_VALUE""")," মোছা: অসুরা খাতুন ")</f>
        <v> মোছা: অসুরা খাতুন </v>
      </c>
      <c r="G888" s="10" t="str">
        <f>IFERROR(__xludf.DUMMYFUNCTION("""COMPUTED_VALUE""")," ১০/০২/২০০৩ ")</f>
        <v> ১০/০২/২০০৩ </v>
      </c>
      <c r="H888" s="10" t="str">
        <f>IFERROR(__xludf.DUMMYFUNCTION("""COMPUTED_VALUE""")," গৃহিণী ")</f>
        <v> গৃহিণী </v>
      </c>
      <c r="I888" s="10" t="str">
        <f>IFERROR(__xludf.DUMMYFUNCTION("""COMPUTED_VALUE""")," জালশুকা, গাংনী, মেহেরপুর ")</f>
        <v> জালশুকা, গাংনী, মেহেরপুর </v>
      </c>
    </row>
    <row r="889">
      <c r="A889" s="9" t="s">
        <v>3583</v>
      </c>
      <c r="B889" s="10">
        <f>IFERROR(__xludf.DUMMYFUNCTION("SPLIT(A889,""|"")"),888.0)</f>
        <v>888</v>
      </c>
      <c r="C889" s="10" t="str">
        <f>IFERROR(__xludf.DUMMYFUNCTION("""COMPUTED_VALUE""")," মোছা: ফাতেমা খাতুন ")</f>
        <v> মোছা: ফাতেমা খাতুন </v>
      </c>
      <c r="D889" s="10">
        <f>IFERROR(__xludf.DUMMYFUNCTION("""COMPUTED_VALUE"""),5.70056544793E11)</f>
        <v>570056544793</v>
      </c>
      <c r="E889" s="10" t="str">
        <f>IFERROR(__xludf.DUMMYFUNCTION("""COMPUTED_VALUE""")," মো: আব্দুর রহমান ")</f>
        <v> মো: আব্দুর রহমান </v>
      </c>
      <c r="F889" s="10" t="str">
        <f>IFERROR(__xludf.DUMMYFUNCTION("""COMPUTED_VALUE""")," মোছা: মাবিয়া বেগম ")</f>
        <v> মোছা: মাবিয়া বেগম </v>
      </c>
      <c r="G889" s="10" t="str">
        <f>IFERROR(__xludf.DUMMYFUNCTION("""COMPUTED_VALUE""")," ২০/১০/২০০৩ ")</f>
        <v> ২০/১০/২০০৩ </v>
      </c>
      <c r="H889" s="10" t="str">
        <f>IFERROR(__xludf.DUMMYFUNCTION("""COMPUTED_VALUE""")," গৃহিণী ")</f>
        <v> গৃহিণী </v>
      </c>
      <c r="I889" s="10" t="str">
        <f>IFERROR(__xludf.DUMMYFUNCTION("""COMPUTED_VALUE""")," জালশুকা, গাংনী, মেহেরপুর ")</f>
        <v> জালশুকা, গাংনী, মেহেরপুর </v>
      </c>
    </row>
    <row r="890">
      <c r="A890" s="9" t="s">
        <v>3584</v>
      </c>
      <c r="B890" s="10">
        <f>IFERROR(__xludf.DUMMYFUNCTION("SPLIT(A890,""|"")"),889.0)</f>
        <v>889</v>
      </c>
      <c r="C890" s="10" t="str">
        <f>IFERROR(__xludf.DUMMYFUNCTION("""COMPUTED_VALUE""")," মোছা: শাপলা খাতুন ")</f>
        <v> মোছা: শাপলা খাতুন </v>
      </c>
      <c r="D890" s="10">
        <f>IFERROR(__xludf.DUMMYFUNCTION("""COMPUTED_VALUE"""),5.70056544796E11)</f>
        <v>570056544796</v>
      </c>
      <c r="E890" s="10" t="str">
        <f>IFERROR(__xludf.DUMMYFUNCTION("""COMPUTED_VALUE""")," মৃত আলতাব হোসেন ")</f>
        <v> মৃত আলতাব হোসেন </v>
      </c>
      <c r="F890" s="10" t="str">
        <f>IFERROR(__xludf.DUMMYFUNCTION("""COMPUTED_VALUE""")," মোছা: জেসমিন আরা ")</f>
        <v> মোছা: জেসমিন আরা </v>
      </c>
      <c r="G890" s="10" t="str">
        <f>IFERROR(__xludf.DUMMYFUNCTION("""COMPUTED_VALUE""")," ১৭/০৩/১৯৯৯ ")</f>
        <v> ১৭/০৩/১৯৯৯ </v>
      </c>
      <c r="H890" s="10" t="str">
        <f>IFERROR(__xludf.DUMMYFUNCTION("""COMPUTED_VALUE""")," গৃহিণী ")</f>
        <v> গৃহিণী </v>
      </c>
      <c r="I890" s="10" t="str">
        <f>IFERROR(__xludf.DUMMYFUNCTION("""COMPUTED_VALUE""")," জালশুকা, গাংনী, মেহেরপুর ")</f>
        <v> জালশুকা, গাংনী, মেহেরপুর </v>
      </c>
    </row>
    <row r="891">
      <c r="A891" s="9" t="s">
        <v>3585</v>
      </c>
      <c r="B891" s="10">
        <f>IFERROR(__xludf.DUMMYFUNCTION("SPLIT(A891,""|"")"),890.0)</f>
        <v>890</v>
      </c>
      <c r="C891" s="10" t="str">
        <f>IFERROR(__xludf.DUMMYFUNCTION("""COMPUTED_VALUE""")," মোছা: তাছলিমা খাতুন ")</f>
        <v> মোছা: তাছলিমা খাতুন </v>
      </c>
      <c r="D891" s="10">
        <f>IFERROR(__xludf.DUMMYFUNCTION("""COMPUTED_VALUE"""),5.70056544797E11)</f>
        <v>570056544797</v>
      </c>
      <c r="E891" s="10" t="str">
        <f>IFERROR(__xludf.DUMMYFUNCTION("""COMPUTED_VALUE""")," মৃত আবুল হোসেন ")</f>
        <v> মৃত আবুল হোসেন </v>
      </c>
      <c r="F891" s="10" t="str">
        <f>IFERROR(__xludf.DUMMYFUNCTION("""COMPUTED_VALUE""")," মোছা: রহিমা খাতুন ")</f>
        <v> মোছা: রহিমা খাতুন </v>
      </c>
      <c r="G891" s="10" t="str">
        <f>IFERROR(__xludf.DUMMYFUNCTION("""COMPUTED_VALUE""")," ০২/০৪/১৯৮৭ ")</f>
        <v> ০২/০৪/১৯৮৭ </v>
      </c>
      <c r="H891" s="10" t="str">
        <f>IFERROR(__xludf.DUMMYFUNCTION("""COMPUTED_VALUE""")," গৃহিণী ")</f>
        <v> গৃহিণী </v>
      </c>
      <c r="I891" s="10" t="str">
        <f>IFERROR(__xludf.DUMMYFUNCTION("""COMPUTED_VALUE""")," জালশুকা, গাংনী, মেহেরপুর ")</f>
        <v> জালশুকা, গাংনী, মেহেরপুর </v>
      </c>
    </row>
    <row r="892">
      <c r="A892" s="9" t="s">
        <v>3586</v>
      </c>
      <c r="B892" s="10">
        <f>IFERROR(__xludf.DUMMYFUNCTION("SPLIT(A892,""|"")"),891.0)</f>
        <v>891</v>
      </c>
      <c r="C892" s="10" t="str">
        <f>IFERROR(__xludf.DUMMYFUNCTION("""COMPUTED_VALUE""")," মোছা: তানিয়া খাতুন ")</f>
        <v> মোছা: তানিয়া খাতুন </v>
      </c>
      <c r="D892" s="10">
        <f>IFERROR(__xludf.DUMMYFUNCTION("""COMPUTED_VALUE"""),5.70056544798E11)</f>
        <v>570056544798</v>
      </c>
      <c r="E892" s="10" t="str">
        <f>IFERROR(__xludf.DUMMYFUNCTION("""COMPUTED_VALUE""")," মো: ছাবের আলী ")</f>
        <v> মো: ছাবের আলী </v>
      </c>
      <c r="F892" s="10" t="str">
        <f>IFERROR(__xludf.DUMMYFUNCTION("""COMPUTED_VALUE""")," মোছা: পিরীতি খাতুন ")</f>
        <v> মোছা: পিরীতি খাতুন </v>
      </c>
      <c r="G892" s="10" t="str">
        <f>IFERROR(__xludf.DUMMYFUNCTION("""COMPUTED_VALUE""")," ০৪/০৬/২০০৫ ")</f>
        <v> ০৪/০৬/২০০৫ </v>
      </c>
      <c r="H892" s="10" t="str">
        <f>IFERROR(__xludf.DUMMYFUNCTION("""COMPUTED_VALUE""")," গৃহিণী ")</f>
        <v> গৃহিণী </v>
      </c>
      <c r="I892" s="10" t="str">
        <f>IFERROR(__xludf.DUMMYFUNCTION("""COMPUTED_VALUE""")," ধানখোলা, গাংনী, মেহেরপুর ")</f>
        <v> ধানখোলা, গাংনী, মেহেরপুর </v>
      </c>
    </row>
    <row r="893">
      <c r="A893" s="9" t="s">
        <v>3587</v>
      </c>
      <c r="B893" s="10">
        <f>IFERROR(__xludf.DUMMYFUNCTION("SPLIT(A893,""|"")"),892.0)</f>
        <v>892</v>
      </c>
      <c r="C893" s="10" t="str">
        <f>IFERROR(__xludf.DUMMYFUNCTION("""COMPUTED_VALUE""")," মোছা: লিমা খাতুন ")</f>
        <v> মোছা: লিমা খাতুন </v>
      </c>
      <c r="D893" s="10">
        <f>IFERROR(__xludf.DUMMYFUNCTION("""COMPUTED_VALUE"""),5.70056544799E11)</f>
        <v>570056544799</v>
      </c>
      <c r="E893" s="10" t="str">
        <f>IFERROR(__xludf.DUMMYFUNCTION("""COMPUTED_VALUE""")," মো: জিয়ারুল ")</f>
        <v> মো: জিয়ারুল </v>
      </c>
      <c r="F893" s="10" t="str">
        <f>IFERROR(__xludf.DUMMYFUNCTION("""COMPUTED_VALUE""")," মোছা: পপিয়া খাতুন ")</f>
        <v> মোছা: পপিয়া খাতুন </v>
      </c>
      <c r="G893" s="10" t="str">
        <f>IFERROR(__xludf.DUMMYFUNCTION("""COMPUTED_VALUE""")," ০১/০২/২০০৬ ")</f>
        <v> ০১/০২/২০০৬ </v>
      </c>
      <c r="H893" s="10" t="str">
        <f>IFERROR(__xludf.DUMMYFUNCTION("""COMPUTED_VALUE""")," ছাত্র/ছাত্রী ")</f>
        <v> ছাত্র/ছাত্রী </v>
      </c>
      <c r="I893" s="10" t="str">
        <f>IFERROR(__xludf.DUMMYFUNCTION("""COMPUTED_VALUE""")," জালশুকা, গাংনী, মেহেরপুর ")</f>
        <v> জালশুকা, গাংনী, মেহেরপুর </v>
      </c>
    </row>
    <row r="894">
      <c r="A894" s="9" t="s">
        <v>3588</v>
      </c>
      <c r="B894" s="10">
        <f>IFERROR(__xludf.DUMMYFUNCTION("SPLIT(A894,""|"")"),893.0)</f>
        <v>893</v>
      </c>
      <c r="C894" s="10" t="str">
        <f>IFERROR(__xludf.DUMMYFUNCTION("""COMPUTED_VALUE""")," মোছা: জান্নাতুল ফেরদৌস ")</f>
        <v> মোছা: জান্নাতুল ফেরদৌস </v>
      </c>
      <c r="D894" s="10">
        <f>IFERROR(__xludf.DUMMYFUNCTION("""COMPUTED_VALUE"""),5.700565448E11)</f>
        <v>570056544800</v>
      </c>
      <c r="E894" s="10" t="str">
        <f>IFERROR(__xludf.DUMMYFUNCTION("""COMPUTED_VALUE""")," মো: সাজেদুল ইসলাম ")</f>
        <v> মো: সাজেদুল ইসলাম </v>
      </c>
      <c r="F894" s="10" t="str">
        <f>IFERROR(__xludf.DUMMYFUNCTION("""COMPUTED_VALUE""")," মোছা: মনোয়ারা খাতুন ")</f>
        <v> মোছা: মনোয়ারা খাতুন </v>
      </c>
      <c r="G894" s="10" t="str">
        <f>IFERROR(__xludf.DUMMYFUNCTION("""COMPUTED_VALUE""")," ০৮/১০/২০০৫ ")</f>
        <v> ০৮/১০/২০০৫ </v>
      </c>
      <c r="H894" s="10" t="str">
        <f>IFERROR(__xludf.DUMMYFUNCTION("""COMPUTED_VALUE""")," গৃহিণী ")</f>
        <v> গৃহিণী </v>
      </c>
      <c r="I894" s="10" t="str">
        <f>IFERROR(__xludf.DUMMYFUNCTION("""COMPUTED_VALUE""")," জালশুকা, গাংনী, মেহেরপুর ")</f>
        <v> জালশুকা, গাংনী, মেহেরপুর </v>
      </c>
    </row>
    <row r="895">
      <c r="A895" s="9" t="s">
        <v>3589</v>
      </c>
      <c r="B895" s="10">
        <f>IFERROR(__xludf.DUMMYFUNCTION("SPLIT(A895,""|"")"),894.0)</f>
        <v>894</v>
      </c>
      <c r="C895" s="10" t="str">
        <f>IFERROR(__xludf.DUMMYFUNCTION("""COMPUTED_VALUE""")," মোছা: সুমাইয়া খাতুন ")</f>
        <v> মোছা: সুমাইয়া খাতুন </v>
      </c>
      <c r="D895" s="10">
        <f>IFERROR(__xludf.DUMMYFUNCTION("""COMPUTED_VALUE"""),5.70056544801E11)</f>
        <v>570056544801</v>
      </c>
      <c r="E895" s="10" t="str">
        <f>IFERROR(__xludf.DUMMYFUNCTION("""COMPUTED_VALUE""")," মো: জমিরুল ইসলাম ")</f>
        <v> মো: জমিরুল ইসলাম </v>
      </c>
      <c r="F895" s="10" t="str">
        <f>IFERROR(__xludf.DUMMYFUNCTION("""COMPUTED_VALUE""")," মোছা: মুর্শিদা খাতুন ")</f>
        <v> মোছা: মুর্শিদা খাতুন </v>
      </c>
      <c r="G895" s="10" t="str">
        <f>IFERROR(__xludf.DUMMYFUNCTION("""COMPUTED_VALUE""")," ০১/০১/২০০১ ")</f>
        <v> ০১/০১/২০০১ </v>
      </c>
      <c r="H895" s="10" t="str">
        <f>IFERROR(__xludf.DUMMYFUNCTION("""COMPUTED_VALUE""")," ছাত্র/ছাত্রী ")</f>
        <v> ছাত্র/ছাত্রী </v>
      </c>
      <c r="I895" s="10" t="str">
        <f>IFERROR(__xludf.DUMMYFUNCTION("""COMPUTED_VALUE""")," জালশুকা, গাংনী, মেহেরপুর ")</f>
        <v> জালশুকা, গাংনী, মেহেরপুর </v>
      </c>
    </row>
    <row r="896">
      <c r="A896" s="9" t="s">
        <v>3590</v>
      </c>
      <c r="B896" s="10">
        <f>IFERROR(__xludf.DUMMYFUNCTION("SPLIT(A896,""|"")"),895.0)</f>
        <v>895</v>
      </c>
      <c r="C896" s="10" t="str">
        <f>IFERROR(__xludf.DUMMYFUNCTION("""COMPUTED_VALUE""")," মোছা: কুরছিয়া খাতুন ")</f>
        <v> মোছা: কুরছিয়া খাতুন </v>
      </c>
      <c r="D896" s="10">
        <f>IFERROR(__xludf.DUMMYFUNCTION("""COMPUTED_VALUE"""),5.70056544806E11)</f>
        <v>570056544806</v>
      </c>
      <c r="E896" s="10" t="str">
        <f>IFERROR(__xludf.DUMMYFUNCTION("""COMPUTED_VALUE""")," মো: রমজান আলী ")</f>
        <v> মো: রমজান আলী </v>
      </c>
      <c r="F896" s="10" t="str">
        <f>IFERROR(__xludf.DUMMYFUNCTION("""COMPUTED_VALUE""")," মোছা: রেখা খাতুন ")</f>
        <v> মোছা: রেখা খাতুন </v>
      </c>
      <c r="G896" s="10" t="str">
        <f>IFERROR(__xludf.DUMMYFUNCTION("""COMPUTED_VALUE""")," ০১/০৫/২০০৪ ")</f>
        <v> ০১/০৫/২০০৪ </v>
      </c>
      <c r="H896" s="10" t="str">
        <f>IFERROR(__xludf.DUMMYFUNCTION("""COMPUTED_VALUE""")," ছাত্র/ছাত্রী ")</f>
        <v> ছাত্র/ছাত্রী </v>
      </c>
      <c r="I896" s="10" t="str">
        <f>IFERROR(__xludf.DUMMYFUNCTION("""COMPUTED_VALUE""")," জালশুকা, গাংনী, মেহেরপুর ")</f>
        <v> জালশুকা, গাংনী, মেহেরপুর </v>
      </c>
    </row>
    <row r="897">
      <c r="A897" s="9" t="s">
        <v>3591</v>
      </c>
      <c r="B897" s="10">
        <f>IFERROR(__xludf.DUMMYFUNCTION("SPLIT(A897,""|"")"),896.0)</f>
        <v>896</v>
      </c>
      <c r="C897" s="10" t="str">
        <f>IFERROR(__xludf.DUMMYFUNCTION("""COMPUTED_VALUE""")," খাদেজা ")</f>
        <v> খাদেজা </v>
      </c>
      <c r="D897" s="10">
        <f>IFERROR(__xludf.DUMMYFUNCTION("""COMPUTED_VALUE"""),5.70056544847E11)</f>
        <v>570056544847</v>
      </c>
      <c r="E897" s="10" t="str">
        <f>IFERROR(__xludf.DUMMYFUNCTION("""COMPUTED_VALUE""")," মো: সিরাজ ")</f>
        <v> মো: সিরাজ </v>
      </c>
      <c r="F897" s="10" t="str">
        <f>IFERROR(__xludf.DUMMYFUNCTION("""COMPUTED_VALUE""")," মাজেদা ")</f>
        <v> মাজেদা </v>
      </c>
      <c r="G897" s="10" t="str">
        <f>IFERROR(__xludf.DUMMYFUNCTION("""COMPUTED_VALUE""")," ১১/১০/১৯৮৭ ")</f>
        <v> ১১/১০/১৯৮৭ </v>
      </c>
      <c r="H897" s="10" t="str">
        <f>IFERROR(__xludf.DUMMYFUNCTION("""COMPUTED_VALUE""")," গৃহিণী ")</f>
        <v> গৃহিণী </v>
      </c>
      <c r="I897" s="10" t="str">
        <f>IFERROR(__xludf.DUMMYFUNCTION("""COMPUTED_VALUE""")," জালশুকা, গাংনী, মেহেরপুর ")</f>
        <v> জালশুকা, গাংনী, মেহেরপুর </v>
      </c>
    </row>
    <row r="898">
      <c r="A898" s="9" t="s">
        <v>3592</v>
      </c>
      <c r="B898" s="10">
        <f>IFERROR(__xludf.DUMMYFUNCTION("SPLIT(A898,""|"")"),897.0)</f>
        <v>897</v>
      </c>
      <c r="C898" s="10" t="str">
        <f>IFERROR(__xludf.DUMMYFUNCTION("""COMPUTED_VALUE""")," মোছা: শারমিন আক্তার ")</f>
        <v> মোছা: শারমিন আক্তার </v>
      </c>
      <c r="D898" s="10">
        <f>IFERROR(__xludf.DUMMYFUNCTION("""COMPUTED_VALUE"""),5.70056544802E11)</f>
        <v>570056544802</v>
      </c>
      <c r="E898" s="10" t="str">
        <f>IFERROR(__xludf.DUMMYFUNCTION("""COMPUTED_VALUE""")," মো: শপিত মিয়িা ")</f>
        <v> মো: শপিত মিয়িা </v>
      </c>
      <c r="F898" s="10" t="str">
        <f>IFERROR(__xludf.DUMMYFUNCTION("""COMPUTED_VALUE""")," মোছা: জামিরান বেগম ")</f>
        <v> মোছা: জামিরান বেগম </v>
      </c>
      <c r="G898" s="10" t="str">
        <f>IFERROR(__xludf.DUMMYFUNCTION("""COMPUTED_VALUE""")," ০৩/০২/২০০২ ")</f>
        <v> ০৩/০২/২০০২ </v>
      </c>
      <c r="H898" s="10" t="str">
        <f>IFERROR(__xludf.DUMMYFUNCTION("""COMPUTED_VALUE""")," বেকার ")</f>
        <v> বেকার </v>
      </c>
      <c r="I898" s="10" t="str">
        <f>IFERROR(__xludf.DUMMYFUNCTION("""COMPUTED_VALUE""")," জালশুকা, গাংনী, মেহেরপুর ")</f>
        <v> জালশুকা, গাংনী, মেহেরপুর </v>
      </c>
    </row>
    <row r="899">
      <c r="A899" s="9" t="s">
        <v>3593</v>
      </c>
      <c r="B899" s="10">
        <f>IFERROR(__xludf.DUMMYFUNCTION("SPLIT(A899,""|"")"),898.0)</f>
        <v>898</v>
      </c>
      <c r="C899" s="10" t="str">
        <f>IFERROR(__xludf.DUMMYFUNCTION("""COMPUTED_VALUE""")," ফলি খাতুন ")</f>
        <v> ফলি খাতুন </v>
      </c>
      <c r="D899" s="10">
        <f>IFERROR(__xludf.DUMMYFUNCTION("""COMPUTED_VALUE"""),5.70056544839E11)</f>
        <v>570056544839</v>
      </c>
      <c r="E899" s="10" t="str">
        <f>IFERROR(__xludf.DUMMYFUNCTION("""COMPUTED_VALUE""")," খলিল ")</f>
        <v> খলিল </v>
      </c>
      <c r="F899" s="10" t="str">
        <f>IFERROR(__xludf.DUMMYFUNCTION("""COMPUTED_VALUE""")," সাহানারা ")</f>
        <v> সাহানারা </v>
      </c>
      <c r="G899" s="10" t="str">
        <f>IFERROR(__xludf.DUMMYFUNCTION("""COMPUTED_VALUE""")," ০৯/০৭/১৯৮৮ ")</f>
        <v> ০৯/০৭/১৯৮৮ </v>
      </c>
      <c r="H899" s="10" t="str">
        <f>IFERROR(__xludf.DUMMYFUNCTION("""COMPUTED_VALUE""")," গৃহিণী ")</f>
        <v> গৃহিণী </v>
      </c>
      <c r="I899" s="10" t="str">
        <f>IFERROR(__xludf.DUMMYFUNCTION("""COMPUTED_VALUE""")," ৮৯১, জালশুকা, গাংনী, মেহেরপুর ")</f>
        <v> ৮৯১, জালশুকা, গাংনী, মেহেরপুর </v>
      </c>
    </row>
    <row r="900">
      <c r="A900" s="9" t="s">
        <v>3594</v>
      </c>
      <c r="B900" s="10">
        <f>IFERROR(__xludf.DUMMYFUNCTION("SPLIT(A900,""|"")"),899.0)</f>
        <v>899</v>
      </c>
      <c r="C900" s="10" t="str">
        <f>IFERROR(__xludf.DUMMYFUNCTION("""COMPUTED_VALUE""")," মোছা: রিনা খাতুন ")</f>
        <v> মোছা: রিনা খাতুন </v>
      </c>
      <c r="D900" s="10">
        <f>IFERROR(__xludf.DUMMYFUNCTION("""COMPUTED_VALUE"""),5.70056544814E11)</f>
        <v>570056544814</v>
      </c>
      <c r="E900" s="10" t="str">
        <f>IFERROR(__xludf.DUMMYFUNCTION("""COMPUTED_VALUE""")," মো: কাশেম জোয়ার্দ্দার ")</f>
        <v> মো: কাশেম জোয়ার্দ্দার </v>
      </c>
      <c r="F900" s="10" t="str">
        <f>IFERROR(__xludf.DUMMYFUNCTION("""COMPUTED_VALUE""")," মোছা: রোকিয়া খাতুন ")</f>
        <v> মোছা: রোকিয়া খাতুন </v>
      </c>
      <c r="G900" s="10" t="str">
        <f>IFERROR(__xludf.DUMMYFUNCTION("""COMPUTED_VALUE""")," ০৮/০২/১৯৭০ ")</f>
        <v> ০৮/০২/১৯৭০ </v>
      </c>
      <c r="H900" s="10" t="str">
        <f>IFERROR(__xludf.DUMMYFUNCTION("""COMPUTED_VALUE""")," গৃহিণী ")</f>
        <v> গৃহিণী </v>
      </c>
      <c r="I900" s="10" t="str">
        <f>IFERROR(__xludf.DUMMYFUNCTION("""COMPUTED_VALUE""")," জালশুকা, গাংনী, মেহেরপুর ")</f>
        <v> জালশুকা, গাংনী, মেহেরপুর </v>
      </c>
    </row>
    <row r="901">
      <c r="A901" s="9" t="s">
        <v>3595</v>
      </c>
      <c r="B901" s="10">
        <f>IFERROR(__xludf.DUMMYFUNCTION("SPLIT(A901,""|"")"),900.0)</f>
        <v>900</v>
      </c>
      <c r="C901" s="10" t="str">
        <f>IFERROR(__xludf.DUMMYFUNCTION("""COMPUTED_VALUE""")," মোছা: বিউটিয়ারা খাতুন ")</f>
        <v> মোছা: বিউটিয়ারা খাতুন </v>
      </c>
      <c r="D901" s="10">
        <f>IFERROR(__xludf.DUMMYFUNCTION("""COMPUTED_VALUE"""),5.700566000378E12)</f>
        <v>5700566000378</v>
      </c>
      <c r="E901" s="10" t="str">
        <f>IFERROR(__xludf.DUMMYFUNCTION("""COMPUTED_VALUE""")," মো: খলিলুর রহমান ")</f>
        <v> মো: খলিলুর রহমান </v>
      </c>
      <c r="F901" s="10" t="str">
        <f>IFERROR(__xludf.DUMMYFUNCTION("""COMPUTED_VALUE""")," মোছা: শাহানারা খাতুন ")</f>
        <v> মোছা: শাহানারা খাতুন </v>
      </c>
      <c r="G901" s="10" t="str">
        <f>IFERROR(__xludf.DUMMYFUNCTION("""COMPUTED_VALUE""")," ০৭/০৩/১৯৯৭ ")</f>
        <v> ০৭/০৩/১৯৯৭ </v>
      </c>
      <c r="H901" s="10" t="str">
        <f>IFERROR(__xludf.DUMMYFUNCTION("""COMPUTED_VALUE""")," পাগল ")</f>
        <v> পাগল </v>
      </c>
      <c r="I901" s="10" t="str">
        <f>IFERROR(__xludf.DUMMYFUNCTION("""COMPUTED_VALUE""")," জালশুকা, গাংনী, মেহেরপুর ")</f>
        <v> জালশুকা, গাংনী, মেহেরপুর </v>
      </c>
    </row>
    <row r="902">
      <c r="A902" s="9" t="s">
        <v>3596</v>
      </c>
      <c r="B902" s="10">
        <f>IFERROR(__xludf.DUMMYFUNCTION("SPLIT(A902,""|"")"),901.0)</f>
        <v>901</v>
      </c>
      <c r="C902" s="10" t="str">
        <f>IFERROR(__xludf.DUMMYFUNCTION("""COMPUTED_VALUE""")," মোছা: আখি খাতুন ")</f>
        <v> মোছা: আখি খাতুন </v>
      </c>
      <c r="D902" s="10">
        <f>IFERROR(__xludf.DUMMYFUNCTION("""COMPUTED_VALUE"""),5.700566000549E12)</f>
        <v>5700566000549</v>
      </c>
      <c r="E902" s="10" t="str">
        <f>IFERROR(__xludf.DUMMYFUNCTION("""COMPUTED_VALUE""")," মো: আশরাফুল ইসলাম ")</f>
        <v> মো: আশরাফুল ইসলাম </v>
      </c>
      <c r="F902" s="10" t="str">
        <f>IFERROR(__xludf.DUMMYFUNCTION("""COMPUTED_VALUE""")," মোছা: মুসলিমা খাতুন ")</f>
        <v> মোছা: মুসলিমা খাতুন </v>
      </c>
      <c r="G902" s="10" t="str">
        <f>IFERROR(__xludf.DUMMYFUNCTION("""COMPUTED_VALUE""")," ০৬/০৪/২০০৭ ")</f>
        <v> ০৬/০৪/২০০৭ </v>
      </c>
      <c r="H902" s="10" t="str">
        <f>IFERROR(__xludf.DUMMYFUNCTION("""COMPUTED_VALUE""")," ছাত্র/ছাত্রী ")</f>
        <v> ছাত্র/ছাত্রী </v>
      </c>
      <c r="I902" s="10" t="str">
        <f>IFERROR(__xludf.DUMMYFUNCTION("""COMPUTED_VALUE""")," জালশুকা, গাংনী, মেহেরপুর ")</f>
        <v> জালশুকা, গাংনী, মেহেরপুর </v>
      </c>
    </row>
    <row r="903">
      <c r="A903" s="9" t="s">
        <v>3597</v>
      </c>
      <c r="B903" s="10">
        <f>IFERROR(__xludf.DUMMYFUNCTION("SPLIT(A903,""|"")"),902.0)</f>
        <v>902</v>
      </c>
      <c r="C903" s="10" t="str">
        <f>IFERROR(__xludf.DUMMYFUNCTION("""COMPUTED_VALUE""")," মোছা: মেরিনা ")</f>
        <v> মোছা: মেরিনা </v>
      </c>
      <c r="D903" s="10">
        <f>IFERROR(__xludf.DUMMYFUNCTION("""COMPUTED_VALUE"""),5.700566000553E12)</f>
        <v>5700566000553</v>
      </c>
      <c r="E903" s="10" t="str">
        <f>IFERROR(__xludf.DUMMYFUNCTION("""COMPUTED_VALUE""")," মো: জিয়ারুর রহমান ")</f>
        <v> মো: জিয়ারুর রহমান </v>
      </c>
      <c r="F903" s="10" t="str">
        <f>IFERROR(__xludf.DUMMYFUNCTION("""COMPUTED_VALUE""")," মোছা: হানিফা খাতুন ")</f>
        <v> মোছা: হানিফা খাতুন </v>
      </c>
      <c r="G903" s="10" t="str">
        <f>IFERROR(__xludf.DUMMYFUNCTION("""COMPUTED_VALUE""")," ০৫/০৩/২০০৭ ")</f>
        <v> ০৫/০৩/২০০৭ </v>
      </c>
      <c r="H903" s="10" t="str">
        <f>IFERROR(__xludf.DUMMYFUNCTION("""COMPUTED_VALUE""")," গৃহিণী ")</f>
        <v> গৃহিণী </v>
      </c>
      <c r="I903" s="10" t="str">
        <f>IFERROR(__xludf.DUMMYFUNCTION("""COMPUTED_VALUE""")," জালশুকা, গাংনী, মেহেরপুর ")</f>
        <v> জালশুকা, গাংনী, মেহেরপুর </v>
      </c>
    </row>
    <row r="904">
      <c r="A904" s="9" t="s">
        <v>3598</v>
      </c>
      <c r="B904" s="10">
        <f>IFERROR(__xludf.DUMMYFUNCTION("SPLIT(A904,""|"")"),903.0)</f>
        <v>903</v>
      </c>
      <c r="C904" s="10" t="str">
        <f>IFERROR(__xludf.DUMMYFUNCTION("""COMPUTED_VALUE""")," মোছা: মনিকা ")</f>
        <v> মোছা: মনিকা </v>
      </c>
      <c r="D904" s="10">
        <f>IFERROR(__xludf.DUMMYFUNCTION("""COMPUTED_VALUE"""),5.700566000554E12)</f>
        <v>5700566000554</v>
      </c>
      <c r="E904" s="10" t="str">
        <f>IFERROR(__xludf.DUMMYFUNCTION("""COMPUTED_VALUE""")," মো: আব্দুল লতিফ ")</f>
        <v> মো: আব্দুল লতিফ </v>
      </c>
      <c r="F904" s="10" t="str">
        <f>IFERROR(__xludf.DUMMYFUNCTION("""COMPUTED_VALUE""")," মোছা: মনোয়ারা খাতুন ")</f>
        <v> মোছা: মনোয়ারা খাতুন </v>
      </c>
      <c r="G904" s="10" t="str">
        <f>IFERROR(__xludf.DUMMYFUNCTION("""COMPUTED_VALUE""")," ০৫/০৬/২০০৭ ")</f>
        <v> ০৫/০৬/২০০৭ </v>
      </c>
      <c r="H904" s="10" t="str">
        <f>IFERROR(__xludf.DUMMYFUNCTION("""COMPUTED_VALUE""")," গৃহিণী ")</f>
        <v> গৃহিণী </v>
      </c>
      <c r="I904" s="10" t="str">
        <f>IFERROR(__xludf.DUMMYFUNCTION("""COMPUTED_VALUE""")," জালশুকা, গাংনী, মেহেরপুর ")</f>
        <v> জালশুকা, গাংনী, মেহেরপুর </v>
      </c>
    </row>
    <row r="905">
      <c r="A905" s="9" t="s">
        <v>3599</v>
      </c>
      <c r="B905" s="10">
        <f>IFERROR(__xludf.DUMMYFUNCTION("SPLIT(A905,""|"")"),904.0)</f>
        <v>904</v>
      </c>
      <c r="C905" s="10" t="str">
        <f>IFERROR(__xludf.DUMMYFUNCTION("""COMPUTED_VALUE""")," মোছা: আছিয়া খাতুন ")</f>
        <v> মোছা: আছিয়া খাতুন </v>
      </c>
      <c r="D905" s="10">
        <f>IFERROR(__xludf.DUMMYFUNCTION("""COMPUTED_VALUE"""),5.700566000555E12)</f>
        <v>5700566000555</v>
      </c>
      <c r="E905" s="10" t="str">
        <f>IFERROR(__xludf.DUMMYFUNCTION("""COMPUTED_VALUE""")," মো: মহিবুল ")</f>
        <v> মো: মহিবুল </v>
      </c>
      <c r="F905" s="10" t="str">
        <f>IFERROR(__xludf.DUMMYFUNCTION("""COMPUTED_VALUE""")," মোছা: মমতাজ খাতুন ")</f>
        <v> মোছা: মমতাজ খাতুন </v>
      </c>
      <c r="G905" s="10" t="str">
        <f>IFERROR(__xludf.DUMMYFUNCTION("""COMPUTED_VALUE""")," ১৭/০১/২০০৭ ")</f>
        <v> ১৭/০১/২০০৭ </v>
      </c>
      <c r="H905" s="10" t="str">
        <f>IFERROR(__xludf.DUMMYFUNCTION("""COMPUTED_VALUE""")," ছাত্র/ছাত্রী ")</f>
        <v> ছাত্র/ছাত্রী </v>
      </c>
      <c r="I905" s="10" t="str">
        <f>IFERROR(__xludf.DUMMYFUNCTION("""COMPUTED_VALUE""")," জালশুকা, গাংনী, মেহেরপুর ")</f>
        <v> জালশুকা, গাংনী, মেহেরপুর </v>
      </c>
    </row>
    <row r="906">
      <c r="A906" s="9" t="s">
        <v>3600</v>
      </c>
      <c r="B906" s="10">
        <f>IFERROR(__xludf.DUMMYFUNCTION("SPLIT(A906,""|"")"),905.0)</f>
        <v>905</v>
      </c>
      <c r="C906" s="10" t="str">
        <f>IFERROR(__xludf.DUMMYFUNCTION("""COMPUTED_VALUE""")," মোছা: সাগরী খাতুন ")</f>
        <v> মোছা: সাগরী খাতুন </v>
      </c>
      <c r="D906" s="10">
        <f>IFERROR(__xludf.DUMMYFUNCTION("""COMPUTED_VALUE"""),5.700566000557E12)</f>
        <v>5700566000557</v>
      </c>
      <c r="E906" s="10" t="str">
        <f>IFERROR(__xludf.DUMMYFUNCTION("""COMPUTED_VALUE""")," মো: সাহাজান আলী ")</f>
        <v> মো: সাহাজান আলী </v>
      </c>
      <c r="F906" s="10" t="str">
        <f>IFERROR(__xludf.DUMMYFUNCTION("""COMPUTED_VALUE""")," মোছা: রাফেজা খাতুন ")</f>
        <v> মোছা: রাফেজা খাতুন </v>
      </c>
      <c r="G906" s="10" t="str">
        <f>IFERROR(__xludf.DUMMYFUNCTION("""COMPUTED_VALUE""")," ১৪/০৮/২০০৭ ")</f>
        <v> ১৪/০৮/২০০৭ </v>
      </c>
      <c r="H906" s="10" t="str">
        <f>IFERROR(__xludf.DUMMYFUNCTION("""COMPUTED_VALUE""")," গৃহিণী ")</f>
        <v> গৃহিণী </v>
      </c>
      <c r="I906" s="10" t="str">
        <f>IFERROR(__xludf.DUMMYFUNCTION("""COMPUTED_VALUE""")," জালশুকা, গাংনী, মেহেরপুর ")</f>
        <v> জালশুকা, গাংনী, মেহেরপুর </v>
      </c>
    </row>
    <row r="907">
      <c r="A907" s="9" t="s">
        <v>3601</v>
      </c>
      <c r="B907" s="10">
        <f>IFERROR(__xludf.DUMMYFUNCTION("SPLIT(A907,""|"")"),906.0)</f>
        <v>906</v>
      </c>
      <c r="C907" s="10" t="str">
        <f>IFERROR(__xludf.DUMMYFUNCTION("""COMPUTED_VALUE""")," মোছা: আনিকা খাতুন ")</f>
        <v> মোছা: আনিকা খাতুন </v>
      </c>
      <c r="D907" s="10">
        <f>IFERROR(__xludf.DUMMYFUNCTION("""COMPUTED_VALUE"""),5.700566000561E12)</f>
        <v>5700566000561</v>
      </c>
      <c r="E907" s="10" t="str">
        <f>IFERROR(__xludf.DUMMYFUNCTION("""COMPUTED_VALUE""")," মো: রমজান আলী ")</f>
        <v> মো: রমজান আলী </v>
      </c>
      <c r="F907" s="10" t="str">
        <f>IFERROR(__xludf.DUMMYFUNCTION("""COMPUTED_VALUE""")," মোছা: রেখা খাতুন ")</f>
        <v> মোছা: রেখা খাতুন </v>
      </c>
      <c r="G907" s="10" t="str">
        <f>IFERROR(__xludf.DUMMYFUNCTION("""COMPUTED_VALUE""")," ০১/০৮/২০০৭ ")</f>
        <v> ০১/০৮/২০০৭ </v>
      </c>
      <c r="H907" s="10" t="str">
        <f>IFERROR(__xludf.DUMMYFUNCTION("""COMPUTED_VALUE""")," গৃহিণী ")</f>
        <v> গৃহিণী </v>
      </c>
      <c r="I907" s="10" t="str">
        <f>IFERROR(__xludf.DUMMYFUNCTION("""COMPUTED_VALUE""")," জালশুকা, গাংনী, মেহেরপুর ")</f>
        <v> জালশুকা, গাংনী, মেহেরপুর </v>
      </c>
    </row>
    <row r="908">
      <c r="A908" s="9" t="s">
        <v>3602</v>
      </c>
      <c r="B908" s="10">
        <f>IFERROR(__xludf.DUMMYFUNCTION("SPLIT(A908,""|"")"),907.0)</f>
        <v>907</v>
      </c>
      <c r="C908" s="10" t="str">
        <f>IFERROR(__xludf.DUMMYFUNCTION("""COMPUTED_VALUE""")," মোছা: সুরভী আক্তার ")</f>
        <v> মোছা: সুরভী আক্তার </v>
      </c>
      <c r="D908" s="10">
        <f>IFERROR(__xludf.DUMMYFUNCTION("""COMPUTED_VALUE"""),5.70056544811E11)</f>
        <v>570056544811</v>
      </c>
      <c r="E908" s="10" t="str">
        <f>IFERROR(__xludf.DUMMYFUNCTION("""COMPUTED_VALUE""")," মো: বাবুল আক্তার ")</f>
        <v> মো: বাবুল আক্তার </v>
      </c>
      <c r="F908" s="10" t="str">
        <f>IFERROR(__xludf.DUMMYFUNCTION("""COMPUTED_VALUE""")," মোছা: মাজেদা খাতুন ")</f>
        <v> মোছা: মাজেদা খাতুন </v>
      </c>
      <c r="G908" s="10" t="str">
        <f>IFERROR(__xludf.DUMMYFUNCTION("""COMPUTED_VALUE""")," ১১/১২/২০০৪ ")</f>
        <v> ১১/১২/২০০৪ </v>
      </c>
      <c r="H908" s="10" t="str">
        <f>IFERROR(__xludf.DUMMYFUNCTION("""COMPUTED_VALUE""")," গৃহিণী ")</f>
        <v> গৃহিণী </v>
      </c>
      <c r="I908" s="10" t="str">
        <f>IFERROR(__xludf.DUMMYFUNCTION("""COMPUTED_VALUE""")," জালশুকা, গাংনী, মেহেরপুর ")</f>
        <v> জালশুকা, গাংনী, মেহেরপুর </v>
      </c>
    </row>
    <row r="909">
      <c r="A909" s="9" t="s">
        <v>3603</v>
      </c>
      <c r="B909" s="10">
        <f>IFERROR(__xludf.DUMMYFUNCTION("SPLIT(A909,""|"")"),908.0)</f>
        <v>908</v>
      </c>
      <c r="C909" s="10" t="str">
        <f>IFERROR(__xludf.DUMMYFUNCTION("""COMPUTED_VALUE""")," মোছা: পিংকি মালা ")</f>
        <v> মোছা: পিংকি মালা </v>
      </c>
      <c r="D909" s="10">
        <f>IFERROR(__xludf.DUMMYFUNCTION("""COMPUTED_VALUE"""),5.70056544816E11)</f>
        <v>570056544816</v>
      </c>
      <c r="E909" s="10" t="str">
        <f>IFERROR(__xludf.DUMMYFUNCTION("""COMPUTED_VALUE""")," মো: মহিবুল হক ")</f>
        <v> মো: মহিবুল হক </v>
      </c>
      <c r="F909" s="10" t="str">
        <f>IFERROR(__xludf.DUMMYFUNCTION("""COMPUTED_VALUE""")," মোছা: ছাবিনা খাতুন ")</f>
        <v> মোছা: ছাবিনা খাতুন </v>
      </c>
      <c r="G909" s="10" t="str">
        <f>IFERROR(__xludf.DUMMYFUNCTION("""COMPUTED_VALUE""")," ৩০/১২/২০০৬ ")</f>
        <v> ৩০/১২/২০০৬ </v>
      </c>
      <c r="H909" s="10" t="str">
        <f>IFERROR(__xludf.DUMMYFUNCTION("""COMPUTED_VALUE""")," গৃহিণী ")</f>
        <v> গৃহিণী </v>
      </c>
      <c r="I909" s="10" t="str">
        <f>IFERROR(__xludf.DUMMYFUNCTION("""COMPUTED_VALUE""")," জালশুকা, গাংনী, মেহেরপুর ")</f>
        <v> জালশুকা, গাংনী, মেহেরপুর </v>
      </c>
    </row>
    <row r="910">
      <c r="A910" s="9" t="s">
        <v>3604</v>
      </c>
      <c r="B910" s="10">
        <f>IFERROR(__xludf.DUMMYFUNCTION("SPLIT(A910,""|"")"),909.0)</f>
        <v>909</v>
      </c>
      <c r="C910" s="10" t="str">
        <f>IFERROR(__xludf.DUMMYFUNCTION("""COMPUTED_VALUE""")," মিনারা ")</f>
        <v> মিনারা </v>
      </c>
      <c r="D910" s="10">
        <f>IFERROR(__xludf.DUMMYFUNCTION("""COMPUTED_VALUE"""),5.7005654482E11)</f>
        <v>570056544820</v>
      </c>
      <c r="E910" s="10" t="str">
        <f>IFERROR(__xludf.DUMMYFUNCTION("""COMPUTED_VALUE""")," তাহের ")</f>
        <v> তাহের </v>
      </c>
      <c r="F910" s="10" t="str">
        <f>IFERROR(__xludf.DUMMYFUNCTION("""COMPUTED_VALUE""")," ছাদিকুন ")</f>
        <v> ছাদিকুন </v>
      </c>
      <c r="G910" s="10" t="str">
        <f>IFERROR(__xludf.DUMMYFUNCTION("""COMPUTED_VALUE""")," ১১/০৯/১৯৮৬ ")</f>
        <v> ১১/০৯/১৯৮৬ </v>
      </c>
      <c r="H910" s="10" t="str">
        <f>IFERROR(__xludf.DUMMYFUNCTION("""COMPUTED_VALUE""")," গৃহিণী ")</f>
        <v> গৃহিণী </v>
      </c>
      <c r="I910" s="10" t="str">
        <f>IFERROR(__xludf.DUMMYFUNCTION("""COMPUTED_VALUE""")," ৯০৩, জালশুকা, গাংনী, মেহেরপুর ")</f>
        <v> ৯০৩, জালশুকা, গাংনী, মেহেরপুর </v>
      </c>
    </row>
    <row r="911">
      <c r="A911" s="9" t="s">
        <v>3605</v>
      </c>
      <c r="B911" s="10">
        <f>IFERROR(__xludf.DUMMYFUNCTION("SPLIT(A911,""|"")"),910.0)</f>
        <v>910</v>
      </c>
      <c r="C911" s="10" t="str">
        <f>IFERROR(__xludf.DUMMYFUNCTION("""COMPUTED_VALUE""")," মোছা: রুকাইয়া খাতুন ")</f>
        <v> মোছা: রুকাইয়া খাতুন </v>
      </c>
      <c r="D911" s="10">
        <f>IFERROR(__xludf.DUMMYFUNCTION("""COMPUTED_VALUE"""),5.70056544817E11)</f>
        <v>570056544817</v>
      </c>
      <c r="E911" s="10" t="str">
        <f>IFERROR(__xludf.DUMMYFUNCTION("""COMPUTED_VALUE""")," মো: বোল্টু মিয়া ")</f>
        <v> মো: বোল্টু মিয়া </v>
      </c>
      <c r="F911" s="10" t="str">
        <f>IFERROR(__xludf.DUMMYFUNCTION("""COMPUTED_VALUE""")," মোছা: সাবিনা খাতুন ")</f>
        <v> মোছা: সাবিনা খাতুন </v>
      </c>
      <c r="G911" s="10" t="str">
        <f>IFERROR(__xludf.DUMMYFUNCTION("""COMPUTED_VALUE""")," ০১/০৫/২০০৫ ")</f>
        <v> ০১/০৫/২০০৫ </v>
      </c>
      <c r="H911" s="10" t="str">
        <f>IFERROR(__xludf.DUMMYFUNCTION("""COMPUTED_VALUE""")," ছাত্র/ছাত্রী ")</f>
        <v> ছাত্র/ছাত্রী </v>
      </c>
      <c r="I911" s="10" t="str">
        <f>IFERROR(__xludf.DUMMYFUNCTION("""COMPUTED_VALUE""")," জালশুকা, গাংনী, মেহেরপুর ")</f>
        <v> জালশুকা, গাংনী, মেহেরপুর </v>
      </c>
    </row>
    <row r="912">
      <c r="A912" s="9" t="s">
        <v>3606</v>
      </c>
      <c r="B912" s="10">
        <f>IFERROR(__xludf.DUMMYFUNCTION("SPLIT(A912,""|"")"),911.0)</f>
        <v>911</v>
      </c>
      <c r="C912" s="10" t="str">
        <f>IFERROR(__xludf.DUMMYFUNCTION("""COMPUTED_VALUE""")," উর্মী খাতুন ")</f>
        <v> উর্মী খাতুন </v>
      </c>
      <c r="D912" s="10">
        <f>IFERROR(__xludf.DUMMYFUNCTION("""COMPUTED_VALUE"""),5.70056544818E11)</f>
        <v>570056544818</v>
      </c>
      <c r="E912" s="10" t="str">
        <f>IFERROR(__xludf.DUMMYFUNCTION("""COMPUTED_VALUE""")," মো: সাজিবুল হক ")</f>
        <v> মো: সাজিবুল হক </v>
      </c>
      <c r="F912" s="10" t="str">
        <f>IFERROR(__xludf.DUMMYFUNCTION("""COMPUTED_VALUE""")," নাহিমা খাতুন ")</f>
        <v> নাহিমা খাতুন </v>
      </c>
      <c r="G912" s="10" t="str">
        <f>IFERROR(__xludf.DUMMYFUNCTION("""COMPUTED_VALUE""")," ১২/০১/২০০৪ ")</f>
        <v> ১২/০১/২০০৪ </v>
      </c>
      <c r="H912" s="10" t="str">
        <f>IFERROR(__xludf.DUMMYFUNCTION("""COMPUTED_VALUE""")," গৃহিণী ")</f>
        <v> গৃহিণী </v>
      </c>
      <c r="I912" s="10" t="str">
        <f>IFERROR(__xludf.DUMMYFUNCTION("""COMPUTED_VALUE""")," ১৩৭৫, জালশুকা, গাংনী, মেহেরপুর ")</f>
        <v> ১৩৭৫, জালশুকা, গাংনী, মেহেরপুর </v>
      </c>
    </row>
    <row r="913">
      <c r="A913" s="9" t="s">
        <v>2712</v>
      </c>
      <c r="B913" s="10" t="str">
        <f>IFERROR(__xludf.DUMMYFUNCTION("SPLIT(A913,""|"")")," ক্রমিক নং ")</f>
        <v> ক্রমিক নং </v>
      </c>
      <c r="C913" s="10" t="str">
        <f>IFERROR(__xludf.DUMMYFUNCTION("""COMPUTED_VALUE""")," নাম ")</f>
        <v> নাম </v>
      </c>
      <c r="D913" s="10" t="str">
        <f>IFERROR(__xludf.DUMMYFUNCTION("""COMPUTED_VALUE""")," ভোটার নং ")</f>
        <v> ভোটার নং </v>
      </c>
      <c r="E913" s="10" t="str">
        <f>IFERROR(__xludf.DUMMYFUNCTION("""COMPUTED_VALUE""")," পিতা ")</f>
        <v> পিতা </v>
      </c>
      <c r="F913" s="10" t="str">
        <f>IFERROR(__xludf.DUMMYFUNCTION("""COMPUTED_VALUE""")," মাতা ")</f>
        <v> মাতা </v>
      </c>
      <c r="G913" s="10" t="str">
        <f>IFERROR(__xludf.DUMMYFUNCTION("""COMPUTED_VALUE""")," জন্ম তারিখ ")</f>
        <v> জন্ম তারিখ </v>
      </c>
      <c r="H913" s="10" t="str">
        <f>IFERROR(__xludf.DUMMYFUNCTION("""COMPUTED_VALUE""")," পেশা ")</f>
        <v> পেশা </v>
      </c>
      <c r="I913" s="10" t="str">
        <f>IFERROR(__xludf.DUMMYFUNCTION("""COMPUTED_VALUE""")," ঠিকানা ")</f>
        <v> ঠিকানা </v>
      </c>
    </row>
    <row r="914">
      <c r="A914" s="9" t="s">
        <v>2713</v>
      </c>
      <c r="B914" s="10" t="str">
        <f>IFERROR(__xludf.DUMMYFUNCTION("SPLIT(A914,""|"")"),"---")</f>
        <v>---</v>
      </c>
      <c r="C914" s="10" t="str">
        <f>IFERROR(__xludf.DUMMYFUNCTION("""COMPUTED_VALUE"""),"---")</f>
        <v>---</v>
      </c>
      <c r="D914" s="10" t="str">
        <f>IFERROR(__xludf.DUMMYFUNCTION("""COMPUTED_VALUE"""),"---")</f>
        <v>---</v>
      </c>
      <c r="E914" s="10" t="str">
        <f>IFERROR(__xludf.DUMMYFUNCTION("""COMPUTED_VALUE"""),"---")</f>
        <v>---</v>
      </c>
      <c r="F914" s="10" t="str">
        <f>IFERROR(__xludf.DUMMYFUNCTION("""COMPUTED_VALUE"""),"---")</f>
        <v>---</v>
      </c>
      <c r="G914" s="10" t="str">
        <f>IFERROR(__xludf.DUMMYFUNCTION("""COMPUTED_VALUE"""),"---")</f>
        <v>---</v>
      </c>
      <c r="H914" s="10" t="str">
        <f>IFERROR(__xludf.DUMMYFUNCTION("""COMPUTED_VALUE"""),"---")</f>
        <v>---</v>
      </c>
      <c r="I914" s="10" t="str">
        <f>IFERROR(__xludf.DUMMYFUNCTION("""COMPUTED_VALUE"""),"---")</f>
        <v>---</v>
      </c>
    </row>
    <row r="915">
      <c r="A915" s="9" t="s">
        <v>3607</v>
      </c>
      <c r="B915" s="10">
        <f>IFERROR(__xludf.DUMMYFUNCTION("SPLIT(A915,""|"")"),754.0)</f>
        <v>754</v>
      </c>
      <c r="C915" s="10" t="str">
        <f>IFERROR(__xludf.DUMMYFUNCTION("""COMPUTED_VALUE""")," মাইগ্রেট হয়েছে ")</f>
        <v> মাইগ্রেট হয়েছে </v>
      </c>
      <c r="D915" s="10" t="str">
        <f>IFERROR(__xludf.DUMMYFUNCTION("""COMPUTED_VALUE"""),"  ")</f>
        <v>  </v>
      </c>
      <c r="E915" s="10" t="str">
        <f>IFERROR(__xludf.DUMMYFUNCTION("""COMPUTED_VALUE"""),"  ")</f>
        <v>  </v>
      </c>
      <c r="F915" s="10" t="str">
        <f>IFERROR(__xludf.DUMMYFUNCTION("""COMPUTED_VALUE"""),"  ")</f>
        <v>  </v>
      </c>
      <c r="G915" s="10" t="str">
        <f>IFERROR(__xludf.DUMMYFUNCTION("""COMPUTED_VALUE"""),"  ")</f>
        <v>  </v>
      </c>
      <c r="H915" s="10" t="str">
        <f>IFERROR(__xludf.DUMMYFUNCTION("""COMPUTED_VALUE"""),"  ")</f>
        <v>  </v>
      </c>
      <c r="I915" s="10" t="str">
        <f>IFERROR(__xludf.DUMMYFUNCTION("""COMPUTED_VALUE"""),"  ")</f>
        <v>  </v>
      </c>
    </row>
    <row r="916">
      <c r="A916" s="9" t="s">
        <v>3608</v>
      </c>
      <c r="B916" s="10">
        <f>IFERROR(__xludf.DUMMYFUNCTION("SPLIT(A916,""|"")"),755.0)</f>
        <v>755</v>
      </c>
      <c r="C916" s="10" t="str">
        <f>IFERROR(__xludf.DUMMYFUNCTION("""COMPUTED_VALUE""")," মোছাঃ ইমা খাতুন ")</f>
        <v> মোছাঃ ইমা খাতুন </v>
      </c>
      <c r="D916" s="10">
        <f>IFERROR(__xludf.DUMMYFUNCTION("""COMPUTED_VALUE"""),5.7025600042E11)</f>
        <v>570256000420</v>
      </c>
      <c r="E916" s="10" t="str">
        <f>IFERROR(__xludf.DUMMYFUNCTION("""COMPUTED_VALUE""")," মো: মফিজুর রহমান ")</f>
        <v> মো: মফিজুর রহমান </v>
      </c>
      <c r="F916" s="10" t="str">
        <f>IFERROR(__xludf.DUMMYFUNCTION("""COMPUTED_VALUE""")," মোছা: নজিরা খাতুন ")</f>
        <v> মোছা: নজিরা খাতুন </v>
      </c>
      <c r="G916" s="10" t="str">
        <f>IFERROR(__xludf.DUMMYFUNCTION("""COMPUTED_VALUE""")," ২৬/১০/২০০০ ")</f>
        <v> ২৬/১০/২০০০ </v>
      </c>
      <c r="H916" s="10" t="str">
        <f>IFERROR(__xludf.DUMMYFUNCTION("""COMPUTED_VALUE""")," গৃহিনী ")</f>
        <v> গৃহিনী </v>
      </c>
      <c r="I916" s="10" t="str">
        <f>IFERROR(__xludf.DUMMYFUNCTION("""COMPUTED_VALUE""")," জালশুকা, গাংনী, মেহেরপুর ")</f>
        <v> জালশুকা, গাংনী, মেহেরপুর </v>
      </c>
    </row>
    <row r="917">
      <c r="A917" s="9" t="s">
        <v>3609</v>
      </c>
      <c r="B917" s="10">
        <f>IFERROR(__xludf.DUMMYFUNCTION("SPLIT(A917,""|"")"),756.0)</f>
        <v>756</v>
      </c>
      <c r="C917" s="10" t="str">
        <f>IFERROR(__xludf.DUMMYFUNCTION("""COMPUTED_VALUE""")," মিতা খাতুন ")</f>
        <v> মিতা খাতুন </v>
      </c>
      <c r="D917" s="10">
        <f>IFERROR(__xludf.DUMMYFUNCTION("""COMPUTED_VALUE"""),5.70256000421E11)</f>
        <v>570256000421</v>
      </c>
      <c r="E917" s="10" t="str">
        <f>IFERROR(__xludf.DUMMYFUNCTION("""COMPUTED_VALUE""")," মো: মিনারুল ইসলাম ")</f>
        <v> মো: মিনারুল ইসলাম </v>
      </c>
      <c r="F917" s="10" t="str">
        <f>IFERROR(__xludf.DUMMYFUNCTION("""COMPUTED_VALUE""")," মোছা: বেলি খাতুন ")</f>
        <v> মোছা: বেলি খাতুন </v>
      </c>
      <c r="G917" s="10" t="str">
        <f>IFERROR(__xludf.DUMMYFUNCTION("""COMPUTED_VALUE""")," ২৫/১০/১৯৯৯ ")</f>
        <v> ২৫/১০/১৯৯৯ </v>
      </c>
      <c r="H917" s="10" t="str">
        <f>IFERROR(__xludf.DUMMYFUNCTION("""COMPUTED_VALUE""")," ছাত্র/ছাত্রী ")</f>
        <v> ছাত্র/ছাত্রী </v>
      </c>
      <c r="I917" s="10" t="str">
        <f>IFERROR(__xludf.DUMMYFUNCTION("""COMPUTED_VALUE""")," জালশুকা, গাংনী, মেহেরপুর ")</f>
        <v> জালশুকা, গাংনী, মেহেরপুর </v>
      </c>
    </row>
    <row r="918">
      <c r="A918" s="9" t="s">
        <v>3610</v>
      </c>
      <c r="B918" s="10">
        <f>IFERROR(__xludf.DUMMYFUNCTION("SPLIT(A918,""|"")"),757.0)</f>
        <v>757</v>
      </c>
      <c r="C918" s="10" t="str">
        <f>IFERROR(__xludf.DUMMYFUNCTION("""COMPUTED_VALUE""")," মাইগ্রেট হয়েছে ")</f>
        <v> মাইগ্রেট হয়েছে </v>
      </c>
      <c r="D918" s="10" t="str">
        <f>IFERROR(__xludf.DUMMYFUNCTION("""COMPUTED_VALUE"""),"  ")</f>
        <v>  </v>
      </c>
      <c r="E918" s="10" t="str">
        <f>IFERROR(__xludf.DUMMYFUNCTION("""COMPUTED_VALUE"""),"  ")</f>
        <v>  </v>
      </c>
      <c r="F918" s="10" t="str">
        <f>IFERROR(__xludf.DUMMYFUNCTION("""COMPUTED_VALUE"""),"  ")</f>
        <v>  </v>
      </c>
      <c r="G918" s="10" t="str">
        <f>IFERROR(__xludf.DUMMYFUNCTION("""COMPUTED_VALUE"""),"  ")</f>
        <v>  </v>
      </c>
      <c r="H918" s="10" t="str">
        <f>IFERROR(__xludf.DUMMYFUNCTION("""COMPUTED_VALUE"""),"  ")</f>
        <v>  </v>
      </c>
      <c r="I918" s="10" t="str">
        <f>IFERROR(__xludf.DUMMYFUNCTION("""COMPUTED_VALUE"""),"  ")</f>
        <v>  </v>
      </c>
    </row>
    <row r="919">
      <c r="A919" s="9" t="s">
        <v>3611</v>
      </c>
      <c r="B919" s="10">
        <f>IFERROR(__xludf.DUMMYFUNCTION("SPLIT(A919,""|"")"),758.0)</f>
        <v>758</v>
      </c>
      <c r="C919" s="10" t="str">
        <f>IFERROR(__xludf.DUMMYFUNCTION("""COMPUTED_VALUE""")," মোছা: অর্পিতা খাতুন ")</f>
        <v> মোছা: অর্পিতা খাতুন </v>
      </c>
      <c r="D919" s="10">
        <f>IFERROR(__xludf.DUMMYFUNCTION("""COMPUTED_VALUE"""),5.70256000432E11)</f>
        <v>570256000432</v>
      </c>
      <c r="E919" s="10" t="str">
        <f>IFERROR(__xludf.DUMMYFUNCTION("""COMPUTED_VALUE""")," মো: হোসেন আলী ")</f>
        <v> মো: হোসেন আলী </v>
      </c>
      <c r="F919" s="10" t="str">
        <f>IFERROR(__xludf.DUMMYFUNCTION("""COMPUTED_VALUE""")," মোছা: ছপুরা খাতুন ")</f>
        <v> মোছা: ছপুরা খাতুন </v>
      </c>
      <c r="G919" s="10" t="str">
        <f>IFERROR(__xludf.DUMMYFUNCTION("""COMPUTED_VALUE""")," ০৫/০৫/১৯৯৮ ")</f>
        <v> ০৫/০৫/১৯৯৮ </v>
      </c>
      <c r="H919" s="10" t="str">
        <f>IFERROR(__xludf.DUMMYFUNCTION("""COMPUTED_VALUE""")," গৃহিনী ")</f>
        <v> গৃহিনী </v>
      </c>
      <c r="I919" s="10" t="str">
        <f>IFERROR(__xludf.DUMMYFUNCTION("""COMPUTED_VALUE""")," জালশুকা, গাংনী, মেহেরপুর ")</f>
        <v> জালশুকা, গাংনী, মেহেরপুর </v>
      </c>
    </row>
    <row r="920">
      <c r="A920" s="9" t="s">
        <v>3612</v>
      </c>
      <c r="B920" s="10">
        <f>IFERROR(__xludf.DUMMYFUNCTION("SPLIT(A920,""|"")"),759.0)</f>
        <v>759</v>
      </c>
      <c r="C920" s="10" t="str">
        <f>IFERROR(__xludf.DUMMYFUNCTION("""COMPUTED_VALUE""")," মাইগ্রেট হয়েছে ")</f>
        <v> মাইগ্রেট হয়েছে </v>
      </c>
      <c r="D920" s="10" t="str">
        <f>IFERROR(__xludf.DUMMYFUNCTION("""COMPUTED_VALUE"""),"  ")</f>
        <v>  </v>
      </c>
      <c r="E920" s="10" t="str">
        <f>IFERROR(__xludf.DUMMYFUNCTION("""COMPUTED_VALUE"""),"  ")</f>
        <v>  </v>
      </c>
      <c r="F920" s="10" t="str">
        <f>IFERROR(__xludf.DUMMYFUNCTION("""COMPUTED_VALUE"""),"  ")</f>
        <v>  </v>
      </c>
      <c r="G920" s="10" t="str">
        <f>IFERROR(__xludf.DUMMYFUNCTION("""COMPUTED_VALUE"""),"  ")</f>
        <v>  </v>
      </c>
      <c r="H920" s="10" t="str">
        <f>IFERROR(__xludf.DUMMYFUNCTION("""COMPUTED_VALUE"""),"  ")</f>
        <v>  </v>
      </c>
      <c r="I920" s="10" t="str">
        <f>IFERROR(__xludf.DUMMYFUNCTION("""COMPUTED_VALUE"""),"  ")</f>
        <v>  </v>
      </c>
    </row>
    <row r="921">
      <c r="A921" s="9" t="s">
        <v>3613</v>
      </c>
      <c r="B921" s="10">
        <f>IFERROR(__xludf.DUMMYFUNCTION("SPLIT(A921,""|"")"),760.0)</f>
        <v>760</v>
      </c>
      <c r="C921" s="10" t="str">
        <f>IFERROR(__xludf.DUMMYFUNCTION("""COMPUTED_VALUE""")," মোছা: মুক্তিয়ারা খাতুন ")</f>
        <v> মোছা: মুক্তিয়ারা খাতুন </v>
      </c>
      <c r="D921" s="10">
        <f>IFERROR(__xludf.DUMMYFUNCTION("""COMPUTED_VALUE"""),5.70256000434E11)</f>
        <v>570256000434</v>
      </c>
      <c r="E921" s="10" t="str">
        <f>IFERROR(__xludf.DUMMYFUNCTION("""COMPUTED_VALUE""")," মো: আজিজুল ইসলাম ")</f>
        <v> মো: আজিজুল ইসলাম </v>
      </c>
      <c r="F921" s="10" t="str">
        <f>IFERROR(__xludf.DUMMYFUNCTION("""COMPUTED_VALUE""")," মোছা: নুরজাহান খাতুন ")</f>
        <v> মোছা: নুরজাহান খাতুন </v>
      </c>
      <c r="G921" s="10" t="str">
        <f>IFERROR(__xludf.DUMMYFUNCTION("""COMPUTED_VALUE""")," ১০/১০/২০০১ ")</f>
        <v> ১০/১০/২০০১ </v>
      </c>
      <c r="H921" s="10" t="str">
        <f>IFERROR(__xludf.DUMMYFUNCTION("""COMPUTED_VALUE""")," গৃহিনী ")</f>
        <v> গৃহিনী </v>
      </c>
      <c r="I921" s="10" t="str">
        <f>IFERROR(__xludf.DUMMYFUNCTION("""COMPUTED_VALUE""")," জালশুকা, গাংনী, মেহেরপুর ")</f>
        <v> জালশুকা, গাংনী, মেহেরপুর </v>
      </c>
    </row>
    <row r="922">
      <c r="A922" s="9" t="s">
        <v>3614</v>
      </c>
      <c r="B922" s="10">
        <f>IFERROR(__xludf.DUMMYFUNCTION("SPLIT(A922,""|"")"),761.0)</f>
        <v>761</v>
      </c>
      <c r="C922" s="10" t="str">
        <f>IFERROR(__xludf.DUMMYFUNCTION("""COMPUTED_VALUE""")," মোছা: খাদিজা খাতুন রিক্তা ")</f>
        <v> মোছা: খাদিজা খাতুন রিক্তা </v>
      </c>
      <c r="D922" s="10">
        <f>IFERROR(__xludf.DUMMYFUNCTION("""COMPUTED_VALUE"""),5.70256000435E11)</f>
        <v>570256000435</v>
      </c>
      <c r="E922" s="10" t="str">
        <f>IFERROR(__xludf.DUMMYFUNCTION("""COMPUTED_VALUE""")," মো: ইসমাইল হোসেন ")</f>
        <v> মো: ইসমাইল হোসেন </v>
      </c>
      <c r="F922" s="10" t="str">
        <f>IFERROR(__xludf.DUMMYFUNCTION("""COMPUTED_VALUE""")," মোছা: সাবিনা খাতুন ")</f>
        <v> মোছা: সাবিনা খাতুন </v>
      </c>
      <c r="G922" s="10" t="str">
        <f>IFERROR(__xludf.DUMMYFUNCTION("""COMPUTED_VALUE""")," ০৩/০১/২০০০ ")</f>
        <v> ০৩/০১/২০০০ </v>
      </c>
      <c r="H922" s="10" t="str">
        <f>IFERROR(__xludf.DUMMYFUNCTION("""COMPUTED_VALUE""")," গৃহিনী ")</f>
        <v> গৃহিনী </v>
      </c>
      <c r="I922" s="10" t="str">
        <f>IFERROR(__xludf.DUMMYFUNCTION("""COMPUTED_VALUE""")," জালশুকা, গাংনী, মেহেরপুর ")</f>
        <v> জালশুকা, গাংনী, মেহেরপুর </v>
      </c>
    </row>
    <row r="923">
      <c r="A923" s="9" t="s">
        <v>3615</v>
      </c>
      <c r="B923" s="10">
        <f>IFERROR(__xludf.DUMMYFUNCTION("SPLIT(A923,""|"")"),762.0)</f>
        <v>762</v>
      </c>
      <c r="C923" s="10" t="str">
        <f>IFERROR(__xludf.DUMMYFUNCTION("""COMPUTED_VALUE""")," মোছা: পুষ্প খাতুন ")</f>
        <v> মোছা: পুষ্প খাতুন </v>
      </c>
      <c r="D923" s="10">
        <f>IFERROR(__xludf.DUMMYFUNCTION("""COMPUTED_VALUE"""),5.70256000436E11)</f>
        <v>570256000436</v>
      </c>
      <c r="E923" s="10" t="str">
        <f>IFERROR(__xludf.DUMMYFUNCTION("""COMPUTED_VALUE""")," মৃত নেকবার আলী ")</f>
        <v> মৃত নেকবার আলী </v>
      </c>
      <c r="F923" s="10" t="str">
        <f>IFERROR(__xludf.DUMMYFUNCTION("""COMPUTED_VALUE""")," মোছা: সাহানা খাতুন ")</f>
        <v> মোছা: সাহানা খাতুন </v>
      </c>
      <c r="G923" s="10" t="str">
        <f>IFERROR(__xludf.DUMMYFUNCTION("""COMPUTED_VALUE""")," ২৫/০১/২০০০ ")</f>
        <v> ২৫/০১/২০০০ </v>
      </c>
      <c r="H923" s="10" t="str">
        <f>IFERROR(__xludf.DUMMYFUNCTION("""COMPUTED_VALUE""")," গৃহিনী ")</f>
        <v> গৃহিনী </v>
      </c>
      <c r="I923" s="10" t="str">
        <f>IFERROR(__xludf.DUMMYFUNCTION("""COMPUTED_VALUE""")," জালশুকা, গাংনী, মেহেরপুর ")</f>
        <v> জালশুকা, গাংনী, মেহেরপুর </v>
      </c>
    </row>
    <row r="924">
      <c r="A924" s="9" t="s">
        <v>3616</v>
      </c>
      <c r="B924" s="10">
        <f>IFERROR(__xludf.DUMMYFUNCTION("SPLIT(A924,""|"")"),763.0)</f>
        <v>763</v>
      </c>
      <c r="C924" s="10" t="str">
        <f>IFERROR(__xludf.DUMMYFUNCTION("""COMPUTED_VALUE""")," মোছা: রূপালী খাতুন ")</f>
        <v> মোছা: রূপালী খাতুন </v>
      </c>
      <c r="D924" s="10">
        <f>IFERROR(__xludf.DUMMYFUNCTION("""COMPUTED_VALUE"""),5.70256000438E11)</f>
        <v>570256000438</v>
      </c>
      <c r="E924" s="10" t="str">
        <f>IFERROR(__xludf.DUMMYFUNCTION("""COMPUTED_VALUE""")," মো: তারাচান ")</f>
        <v> মো: তারাচান </v>
      </c>
      <c r="F924" s="10" t="str">
        <f>IFERROR(__xludf.DUMMYFUNCTION("""COMPUTED_VALUE""")," মোছা: রোকেয়া খাতুন ")</f>
        <v> মোছা: রোকেয়া খাতুন </v>
      </c>
      <c r="G924" s="10" t="str">
        <f>IFERROR(__xludf.DUMMYFUNCTION("""COMPUTED_VALUE""")," ১০/০৬/১৯৯৬ ")</f>
        <v> ১০/০৬/১৯৯৬ </v>
      </c>
      <c r="H924" s="10" t="str">
        <f>IFERROR(__xludf.DUMMYFUNCTION("""COMPUTED_VALUE""")," গৃহিনী ")</f>
        <v> গৃহিনী </v>
      </c>
      <c r="I924" s="10" t="str">
        <f>IFERROR(__xludf.DUMMYFUNCTION("""COMPUTED_VALUE""")," জালশুকা, গাংনী, মেহেরপুর ")</f>
        <v> জালশুকা, গাংনী, মেহেরপুর </v>
      </c>
    </row>
    <row r="925">
      <c r="A925" s="9" t="s">
        <v>3617</v>
      </c>
      <c r="B925" s="10">
        <f>IFERROR(__xludf.DUMMYFUNCTION("SPLIT(A925,""|"")"),764.0)</f>
        <v>764</v>
      </c>
      <c r="C925" s="10" t="str">
        <f>IFERROR(__xludf.DUMMYFUNCTION("""COMPUTED_VALUE""")," মোছা: রিক্তা খাতুন ")</f>
        <v> মোছা: রিক্তা খাতুন </v>
      </c>
      <c r="D925" s="10">
        <f>IFERROR(__xludf.DUMMYFUNCTION("""COMPUTED_VALUE"""),5.70256000442E11)</f>
        <v>570256000442</v>
      </c>
      <c r="E925" s="10" t="str">
        <f>IFERROR(__xludf.DUMMYFUNCTION("""COMPUTED_VALUE""")," মো: ইয়াছদ্দীন ")</f>
        <v> মো: ইয়াছদ্দীন </v>
      </c>
      <c r="F925" s="10" t="str">
        <f>IFERROR(__xludf.DUMMYFUNCTION("""COMPUTED_VALUE""")," মোছা: শিরিনা খাতুন ")</f>
        <v> মোছা: শিরিনা খাতুন </v>
      </c>
      <c r="G925" s="10" t="str">
        <f>IFERROR(__xludf.DUMMYFUNCTION("""COMPUTED_VALUE""")," ০৮/০৯/১৯৯১ ")</f>
        <v> ০৮/০৯/১৯৯১ </v>
      </c>
      <c r="H925" s="10" t="str">
        <f>IFERROR(__xludf.DUMMYFUNCTION("""COMPUTED_VALUE""")," গৃহিনী ")</f>
        <v> গৃহিনী </v>
      </c>
      <c r="I925" s="10" t="str">
        <f>IFERROR(__xludf.DUMMYFUNCTION("""COMPUTED_VALUE""")," জালশুকা, গাংনী, মেহেরপুর ")</f>
        <v> জালশুকা, গাংনী, মেহেরপুর </v>
      </c>
    </row>
    <row r="926">
      <c r="A926" s="9" t="s">
        <v>3618</v>
      </c>
      <c r="B926" s="10">
        <f>IFERROR(__xludf.DUMMYFUNCTION("SPLIT(A926,""|"")"),765.0)</f>
        <v>765</v>
      </c>
      <c r="C926" s="10" t="str">
        <f>IFERROR(__xludf.DUMMYFUNCTION("""COMPUTED_VALUE""")," মোছা: সুমি খাতুন ")</f>
        <v> মোছা: সুমি খাতুন </v>
      </c>
      <c r="D926" s="10">
        <f>IFERROR(__xludf.DUMMYFUNCTION("""COMPUTED_VALUE"""),5.70256000444E11)</f>
        <v>570256000444</v>
      </c>
      <c r="E926" s="10" t="str">
        <f>IFERROR(__xludf.DUMMYFUNCTION("""COMPUTED_VALUE""")," মো: রিয়াজ উদ্দীন ")</f>
        <v> মো: রিয়াজ উদ্দীন </v>
      </c>
      <c r="F926" s="10" t="str">
        <f>IFERROR(__xludf.DUMMYFUNCTION("""COMPUTED_VALUE""")," মোছা: ফিরোজা খাতুন ")</f>
        <v> মোছা: ফিরোজা খাতুন </v>
      </c>
      <c r="G926" s="10" t="str">
        <f>IFERROR(__xludf.DUMMYFUNCTION("""COMPUTED_VALUE""")," ২০/১১/১৯৯৯ ")</f>
        <v> ২০/১১/১৯৯৯ </v>
      </c>
      <c r="H926" s="10" t="str">
        <f>IFERROR(__xludf.DUMMYFUNCTION("""COMPUTED_VALUE""")," ছাত্র/ছাত্রী ")</f>
        <v> ছাত্র/ছাত্রী </v>
      </c>
      <c r="I926" s="10" t="str">
        <f>IFERROR(__xludf.DUMMYFUNCTION("""COMPUTED_VALUE""")," জালশুকা, গাংনী, মেহেরপুর ")</f>
        <v> জালশুকা, গাংনী, মেহেরপুর </v>
      </c>
    </row>
    <row r="927">
      <c r="A927" s="9" t="s">
        <v>3619</v>
      </c>
      <c r="B927" s="10">
        <f>IFERROR(__xludf.DUMMYFUNCTION("SPLIT(A927,""|"")"),766.0)</f>
        <v>766</v>
      </c>
      <c r="C927" s="10" t="str">
        <f>IFERROR(__xludf.DUMMYFUNCTION("""COMPUTED_VALUE""")," মোছা: আছিয়া খাতুন ")</f>
        <v> মোছা: আছিয়া খাতুন </v>
      </c>
      <c r="D927" s="10">
        <f>IFERROR(__xludf.DUMMYFUNCTION("""COMPUTED_VALUE"""),5.70256000445E11)</f>
        <v>570256000445</v>
      </c>
      <c r="E927" s="10" t="str">
        <f>IFERROR(__xludf.DUMMYFUNCTION("""COMPUTED_VALUE""")," মো: আশাবুল হক ")</f>
        <v> মো: আশাবুল হক </v>
      </c>
      <c r="F927" s="10" t="str">
        <f>IFERROR(__xludf.DUMMYFUNCTION("""COMPUTED_VALUE""")," মোছা: বেলিয়ার খাতুন ")</f>
        <v> মোছা: বেলিয়ার খাতুন </v>
      </c>
      <c r="G927" s="10" t="str">
        <f>IFERROR(__xludf.DUMMYFUNCTION("""COMPUTED_VALUE""")," ০৯/০৬/২০০২ ")</f>
        <v> ০৯/০৬/২০০২ </v>
      </c>
      <c r="H927" s="10" t="str">
        <f>IFERROR(__xludf.DUMMYFUNCTION("""COMPUTED_VALUE""")," ছাত্র/ছাত্রী ")</f>
        <v> ছাত্র/ছাত্রী </v>
      </c>
      <c r="I927" s="10" t="str">
        <f>IFERROR(__xludf.DUMMYFUNCTION("""COMPUTED_VALUE""")," জালশুকা, গাংনী, মেহেরপুর ")</f>
        <v> জালশুকা, গাংনী, মেহেরপুর </v>
      </c>
    </row>
    <row r="928">
      <c r="A928" s="9" t="s">
        <v>3620</v>
      </c>
      <c r="B928" s="10">
        <f>IFERROR(__xludf.DUMMYFUNCTION("SPLIT(A928,""|"")"),767.0)</f>
        <v>767</v>
      </c>
      <c r="C928" s="10" t="str">
        <f>IFERROR(__xludf.DUMMYFUNCTION("""COMPUTED_VALUE""")," মোছা: মহিরন নেছা ")</f>
        <v> মোছা: মহিরন নেছা </v>
      </c>
      <c r="D928" s="10">
        <f>IFERROR(__xludf.DUMMYFUNCTION("""COMPUTED_VALUE"""),5.70256000448E11)</f>
        <v>570256000448</v>
      </c>
      <c r="E928" s="10" t="str">
        <f>IFERROR(__xludf.DUMMYFUNCTION("""COMPUTED_VALUE""")," মৃত মান্নান হক ")</f>
        <v> মৃত মান্নান হক </v>
      </c>
      <c r="F928" s="10" t="str">
        <f>IFERROR(__xludf.DUMMYFUNCTION("""COMPUTED_VALUE""")," মোছা: মর্জিনা খাতুন ")</f>
        <v> মোছা: মর্জিনা খাতুন </v>
      </c>
      <c r="G928" s="10" t="str">
        <f>IFERROR(__xludf.DUMMYFUNCTION("""COMPUTED_VALUE""")," ০২/০৬/১৯৮৭ ")</f>
        <v> ০২/০৬/১৯৮৭ </v>
      </c>
      <c r="H928" s="10" t="str">
        <f>IFERROR(__xludf.DUMMYFUNCTION("""COMPUTED_VALUE""")," গৃহিনী ")</f>
        <v> গৃহিনী </v>
      </c>
      <c r="I928" s="10" t="str">
        <f>IFERROR(__xludf.DUMMYFUNCTION("""COMPUTED_VALUE""")," জালশুকা, গাংনী, মেহেরপুর ")</f>
        <v> জালশুকা, গাংনী, মেহেরপুর </v>
      </c>
    </row>
    <row r="929">
      <c r="A929" s="9" t="s">
        <v>3621</v>
      </c>
      <c r="B929" s="10">
        <f>IFERROR(__xludf.DUMMYFUNCTION("SPLIT(A929,""|"")"),768.0)</f>
        <v>768</v>
      </c>
      <c r="C929" s="10" t="str">
        <f>IFERROR(__xludf.DUMMYFUNCTION("""COMPUTED_VALUE""")," মোছা: রেক্সনা খাতুন ")</f>
        <v> মোছা: রেক্সনা খাতুন </v>
      </c>
      <c r="D929" s="10">
        <f>IFERROR(__xludf.DUMMYFUNCTION("""COMPUTED_VALUE"""),5.70256000449E11)</f>
        <v>570256000449</v>
      </c>
      <c r="E929" s="10" t="str">
        <f>IFERROR(__xludf.DUMMYFUNCTION("""COMPUTED_VALUE""")," মো: নাসির উদ্দীন ")</f>
        <v> মো: নাসির উদ্দীন </v>
      </c>
      <c r="F929" s="10" t="str">
        <f>IFERROR(__xludf.DUMMYFUNCTION("""COMPUTED_VALUE""")," মোছা: সাহেরা খাতুন ")</f>
        <v> মোছা: সাহেরা খাতুন </v>
      </c>
      <c r="G929" s="10" t="str">
        <f>IFERROR(__xludf.DUMMYFUNCTION("""COMPUTED_VALUE""")," ২৭/১২/১৯৯৭ ")</f>
        <v> ২৭/১২/১৯৯৭ </v>
      </c>
      <c r="H929" s="10" t="str">
        <f>IFERROR(__xludf.DUMMYFUNCTION("""COMPUTED_VALUE""")," ছাত্র/ছাত্রী ")</f>
        <v> ছাত্র/ছাত্রী </v>
      </c>
      <c r="I929" s="10" t="str">
        <f>IFERROR(__xludf.DUMMYFUNCTION("""COMPUTED_VALUE""")," জালশুকা, গাংনী, মেহেরপুর ")</f>
        <v> জালশুকা, গাংনী, মেহেরপুর </v>
      </c>
    </row>
    <row r="930">
      <c r="A930" s="9" t="s">
        <v>3622</v>
      </c>
      <c r="B930" s="10">
        <f>IFERROR(__xludf.DUMMYFUNCTION("SPLIT(A930,""|"")"),769.0)</f>
        <v>769</v>
      </c>
      <c r="C930" s="10" t="str">
        <f>IFERROR(__xludf.DUMMYFUNCTION("""COMPUTED_VALUE""")," শাহরিয়া বন্যা ")</f>
        <v> শাহরিয়া বন্যা </v>
      </c>
      <c r="D930" s="10">
        <f>IFERROR(__xludf.DUMMYFUNCTION("""COMPUTED_VALUE"""),5.7025600045E11)</f>
        <v>570256000450</v>
      </c>
      <c r="E930" s="10" t="str">
        <f>IFERROR(__xludf.DUMMYFUNCTION("""COMPUTED_VALUE""")," মো: শামসুল হুদা ")</f>
        <v> মো: শামসুল হুদা </v>
      </c>
      <c r="F930" s="10" t="str">
        <f>IFERROR(__xludf.DUMMYFUNCTION("""COMPUTED_VALUE""")," আরমিলা খাতুন ")</f>
        <v> আরমিলা খাতুন </v>
      </c>
      <c r="G930" s="10" t="str">
        <f>IFERROR(__xludf.DUMMYFUNCTION("""COMPUTED_VALUE""")," ২৩/০১/১৯৯৯ ")</f>
        <v> ২৩/০১/১৯৯৯ </v>
      </c>
      <c r="H930" s="10" t="str">
        <f>IFERROR(__xludf.DUMMYFUNCTION("""COMPUTED_VALUE""")," ছাত্র/ছাত্রী ")</f>
        <v> ছাত্র/ছাত্রী </v>
      </c>
      <c r="I930" s="10" t="str">
        <f>IFERROR(__xludf.DUMMYFUNCTION("""COMPUTED_VALUE""")," জালশুকা, গাংনী, মেহেরপুর ")</f>
        <v> জালশুকা, গাংনী, মেহেরপুর </v>
      </c>
    </row>
    <row r="931">
      <c r="A931" s="9" t="s">
        <v>3623</v>
      </c>
      <c r="B931" s="10">
        <f>IFERROR(__xludf.DUMMYFUNCTION("SPLIT(A931,""|"")"),770.0)</f>
        <v>770</v>
      </c>
      <c r="C931" s="10" t="str">
        <f>IFERROR(__xludf.DUMMYFUNCTION("""COMPUTED_VALUE""")," মাইগ্রেট হয়েছে ")</f>
        <v> মাইগ্রেট হয়েছে </v>
      </c>
      <c r="D931" s="10" t="str">
        <f>IFERROR(__xludf.DUMMYFUNCTION("""COMPUTED_VALUE"""),"  ")</f>
        <v>  </v>
      </c>
      <c r="E931" s="10" t="str">
        <f>IFERROR(__xludf.DUMMYFUNCTION("""COMPUTED_VALUE"""),"  ")</f>
        <v>  </v>
      </c>
      <c r="F931" s="10" t="str">
        <f>IFERROR(__xludf.DUMMYFUNCTION("""COMPUTED_VALUE"""),"  ")</f>
        <v>  </v>
      </c>
      <c r="G931" s="10" t="str">
        <f>IFERROR(__xludf.DUMMYFUNCTION("""COMPUTED_VALUE"""),"  ")</f>
        <v>  </v>
      </c>
      <c r="H931" s="10" t="str">
        <f>IFERROR(__xludf.DUMMYFUNCTION("""COMPUTED_VALUE"""),"  ")</f>
        <v>  </v>
      </c>
      <c r="I931" s="10" t="str">
        <f>IFERROR(__xludf.DUMMYFUNCTION("""COMPUTED_VALUE"""),"  ")</f>
        <v>  </v>
      </c>
    </row>
    <row r="932">
      <c r="A932" s="9" t="s">
        <v>3624</v>
      </c>
      <c r="B932" s="10">
        <f>IFERROR(__xludf.DUMMYFUNCTION("SPLIT(A932,""|"")"),771.0)</f>
        <v>771</v>
      </c>
      <c r="C932" s="10" t="str">
        <f>IFERROR(__xludf.DUMMYFUNCTION("""COMPUTED_VALUE""")," মোছা: চায়না খাতুন ")</f>
        <v> মোছা: চায়না খাতুন </v>
      </c>
      <c r="D932" s="10">
        <f>IFERROR(__xludf.DUMMYFUNCTION("""COMPUTED_VALUE"""),5.70256000453E11)</f>
        <v>570256000453</v>
      </c>
      <c r="E932" s="10" t="str">
        <f>IFERROR(__xludf.DUMMYFUNCTION("""COMPUTED_VALUE""")," মো: নুরুল আমিন ")</f>
        <v> মো: নুরুল আমিন </v>
      </c>
      <c r="F932" s="10" t="str">
        <f>IFERROR(__xludf.DUMMYFUNCTION("""COMPUTED_VALUE""")," মোছা: মাজেদা খাতুন ")</f>
        <v> মোছা: মাজেদা খাতুন </v>
      </c>
      <c r="G932" s="10" t="str">
        <f>IFERROR(__xludf.DUMMYFUNCTION("""COMPUTED_VALUE""")," ০১/০৪/১৯৯৭ ")</f>
        <v> ০১/০৪/১৯৯৭ </v>
      </c>
      <c r="H932" s="10" t="str">
        <f>IFERROR(__xludf.DUMMYFUNCTION("""COMPUTED_VALUE""")," গৃহিনী ")</f>
        <v> গৃহিনী </v>
      </c>
      <c r="I932" s="10" t="str">
        <f>IFERROR(__xludf.DUMMYFUNCTION("""COMPUTED_VALUE""")," জালশুকা, গাংনী, মেহেরপুর ")</f>
        <v> জালশুকা, গাংনী, মেহেরপুর </v>
      </c>
    </row>
    <row r="933">
      <c r="B933" s="10" t="str">
        <f>IFERROR(__xludf.DUMMYFUNCTION("SPLIT(A933,""|"")"),"#VALUE!")</f>
        <v>#VALUE!</v>
      </c>
    </row>
  </sheetData>
  <drawing r:id="rId1"/>
</worksheet>
</file>